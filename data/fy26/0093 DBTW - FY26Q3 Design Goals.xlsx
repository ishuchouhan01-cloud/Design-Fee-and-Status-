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3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4.xml" ContentType="application/vnd.ms-excel.namedsheetview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ocumenttasks/documenttask1.xml" ContentType="application/vnd.ms-excel.documenttasks+xml"/>
  <Override PartName="/xl/namedSheetViews/namedSheetView5.xml" ContentType="application/vnd.ms-excel.namedsheetviews+xml"/>
  <Override PartName="/xl/pivotTables/pivotTable1.xml" ContentType="application/vnd.openxmlformats-officedocument.spreadsheetml.pivotTable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1.xml" ContentType="application/vnd.ms-excel.namedsheetview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4.xml" ContentType="application/vnd.ms-excel.namedsheetviews+xml"/>
  <Override PartName="/xl/namedSheetViews/namedSheetView15.xml" ContentType="application/vnd.ms-excel.namedsheetviews+xml"/>
  <Override PartName="/xl/pivotTables/pivotTable2.xml" ContentType="application/vnd.openxmlformats-officedocument.spreadsheetml.pivot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16.xml" ContentType="application/vnd.ms-excel.namedsheetview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namedSheetViews/namedSheetView17.xml" ContentType="application/vnd.ms-excel.namedsheetviews+xml"/>
  <Override PartName="/xl/pivotTables/pivotTable3.xml" ContentType="application/vnd.openxmlformats-officedocument.spreadsheetml.pivotTable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namedSheetViews/namedSheetView27.xml" ContentType="application/vnd.ms-excel.namedsheetviews+xml"/>
  <Override PartName="/xl/namedSheetViews/namedSheetView28.xml" ContentType="application/vnd.ms-excel.namedsheetview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namedSheetViews/namedSheetView29.xml" ContentType="application/vnd.ms-excel.namedsheetviews+xml"/>
  <Override PartName="/xl/namedSheetViews/namedSheetView30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070" documentId="13_ncr:1_{8BFB0D37-7E33-4A14-9671-0A7A5172C936}" xr6:coauthVersionLast="47" xr6:coauthVersionMax="47" xr10:uidLastSave="{513E1976-1D7B-4748-B52D-3C814585C96B}"/>
  <bookViews>
    <workbookView xWindow="-108" yWindow="-108" windowWidth="23256" windowHeight="12456" tabRatio="749" firstSheet="9" activeTab="9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Goals FY 26-27Q1" sheetId="11" state="hidden" r:id="rId8"/>
    <sheet name="Prj Crtcl rqrmnt" sheetId="35" state="hidden" r:id="rId9"/>
    <sheet name="Goals FY 26-27Q3" sheetId="36" r:id="rId10"/>
    <sheet name="Pkgs Summary (Status)" sheetId="55" state="hidden" r:id="rId11"/>
    <sheet name="ID Goals FY 26-27Q2" sheetId="41" state="hidden" r:id="rId12"/>
    <sheet name="FY 26-27 Q2 Pivot" sheetId="37" state="hidden" r:id="rId13"/>
    <sheet name="Goals FY 26-27Q2 Cijey" sheetId="46" state="hidden" r:id="rId14"/>
    <sheet name="Goals FY 26-27Q2 Saji" sheetId="43" state="hidden" r:id="rId15"/>
    <sheet name="Goals FY 26-27Q2 OP" sheetId="44" state="hidden" r:id="rId16"/>
    <sheet name="Goals FY 26-27Q2 Naveen Y" sheetId="47" state="hidden" r:id="rId17"/>
    <sheet name="Goals FY 26-27Q2 Manik" sheetId="48" state="hidden" r:id="rId18"/>
    <sheet name="Goals FY 26-27Q2 Gagan" sheetId="45" state="hidden" r:id="rId19"/>
    <sheet name="Goals FY 26-27Q2 Navneet" sheetId="49" state="hidden" r:id="rId20"/>
    <sheet name="Goals FY 26-27Q2 Shweta V" sheetId="50" state="hidden" r:id="rId21"/>
    <sheet name="Goals FY 26-27Q2 Prakash C" sheetId="51" state="hidden" r:id="rId22"/>
    <sheet name="Goals FY 26-27Q2 Atul P" sheetId="52" state="hidden" r:id="rId23"/>
    <sheet name="Pivot" sheetId="31" state="hidden" r:id="rId24"/>
    <sheet name="One liner" sheetId="27" state="hidden" r:id="rId25"/>
    <sheet name="Notes" sheetId="29" state="hidden" r:id="rId26"/>
    <sheet name="Goals, Actuals 2026 Q1 (Remark)" sheetId="28" state="hidden" r:id="rId27"/>
    <sheet name="Goals FY 2026Q2 (Revised Plan)" sheetId="33" state="hidden" r:id="rId28"/>
    <sheet name="Revised Plan PIVOT" sheetId="34" state="hidden" r:id="rId29"/>
    <sheet name="Goals, Actuals 2026 Q1" sheetId="26" state="hidden" r:id="rId30"/>
    <sheet name="26Q1 Cijey M" sheetId="15" state="hidden" r:id="rId31"/>
    <sheet name="26Q1 Saji A" sheetId="16" state="hidden" r:id="rId32"/>
    <sheet name=" FY26-27Q2 Cijey" sheetId="53" state="hidden" r:id="rId33"/>
    <sheet name=" FY26-27Q2 Saji" sheetId="54" state="hidden" r:id="rId34"/>
    <sheet name="26Q1 Naveen Y" sheetId="17" state="hidden" r:id="rId35"/>
    <sheet name="26Q1 Om Prakash" sheetId="18" state="hidden" r:id="rId36"/>
    <sheet name="26Q1 Manik G" sheetId="20" state="hidden" r:id="rId37"/>
    <sheet name="26Q1 Atul L" sheetId="21" state="hidden" r:id="rId38"/>
    <sheet name="26Q1 Prakash C" sheetId="19" state="hidden" r:id="rId39"/>
    <sheet name="26Q1 Gaganjit S" sheetId="22" state="hidden" r:id="rId40"/>
    <sheet name="26Q1 Navneet K" sheetId="24" state="hidden" r:id="rId41"/>
    <sheet name="26Q1 Leaderwise" sheetId="14" state="hidden" r:id="rId42"/>
  </sheets>
  <externalReferences>
    <externalReference r:id="rId43"/>
    <externalReference r:id="rId44"/>
    <externalReference r:id="rId45"/>
  </externalReferences>
  <definedNames>
    <definedName name="_" localSheetId="10" hidden="1">#REF!</definedName>
    <definedName name="_" hidden="1">#REF!</definedName>
    <definedName name="__123Graph_A" localSheetId="11" hidden="1">'ID Goals FY 26-27Q2'!#REF!</definedName>
    <definedName name="__123Graph_A" localSheetId="10" hidden="1">#REF!</definedName>
    <definedName name="__123Graph_A" hidden="1">#REF!</definedName>
    <definedName name="__123Graph_B" localSheetId="11" hidden="1">'ID Goals FY 26-27Q2'!#REF!</definedName>
    <definedName name="__123Graph_B" localSheetId="10" hidden="1">#REF!</definedName>
    <definedName name="__123Graph_B" hidden="1">#REF!</definedName>
    <definedName name="__123Graph_C" localSheetId="11" hidden="1">'ID Goals FY 26-27Q2'!#REF!</definedName>
    <definedName name="__123Graph_C" localSheetId="10" hidden="1">#REF!</definedName>
    <definedName name="__123Graph_C" hidden="1">#REF!</definedName>
    <definedName name="__123Graph_D" localSheetId="11" hidden="1">'ID Goals FY 26-27Q2'!#REF!</definedName>
    <definedName name="__123Graph_D" hidden="1">#REF!</definedName>
    <definedName name="__123Graph_E" localSheetId="11" hidden="1">'ID Goals FY 26-27Q2'!#REF!</definedName>
    <definedName name="__123Graph_E" hidden="1">#REF!</definedName>
    <definedName name="__123Graph_F" localSheetId="11" hidden="1">'ID Goals FY 26-27Q2'!#REF!</definedName>
    <definedName name="__123Graph_F" hidden="1">#REF!</definedName>
    <definedName name="__123Graph_X" localSheetId="11" hidden="1">'ID Goals FY 26-27Q2'!#REF!</definedName>
    <definedName name="__123Graph_X" hidden="1">#REF!</definedName>
    <definedName name="__IntlFixup" hidden="1">TRUE</definedName>
    <definedName name="_c" localSheetId="11" hidden="1">'ID Goals FY 26-27Q2'!#REF!</definedName>
    <definedName name="_c" hidden="1">#REF!</definedName>
    <definedName name="_Dist_Bin" localSheetId="11" hidden="1">'ID Goals FY 26-27Q2'!#REF!</definedName>
    <definedName name="_Dist_Bin" hidden="1">#REF!</definedName>
    <definedName name="_Dist_Values" localSheetId="11" hidden="1">'ID Goals FY 26-27Q2'!#REF!</definedName>
    <definedName name="_Dist_Values" hidden="1">#REF!</definedName>
    <definedName name="_Fill" localSheetId="11" hidden="1">'ID Goals FY 26-27Q2'!#REF!</definedName>
    <definedName name="_Fill" hidden="1">#REF!</definedName>
    <definedName name="_xlnm._FilterDatabase" localSheetId="32" hidden="1">' FY26-27Q2 Cijey'!$B$4:$W$181</definedName>
    <definedName name="_xlnm._FilterDatabase" localSheetId="33" hidden="1">' FY26-27Q2 Saji'!$B$4:$W$126</definedName>
    <definedName name="_xlnm._FilterDatabase" localSheetId="37" hidden="1">'26Q1 Atul L'!$A$5:$AB$5</definedName>
    <definedName name="_xlnm._FilterDatabase" localSheetId="30" hidden="1">'26Q1 Cijey M'!$A$5:$AB$5</definedName>
    <definedName name="_xlnm._FilterDatabase" localSheetId="39" hidden="1">'26Q1 Gaganjit S'!$A$5:$Y$171</definedName>
    <definedName name="_xlnm._FilterDatabase" localSheetId="41" hidden="1">'26Q1 Leaderwise'!$A$5:$AB$5</definedName>
    <definedName name="_xlnm._FilterDatabase" localSheetId="36" hidden="1">'26Q1 Manik G'!$A$5:$AB$5</definedName>
    <definedName name="_xlnm._FilterDatabase" localSheetId="34" hidden="1">'26Q1 Naveen Y'!#REF!</definedName>
    <definedName name="_xlnm._FilterDatabase" localSheetId="40" hidden="1">'26Q1 Navneet K'!$A$5:$AC$5</definedName>
    <definedName name="_xlnm._FilterDatabase" localSheetId="35" hidden="1">'26Q1 Om Prakash'!#REF!</definedName>
    <definedName name="_xlnm._FilterDatabase" localSheetId="38" hidden="1">'26Q1 Prakash C'!$A$5:$AC$5</definedName>
    <definedName name="_xlnm._FilterDatabase" localSheetId="31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7" hidden="1">'Goals FY 2026Q2 (Revised Plan)'!$A$2:$AK$654</definedName>
    <definedName name="_xlnm._FilterDatabase" localSheetId="7" hidden="1">'Goals FY 26-27Q1'!$B$4:$W$650</definedName>
    <definedName name="_xlnm._FilterDatabase" localSheetId="22" hidden="1">'Goals FY 26-27Q2 Atul P'!$B$4:$W$45</definedName>
    <definedName name="_xlnm._FilterDatabase" localSheetId="13" hidden="1">'Goals FY 26-27Q2 Cijey'!$B$4:$W$70</definedName>
    <definedName name="_xlnm._FilterDatabase" localSheetId="18" hidden="1">'Goals FY 26-27Q2 Gagan'!$B$4:$W$262</definedName>
    <definedName name="_xlnm._FilterDatabase" localSheetId="17" hidden="1">'Goals FY 26-27Q2 Manik'!$B$4:$W$39</definedName>
    <definedName name="_xlnm._FilterDatabase" localSheetId="16" hidden="1">'Goals FY 26-27Q2 Naveen Y'!$B$4:$W$57</definedName>
    <definedName name="_xlnm._FilterDatabase" localSheetId="19" hidden="1">'Goals FY 26-27Q2 Navneet'!$B$4:$W$5</definedName>
    <definedName name="_xlnm._FilterDatabase" localSheetId="15" hidden="1">'Goals FY 26-27Q2 OP'!$B$4:$W$90</definedName>
    <definedName name="_xlnm._FilterDatabase" localSheetId="21" hidden="1">'Goals FY 26-27Q2 Prakash C'!$B$4:$W$205</definedName>
    <definedName name="_xlnm._FilterDatabase" localSheetId="14" hidden="1">'Goals FY 26-27Q2 Saji'!$B$4:$W$66</definedName>
    <definedName name="_xlnm._FilterDatabase" localSheetId="20" hidden="1">'Goals FY 26-27Q2 Shweta V'!$B$4:$W$5</definedName>
    <definedName name="_xlnm._FilterDatabase" localSheetId="29" hidden="1">'Goals, Actuals 2026 Q1'!$A$5:$AG$611</definedName>
    <definedName name="_xlnm._FilterDatabase" localSheetId="26" hidden="1">'Goals, Actuals 2026 Q1 (Remark)'!$A$5:$AG$688</definedName>
    <definedName name="_xlnm._FilterDatabase" localSheetId="11" hidden="1">'ID Goals FY 26-27Q2'!$A$2:$XFB$180</definedName>
    <definedName name="_xlnm._FilterDatabase" localSheetId="10" hidden="1">'Pkgs Summary (Status)'!#REF!</definedName>
    <definedName name="_xlnm._FilterDatabase" localSheetId="5" hidden="1">'Prj List'!$A$2:$D$68</definedName>
    <definedName name="_xlnm._FilterDatabase" localSheetId="3" hidden="1">Sheet1!$B$3:$D$35</definedName>
    <definedName name="_xlnm._FilterDatabase" localSheetId="9" hidden="1">'Goals FY 26-27Q3'!$B$4:$Z$139</definedName>
    <definedName name="_xlnm._FilterDatabase" hidden="1">#REF!</definedName>
    <definedName name="_Goal_New" hidden="1">#REF!</definedName>
    <definedName name="_Key1" localSheetId="11" hidden="1">'ID Goals FY 26-27Q2'!#REF!</definedName>
    <definedName name="_Key1" localSheetId="10" hidden="1">#REF!</definedName>
    <definedName name="_Key1" hidden="1">#REF!</definedName>
    <definedName name="_Key2" localSheetId="11" hidden="1">'ID Goals FY 26-27Q2'!#REF!</definedName>
    <definedName name="_Key2" hidden="1">#REF!</definedName>
    <definedName name="_Order1" hidden="1">255</definedName>
    <definedName name="_Parse_In" localSheetId="11" hidden="1">'ID Goals FY 26-27Q2'!#REF!</definedName>
    <definedName name="_Parse_In" hidden="1">#REF!</definedName>
    <definedName name="_Parse_Out" localSheetId="11" hidden="1">'ID Goals FY 26-27Q2'!#REF!</definedName>
    <definedName name="_Parse_Out" localSheetId="10" hidden="1">#REF!</definedName>
    <definedName name="_Parse_Out" hidden="1">#REF!</definedName>
    <definedName name="_Regression_Int" hidden="1">1</definedName>
    <definedName name="_Sort" localSheetId="11" hidden="1">'ID Goals FY 26-27Q2'!#REF!</definedName>
    <definedName name="_Sort" hidden="1">#REF!</definedName>
    <definedName name="_Table2_In1" localSheetId="11" hidden="1">'ID Goals FY 26-27Q2'!#REF!</definedName>
    <definedName name="_Table2_In1" hidden="1">#REF!</definedName>
    <definedName name="_Table2_In2" localSheetId="11" hidden="1">'ID Goals FY 26-27Q2'!#REF!</definedName>
    <definedName name="_Table2_In2" hidden="1">#REF!</definedName>
    <definedName name="_Table2_Out" localSheetId="11" hidden="1">'ID Goals FY 26-27Q2'!#REF!</definedName>
    <definedName name="_Table2_Out" hidden="1">#REF!</definedName>
    <definedName name="_Table3_In2" localSheetId="11" hidden="1">'ID Goals FY 26-27Q2'!#REF!</definedName>
    <definedName name="_Table3_In2" hidden="1">#REF!</definedName>
    <definedName name="AccessDatabase" hidden="1">"W:\2000-01 Srb\March 2001\Lease Payments\outstanding lease.mdb"</definedName>
    <definedName name="ALupro" localSheetId="37" hidden="1">{"BSSCHA4",#N/A,FALSE,"sch bs"}</definedName>
    <definedName name="ALupro" localSheetId="30" hidden="1">{"BSSCHA4",#N/A,FALSE,"sch bs"}</definedName>
    <definedName name="ALupro" localSheetId="39" hidden="1">{"BSSCHA4",#N/A,FALSE,"sch bs"}</definedName>
    <definedName name="ALupro" localSheetId="41" hidden="1">{"BSSCHA4",#N/A,FALSE,"sch bs"}</definedName>
    <definedName name="ALupro" localSheetId="36" hidden="1">{"BSSCHA4",#N/A,FALSE,"sch bs"}</definedName>
    <definedName name="ALupro" localSheetId="34" hidden="1">{"BSSCHA4",#N/A,FALSE,"sch bs"}</definedName>
    <definedName name="ALupro" localSheetId="40" hidden="1">{"BSSCHA4",#N/A,FALSE,"sch bs"}</definedName>
    <definedName name="ALupro" localSheetId="35" hidden="1">{"BSSCHA4",#N/A,FALSE,"sch bs"}</definedName>
    <definedName name="ALupro" localSheetId="38" hidden="1">{"BSSCHA4",#N/A,FALSE,"sch bs"}</definedName>
    <definedName name="ALupro" localSheetId="31" hidden="1">{"BSSCHA4",#N/A,FALSE,"sch bs"}</definedName>
    <definedName name="ALupro" localSheetId="29" hidden="1">{"BSSCHA4",#N/A,FALSE,"sch bs"}</definedName>
    <definedName name="ALupro" localSheetId="26" hidden="1">{"BSSCHA4",#N/A,FALSE,"sch bs"}</definedName>
    <definedName name="ALupro" localSheetId="11" hidden="1">{"BSSCHA4",#N/A,FALSE,"sch bs"}</definedName>
    <definedName name="ALupro" localSheetId="10" hidden="1">{"BSSCHA4",#N/A,FALSE,"sch bs"}</definedName>
    <definedName name="ALupro" hidden="1">{"BSSCHA4",#N/A,FALSE,"sch bs"}</definedName>
    <definedName name="ALupro0" localSheetId="37" hidden="1">{"BSSCHA4",#N/A,FALSE,"sch bs"}</definedName>
    <definedName name="ALupro0" localSheetId="30" hidden="1">{"BSSCHA4",#N/A,FALSE,"sch bs"}</definedName>
    <definedName name="ALupro0" localSheetId="39" hidden="1">{"BSSCHA4",#N/A,FALSE,"sch bs"}</definedName>
    <definedName name="ALupro0" localSheetId="41" hidden="1">{"BSSCHA4",#N/A,FALSE,"sch bs"}</definedName>
    <definedName name="ALupro0" localSheetId="36" hidden="1">{"BSSCHA4",#N/A,FALSE,"sch bs"}</definedName>
    <definedName name="ALupro0" localSheetId="34" hidden="1">{"BSSCHA4",#N/A,FALSE,"sch bs"}</definedName>
    <definedName name="ALupro0" localSheetId="40" hidden="1">{"BSSCHA4",#N/A,FALSE,"sch bs"}</definedName>
    <definedName name="ALupro0" localSheetId="35" hidden="1">{"BSSCHA4",#N/A,FALSE,"sch bs"}</definedName>
    <definedName name="ALupro0" localSheetId="38" hidden="1">{"BSSCHA4",#N/A,FALSE,"sch bs"}</definedName>
    <definedName name="ALupro0" localSheetId="31" hidden="1">{"BSSCHA4",#N/A,FALSE,"sch bs"}</definedName>
    <definedName name="ALupro0" localSheetId="29" hidden="1">{"BSSCHA4",#N/A,FALSE,"sch bs"}</definedName>
    <definedName name="ALupro0" localSheetId="26" hidden="1">{"BSSCHA4",#N/A,FALSE,"sch bs"}</definedName>
    <definedName name="ALupro0" localSheetId="11" hidden="1">{"BSSCHA4",#N/A,FALSE,"sch bs"}</definedName>
    <definedName name="ALupro0" localSheetId="10" hidden="1">{"BSSCHA4",#N/A,FALSE,"sch bs"}</definedName>
    <definedName name="ALupro0" hidden="1">{"BSSCHA4",#N/A,FALSE,"sch bs"}</definedName>
    <definedName name="annexure" localSheetId="37" hidden="1">{"BSSCHA4",#N/A,FALSE,"sch bs"}</definedName>
    <definedName name="annexure" localSheetId="30" hidden="1">{"BSSCHA4",#N/A,FALSE,"sch bs"}</definedName>
    <definedName name="annexure" localSheetId="39" hidden="1">{"BSSCHA4",#N/A,FALSE,"sch bs"}</definedName>
    <definedName name="annexure" localSheetId="41" hidden="1">{"BSSCHA4",#N/A,FALSE,"sch bs"}</definedName>
    <definedName name="annexure" localSheetId="36" hidden="1">{"BSSCHA4",#N/A,FALSE,"sch bs"}</definedName>
    <definedName name="annexure" localSheetId="34" hidden="1">{"BSSCHA4",#N/A,FALSE,"sch bs"}</definedName>
    <definedName name="annexure" localSheetId="40" hidden="1">{"BSSCHA4",#N/A,FALSE,"sch bs"}</definedName>
    <definedName name="annexure" localSheetId="35" hidden="1">{"BSSCHA4",#N/A,FALSE,"sch bs"}</definedName>
    <definedName name="annexure" localSheetId="38" hidden="1">{"BSSCHA4",#N/A,FALSE,"sch bs"}</definedName>
    <definedName name="annexure" localSheetId="31" hidden="1">{"BSSCHA4",#N/A,FALSE,"sch bs"}</definedName>
    <definedName name="annexure" localSheetId="29" hidden="1">{"BSSCHA4",#N/A,FALSE,"sch bs"}</definedName>
    <definedName name="annexure" localSheetId="26" hidden="1">{"BSSCHA4",#N/A,FALSE,"sch bs"}</definedName>
    <definedName name="annexure" localSheetId="11" hidden="1">{"BSSCHA4",#N/A,FALSE,"sch bs"}</definedName>
    <definedName name="annexure" localSheetId="10" hidden="1">{"BSSCHA4",#N/A,FALSE,"sch bs"}</definedName>
    <definedName name="annexure" hidden="1">{"BSSCHA4",#N/A,FALSE,"sch bs"}</definedName>
    <definedName name="annexure_1" localSheetId="37" hidden="1">{"BSSCHA4",#N/A,FALSE,"sch bs"}</definedName>
    <definedName name="annexure_1" localSheetId="30" hidden="1">{"BSSCHA4",#N/A,FALSE,"sch bs"}</definedName>
    <definedName name="annexure_1" localSheetId="39" hidden="1">{"BSSCHA4",#N/A,FALSE,"sch bs"}</definedName>
    <definedName name="annexure_1" localSheetId="41" hidden="1">{"BSSCHA4",#N/A,FALSE,"sch bs"}</definedName>
    <definedName name="annexure_1" localSheetId="36" hidden="1">{"BSSCHA4",#N/A,FALSE,"sch bs"}</definedName>
    <definedName name="annexure_1" localSheetId="34" hidden="1">{"BSSCHA4",#N/A,FALSE,"sch bs"}</definedName>
    <definedName name="annexure_1" localSheetId="40" hidden="1">{"BSSCHA4",#N/A,FALSE,"sch bs"}</definedName>
    <definedName name="annexure_1" localSheetId="35" hidden="1">{"BSSCHA4",#N/A,FALSE,"sch bs"}</definedName>
    <definedName name="annexure_1" localSheetId="38" hidden="1">{"BSSCHA4",#N/A,FALSE,"sch bs"}</definedName>
    <definedName name="annexure_1" localSheetId="31" hidden="1">{"BSSCHA4",#N/A,FALSE,"sch bs"}</definedName>
    <definedName name="annexure_1" localSheetId="29" hidden="1">{"BSSCHA4",#N/A,FALSE,"sch bs"}</definedName>
    <definedName name="annexure_1" localSheetId="26" hidden="1">{"BSSCHA4",#N/A,FALSE,"sch bs"}</definedName>
    <definedName name="annexure_1" localSheetId="11" hidden="1">{"BSSCHA4",#N/A,FALSE,"sch bs"}</definedName>
    <definedName name="annexure_1" localSheetId="10" hidden="1">{"BSSCHA4",#N/A,FALSE,"sch bs"}</definedName>
    <definedName name="annexure_1" hidden="1">{"BSSCHA4",#N/A,FALSE,"sch bs"}</definedName>
    <definedName name="as" localSheetId="11" hidden="1">'ID Goals FY 26-27Q2'!#REF!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localSheetId="11" hidden="1">'ID Goals FY 26-27Q2'!#REF!</definedName>
    <definedName name="AS2StaticLS" hidden="1">#REF!</definedName>
    <definedName name="AS2SyncStepLS" hidden="1">0</definedName>
    <definedName name="AS2TickmarkLS" localSheetId="11" hidden="1">'ID Goals FY 26-27Q2'!#REF!</definedName>
    <definedName name="AS2TickmarkLS" hidden="1">#REF!</definedName>
    <definedName name="AS2VersionLS" hidden="1">300</definedName>
    <definedName name="avneeep" localSheetId="37" hidden="1">{"A4BS",#N/A,FALSE,"bs"}</definedName>
    <definedName name="avneeep" localSheetId="30" hidden="1">{"A4BS",#N/A,FALSE,"bs"}</definedName>
    <definedName name="avneeep" localSheetId="39" hidden="1">{"A4BS",#N/A,FALSE,"bs"}</definedName>
    <definedName name="avneeep" localSheetId="41" hidden="1">{"A4BS",#N/A,FALSE,"bs"}</definedName>
    <definedName name="avneeep" localSheetId="36" hidden="1">{"A4BS",#N/A,FALSE,"bs"}</definedName>
    <definedName name="avneeep" localSheetId="34" hidden="1">{"A4BS",#N/A,FALSE,"bs"}</definedName>
    <definedName name="avneeep" localSheetId="40" hidden="1">{"A4BS",#N/A,FALSE,"bs"}</definedName>
    <definedName name="avneeep" localSheetId="35" hidden="1">{"A4BS",#N/A,FALSE,"bs"}</definedName>
    <definedName name="avneeep" localSheetId="38" hidden="1">{"A4BS",#N/A,FALSE,"bs"}</definedName>
    <definedName name="avneeep" localSheetId="31" hidden="1">{"A4BS",#N/A,FALSE,"bs"}</definedName>
    <definedName name="avneeep" localSheetId="29" hidden="1">{"A4BS",#N/A,FALSE,"bs"}</definedName>
    <definedName name="avneeep" localSheetId="26" hidden="1">{"A4BS",#N/A,FALSE,"bs"}</definedName>
    <definedName name="avneeep" localSheetId="11" hidden="1">{"A4BS",#N/A,FALSE,"bs"}</definedName>
    <definedName name="avneeep" localSheetId="10" hidden="1">{"A4BS",#N/A,FALSE,"bs"}</definedName>
    <definedName name="avneeep" hidden="1">{"A4BS",#N/A,FALSE,"bs"}</definedName>
    <definedName name="avneeep_1" localSheetId="37" hidden="1">{"A4BS",#N/A,FALSE,"bs"}</definedName>
    <definedName name="avneeep_1" localSheetId="30" hidden="1">{"A4BS",#N/A,FALSE,"bs"}</definedName>
    <definedName name="avneeep_1" localSheetId="39" hidden="1">{"A4BS",#N/A,FALSE,"bs"}</definedName>
    <definedName name="avneeep_1" localSheetId="41" hidden="1">{"A4BS",#N/A,FALSE,"bs"}</definedName>
    <definedName name="avneeep_1" localSheetId="36" hidden="1">{"A4BS",#N/A,FALSE,"bs"}</definedName>
    <definedName name="avneeep_1" localSheetId="34" hidden="1">{"A4BS",#N/A,FALSE,"bs"}</definedName>
    <definedName name="avneeep_1" localSheetId="40" hidden="1">{"A4BS",#N/A,FALSE,"bs"}</definedName>
    <definedName name="avneeep_1" localSheetId="35" hidden="1">{"A4BS",#N/A,FALSE,"bs"}</definedName>
    <definedName name="avneeep_1" localSheetId="38" hidden="1">{"A4BS",#N/A,FALSE,"bs"}</definedName>
    <definedName name="avneeep_1" localSheetId="31" hidden="1">{"A4BS",#N/A,FALSE,"bs"}</definedName>
    <definedName name="avneeep_1" localSheetId="29" hidden="1">{"A4BS",#N/A,FALSE,"bs"}</definedName>
    <definedName name="avneeep_1" localSheetId="26" hidden="1">{"A4BS",#N/A,FALSE,"bs"}</definedName>
    <definedName name="avneeep_1" localSheetId="11" hidden="1">{"A4BS",#N/A,FALSE,"bs"}</definedName>
    <definedName name="avneeep_1" localSheetId="10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localSheetId="11" hidden="1">'ID Goals FY 26-27Q2'!#REF!</definedName>
    <definedName name="BLPH1" hidden="1">#REF!</definedName>
    <definedName name="CIQWBGuid" hidden="1">"e353c960-9a20-40e3-8480-874cea54de8e"</definedName>
    <definedName name="dde" localSheetId="11" hidden="1">'ID Goals FY 26-27Q2'!#REF!</definedName>
    <definedName name="dde" hidden="1">#REF!</definedName>
    <definedName name="depn" localSheetId="11" hidden="1">'ID Goals FY 26-27Q2'!#REF!</definedName>
    <definedName name="depn" hidden="1">#REF!</definedName>
    <definedName name="dist" hidden="1">#REF!</definedName>
    <definedName name="egdywmk" localSheetId="37" hidden="1">{"A4depsch",#N/A,FALSE,"fa&amp;dep"}</definedName>
    <definedName name="egdywmk" localSheetId="30" hidden="1">{"A4depsch",#N/A,FALSE,"fa&amp;dep"}</definedName>
    <definedName name="egdywmk" localSheetId="39" hidden="1">{"A4depsch",#N/A,FALSE,"fa&amp;dep"}</definedName>
    <definedName name="egdywmk" localSheetId="41" hidden="1">{"A4depsch",#N/A,FALSE,"fa&amp;dep"}</definedName>
    <definedName name="egdywmk" localSheetId="36" hidden="1">{"A4depsch",#N/A,FALSE,"fa&amp;dep"}</definedName>
    <definedName name="egdywmk" localSheetId="34" hidden="1">{"A4depsch",#N/A,FALSE,"fa&amp;dep"}</definedName>
    <definedName name="egdywmk" localSheetId="40" hidden="1">{"A4depsch",#N/A,FALSE,"fa&amp;dep"}</definedName>
    <definedName name="egdywmk" localSheetId="35" hidden="1">{"A4depsch",#N/A,FALSE,"fa&amp;dep"}</definedName>
    <definedName name="egdywmk" localSheetId="38" hidden="1">{"A4depsch",#N/A,FALSE,"fa&amp;dep"}</definedName>
    <definedName name="egdywmk" localSheetId="31" hidden="1">{"A4depsch",#N/A,FALSE,"fa&amp;dep"}</definedName>
    <definedName name="egdywmk" localSheetId="29" hidden="1">{"A4depsch",#N/A,FALSE,"fa&amp;dep"}</definedName>
    <definedName name="egdywmk" localSheetId="26" hidden="1">{"A4depsch",#N/A,FALSE,"fa&amp;dep"}</definedName>
    <definedName name="egdywmk" localSheetId="11" hidden="1">{"A4depsch",#N/A,FALSE,"fa&amp;dep"}</definedName>
    <definedName name="egdywmk" localSheetId="10" hidden="1">{"A4depsch",#N/A,FALSE,"fa&amp;dep"}</definedName>
    <definedName name="egdywmk" hidden="1">{"A4depsch",#N/A,FALSE,"fa&amp;dep"}</definedName>
    <definedName name="egdywmk_1" localSheetId="37" hidden="1">{"A4depsch",#N/A,FALSE,"fa&amp;dep"}</definedName>
    <definedName name="egdywmk_1" localSheetId="30" hidden="1">{"A4depsch",#N/A,FALSE,"fa&amp;dep"}</definedName>
    <definedName name="egdywmk_1" localSheetId="39" hidden="1">{"A4depsch",#N/A,FALSE,"fa&amp;dep"}</definedName>
    <definedName name="egdywmk_1" localSheetId="41" hidden="1">{"A4depsch",#N/A,FALSE,"fa&amp;dep"}</definedName>
    <definedName name="egdywmk_1" localSheetId="36" hidden="1">{"A4depsch",#N/A,FALSE,"fa&amp;dep"}</definedName>
    <definedName name="egdywmk_1" localSheetId="34" hidden="1">{"A4depsch",#N/A,FALSE,"fa&amp;dep"}</definedName>
    <definedName name="egdywmk_1" localSheetId="40" hidden="1">{"A4depsch",#N/A,FALSE,"fa&amp;dep"}</definedName>
    <definedName name="egdywmk_1" localSheetId="35" hidden="1">{"A4depsch",#N/A,FALSE,"fa&amp;dep"}</definedName>
    <definedName name="egdywmk_1" localSheetId="38" hidden="1">{"A4depsch",#N/A,FALSE,"fa&amp;dep"}</definedName>
    <definedName name="egdywmk_1" localSheetId="31" hidden="1">{"A4depsch",#N/A,FALSE,"fa&amp;dep"}</definedName>
    <definedName name="egdywmk_1" localSheetId="29" hidden="1">{"A4depsch",#N/A,FALSE,"fa&amp;dep"}</definedName>
    <definedName name="egdywmk_1" localSheetId="26" hidden="1">{"A4depsch",#N/A,FALSE,"fa&amp;dep"}</definedName>
    <definedName name="egdywmk_1" localSheetId="11" hidden="1">{"A4depsch",#N/A,FALSE,"fa&amp;dep"}</definedName>
    <definedName name="egdywmk_1" localSheetId="10" hidden="1">{"A4depsch",#N/A,FALSE,"fa&amp;dep"}</definedName>
    <definedName name="egdywmk_1" hidden="1">{"A4depsch",#N/A,FALSE,"fa&amp;dep"}</definedName>
    <definedName name="Empty" localSheetId="11" hidden="1">'ID Goals FY 26-27Q2'!#REF!</definedName>
    <definedName name="Empty" hidden="1">#REF!</definedName>
    <definedName name="Empty1" localSheetId="11" hidden="1">'ID Goals FY 26-27Q2'!#REF!</definedName>
    <definedName name="Empty1" hidden="1">#REF!</definedName>
    <definedName name="Empty2" localSheetId="11" hidden="1">'ID Goals FY 26-27Q2'!#REF!</definedName>
    <definedName name="Empty2" hidden="1">#REF!</definedName>
    <definedName name="etc" localSheetId="11" hidden="1">'ID Goals FY 26-27Q2'!#REF!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localSheetId="11" hidden="1">'ID Goals FY 26-27Q2'!#REF!</definedName>
    <definedName name="FA" hidden="1">#REF!</definedName>
    <definedName name="ffff" localSheetId="11" hidden="1">'ID Goals FY 26-27Q2'!#REF!</definedName>
    <definedName name="ffff" hidden="1">#REF!</definedName>
    <definedName name="fffffffffffffffffffffffffffjjjjjj" localSheetId="11" hidden="1">'ID Goals FY 26-27Q2'!#REF!</definedName>
    <definedName name="fffffffffffffffffffffffffffjjjjjj" localSheetId="10" hidden="1">#REF!</definedName>
    <definedName name="fffffffffffffffffffffffffffjjjjjj" hidden="1">#REF!</definedName>
    <definedName name="fgfg" localSheetId="11" hidden="1">'ID Goals FY 26-27Q2'!#REF!</definedName>
    <definedName name="fgfg" hidden="1">#REF!</definedName>
    <definedName name="form3cd" localSheetId="11" hidden="1">'ID Goals FY 26-27Q2'!#REF!</definedName>
    <definedName name="form3cd" hidden="1">#REF!</definedName>
    <definedName name="g" localSheetId="11" hidden="1">'ID Goals FY 26-27Q2'!#REF!</definedName>
    <definedName name="g" hidden="1">#REF!</definedName>
    <definedName name="gallup" localSheetId="37" hidden="1">{"a4p&amp;L",#N/A,FALSE,"tr &amp; pl"}</definedName>
    <definedName name="gallup" localSheetId="30" hidden="1">{"a4p&amp;L",#N/A,FALSE,"tr &amp; pl"}</definedName>
    <definedName name="gallup" localSheetId="39" hidden="1">{"a4p&amp;L",#N/A,FALSE,"tr &amp; pl"}</definedName>
    <definedName name="gallup" localSheetId="41" hidden="1">{"a4p&amp;L",#N/A,FALSE,"tr &amp; pl"}</definedName>
    <definedName name="gallup" localSheetId="36" hidden="1">{"a4p&amp;L",#N/A,FALSE,"tr &amp; pl"}</definedName>
    <definedName name="gallup" localSheetId="34" hidden="1">{"a4p&amp;L",#N/A,FALSE,"tr &amp; pl"}</definedName>
    <definedName name="gallup" localSheetId="40" hidden="1">{"a4p&amp;L",#N/A,FALSE,"tr &amp; pl"}</definedName>
    <definedName name="gallup" localSheetId="35" hidden="1">{"a4p&amp;L",#N/A,FALSE,"tr &amp; pl"}</definedName>
    <definedName name="gallup" localSheetId="38" hidden="1">{"a4p&amp;L",#N/A,FALSE,"tr &amp; pl"}</definedName>
    <definedName name="gallup" localSheetId="31" hidden="1">{"a4p&amp;L",#N/A,FALSE,"tr &amp; pl"}</definedName>
    <definedName name="gallup" localSheetId="29" hidden="1">{"a4p&amp;L",#N/A,FALSE,"tr &amp; pl"}</definedName>
    <definedName name="gallup" localSheetId="26" hidden="1">{"a4p&amp;L",#N/A,FALSE,"tr &amp; pl"}</definedName>
    <definedName name="gallup" localSheetId="11" hidden="1">{"a4p&amp;L",#N/A,FALSE,"tr &amp; pl"}</definedName>
    <definedName name="gallup" localSheetId="10" hidden="1">{"a4p&amp;L",#N/A,FALSE,"tr &amp; pl"}</definedName>
    <definedName name="gallup" hidden="1">{"a4p&amp;L",#N/A,FALSE,"tr &amp; pl"}</definedName>
    <definedName name="gallup_1" localSheetId="37" hidden="1">{"a4p&amp;L",#N/A,FALSE,"tr &amp; pl"}</definedName>
    <definedName name="gallup_1" localSheetId="30" hidden="1">{"a4p&amp;L",#N/A,FALSE,"tr &amp; pl"}</definedName>
    <definedName name="gallup_1" localSheetId="39" hidden="1">{"a4p&amp;L",#N/A,FALSE,"tr &amp; pl"}</definedName>
    <definedName name="gallup_1" localSheetId="41" hidden="1">{"a4p&amp;L",#N/A,FALSE,"tr &amp; pl"}</definedName>
    <definedName name="gallup_1" localSheetId="36" hidden="1">{"a4p&amp;L",#N/A,FALSE,"tr &amp; pl"}</definedName>
    <definedName name="gallup_1" localSheetId="34" hidden="1">{"a4p&amp;L",#N/A,FALSE,"tr &amp; pl"}</definedName>
    <definedName name="gallup_1" localSheetId="40" hidden="1">{"a4p&amp;L",#N/A,FALSE,"tr &amp; pl"}</definedName>
    <definedName name="gallup_1" localSheetId="35" hidden="1">{"a4p&amp;L",#N/A,FALSE,"tr &amp; pl"}</definedName>
    <definedName name="gallup_1" localSheetId="38" hidden="1">{"a4p&amp;L",#N/A,FALSE,"tr &amp; pl"}</definedName>
    <definedName name="gallup_1" localSheetId="31" hidden="1">{"a4p&amp;L",#N/A,FALSE,"tr &amp; pl"}</definedName>
    <definedName name="gallup_1" localSheetId="29" hidden="1">{"a4p&amp;L",#N/A,FALSE,"tr &amp; pl"}</definedName>
    <definedName name="gallup_1" localSheetId="26" hidden="1">{"a4p&amp;L",#N/A,FALSE,"tr &amp; pl"}</definedName>
    <definedName name="gallup_1" localSheetId="11" hidden="1">{"a4p&amp;L",#N/A,FALSE,"tr &amp; pl"}</definedName>
    <definedName name="gallup_1" localSheetId="10" hidden="1">{"a4p&amp;L",#N/A,FALSE,"tr &amp; pl"}</definedName>
    <definedName name="gallup_1" hidden="1">{"a4p&amp;L",#N/A,FALSE,"tr &amp; pl"}</definedName>
    <definedName name="GDF" localSheetId="37" hidden="1">{#N/A,#N/A,FALSE,"COMP"}</definedName>
    <definedName name="GDF" localSheetId="30" hidden="1">{#N/A,#N/A,FALSE,"COMP"}</definedName>
    <definedName name="GDF" localSheetId="39" hidden="1">{#N/A,#N/A,FALSE,"COMP"}</definedName>
    <definedName name="GDF" localSheetId="41" hidden="1">{#N/A,#N/A,FALSE,"COMP"}</definedName>
    <definedName name="GDF" localSheetId="36" hidden="1">{#N/A,#N/A,FALSE,"COMP"}</definedName>
    <definedName name="GDF" localSheetId="34" hidden="1">{#N/A,#N/A,FALSE,"COMP"}</definedName>
    <definedName name="GDF" localSheetId="40" hidden="1">{#N/A,#N/A,FALSE,"COMP"}</definedName>
    <definedName name="GDF" localSheetId="35" hidden="1">{#N/A,#N/A,FALSE,"COMP"}</definedName>
    <definedName name="GDF" localSheetId="38" hidden="1">{#N/A,#N/A,FALSE,"COMP"}</definedName>
    <definedName name="GDF" localSheetId="31" hidden="1">{#N/A,#N/A,FALSE,"COMP"}</definedName>
    <definedName name="GDF" localSheetId="29" hidden="1">{#N/A,#N/A,FALSE,"COMP"}</definedName>
    <definedName name="GDF" localSheetId="26" hidden="1">{#N/A,#N/A,FALSE,"COMP"}</definedName>
    <definedName name="GDF" localSheetId="11" hidden="1">{#N/A,#N/A,FALSE,"COMP"}</definedName>
    <definedName name="GDF" localSheetId="10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7" hidden="1">{#N/A,#N/A,FALSE,"COMP"}</definedName>
    <definedName name="hgfhtr" localSheetId="30" hidden="1">{#N/A,#N/A,FALSE,"COMP"}</definedName>
    <definedName name="hgfhtr" localSheetId="39" hidden="1">{#N/A,#N/A,FALSE,"COMP"}</definedName>
    <definedName name="hgfhtr" localSheetId="41" hidden="1">{#N/A,#N/A,FALSE,"COMP"}</definedName>
    <definedName name="hgfhtr" localSheetId="36" hidden="1">{#N/A,#N/A,FALSE,"COMP"}</definedName>
    <definedName name="hgfhtr" localSheetId="34" hidden="1">{#N/A,#N/A,FALSE,"COMP"}</definedName>
    <definedName name="hgfhtr" localSheetId="40" hidden="1">{#N/A,#N/A,FALSE,"COMP"}</definedName>
    <definedName name="hgfhtr" localSheetId="35" hidden="1">{#N/A,#N/A,FALSE,"COMP"}</definedName>
    <definedName name="hgfhtr" localSheetId="38" hidden="1">{#N/A,#N/A,FALSE,"COMP"}</definedName>
    <definedName name="hgfhtr" localSheetId="31" hidden="1">{#N/A,#N/A,FALSE,"COMP"}</definedName>
    <definedName name="hgfhtr" localSheetId="29" hidden="1">{#N/A,#N/A,FALSE,"COMP"}</definedName>
    <definedName name="hgfhtr" localSheetId="26" hidden="1">{#N/A,#N/A,FALSE,"COMP"}</definedName>
    <definedName name="hgfhtr" localSheetId="11" hidden="1">{#N/A,#N/A,FALSE,"COMP"}</definedName>
    <definedName name="hgfhtr" localSheetId="10" hidden="1">{#N/A,#N/A,FALSE,"COMP"}</definedName>
    <definedName name="hgfhtr" hidden="1">{#N/A,#N/A,FALSE,"COMP"}</definedName>
    <definedName name="hgkh" localSheetId="37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39" hidden="1">{#N/A,#N/A,FALSE,"Aging Summary";#N/A,#N/A,FALSE,"Ratio Analysis";#N/A,#N/A,FALSE,"Test 120 Day Accts";#N/A,#N/A,FALSE,"Tickmarks"}</definedName>
    <definedName name="hgkh" localSheetId="41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4" hidden="1">{#N/A,#N/A,FALSE,"Aging Summary";#N/A,#N/A,FALSE,"Ratio Analysis";#N/A,#N/A,FALSE,"Test 120 Day Accts";#N/A,#N/A,FALSE,"Tickmarks"}</definedName>
    <definedName name="hgkh" localSheetId="40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8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26" hidden="1">{#N/A,#N/A,FALSE,"Aging Summary";#N/A,#N/A,FALSE,"Ratio Analysis";#N/A,#N/A,FALSE,"Test 120 Day Accts";#N/A,#N/A,FALSE,"Tickmarks"}</definedName>
    <definedName name="hgkh" localSheetId="11" hidden="1">{#N/A,#N/A,FALSE,"Aging Summary";#N/A,#N/A,FALSE,"Ratio Analysis";#N/A,#N/A,FALSE,"Test 120 Day Accts";#N/A,#N/A,FALSE,"Tickmarks"}</definedName>
    <definedName name="hgkh" localSheetId="10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7" hidden="1">{"'August 2000'!$A$1:$J$101"}</definedName>
    <definedName name="HTML_Control" localSheetId="30" hidden="1">{"'August 2000'!$A$1:$J$101"}</definedName>
    <definedName name="HTML_Control" localSheetId="39" hidden="1">{"'August 2000'!$A$1:$J$101"}</definedName>
    <definedName name="HTML_Control" localSheetId="41" hidden="1">{"'August 2000'!$A$1:$J$101"}</definedName>
    <definedName name="HTML_Control" localSheetId="36" hidden="1">{"'August 2000'!$A$1:$J$101"}</definedName>
    <definedName name="HTML_Control" localSheetId="34" hidden="1">{"'August 2000'!$A$1:$J$101"}</definedName>
    <definedName name="HTML_Control" localSheetId="40" hidden="1">{"'August 2000'!$A$1:$J$101"}</definedName>
    <definedName name="HTML_Control" localSheetId="35" hidden="1">{"'August 2000'!$A$1:$J$101"}</definedName>
    <definedName name="HTML_Control" localSheetId="38" hidden="1">{"'August 2000'!$A$1:$J$101"}</definedName>
    <definedName name="HTML_Control" localSheetId="31" hidden="1">{"'August 2000'!$A$1:$J$101"}</definedName>
    <definedName name="HTML_Control" localSheetId="29" hidden="1">{"'August 2000'!$A$1:$J$101"}</definedName>
    <definedName name="HTML_Control" localSheetId="26" hidden="1">{"'August 2000'!$A$1:$J$101"}</definedName>
    <definedName name="HTML_Control" localSheetId="11" hidden="1">{"'August 2000'!$A$1:$J$101"}</definedName>
    <definedName name="HTML_Control" localSheetId="10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localSheetId="11" hidden="1">'ID Goals FY 26-27Q2'!#REF!</definedName>
    <definedName name="jay" hidden="1">#REF!</definedName>
    <definedName name="M" hidden="1">#REF!</definedName>
    <definedName name="PEDESTAL2" localSheetId="11" hidden="1">'ID Goals FY 26-27Q2'!#REF!</definedName>
    <definedName name="PEDESTAL2" hidden="1">#REF!</definedName>
    <definedName name="_xlnm.Print_Area" localSheetId="36">'26Q1 Manik G'!$A$1:$I$62</definedName>
    <definedName name="_xlnm.Print_Area" localSheetId="10">'Pkgs Summary (Status)'!#REF!</definedName>
    <definedName name="_xlnm.Print_Titles" localSheetId="32">' FY26-27Q2 Cijey'!$2:$4</definedName>
    <definedName name="_xlnm.Print_Titles" localSheetId="33">' FY26-27Q2 Saji'!$2:$4</definedName>
    <definedName name="_xlnm.Print_Titles" localSheetId="37">'26Q1 Atul L'!$2:$4</definedName>
    <definedName name="_xlnm.Print_Titles" localSheetId="30">'26Q1 Cijey M'!$2:$4</definedName>
    <definedName name="_xlnm.Print_Titles" localSheetId="39">'26Q1 Gaganjit S'!$2:$4</definedName>
    <definedName name="_xlnm.Print_Titles" localSheetId="41">'26Q1 Leaderwise'!$2:$4</definedName>
    <definedName name="_xlnm.Print_Titles" localSheetId="36">'26Q1 Manik G'!$2:$4</definedName>
    <definedName name="_xlnm.Print_Titles" localSheetId="34">'26Q1 Naveen Y'!$1:$3</definedName>
    <definedName name="_xlnm.Print_Titles" localSheetId="40">'26Q1 Navneet K'!$2:$4</definedName>
    <definedName name="_xlnm.Print_Titles" localSheetId="35">'26Q1 Om Prakash'!$2:$4</definedName>
    <definedName name="_xlnm.Print_Titles" localSheetId="38">'26Q1 Prakash C'!$2:$4</definedName>
    <definedName name="_xlnm.Print_Titles" localSheetId="31">'26Q1 Saji A'!$2:$4</definedName>
    <definedName name="_xlnm.Print_Titles" localSheetId="27">'Goals FY 2026Q2 (Revised Plan)'!$2:$4</definedName>
    <definedName name="_xlnm.Print_Titles" localSheetId="7">'Goals FY 26-27Q1'!$2:$4</definedName>
    <definedName name="_xlnm.Print_Titles" localSheetId="9">'Goals FY 26-27Q3'!$2:$4</definedName>
    <definedName name="_xlnm.Print_Titles" localSheetId="22">'Goals FY 26-27Q2 Atul P'!$2:$4</definedName>
    <definedName name="_xlnm.Print_Titles" localSheetId="13">'Goals FY 26-27Q2 Cijey'!$2:$4</definedName>
    <definedName name="_xlnm.Print_Titles" localSheetId="18">'Goals FY 26-27Q2 Gagan'!$2:$4</definedName>
    <definedName name="_xlnm.Print_Titles" localSheetId="17">'Goals FY 26-27Q2 Manik'!$2:$4</definedName>
    <definedName name="_xlnm.Print_Titles" localSheetId="16">'Goals FY 26-27Q2 Naveen Y'!$2:$4</definedName>
    <definedName name="_xlnm.Print_Titles" localSheetId="19">'Goals FY 26-27Q2 Navneet'!$2:$4</definedName>
    <definedName name="_xlnm.Print_Titles" localSheetId="15">'Goals FY 26-27Q2 OP'!$2:$4</definedName>
    <definedName name="_xlnm.Print_Titles" localSheetId="21">'Goals FY 26-27Q2 Prakash C'!$2:$4</definedName>
    <definedName name="_xlnm.Print_Titles" localSheetId="14">'Goals FY 26-27Q2 Saji'!$2:$4</definedName>
    <definedName name="_xlnm.Print_Titles" localSheetId="20">'Goals FY 26-27Q2 Shweta V'!$2:$4</definedName>
    <definedName name="_xlnm.Print_Titles" localSheetId="29">'Goals, Actuals 2026 Q1'!$2:$4</definedName>
    <definedName name="_xlnm.Print_Titles" localSheetId="26">'Goals, Actuals 2026 Q1 (Remark)'!$2:$4</definedName>
    <definedName name="_xlnm.Print_Titles" localSheetId="10">'Pkgs Summary (Status)'!$1:$7</definedName>
    <definedName name="Prof" localSheetId="11" hidden="1">'ID Goals FY 26-27Q2'!#REF!</definedName>
    <definedName name="Prof" localSheetId="10" hidden="1">#REF!</definedName>
    <definedName name="Prof" hidden="1">#REF!</definedName>
    <definedName name="q" localSheetId="11" hidden="1">'ID Goals FY 26-27Q2'!#REF!</definedName>
    <definedName name="q" localSheetId="10" hidden="1">#REF!</definedName>
    <definedName name="q" hidden="1">#REF!</definedName>
    <definedName name="sales1" localSheetId="37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39" hidden="1">{#N/A,#N/A,FALSE,"OPSTATE";#N/A,#N/A,FALSE,"BSLIABILITY";#N/A,#N/A,FALSE,"BSASSETS";#N/A,#N/A,FALSE,"Sheet1"}</definedName>
    <definedName name="sales1" localSheetId="41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4" hidden="1">{#N/A,#N/A,FALSE,"OPSTATE";#N/A,#N/A,FALSE,"BSLIABILITY";#N/A,#N/A,FALSE,"BSASSETS";#N/A,#N/A,FALSE,"Sheet1"}</definedName>
    <definedName name="sales1" localSheetId="40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8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26" hidden="1">{#N/A,#N/A,FALSE,"OPSTATE";#N/A,#N/A,FALSE,"BSLIABILITY";#N/A,#N/A,FALSE,"BSASSETS";#N/A,#N/A,FALSE,"Sheet1"}</definedName>
    <definedName name="sales1" localSheetId="11" hidden="1">{#N/A,#N/A,FALSE,"OPSTATE";#N/A,#N/A,FALSE,"BSLIABILITY";#N/A,#N/A,FALSE,"BSASSETS";#N/A,#N/A,FALSE,"Sheet1"}</definedName>
    <definedName name="sales1" localSheetId="10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7" hidden="1">{"A4depsch",#N/A,FALSE,"fa&amp;dep"}</definedName>
    <definedName name="salws2" localSheetId="30" hidden="1">{"A4depsch",#N/A,FALSE,"fa&amp;dep"}</definedName>
    <definedName name="salws2" localSheetId="39" hidden="1">{"A4depsch",#N/A,FALSE,"fa&amp;dep"}</definedName>
    <definedName name="salws2" localSheetId="41" hidden="1">{"A4depsch",#N/A,FALSE,"fa&amp;dep"}</definedName>
    <definedName name="salws2" localSheetId="36" hidden="1">{"A4depsch",#N/A,FALSE,"fa&amp;dep"}</definedName>
    <definedName name="salws2" localSheetId="34" hidden="1">{"A4depsch",#N/A,FALSE,"fa&amp;dep"}</definedName>
    <definedName name="salws2" localSheetId="40" hidden="1">{"A4depsch",#N/A,FALSE,"fa&amp;dep"}</definedName>
    <definedName name="salws2" localSheetId="35" hidden="1">{"A4depsch",#N/A,FALSE,"fa&amp;dep"}</definedName>
    <definedName name="salws2" localSheetId="38" hidden="1">{"A4depsch",#N/A,FALSE,"fa&amp;dep"}</definedName>
    <definedName name="salws2" localSheetId="31" hidden="1">{"A4depsch",#N/A,FALSE,"fa&amp;dep"}</definedName>
    <definedName name="salws2" localSheetId="29" hidden="1">{"A4depsch",#N/A,FALSE,"fa&amp;dep"}</definedName>
    <definedName name="salws2" localSheetId="26" hidden="1">{"A4depsch",#N/A,FALSE,"fa&amp;dep"}</definedName>
    <definedName name="salws2" localSheetId="11" hidden="1">{"A4depsch",#N/A,FALSE,"fa&amp;dep"}</definedName>
    <definedName name="salws2" localSheetId="10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localSheetId="11" hidden="1">'ID Goals FY 26-27Q2'!#REF!</definedName>
    <definedName name="shp" hidden="1">#REF!</definedName>
    <definedName name="SORT1" localSheetId="11" hidden="1">'ID Goals FY 26-27Q2'!#REF!</definedName>
    <definedName name="SORT1" hidden="1">#REF!</definedName>
    <definedName name="sss" localSheetId="37" hidden="1">{#N/A,#N/A,FALSE,"COMP"}</definedName>
    <definedName name="sss" localSheetId="30" hidden="1">{#N/A,#N/A,FALSE,"COMP"}</definedName>
    <definedName name="sss" localSheetId="39" hidden="1">{#N/A,#N/A,FALSE,"COMP"}</definedName>
    <definedName name="sss" localSheetId="41" hidden="1">{#N/A,#N/A,FALSE,"COMP"}</definedName>
    <definedName name="sss" localSheetId="36" hidden="1">{#N/A,#N/A,FALSE,"COMP"}</definedName>
    <definedName name="sss" localSheetId="34" hidden="1">{#N/A,#N/A,FALSE,"COMP"}</definedName>
    <definedName name="sss" localSheetId="40" hidden="1">{#N/A,#N/A,FALSE,"COMP"}</definedName>
    <definedName name="sss" localSheetId="35" hidden="1">{#N/A,#N/A,FALSE,"COMP"}</definedName>
    <definedName name="sss" localSheetId="38" hidden="1">{#N/A,#N/A,FALSE,"COMP"}</definedName>
    <definedName name="sss" localSheetId="31" hidden="1">{#N/A,#N/A,FALSE,"COMP"}</definedName>
    <definedName name="sss" localSheetId="29" hidden="1">{#N/A,#N/A,FALSE,"COMP"}</definedName>
    <definedName name="sss" localSheetId="26" hidden="1">{#N/A,#N/A,FALSE,"COMP"}</definedName>
    <definedName name="sss" localSheetId="11" hidden="1">{#N/A,#N/A,FALSE,"COMP"}</definedName>
    <definedName name="sss" localSheetId="10" hidden="1">{#N/A,#N/A,FALSE,"COMP"}</definedName>
    <definedName name="sss" hidden="1">{#N/A,#N/A,FALSE,"COMP"}</definedName>
    <definedName name="the" localSheetId="37" hidden="1">{#N/A,#N/A,FALSE,"COMP"}</definedName>
    <definedName name="the" localSheetId="30" hidden="1">{#N/A,#N/A,FALSE,"COMP"}</definedName>
    <definedName name="the" localSheetId="39" hidden="1">{#N/A,#N/A,FALSE,"COMP"}</definedName>
    <definedName name="the" localSheetId="41" hidden="1">{#N/A,#N/A,FALSE,"COMP"}</definedName>
    <definedName name="the" localSheetId="36" hidden="1">{#N/A,#N/A,FALSE,"COMP"}</definedName>
    <definedName name="the" localSheetId="34" hidden="1">{#N/A,#N/A,FALSE,"COMP"}</definedName>
    <definedName name="the" localSheetId="40" hidden="1">{#N/A,#N/A,FALSE,"COMP"}</definedName>
    <definedName name="the" localSheetId="35" hidden="1">{#N/A,#N/A,FALSE,"COMP"}</definedName>
    <definedName name="the" localSheetId="38" hidden="1">{#N/A,#N/A,FALSE,"COMP"}</definedName>
    <definedName name="the" localSheetId="31" hidden="1">{#N/A,#N/A,FALSE,"COMP"}</definedName>
    <definedName name="the" localSheetId="29" hidden="1">{#N/A,#N/A,FALSE,"COMP"}</definedName>
    <definedName name="the" localSheetId="26" hidden="1">{#N/A,#N/A,FALSE,"COMP"}</definedName>
    <definedName name="the" localSheetId="11" hidden="1">{#N/A,#N/A,FALSE,"COMP"}</definedName>
    <definedName name="the" localSheetId="10" hidden="1">{#N/A,#N/A,FALSE,"COMP"}</definedName>
    <definedName name="the" hidden="1">{#N/A,#N/A,FALSE,"COMP"}</definedName>
    <definedName name="v" localSheetId="11" hidden="1">'ID Goals FY 26-27Q2'!#REF!,'ID Goals FY 26-27Q2'!#REF!</definedName>
    <definedName name="v" hidden="1">#REF!,#REF!</definedName>
    <definedName name="vivek1" localSheetId="11" hidden="1">'ID Goals FY 26-27Q2'!#REF!</definedName>
    <definedName name="vivek1" localSheetId="10" hidden="1">#REF!</definedName>
    <definedName name="vivek1" hidden="1">#REF!</definedName>
    <definedName name="vivek11" localSheetId="11" hidden="1">'ID Goals FY 26-27Q2'!#REF!</definedName>
    <definedName name="vivek11" hidden="1">#REF!</definedName>
    <definedName name="vivek12" localSheetId="11" hidden="1">'ID Goals FY 26-27Q2'!#REF!</definedName>
    <definedName name="vivek12" hidden="1">#REF!</definedName>
    <definedName name="vivek13" localSheetId="11" hidden="1">'ID Goals FY 26-27Q2'!#REF!</definedName>
    <definedName name="vivek13" hidden="1">#REF!</definedName>
    <definedName name="vivek17" localSheetId="11" hidden="1">'ID Goals FY 26-27Q2'!#REF!</definedName>
    <definedName name="vivek17" hidden="1">#REF!</definedName>
    <definedName name="vivek18" localSheetId="11" hidden="1">'ID Goals FY 26-27Q2'!#REF!</definedName>
    <definedName name="vivek18" hidden="1">#REF!</definedName>
    <definedName name="vivek2" localSheetId="11" hidden="1">'ID Goals FY 26-27Q2'!#REF!</definedName>
    <definedName name="vivek2" hidden="1">#REF!</definedName>
    <definedName name="vivek220" localSheetId="11" hidden="1">'ID Goals FY 26-27Q2'!#REF!</definedName>
    <definedName name="vivek220" hidden="1">#REF!</definedName>
    <definedName name="vivek288888" localSheetId="11" hidden="1">'ID Goals FY 26-27Q2'!#REF!</definedName>
    <definedName name="vivek288888" hidden="1">#REF!</definedName>
    <definedName name="vivek2dddddddddddddddd" localSheetId="11" hidden="1">'ID Goals FY 26-27Q2'!#REF!</definedName>
    <definedName name="vivek2dddddddddddddddd" hidden="1">#REF!</definedName>
    <definedName name="vivek2oooooooooooooooo" localSheetId="11" hidden="1">'ID Goals FY 26-27Q2'!#REF!</definedName>
    <definedName name="vivek2oooooooooooooooo" hidden="1">#REF!</definedName>
    <definedName name="vivek3" localSheetId="11" hidden="1">'ID Goals FY 26-27Q2'!#REF!</definedName>
    <definedName name="vivek3" hidden="1">#REF!</definedName>
    <definedName name="vivek4" localSheetId="11" hidden="1">'ID Goals FY 26-27Q2'!#REF!</definedName>
    <definedName name="vivek4" hidden="1">#REF!</definedName>
    <definedName name="vivek444" localSheetId="11" hidden="1">'ID Goals FY 26-27Q2'!#REF!</definedName>
    <definedName name="vivek444" hidden="1">#REF!</definedName>
    <definedName name="vivek5" localSheetId="11" hidden="1">'ID Goals FY 26-27Q2'!#REF!</definedName>
    <definedName name="vivek5" hidden="1">#REF!</definedName>
    <definedName name="vivek6" localSheetId="11" hidden="1">'ID Goals FY 26-27Q2'!#REF!</definedName>
    <definedName name="vivek6" hidden="1">#REF!</definedName>
    <definedName name="vivek6666" localSheetId="11" hidden="1">'ID Goals FY 26-27Q2'!#REF!</definedName>
    <definedName name="vivek6666" hidden="1">#REF!</definedName>
    <definedName name="vivek9" localSheetId="11" hidden="1">'ID Goals FY 26-27Q2'!#REF!</definedName>
    <definedName name="vivek9" hidden="1">#REF!</definedName>
    <definedName name="wr" localSheetId="37" hidden="1">{#N/A,#N/A,FALSE,"COMP"}</definedName>
    <definedName name="wr" localSheetId="30" hidden="1">{#N/A,#N/A,FALSE,"COMP"}</definedName>
    <definedName name="wr" localSheetId="39" hidden="1">{#N/A,#N/A,FALSE,"COMP"}</definedName>
    <definedName name="wr" localSheetId="41" hidden="1">{#N/A,#N/A,FALSE,"COMP"}</definedName>
    <definedName name="wr" localSheetId="36" hidden="1">{#N/A,#N/A,FALSE,"COMP"}</definedName>
    <definedName name="wr" localSheetId="34" hidden="1">{#N/A,#N/A,FALSE,"COMP"}</definedName>
    <definedName name="wr" localSheetId="40" hidden="1">{#N/A,#N/A,FALSE,"COMP"}</definedName>
    <definedName name="wr" localSheetId="35" hidden="1">{#N/A,#N/A,FALSE,"COMP"}</definedName>
    <definedName name="wr" localSheetId="38" hidden="1">{#N/A,#N/A,FALSE,"COMP"}</definedName>
    <definedName name="wr" localSheetId="31" hidden="1">{#N/A,#N/A,FALSE,"COMP"}</definedName>
    <definedName name="wr" localSheetId="29" hidden="1">{#N/A,#N/A,FALSE,"COMP"}</definedName>
    <definedName name="wr" localSheetId="26" hidden="1">{#N/A,#N/A,FALSE,"COMP"}</definedName>
    <definedName name="wr" localSheetId="11" hidden="1">{#N/A,#N/A,FALSE,"COMP"}</definedName>
    <definedName name="wr" localSheetId="10" hidden="1">{#N/A,#N/A,FALSE,"COMP"}</definedName>
    <definedName name="wr" hidden="1">{#N/A,#N/A,FALSE,"COMP"}</definedName>
    <definedName name="WRI" localSheetId="37" hidden="1">{#N/A,#N/A,FALSE,"COMP"}</definedName>
    <definedName name="WRI" localSheetId="30" hidden="1">{#N/A,#N/A,FALSE,"COMP"}</definedName>
    <definedName name="WRI" localSheetId="39" hidden="1">{#N/A,#N/A,FALSE,"COMP"}</definedName>
    <definedName name="WRI" localSheetId="41" hidden="1">{#N/A,#N/A,FALSE,"COMP"}</definedName>
    <definedName name="WRI" localSheetId="36" hidden="1">{#N/A,#N/A,FALSE,"COMP"}</definedName>
    <definedName name="WRI" localSheetId="34" hidden="1">{#N/A,#N/A,FALSE,"COMP"}</definedName>
    <definedName name="WRI" localSheetId="40" hidden="1">{#N/A,#N/A,FALSE,"COMP"}</definedName>
    <definedName name="WRI" localSheetId="35" hidden="1">{#N/A,#N/A,FALSE,"COMP"}</definedName>
    <definedName name="WRI" localSheetId="38" hidden="1">{#N/A,#N/A,FALSE,"COMP"}</definedName>
    <definedName name="WRI" localSheetId="31" hidden="1">{#N/A,#N/A,FALSE,"COMP"}</definedName>
    <definedName name="WRI" localSheetId="29" hidden="1">{#N/A,#N/A,FALSE,"COMP"}</definedName>
    <definedName name="WRI" localSheetId="26" hidden="1">{#N/A,#N/A,FALSE,"COMP"}</definedName>
    <definedName name="WRI" localSheetId="11" hidden="1">{#N/A,#N/A,FALSE,"COMP"}</definedName>
    <definedName name="WRI" localSheetId="10" hidden="1">{#N/A,#N/A,FALSE,"COMP"}</definedName>
    <definedName name="WRI" hidden="1">{#N/A,#N/A,FALSE,"COMP"}</definedName>
    <definedName name="wrn.A4BSSCH." localSheetId="37" hidden="1">{"BSSCHA4",#N/A,FALSE,"sch bs"}</definedName>
    <definedName name="wrn.A4BSSCH." localSheetId="30" hidden="1">{"BSSCHA4",#N/A,FALSE,"sch bs"}</definedName>
    <definedName name="wrn.A4BSSCH." localSheetId="39" hidden="1">{"BSSCHA4",#N/A,FALSE,"sch bs"}</definedName>
    <definedName name="wrn.A4BSSCH." localSheetId="41" hidden="1">{"BSSCHA4",#N/A,FALSE,"sch bs"}</definedName>
    <definedName name="wrn.A4BSSCH." localSheetId="36" hidden="1">{"BSSCHA4",#N/A,FALSE,"sch bs"}</definedName>
    <definedName name="wrn.A4BSSCH." localSheetId="34" hidden="1">{"BSSCHA4",#N/A,FALSE,"sch bs"}</definedName>
    <definedName name="wrn.A4BSSCH." localSheetId="40" hidden="1">{"BSSCHA4",#N/A,FALSE,"sch bs"}</definedName>
    <definedName name="wrn.A4BSSCH." localSheetId="35" hidden="1">{"BSSCHA4",#N/A,FALSE,"sch bs"}</definedName>
    <definedName name="wrn.A4BSSCH." localSheetId="38" hidden="1">{"BSSCHA4",#N/A,FALSE,"sch bs"}</definedName>
    <definedName name="wrn.A4BSSCH." localSheetId="31" hidden="1">{"BSSCHA4",#N/A,FALSE,"sch bs"}</definedName>
    <definedName name="wrn.A4BSSCH." localSheetId="29" hidden="1">{"BSSCHA4",#N/A,FALSE,"sch bs"}</definedName>
    <definedName name="wrn.A4BSSCH." localSheetId="26" hidden="1">{"BSSCHA4",#N/A,FALSE,"sch bs"}</definedName>
    <definedName name="wrn.A4BSSCH." localSheetId="11" hidden="1">{"BSSCHA4",#N/A,FALSE,"sch bs"}</definedName>
    <definedName name="wrn.A4BSSCH." localSheetId="10" hidden="1">{"BSSCHA4",#N/A,FALSE,"sch bs"}</definedName>
    <definedName name="wrn.A4BSSCH." hidden="1">{"BSSCHA4",#N/A,FALSE,"sch bs"}</definedName>
    <definedName name="wrn.A4BSSCH._1" localSheetId="37" hidden="1">{"BSSCHA4",#N/A,FALSE,"sch bs"}</definedName>
    <definedName name="wrn.A4BSSCH._1" localSheetId="30" hidden="1">{"BSSCHA4",#N/A,FALSE,"sch bs"}</definedName>
    <definedName name="wrn.A4BSSCH._1" localSheetId="39" hidden="1">{"BSSCHA4",#N/A,FALSE,"sch bs"}</definedName>
    <definedName name="wrn.A4BSSCH._1" localSheetId="41" hidden="1">{"BSSCHA4",#N/A,FALSE,"sch bs"}</definedName>
    <definedName name="wrn.A4BSSCH._1" localSheetId="36" hidden="1">{"BSSCHA4",#N/A,FALSE,"sch bs"}</definedName>
    <definedName name="wrn.A4BSSCH._1" localSheetId="34" hidden="1">{"BSSCHA4",#N/A,FALSE,"sch bs"}</definedName>
    <definedName name="wrn.A4BSSCH._1" localSheetId="40" hidden="1">{"BSSCHA4",#N/A,FALSE,"sch bs"}</definedName>
    <definedName name="wrn.A4BSSCH._1" localSheetId="35" hidden="1">{"BSSCHA4",#N/A,FALSE,"sch bs"}</definedName>
    <definedName name="wrn.A4BSSCH._1" localSheetId="38" hidden="1">{"BSSCHA4",#N/A,FALSE,"sch bs"}</definedName>
    <definedName name="wrn.A4BSSCH._1" localSheetId="31" hidden="1">{"BSSCHA4",#N/A,FALSE,"sch bs"}</definedName>
    <definedName name="wrn.A4BSSCH._1" localSheetId="29" hidden="1">{"BSSCHA4",#N/A,FALSE,"sch bs"}</definedName>
    <definedName name="wrn.A4BSSCH._1" localSheetId="26" hidden="1">{"BSSCHA4",#N/A,FALSE,"sch bs"}</definedName>
    <definedName name="wrn.A4BSSCH._1" localSheetId="11" hidden="1">{"BSSCHA4",#N/A,FALSE,"sch bs"}</definedName>
    <definedName name="wrn.A4BSSCH._1" localSheetId="10" hidden="1">{"BSSCHA4",#N/A,FALSE,"sch bs"}</definedName>
    <definedName name="wrn.A4BSSCH._1" hidden="1">{"BSSCHA4",#N/A,FALSE,"sch bs"}</definedName>
    <definedName name="wrn.A4PL." localSheetId="37" hidden="1">{"a4p&amp;L",#N/A,FALSE,"tr &amp; pl"}</definedName>
    <definedName name="wrn.A4PL." localSheetId="30" hidden="1">{"a4p&amp;L",#N/A,FALSE,"tr &amp; pl"}</definedName>
    <definedName name="wrn.A4PL." localSheetId="39" hidden="1">{"a4p&amp;L",#N/A,FALSE,"tr &amp; pl"}</definedName>
    <definedName name="wrn.A4PL." localSheetId="41" hidden="1">{"a4p&amp;L",#N/A,FALSE,"tr &amp; pl"}</definedName>
    <definedName name="wrn.A4PL." localSheetId="36" hidden="1">{"a4p&amp;L",#N/A,FALSE,"tr &amp; pl"}</definedName>
    <definedName name="wrn.A4PL." localSheetId="34" hidden="1">{"a4p&amp;L",#N/A,FALSE,"tr &amp; pl"}</definedName>
    <definedName name="wrn.A4PL." localSheetId="40" hidden="1">{"a4p&amp;L",#N/A,FALSE,"tr &amp; pl"}</definedName>
    <definedName name="wrn.A4PL." localSheetId="35" hidden="1">{"a4p&amp;L",#N/A,FALSE,"tr &amp; pl"}</definedName>
    <definedName name="wrn.A4PL." localSheetId="38" hidden="1">{"a4p&amp;L",#N/A,FALSE,"tr &amp; pl"}</definedName>
    <definedName name="wrn.A4PL." localSheetId="31" hidden="1">{"a4p&amp;L",#N/A,FALSE,"tr &amp; pl"}</definedName>
    <definedName name="wrn.A4PL." localSheetId="29" hidden="1">{"a4p&amp;L",#N/A,FALSE,"tr &amp; pl"}</definedName>
    <definedName name="wrn.A4PL." localSheetId="26" hidden="1">{"a4p&amp;L",#N/A,FALSE,"tr &amp; pl"}</definedName>
    <definedName name="wrn.A4PL." localSheetId="11" hidden="1">{"a4p&amp;L",#N/A,FALSE,"tr &amp; pl"}</definedName>
    <definedName name="wrn.A4PL." localSheetId="10" hidden="1">{"a4p&amp;L",#N/A,FALSE,"tr &amp; pl"}</definedName>
    <definedName name="wrn.A4PL." hidden="1">{"a4p&amp;L",#N/A,FALSE,"tr &amp; pl"}</definedName>
    <definedName name="wrn.A4PL._1" localSheetId="37" hidden="1">{"a4p&amp;L",#N/A,FALSE,"tr &amp; pl"}</definedName>
    <definedName name="wrn.A4PL._1" localSheetId="30" hidden="1">{"a4p&amp;L",#N/A,FALSE,"tr &amp; pl"}</definedName>
    <definedName name="wrn.A4PL._1" localSheetId="39" hidden="1">{"a4p&amp;L",#N/A,FALSE,"tr &amp; pl"}</definedName>
    <definedName name="wrn.A4PL._1" localSheetId="41" hidden="1">{"a4p&amp;L",#N/A,FALSE,"tr &amp; pl"}</definedName>
    <definedName name="wrn.A4PL._1" localSheetId="36" hidden="1">{"a4p&amp;L",#N/A,FALSE,"tr &amp; pl"}</definedName>
    <definedName name="wrn.A4PL._1" localSheetId="34" hidden="1">{"a4p&amp;L",#N/A,FALSE,"tr &amp; pl"}</definedName>
    <definedName name="wrn.A4PL._1" localSheetId="40" hidden="1">{"a4p&amp;L",#N/A,FALSE,"tr &amp; pl"}</definedName>
    <definedName name="wrn.A4PL._1" localSheetId="35" hidden="1">{"a4p&amp;L",#N/A,FALSE,"tr &amp; pl"}</definedName>
    <definedName name="wrn.A4PL._1" localSheetId="38" hidden="1">{"a4p&amp;L",#N/A,FALSE,"tr &amp; pl"}</definedName>
    <definedName name="wrn.A4PL._1" localSheetId="31" hidden="1">{"a4p&amp;L",#N/A,FALSE,"tr &amp; pl"}</definedName>
    <definedName name="wrn.A4PL._1" localSheetId="29" hidden="1">{"a4p&amp;L",#N/A,FALSE,"tr &amp; pl"}</definedName>
    <definedName name="wrn.A4PL._1" localSheetId="26" hidden="1">{"a4p&amp;L",#N/A,FALSE,"tr &amp; pl"}</definedName>
    <definedName name="wrn.A4PL._1" localSheetId="11" hidden="1">{"a4p&amp;L",#N/A,FALSE,"tr &amp; pl"}</definedName>
    <definedName name="wrn.A4PL._1" localSheetId="10" hidden="1">{"a4p&amp;L",#N/A,FALSE,"tr &amp; pl"}</definedName>
    <definedName name="wrn.A4PL._1" hidden="1">{"a4p&amp;L",#N/A,FALSE,"tr &amp; pl"}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9" hidden="1">{#N/A,#N/A,FALSE,"Aging Summary";#N/A,#N/A,FALSE,"Ratio Analysis";#N/A,#N/A,FALSE,"Test 120 Day Accts";#N/A,#N/A,FALSE,"Tickmarks"}</definedName>
    <definedName name="wrn.Aging._.and._.Trend._.Analysis." localSheetId="41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40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8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6" hidden="1">{#N/A,#N/A,FALSE,"Aging Summary";#N/A,#N/A,FALSE,"Ratio Analysis";#N/A,#N/A,FALSE,"Test 120 Day Accts";#N/A,#N/A,FALSE,"Tickmarks"}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7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39" hidden="1">{#N/A,#N/A,FALSE,"OPSTATE";#N/A,#N/A,FALSE,"BSLIABILITY";#N/A,#N/A,FALSE,"BSASSETS";#N/A,#N/A,FALSE,"Sheet1"}</definedName>
    <definedName name="wrn.AkrutiCMA." localSheetId="41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4" hidden="1">{#N/A,#N/A,FALSE,"OPSTATE";#N/A,#N/A,FALSE,"BSLIABILITY";#N/A,#N/A,FALSE,"BSASSETS";#N/A,#N/A,FALSE,"Sheet1"}</definedName>
    <definedName name="wrn.AkrutiCMA." localSheetId="40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8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26" hidden="1">{#N/A,#N/A,FALSE,"OPSTATE";#N/A,#N/A,FALSE,"BSLIABILITY";#N/A,#N/A,FALSE,"BSASSETS";#N/A,#N/A,FALSE,"Sheet1"}</definedName>
    <definedName name="wrn.AkrutiCMA." localSheetId="11" hidden="1">{#N/A,#N/A,FALSE,"OPSTATE";#N/A,#N/A,FALSE,"BSLIABILITY";#N/A,#N/A,FALSE,"BSASSETS";#N/A,#N/A,FALSE,"Sheet1"}</definedName>
    <definedName name="wrn.AkrutiCMA." localSheetId="10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4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4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7" hidden="1">{"A4BS",#N/A,FALSE,"bs"}</definedName>
    <definedName name="wrn.BSA4." localSheetId="30" hidden="1">{"A4BS",#N/A,FALSE,"bs"}</definedName>
    <definedName name="wrn.BSA4." localSheetId="39" hidden="1">{"A4BS",#N/A,FALSE,"bs"}</definedName>
    <definedName name="wrn.BSA4." localSheetId="41" hidden="1">{"A4BS",#N/A,FALSE,"bs"}</definedName>
    <definedName name="wrn.BSA4." localSheetId="36" hidden="1">{"A4BS",#N/A,FALSE,"bs"}</definedName>
    <definedName name="wrn.BSA4." localSheetId="34" hidden="1">{"A4BS",#N/A,FALSE,"bs"}</definedName>
    <definedName name="wrn.BSA4." localSheetId="40" hidden="1">{"A4BS",#N/A,FALSE,"bs"}</definedName>
    <definedName name="wrn.BSA4." localSheetId="35" hidden="1">{"A4BS",#N/A,FALSE,"bs"}</definedName>
    <definedName name="wrn.BSA4." localSheetId="38" hidden="1">{"A4BS",#N/A,FALSE,"bs"}</definedName>
    <definedName name="wrn.BSA4." localSheetId="31" hidden="1">{"A4BS",#N/A,FALSE,"bs"}</definedName>
    <definedName name="wrn.BSA4." localSheetId="29" hidden="1">{"A4BS",#N/A,FALSE,"bs"}</definedName>
    <definedName name="wrn.BSA4." localSheetId="26" hidden="1">{"A4BS",#N/A,FALSE,"bs"}</definedName>
    <definedName name="wrn.BSA4." localSheetId="11" hidden="1">{"A4BS",#N/A,FALSE,"bs"}</definedName>
    <definedName name="wrn.BSA4." localSheetId="10" hidden="1">{"A4BS",#N/A,FALSE,"bs"}</definedName>
    <definedName name="wrn.BSA4." hidden="1">{"A4BS",#N/A,FALSE,"bs"}</definedName>
    <definedName name="wrn.BSA4._1" localSheetId="37" hidden="1">{"A4BS",#N/A,FALSE,"bs"}</definedName>
    <definedName name="wrn.BSA4._1" localSheetId="30" hidden="1">{"A4BS",#N/A,FALSE,"bs"}</definedName>
    <definedName name="wrn.BSA4._1" localSheetId="39" hidden="1">{"A4BS",#N/A,FALSE,"bs"}</definedName>
    <definedName name="wrn.BSA4._1" localSheetId="41" hidden="1">{"A4BS",#N/A,FALSE,"bs"}</definedName>
    <definedName name="wrn.BSA4._1" localSheetId="36" hidden="1">{"A4BS",#N/A,FALSE,"bs"}</definedName>
    <definedName name="wrn.BSA4._1" localSheetId="34" hidden="1">{"A4BS",#N/A,FALSE,"bs"}</definedName>
    <definedName name="wrn.BSA4._1" localSheetId="40" hidden="1">{"A4BS",#N/A,FALSE,"bs"}</definedName>
    <definedName name="wrn.BSA4._1" localSheetId="35" hidden="1">{"A4BS",#N/A,FALSE,"bs"}</definedName>
    <definedName name="wrn.BSA4._1" localSheetId="38" hidden="1">{"A4BS",#N/A,FALSE,"bs"}</definedName>
    <definedName name="wrn.BSA4._1" localSheetId="31" hidden="1">{"A4BS",#N/A,FALSE,"bs"}</definedName>
    <definedName name="wrn.BSA4._1" localSheetId="29" hidden="1">{"A4BS",#N/A,FALSE,"bs"}</definedName>
    <definedName name="wrn.BSA4._1" localSheetId="26" hidden="1">{"A4BS",#N/A,FALSE,"bs"}</definedName>
    <definedName name="wrn.BSA4._1" localSheetId="11" hidden="1">{"A4BS",#N/A,FALSE,"bs"}</definedName>
    <definedName name="wrn.BSA4._1" localSheetId="10" hidden="1">{"A4BS",#N/A,FALSE,"bs"}</definedName>
    <definedName name="wrn.BSA4._1" hidden="1">{"A4BS",#N/A,FALSE,"bs"}</definedName>
    <definedName name="wrn.capA4." localSheetId="37" hidden="1">{"capA4",#N/A,FALSE,"capt"}</definedName>
    <definedName name="wrn.capA4." localSheetId="30" hidden="1">{"capA4",#N/A,FALSE,"capt"}</definedName>
    <definedName name="wrn.capA4." localSheetId="39" hidden="1">{"capA4",#N/A,FALSE,"capt"}</definedName>
    <definedName name="wrn.capA4." localSheetId="41" hidden="1">{"capA4",#N/A,FALSE,"capt"}</definedName>
    <definedName name="wrn.capA4." localSheetId="36" hidden="1">{"capA4",#N/A,FALSE,"capt"}</definedName>
    <definedName name="wrn.capA4." localSheetId="34" hidden="1">{"capA4",#N/A,FALSE,"capt"}</definedName>
    <definedName name="wrn.capA4." localSheetId="40" hidden="1">{"capA4",#N/A,FALSE,"capt"}</definedName>
    <definedName name="wrn.capA4." localSheetId="35" hidden="1">{"capA4",#N/A,FALSE,"capt"}</definedName>
    <definedName name="wrn.capA4." localSheetId="38" hidden="1">{"capA4",#N/A,FALSE,"capt"}</definedName>
    <definedName name="wrn.capA4." localSheetId="31" hidden="1">{"capA4",#N/A,FALSE,"capt"}</definedName>
    <definedName name="wrn.capA4." localSheetId="29" hidden="1">{"capA4",#N/A,FALSE,"capt"}</definedName>
    <definedName name="wrn.capA4." localSheetId="26" hidden="1">{"capA4",#N/A,FALSE,"capt"}</definedName>
    <definedName name="wrn.capA4." localSheetId="11" hidden="1">{"capA4",#N/A,FALSE,"capt"}</definedName>
    <definedName name="wrn.capA4." localSheetId="10" hidden="1">{"capA4",#N/A,FALSE,"capt"}</definedName>
    <definedName name="wrn.capA4." hidden="1">{"capA4",#N/A,FALSE,"capt"}</definedName>
    <definedName name="wrn.capA4._1" localSheetId="37" hidden="1">{"capA4",#N/A,FALSE,"capt"}</definedName>
    <definedName name="wrn.capA4._1" localSheetId="30" hidden="1">{"capA4",#N/A,FALSE,"capt"}</definedName>
    <definedName name="wrn.capA4._1" localSheetId="39" hidden="1">{"capA4",#N/A,FALSE,"capt"}</definedName>
    <definedName name="wrn.capA4._1" localSheetId="41" hidden="1">{"capA4",#N/A,FALSE,"capt"}</definedName>
    <definedName name="wrn.capA4._1" localSheetId="36" hidden="1">{"capA4",#N/A,FALSE,"capt"}</definedName>
    <definedName name="wrn.capA4._1" localSheetId="34" hidden="1">{"capA4",#N/A,FALSE,"capt"}</definedName>
    <definedName name="wrn.capA4._1" localSheetId="40" hidden="1">{"capA4",#N/A,FALSE,"capt"}</definedName>
    <definedName name="wrn.capA4._1" localSheetId="35" hidden="1">{"capA4",#N/A,FALSE,"capt"}</definedName>
    <definedName name="wrn.capA4._1" localSheetId="38" hidden="1">{"capA4",#N/A,FALSE,"capt"}</definedName>
    <definedName name="wrn.capA4._1" localSheetId="31" hidden="1">{"capA4",#N/A,FALSE,"capt"}</definedName>
    <definedName name="wrn.capA4._1" localSheetId="29" hidden="1">{"capA4",#N/A,FALSE,"capt"}</definedName>
    <definedName name="wrn.capA4._1" localSheetId="26" hidden="1">{"capA4",#N/A,FALSE,"capt"}</definedName>
    <definedName name="wrn.capA4._1" localSheetId="11" hidden="1">{"capA4",#N/A,FALSE,"capt"}</definedName>
    <definedName name="wrn.capA4._1" localSheetId="10" hidden="1">{"capA4",#N/A,FALSE,"capt"}</definedName>
    <definedName name="wrn.capA4._1" hidden="1">{"capA4",#N/A,FALSE,"capt"}</definedName>
    <definedName name="wrn.depschA4." localSheetId="37" hidden="1">{"A4depsch",#N/A,FALSE,"fa&amp;dep"}</definedName>
    <definedName name="wrn.depschA4." localSheetId="30" hidden="1">{"A4depsch",#N/A,FALSE,"fa&amp;dep"}</definedName>
    <definedName name="wrn.depschA4." localSheetId="39" hidden="1">{"A4depsch",#N/A,FALSE,"fa&amp;dep"}</definedName>
    <definedName name="wrn.depschA4." localSheetId="41" hidden="1">{"A4depsch",#N/A,FALSE,"fa&amp;dep"}</definedName>
    <definedName name="wrn.depschA4." localSheetId="36" hidden="1">{"A4depsch",#N/A,FALSE,"fa&amp;dep"}</definedName>
    <definedName name="wrn.depschA4." localSheetId="34" hidden="1">{"A4depsch",#N/A,FALSE,"fa&amp;dep"}</definedName>
    <definedName name="wrn.depschA4." localSheetId="40" hidden="1">{"A4depsch",#N/A,FALSE,"fa&amp;dep"}</definedName>
    <definedName name="wrn.depschA4." localSheetId="35" hidden="1">{"A4depsch",#N/A,FALSE,"fa&amp;dep"}</definedName>
    <definedName name="wrn.depschA4." localSheetId="38" hidden="1">{"A4depsch",#N/A,FALSE,"fa&amp;dep"}</definedName>
    <definedName name="wrn.depschA4." localSheetId="31" hidden="1">{"A4depsch",#N/A,FALSE,"fa&amp;dep"}</definedName>
    <definedName name="wrn.depschA4." localSheetId="29" hidden="1">{"A4depsch",#N/A,FALSE,"fa&amp;dep"}</definedName>
    <definedName name="wrn.depschA4." localSheetId="26" hidden="1">{"A4depsch",#N/A,FALSE,"fa&amp;dep"}</definedName>
    <definedName name="wrn.depschA4." localSheetId="11" hidden="1">{"A4depsch",#N/A,FALSE,"fa&amp;dep"}</definedName>
    <definedName name="wrn.depschA4." localSheetId="10" hidden="1">{"A4depsch",#N/A,FALSE,"fa&amp;dep"}</definedName>
    <definedName name="wrn.depschA4." hidden="1">{"A4depsch",#N/A,FALSE,"fa&amp;dep"}</definedName>
    <definedName name="wrn.depschA4._1" localSheetId="37" hidden="1">{"A4depsch",#N/A,FALSE,"fa&amp;dep"}</definedName>
    <definedName name="wrn.depschA4._1" localSheetId="30" hidden="1">{"A4depsch",#N/A,FALSE,"fa&amp;dep"}</definedName>
    <definedName name="wrn.depschA4._1" localSheetId="39" hidden="1">{"A4depsch",#N/A,FALSE,"fa&amp;dep"}</definedName>
    <definedName name="wrn.depschA4._1" localSheetId="41" hidden="1">{"A4depsch",#N/A,FALSE,"fa&amp;dep"}</definedName>
    <definedName name="wrn.depschA4._1" localSheetId="36" hidden="1">{"A4depsch",#N/A,FALSE,"fa&amp;dep"}</definedName>
    <definedName name="wrn.depschA4._1" localSheetId="34" hidden="1">{"A4depsch",#N/A,FALSE,"fa&amp;dep"}</definedName>
    <definedName name="wrn.depschA4._1" localSheetId="40" hidden="1">{"A4depsch",#N/A,FALSE,"fa&amp;dep"}</definedName>
    <definedName name="wrn.depschA4._1" localSheetId="35" hidden="1">{"A4depsch",#N/A,FALSE,"fa&amp;dep"}</definedName>
    <definedName name="wrn.depschA4._1" localSheetId="38" hidden="1">{"A4depsch",#N/A,FALSE,"fa&amp;dep"}</definedName>
    <definedName name="wrn.depschA4._1" localSheetId="31" hidden="1">{"A4depsch",#N/A,FALSE,"fa&amp;dep"}</definedName>
    <definedName name="wrn.depschA4._1" localSheetId="29" hidden="1">{"A4depsch",#N/A,FALSE,"fa&amp;dep"}</definedName>
    <definedName name="wrn.depschA4._1" localSheetId="26" hidden="1">{"A4depsch",#N/A,FALSE,"fa&amp;dep"}</definedName>
    <definedName name="wrn.depschA4._1" localSheetId="11" hidden="1">{"A4depsch",#N/A,FALSE,"fa&amp;dep"}</definedName>
    <definedName name="wrn.depschA4._1" localSheetId="10" hidden="1">{"A4depsch",#N/A,FALSE,"fa&amp;dep"}</definedName>
    <definedName name="wrn.depschA4._1" hidden="1">{"A4depsch",#N/A,FALSE,"fa&amp;dep"}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4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4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7" hidden="1">{#N/A,#N/A,FALSE,"COMP"}</definedName>
    <definedName name="wrn.FORM1." localSheetId="30" hidden="1">{#N/A,#N/A,FALSE,"COMP"}</definedName>
    <definedName name="wrn.FORM1." localSheetId="39" hidden="1">{#N/A,#N/A,FALSE,"COMP"}</definedName>
    <definedName name="wrn.FORM1." localSheetId="41" hidden="1">{#N/A,#N/A,FALSE,"COMP"}</definedName>
    <definedName name="wrn.FORM1." localSheetId="36" hidden="1">{#N/A,#N/A,FALSE,"COMP"}</definedName>
    <definedName name="wrn.FORM1." localSheetId="34" hidden="1">{#N/A,#N/A,FALSE,"COMP"}</definedName>
    <definedName name="wrn.FORM1." localSheetId="40" hidden="1">{#N/A,#N/A,FALSE,"COMP"}</definedName>
    <definedName name="wrn.FORM1." localSheetId="35" hidden="1">{#N/A,#N/A,FALSE,"COMP"}</definedName>
    <definedName name="wrn.FORM1." localSheetId="38" hidden="1">{#N/A,#N/A,FALSE,"COMP"}</definedName>
    <definedName name="wrn.FORM1." localSheetId="31" hidden="1">{#N/A,#N/A,FALSE,"COMP"}</definedName>
    <definedName name="wrn.FORM1." localSheetId="29" hidden="1">{#N/A,#N/A,FALSE,"COMP"}</definedName>
    <definedName name="wrn.FORM1." localSheetId="26" hidden="1">{#N/A,#N/A,FALSE,"COMP"}</definedName>
    <definedName name="wrn.FORM1." localSheetId="11" hidden="1">{#N/A,#N/A,FALSE,"COMP"}</definedName>
    <definedName name="wrn.FORM1." localSheetId="10" hidden="1">{#N/A,#N/A,FALSE,"COMP"}</definedName>
    <definedName name="wrn.FORM1." hidden="1">{#N/A,#N/A,FALSE,"COMP"}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39" hidden="1">{#N/A,#N/A,TRUE,"Financials";#N/A,#N/A,TRUE,"Operating Statistics";#N/A,#N/A,TRUE,"Capex &amp; Depreciation";#N/A,#N/A,TRUE,"Debt"}</definedName>
    <definedName name="wrn.Full._.Financials." localSheetId="41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40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8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26" hidden="1">{#N/A,#N/A,TRUE,"Financials";#N/A,#N/A,TRUE,"Operating Statistics";#N/A,#N/A,TRUE,"Capex &amp; Depreciation";#N/A,#N/A,TRUE,"Debt"}</definedName>
    <definedName name="wrn.Full._.Financials." localSheetId="11" hidden="1">{#N/A,#N/A,TRUE,"Financials";#N/A,#N/A,TRUE,"Operating Statistics";#N/A,#N/A,TRUE,"Capex &amp; Depreciation";#N/A,#N/A,TRUE,"Debt"}</definedName>
    <definedName name="wrn.Full._.Financials." localSheetId="10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7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39" hidden="1">{#N/A,#N/A,FALSE,"One Pager";#N/A,#N/A,FALSE,"Technical"}</definedName>
    <definedName name="wrn.One._.Pager._.plus._.Technicals." localSheetId="41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4" hidden="1">{#N/A,#N/A,FALSE,"One Pager";#N/A,#N/A,FALSE,"Technical"}</definedName>
    <definedName name="wrn.One._.Pager._.plus._.Technicals." localSheetId="40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8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26" hidden="1">{#N/A,#N/A,FALSE,"One Pager";#N/A,#N/A,FALSE,"Technical"}</definedName>
    <definedName name="wrn.One._.Pager._.plus._.Technicals." localSheetId="11" hidden="1">{#N/A,#N/A,FALSE,"One Pager";#N/A,#N/A,FALSE,"Technical"}</definedName>
    <definedName name="wrn.One._.Pager._.plus._.Technicals." localSheetId="10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7" hidden="1">{"A4PLSCH",#N/A,FALSE,"sch pl"}</definedName>
    <definedName name="wrn.PLSCHA4." localSheetId="30" hidden="1">{"A4PLSCH",#N/A,FALSE,"sch pl"}</definedName>
    <definedName name="wrn.PLSCHA4." localSheetId="39" hidden="1">{"A4PLSCH",#N/A,FALSE,"sch pl"}</definedName>
    <definedName name="wrn.PLSCHA4." localSheetId="41" hidden="1">{"A4PLSCH",#N/A,FALSE,"sch pl"}</definedName>
    <definedName name="wrn.PLSCHA4." localSheetId="36" hidden="1">{"A4PLSCH",#N/A,FALSE,"sch pl"}</definedName>
    <definedName name="wrn.PLSCHA4." localSheetId="34" hidden="1">{"A4PLSCH",#N/A,FALSE,"sch pl"}</definedName>
    <definedName name="wrn.PLSCHA4." localSheetId="40" hidden="1">{"A4PLSCH",#N/A,FALSE,"sch pl"}</definedName>
    <definedName name="wrn.PLSCHA4." localSheetId="35" hidden="1">{"A4PLSCH",#N/A,FALSE,"sch pl"}</definedName>
    <definedName name="wrn.PLSCHA4." localSheetId="38" hidden="1">{"A4PLSCH",#N/A,FALSE,"sch pl"}</definedName>
    <definedName name="wrn.PLSCHA4." localSheetId="31" hidden="1">{"A4PLSCH",#N/A,FALSE,"sch pl"}</definedName>
    <definedName name="wrn.PLSCHA4." localSheetId="29" hidden="1">{"A4PLSCH",#N/A,FALSE,"sch pl"}</definedName>
    <definedName name="wrn.PLSCHA4." localSheetId="26" hidden="1">{"A4PLSCH",#N/A,FALSE,"sch pl"}</definedName>
    <definedName name="wrn.PLSCHA4." localSheetId="11" hidden="1">{"A4PLSCH",#N/A,FALSE,"sch pl"}</definedName>
    <definedName name="wrn.PLSCHA4." localSheetId="10" hidden="1">{"A4PLSCH",#N/A,FALSE,"sch pl"}</definedName>
    <definedName name="wrn.PLSCHA4." hidden="1">{"A4PLSCH",#N/A,FALSE,"sch pl"}</definedName>
    <definedName name="wrn.PLSCHA4._1" localSheetId="37" hidden="1">{"A4PLSCH",#N/A,FALSE,"sch pl"}</definedName>
    <definedName name="wrn.PLSCHA4._1" localSheetId="30" hidden="1">{"A4PLSCH",#N/A,FALSE,"sch pl"}</definedName>
    <definedName name="wrn.PLSCHA4._1" localSheetId="39" hidden="1">{"A4PLSCH",#N/A,FALSE,"sch pl"}</definedName>
    <definedName name="wrn.PLSCHA4._1" localSheetId="41" hidden="1">{"A4PLSCH",#N/A,FALSE,"sch pl"}</definedName>
    <definedName name="wrn.PLSCHA4._1" localSheetId="36" hidden="1">{"A4PLSCH",#N/A,FALSE,"sch pl"}</definedName>
    <definedName name="wrn.PLSCHA4._1" localSheetId="34" hidden="1">{"A4PLSCH",#N/A,FALSE,"sch pl"}</definedName>
    <definedName name="wrn.PLSCHA4._1" localSheetId="40" hidden="1">{"A4PLSCH",#N/A,FALSE,"sch pl"}</definedName>
    <definedName name="wrn.PLSCHA4._1" localSheetId="35" hidden="1">{"A4PLSCH",#N/A,FALSE,"sch pl"}</definedName>
    <definedName name="wrn.PLSCHA4._1" localSheetId="38" hidden="1">{"A4PLSCH",#N/A,FALSE,"sch pl"}</definedName>
    <definedName name="wrn.PLSCHA4._1" localSheetId="31" hidden="1">{"A4PLSCH",#N/A,FALSE,"sch pl"}</definedName>
    <definedName name="wrn.PLSCHA4._1" localSheetId="29" hidden="1">{"A4PLSCH",#N/A,FALSE,"sch pl"}</definedName>
    <definedName name="wrn.PLSCHA4._1" localSheetId="26" hidden="1">{"A4PLSCH",#N/A,FALSE,"sch pl"}</definedName>
    <definedName name="wrn.PLSCHA4._1" localSheetId="11" hidden="1">{"A4PLSCH",#N/A,FALSE,"sch pl"}</definedName>
    <definedName name="wrn.PLSCHA4._1" localSheetId="10" hidden="1">{"A4PLSCH",#N/A,FALSE,"sch pl"}</definedName>
    <definedName name="wrn.PLSCHA4._1" hidden="1">{"A4PLSCH",#N/A,FALSE,"sch pl"}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4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4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4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4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4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4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4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4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4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4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localSheetId="11" hidden="1">'ID Goals FY 26-27Q2'!#REF!</definedName>
    <definedName name="XREF_COLUMN_2" hidden="1">#REF!</definedName>
    <definedName name="XREF_COLUMN_3" localSheetId="11" hidden="1">'ID Goals FY 26-27Q2'!#REF!</definedName>
    <definedName name="XREF_COLUMN_3" hidden="1">#REF!</definedName>
    <definedName name="XREF_COLUMN_4" localSheetId="11" hidden="1">'ID Goals FY 26-27Q2'!#REF!</definedName>
    <definedName name="XREF_COLUMN_4" hidden="1">#REF!</definedName>
    <definedName name="XREF_COLUMN_5" localSheetId="11" hidden="1">'ID Goals FY 26-27Q2'!#REF!</definedName>
    <definedName name="XREF_COLUMN_5" hidden="1">#REF!</definedName>
    <definedName name="XREF_COLUMN_6" localSheetId="11" hidden="1">'ID Goals FY 26-27Q2'!#REF!</definedName>
    <definedName name="XREF_COLUMN_6" hidden="1">#REF!</definedName>
    <definedName name="XREF_COLUMN_7" localSheetId="11" hidden="1">'ID Goals FY 26-27Q2'!#REF!</definedName>
    <definedName name="XREF_COLUMN_7" hidden="1">#REF!</definedName>
    <definedName name="XREF_COLUMN_8" localSheetId="11" hidden="1">'ID Goals FY 26-27Q2'!#REF!</definedName>
    <definedName name="XREF_COLUMN_8" hidden="1">#REF!</definedName>
    <definedName name="XREF_COLUMN_9" localSheetId="11" hidden="1">'ID Goals FY 26-27Q2'!#REF!</definedName>
    <definedName name="XREF_COLUMN_9" hidden="1">#REF!</definedName>
    <definedName name="XRefCopyRangeCount" hidden="1">6</definedName>
    <definedName name="XRefPasteRangeCount" hidden="1">4</definedName>
    <definedName name="XYZ" localSheetId="11" hidden="1">'ID Goals FY 26-27Q2'!#REF!,'ID Goals FY 26-27Q2'!#REF!</definedName>
    <definedName name="XYZ" hidden="1">#REF!,#REF!</definedName>
    <definedName name="Z_0185ADC1_3830_11D3_88E4_00104B2D4E50_.wvu.FilterData" localSheetId="11" hidden="1">'ID Goals FY 26-27Q2'!#REF!</definedName>
    <definedName name="Z_0185ADC1_3830_11D3_88E4_00104B2D4E50_.wvu.FilterData" localSheetId="10" hidden="1">#REF!</definedName>
    <definedName name="Z_0185ADC1_3830_11D3_88E4_00104B2D4E50_.wvu.FilterData" hidden="1">#REF!</definedName>
    <definedName name="Z_0185ADC2_3830_11D3_88E4_00104B2D4E50_.wvu.FilterData" localSheetId="11" hidden="1">'ID Goals FY 26-27Q2'!#REF!</definedName>
    <definedName name="Z_0185ADC2_3830_11D3_88E4_00104B2D4E50_.wvu.FilterData" hidden="1">#REF!</definedName>
    <definedName name="Z_020243C4_4FC9_11D3_88E5_00104B2D4E50_.wvu.FilterData" localSheetId="11" hidden="1">'ID Goals FY 26-27Q2'!#REF!</definedName>
    <definedName name="Z_020243C4_4FC9_11D3_88E5_00104B2D4E50_.wvu.FilterData" hidden="1">#REF!</definedName>
    <definedName name="Z_020243C5_4FC9_11D3_88E5_00104B2D4E50_.wvu.FilterData" localSheetId="11" hidden="1">'ID Goals FY 26-27Q2'!#REF!</definedName>
    <definedName name="Z_020243C5_4FC9_11D3_88E5_00104B2D4E50_.wvu.FilterData" hidden="1">#REF!</definedName>
    <definedName name="Z_020243D6_4FC9_11D3_88E5_00104B2D4E50_.wvu.FilterData" localSheetId="11" hidden="1">'ID Goals FY 26-27Q2'!#REF!</definedName>
    <definedName name="Z_020243D6_4FC9_11D3_88E5_00104B2D4E50_.wvu.FilterData" hidden="1">#REF!</definedName>
    <definedName name="Z_020243D9_4FC9_11D3_88E5_00104B2D4E50_.wvu.FilterData" localSheetId="11" hidden="1">'ID Goals FY 26-27Q2'!#REF!</definedName>
    <definedName name="Z_020243D9_4FC9_11D3_88E5_00104B2D4E50_.wvu.FilterData" hidden="1">#REF!</definedName>
    <definedName name="Z_18E867C2_363F_11D3_B384_00104B203064_.wvu.Cols" localSheetId="11" hidden="1">'ID Goals FY 26-27Q2'!#REF!</definedName>
    <definedName name="Z_18E867C2_363F_11D3_B384_00104B203064_.wvu.Cols" hidden="1">#REF!</definedName>
    <definedName name="Z_18E867C2_363F_11D3_B384_00104B203064_.wvu.FilterData" localSheetId="11" hidden="1">'ID Goals FY 26-27Q2'!#REF!</definedName>
    <definedName name="Z_18E867C2_363F_11D3_B384_00104B203064_.wvu.FilterData" hidden="1">#REF!</definedName>
    <definedName name="Z_18E867C6_363F_11D3_B384_00104B203064_.wvu.FilterData" localSheetId="11" hidden="1">'ID Goals FY 26-27Q2'!#REF!</definedName>
    <definedName name="Z_18E867C6_363F_11D3_B384_00104B203064_.wvu.FilterData" hidden="1">#REF!</definedName>
    <definedName name="Z_2529F30F_675A_11D3_88E6_00104B2D4E50_.wvu.FilterData" localSheetId="11" hidden="1">'ID Goals FY 26-27Q2'!#REF!</definedName>
    <definedName name="Z_2529F30F_675A_11D3_88E6_00104B2D4E50_.wvu.FilterData" hidden="1">#REF!</definedName>
    <definedName name="Z_37C90060_2018_11D3_9FEA_008048EE1BB3_.wvu.Cols" localSheetId="11" hidden="1">'ID Goals FY 26-27Q2'!#REF!</definedName>
    <definedName name="Z_37C90060_2018_11D3_9FEA_008048EE1BB3_.wvu.Cols" hidden="1">#REF!</definedName>
    <definedName name="Z_37C90060_2018_11D3_9FEA_008048EE1BB3_.wvu.FilterData" localSheetId="11" hidden="1">'ID Goals FY 26-27Q2'!#REF!</definedName>
    <definedName name="Z_37C90060_2018_11D3_9FEA_008048EE1BB3_.wvu.FilterData" hidden="1">#REF!</definedName>
    <definedName name="Z_37C90061_2018_11D3_9FEA_008048EE1BB3_.wvu.FilterData" localSheetId="11" hidden="1">'ID Goals FY 26-27Q2'!#REF!</definedName>
    <definedName name="Z_37C90061_2018_11D3_9FEA_008048EE1BB3_.wvu.FilterData" hidden="1">#REF!</definedName>
    <definedName name="Z_37C90063_2018_11D3_9FEA_008048EE1BB3_.wvu.FilterData" localSheetId="11" hidden="1">'ID Goals FY 26-27Q2'!#REF!</definedName>
    <definedName name="Z_37C90063_2018_11D3_9FEA_008048EE1BB3_.wvu.FilterData" hidden="1">#REF!</definedName>
    <definedName name="Z_42177D60_3622_11D3_B2D2_008048EE2662_.wvu.FilterData" localSheetId="11" hidden="1">'ID Goals FY 26-27Q2'!#REF!</definedName>
    <definedName name="Z_42177D60_3622_11D3_B2D2_008048EE2662_.wvu.FilterData" hidden="1">#REF!</definedName>
    <definedName name="Z_87846904_F246_11D2_88E4_00104B2D4E50_.wvu.PrintTitles" localSheetId="11" hidden="1">'ID Goals FY 26-27Q2'!#REF!,'ID Goals FY 26-27Q2'!#REF!</definedName>
    <definedName name="Z_87846904_F246_11D2_88E4_00104B2D4E50_.wvu.PrintTitles" hidden="1">#REF!,#REF!</definedName>
    <definedName name="Z_9C36B7A0_8E17_11D3_B2D2_008048EE2662_.wvu.Rows" localSheetId="11" hidden="1">'ID Goals FY 26-27Q2'!#REF!,'ID Goals FY 26-27Q2'!#REF!,'ID Goals FY 26-27Q2'!#REF!</definedName>
    <definedName name="Z_9C36B7A0_8E17_11D3_B2D2_008048EE2662_.wvu.Rows" hidden="1">#REF!,#REF!,#REF!</definedName>
    <definedName name="Z_AF67EA27_37A9_11D3_88E4_00104B2D4E50_.wvu.FilterData" localSheetId="11" hidden="1">'ID Goals FY 26-27Q2'!#REF!</definedName>
    <definedName name="Z_AF67EA27_37A9_11D3_88E4_00104B2D4E50_.wvu.FilterData" hidden="1">#REF!</definedName>
    <definedName name="Z_CC26C000_67A6_11D3_B801_444553540000_.wvu.FilterData" localSheetId="11" hidden="1">'ID Goals FY 26-27Q2'!#REF!</definedName>
    <definedName name="Z_CC26C000_67A6_11D3_B801_444553540000_.wvu.FilterData" hidden="1">#REF!</definedName>
    <definedName name="Z_D840F8B1_668B_11D3_88E6_00104B2D4E50_.wvu.FilterData" localSheetId="11" hidden="1">'ID Goals FY 26-27Q2'!#REF!</definedName>
    <definedName name="Z_D840F8B1_668B_11D3_88E6_00104B2D4E50_.wvu.FilterData" hidden="1">#REF!</definedName>
    <definedName name="Z_F0339D6F_2232_11D3_88E4_00104B2D4E50_.wvu.FilterData" localSheetId="11" hidden="1">'ID Goals FY 26-27Q2'!#REF!</definedName>
    <definedName name="Z_F0339D6F_2232_11D3_88E4_00104B2D4E50_.wvu.FilterData" hidden="1">#REF!</definedName>
  </definedNames>
  <calcPr calcId="191028"/>
  <pivotCaches>
    <pivotCache cacheId="657" r:id="rId46"/>
    <pivotCache cacheId="658" r:id="rId47"/>
    <pivotCache cacheId="659" r:id="rId4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3" i="36" l="1"/>
  <c r="A102" i="55"/>
  <c r="A101" i="55"/>
  <c r="A100" i="55"/>
  <c r="A99" i="55"/>
  <c r="A98" i="55"/>
  <c r="L4" i="55"/>
  <c r="J4" i="55"/>
  <c r="H4" i="55"/>
  <c r="F4" i="55"/>
  <c r="L3" i="55"/>
  <c r="J3" i="55"/>
  <c r="H3" i="55"/>
  <c r="F3" i="55"/>
  <c r="V131" i="54"/>
  <c r="V130" i="54"/>
  <c r="V129" i="54" s="1"/>
  <c r="W130" i="54"/>
  <c r="W129" i="54" s="1"/>
  <c r="H130" i="54"/>
  <c r="G130" i="54"/>
  <c r="G129" i="54" s="1"/>
  <c r="H129" i="54"/>
  <c r="H127" i="54" s="1"/>
  <c r="W127" i="54"/>
  <c r="V127" i="54"/>
  <c r="G127" i="54"/>
  <c r="V126" i="54"/>
  <c r="W125" i="54"/>
  <c r="W124" i="54" s="1"/>
  <c r="V125" i="54"/>
  <c r="V124" i="54" s="1"/>
  <c r="H125" i="54"/>
  <c r="H124" i="54" s="1"/>
  <c r="G125" i="54"/>
  <c r="G124" i="54" s="1"/>
  <c r="V123" i="54"/>
  <c r="V122" i="54" s="1"/>
  <c r="V121" i="54" s="1"/>
  <c r="W122" i="54"/>
  <c r="W121" i="54" s="1"/>
  <c r="H122" i="54"/>
  <c r="H121" i="54" s="1"/>
  <c r="G122" i="54"/>
  <c r="G121" i="54" s="1"/>
  <c r="V117" i="54"/>
  <c r="V116" i="54" s="1"/>
  <c r="W116" i="54"/>
  <c r="H116" i="54"/>
  <c r="G116" i="54"/>
  <c r="V115" i="54"/>
  <c r="V114" i="54"/>
  <c r="V113" i="54"/>
  <c r="V112" i="54"/>
  <c r="W111" i="54"/>
  <c r="H111" i="54"/>
  <c r="G111" i="54"/>
  <c r="V110" i="54"/>
  <c r="V109" i="54"/>
  <c r="V108" i="54"/>
  <c r="V107" i="54"/>
  <c r="V106" i="54"/>
  <c r="V105" i="54"/>
  <c r="W104" i="54"/>
  <c r="H104" i="54"/>
  <c r="G104" i="54"/>
  <c r="V103" i="54"/>
  <c r="V102" i="54"/>
  <c r="V101" i="54"/>
  <c r="V100" i="54"/>
  <c r="V99" i="54"/>
  <c r="V98" i="54"/>
  <c r="V97" i="54"/>
  <c r="W96" i="54"/>
  <c r="H96" i="54"/>
  <c r="G96" i="54"/>
  <c r="V95" i="54"/>
  <c r="V94" i="54"/>
  <c r="V93" i="54"/>
  <c r="V92" i="54"/>
  <c r="V91" i="54"/>
  <c r="V90" i="54"/>
  <c r="V89" i="54"/>
  <c r="V88" i="54"/>
  <c r="V87" i="54"/>
  <c r="V85" i="54"/>
  <c r="V84" i="54"/>
  <c r="V83" i="54"/>
  <c r="W82" i="54"/>
  <c r="H82" i="54"/>
  <c r="G82" i="54"/>
  <c r="V80" i="54"/>
  <c r="V79" i="54" s="1"/>
  <c r="W79" i="54"/>
  <c r="H79" i="54"/>
  <c r="G79" i="54"/>
  <c r="V78" i="54"/>
  <c r="V77" i="54"/>
  <c r="W76" i="54"/>
  <c r="H76" i="54"/>
  <c r="G76" i="54"/>
  <c r="V75" i="54"/>
  <c r="V74" i="54"/>
  <c r="V73" i="54"/>
  <c r="W72" i="54"/>
  <c r="H72" i="54"/>
  <c r="G72" i="54"/>
  <c r="V71" i="54"/>
  <c r="V70" i="54"/>
  <c r="V69" i="54"/>
  <c r="V68" i="54"/>
  <c r="V67" i="54"/>
  <c r="G67" i="54"/>
  <c r="G63" i="54" s="1"/>
  <c r="V66" i="54"/>
  <c r="V65" i="54"/>
  <c r="V64" i="54"/>
  <c r="W63" i="54"/>
  <c r="H63" i="54"/>
  <c r="V61" i="54"/>
  <c r="V60" i="54"/>
  <c r="V59" i="54"/>
  <c r="W58" i="54"/>
  <c r="H58" i="54"/>
  <c r="G58" i="54"/>
  <c r="V57" i="54"/>
  <c r="V56" i="54"/>
  <c r="V55" i="54"/>
  <c r="V54" i="54"/>
  <c r="V53" i="54"/>
  <c r="V52" i="54"/>
  <c r="W51" i="54"/>
  <c r="H51" i="54"/>
  <c r="G51" i="54"/>
  <c r="V50" i="54"/>
  <c r="V49" i="54"/>
  <c r="V48" i="54"/>
  <c r="V47" i="54"/>
  <c r="V46" i="54"/>
  <c r="V45" i="54"/>
  <c r="V44" i="54"/>
  <c r="V43" i="54"/>
  <c r="V42" i="54"/>
  <c r="V41" i="54"/>
  <c r="V40" i="54"/>
  <c r="V39" i="54"/>
  <c r="V38" i="54"/>
  <c r="V37" i="54"/>
  <c r="V36" i="54"/>
  <c r="V35" i="54"/>
  <c r="W34" i="54"/>
  <c r="H34" i="54"/>
  <c r="G34" i="54"/>
  <c r="V33" i="54"/>
  <c r="V32" i="54"/>
  <c r="V31" i="54"/>
  <c r="V30" i="54"/>
  <c r="V29" i="54"/>
  <c r="V28" i="54"/>
  <c r="V27" i="54"/>
  <c r="V26" i="54"/>
  <c r="V25" i="54"/>
  <c r="V24" i="54"/>
  <c r="V23" i="54"/>
  <c r="V22" i="54"/>
  <c r="V21" i="54"/>
  <c r="W20" i="54"/>
  <c r="H20" i="54"/>
  <c r="G20" i="54"/>
  <c r="V18" i="54"/>
  <c r="V17" i="54" s="1"/>
  <c r="W17" i="54"/>
  <c r="H17" i="54"/>
  <c r="G17" i="54"/>
  <c r="V16" i="54"/>
  <c r="V15" i="54"/>
  <c r="V14" i="54"/>
  <c r="W13" i="54"/>
  <c r="H13" i="54"/>
  <c r="G13" i="54"/>
  <c r="V12" i="54"/>
  <c r="V11" i="54"/>
  <c r="V10" i="54"/>
  <c r="W9" i="54"/>
  <c r="H9" i="54"/>
  <c r="G9" i="54"/>
  <c r="V181" i="53"/>
  <c r="V180" i="53"/>
  <c r="W179" i="53"/>
  <c r="H179" i="53"/>
  <c r="G179" i="53"/>
  <c r="V178" i="53"/>
  <c r="V177" i="53"/>
  <c r="W176" i="53"/>
  <c r="H176" i="53"/>
  <c r="G176" i="53"/>
  <c r="V175" i="53"/>
  <c r="V174" i="53" s="1"/>
  <c r="W174" i="53"/>
  <c r="H174" i="53"/>
  <c r="G174" i="53"/>
  <c r="V173" i="53"/>
  <c r="V172" i="53"/>
  <c r="V171" i="53"/>
  <c r="W170" i="53"/>
  <c r="H170" i="53"/>
  <c r="G170" i="53"/>
  <c r="V169" i="53"/>
  <c r="V168" i="53"/>
  <c r="V167" i="53"/>
  <c r="W166" i="53"/>
  <c r="H166" i="53"/>
  <c r="G166" i="53"/>
  <c r="V164" i="53"/>
  <c r="V163" i="53"/>
  <c r="V162" i="53"/>
  <c r="W161" i="53"/>
  <c r="H161" i="53"/>
  <c r="G161" i="53"/>
  <c r="V160" i="53"/>
  <c r="V159" i="53"/>
  <c r="V158" i="53"/>
  <c r="V157" i="53"/>
  <c r="W156" i="53"/>
  <c r="H156" i="53"/>
  <c r="G156" i="53"/>
  <c r="V155" i="53"/>
  <c r="V154" i="53"/>
  <c r="V153" i="53"/>
  <c r="W152" i="53"/>
  <c r="H152" i="53"/>
  <c r="G152" i="53"/>
  <c r="V151" i="53"/>
  <c r="V150" i="53"/>
  <c r="V149" i="53"/>
  <c r="V148" i="53"/>
  <c r="V147" i="53"/>
  <c r="V146" i="53"/>
  <c r="V145" i="53"/>
  <c r="V144" i="53"/>
  <c r="V143" i="53"/>
  <c r="W142" i="53"/>
  <c r="H142" i="53"/>
  <c r="G142" i="53"/>
  <c r="V140" i="53"/>
  <c r="V139" i="53"/>
  <c r="V138" i="53"/>
  <c r="W137" i="53"/>
  <c r="H137" i="53"/>
  <c r="G137" i="53"/>
  <c r="V136" i="53"/>
  <c r="V135" i="53"/>
  <c r="W134" i="53"/>
  <c r="H134" i="53"/>
  <c r="G134" i="53"/>
  <c r="V133" i="53"/>
  <c r="V132" i="53"/>
  <c r="V131" i="53"/>
  <c r="W130" i="53"/>
  <c r="H130" i="53"/>
  <c r="G130" i="53"/>
  <c r="V128" i="53"/>
  <c r="V127" i="53"/>
  <c r="W126" i="53"/>
  <c r="H126" i="53"/>
  <c r="G126" i="53"/>
  <c r="V125" i="53"/>
  <c r="V124" i="53"/>
  <c r="W123" i="53"/>
  <c r="H123" i="53"/>
  <c r="G123" i="53"/>
  <c r="V122" i="53"/>
  <c r="V121" i="53" s="1"/>
  <c r="W121" i="53"/>
  <c r="H121" i="53"/>
  <c r="G121" i="53"/>
  <c r="V120" i="53"/>
  <c r="V119" i="53"/>
  <c r="V118" i="53"/>
  <c r="V117" i="53"/>
  <c r="V116" i="53"/>
  <c r="W115" i="53"/>
  <c r="H115" i="53"/>
  <c r="G115" i="53"/>
  <c r="V110" i="53"/>
  <c r="W109" i="53"/>
  <c r="H109" i="53"/>
  <c r="G109" i="53"/>
  <c r="V108" i="53"/>
  <c r="V107" i="53" s="1"/>
  <c r="W107" i="53"/>
  <c r="H107" i="53"/>
  <c r="G107" i="53"/>
  <c r="V106" i="53"/>
  <c r="V105" i="53" s="1"/>
  <c r="W105" i="53"/>
  <c r="H105" i="53"/>
  <c r="G105" i="53"/>
  <c r="V104" i="53"/>
  <c r="V103" i="53" s="1"/>
  <c r="W103" i="53"/>
  <c r="H103" i="53"/>
  <c r="G103" i="53"/>
  <c r="V102" i="53"/>
  <c r="V101" i="53"/>
  <c r="W100" i="53"/>
  <c r="H100" i="53"/>
  <c r="G100" i="53"/>
  <c r="V98" i="53"/>
  <c r="V97" i="53"/>
  <c r="W96" i="53"/>
  <c r="H96" i="53"/>
  <c r="G96" i="53"/>
  <c r="V95" i="53"/>
  <c r="V94" i="53"/>
  <c r="V93" i="53"/>
  <c r="V92" i="53"/>
  <c r="W91" i="53"/>
  <c r="H91" i="53"/>
  <c r="G91" i="53"/>
  <c r="V90" i="53"/>
  <c r="V89" i="53"/>
  <c r="V88" i="53"/>
  <c r="W87" i="53"/>
  <c r="H87" i="53"/>
  <c r="G87" i="53"/>
  <c r="V86" i="53"/>
  <c r="V85" i="53"/>
  <c r="V84" i="53"/>
  <c r="V83" i="53"/>
  <c r="W82" i="53"/>
  <c r="H82" i="53"/>
  <c r="G82" i="53"/>
  <c r="V80" i="53"/>
  <c r="V79" i="53"/>
  <c r="W78" i="53"/>
  <c r="H78" i="53"/>
  <c r="G78" i="53"/>
  <c r="V77" i="53"/>
  <c r="V76" i="53"/>
  <c r="V75" i="53"/>
  <c r="W74" i="53"/>
  <c r="H74" i="53"/>
  <c r="G74" i="53"/>
  <c r="V73" i="53"/>
  <c r="V72" i="53"/>
  <c r="V71" i="53"/>
  <c r="W70" i="53"/>
  <c r="H70" i="53"/>
  <c r="G70" i="53"/>
  <c r="V69" i="53"/>
  <c r="V68" i="53"/>
  <c r="V67" i="53"/>
  <c r="W66" i="53"/>
  <c r="H66" i="53"/>
  <c r="G66" i="53"/>
  <c r="V64" i="53"/>
  <c r="V63" i="53" s="1"/>
  <c r="W63" i="53"/>
  <c r="H63" i="53"/>
  <c r="G63" i="53"/>
  <c r="V62" i="53"/>
  <c r="V61" i="53"/>
  <c r="V60" i="53"/>
  <c r="V59" i="53"/>
  <c r="W58" i="53"/>
  <c r="H58" i="53"/>
  <c r="G58" i="53"/>
  <c r="V57" i="53"/>
  <c r="V56" i="53"/>
  <c r="W55" i="53"/>
  <c r="H55" i="53"/>
  <c r="G55" i="53"/>
  <c r="V53" i="53"/>
  <c r="V52" i="53"/>
  <c r="V51" i="53"/>
  <c r="W50" i="53"/>
  <c r="H50" i="53"/>
  <c r="G50" i="53"/>
  <c r="V49" i="53"/>
  <c r="V48" i="53"/>
  <c r="V47" i="53"/>
  <c r="V46" i="53"/>
  <c r="W45" i="53"/>
  <c r="H45" i="53"/>
  <c r="G45" i="53"/>
  <c r="V44" i="53"/>
  <c r="V43" i="53"/>
  <c r="V42" i="53"/>
  <c r="W41" i="53"/>
  <c r="H41" i="53"/>
  <c r="G41" i="53"/>
  <c r="V39" i="53"/>
  <c r="V38" i="53" s="1"/>
  <c r="W38" i="53"/>
  <c r="H38" i="53"/>
  <c r="G38" i="53"/>
  <c r="V37" i="53"/>
  <c r="V36" i="53"/>
  <c r="V35" i="53"/>
  <c r="V34" i="53"/>
  <c r="V33" i="53"/>
  <c r="V32" i="53"/>
  <c r="V31" i="53"/>
  <c r="W30" i="53"/>
  <c r="H30" i="53"/>
  <c r="G30" i="53"/>
  <c r="V29" i="53"/>
  <c r="V28" i="53"/>
  <c r="V27" i="53"/>
  <c r="V26" i="53"/>
  <c r="V25" i="53"/>
  <c r="V24" i="53"/>
  <c r="V23" i="53"/>
  <c r="V22" i="53"/>
  <c r="V21" i="53"/>
  <c r="V20" i="53"/>
  <c r="V19" i="53"/>
  <c r="W18" i="53"/>
  <c r="H18" i="53"/>
  <c r="G18" i="53"/>
  <c r="W15" i="53"/>
  <c r="V15" i="53"/>
  <c r="H15" i="53"/>
  <c r="G15" i="53"/>
  <c r="V14" i="53"/>
  <c r="V13" i="53"/>
  <c r="W12" i="53"/>
  <c r="H12" i="53"/>
  <c r="H11" i="53" s="1"/>
  <c r="G12" i="53"/>
  <c r="G11" i="53" s="1"/>
  <c r="W9" i="53"/>
  <c r="W8" i="53" s="1"/>
  <c r="V9" i="53"/>
  <c r="V8" i="53" s="1"/>
  <c r="H9" i="53"/>
  <c r="H8" i="53" s="1"/>
  <c r="G9" i="53"/>
  <c r="G8" i="53" s="1"/>
  <c r="H81" i="54" l="1"/>
  <c r="W19" i="54"/>
  <c r="H62" i="54"/>
  <c r="W62" i="54"/>
  <c r="G81" i="54"/>
  <c r="V58" i="54"/>
  <c r="V9" i="54"/>
  <c r="V34" i="54"/>
  <c r="V72" i="54"/>
  <c r="V111" i="54"/>
  <c r="W81" i="54"/>
  <c r="V96" i="54"/>
  <c r="G62" i="54"/>
  <c r="V13" i="54"/>
  <c r="G19" i="54"/>
  <c r="H19" i="54"/>
  <c r="W8" i="54"/>
  <c r="G8" i="54"/>
  <c r="V76" i="54"/>
  <c r="V20" i="54"/>
  <c r="V63" i="54"/>
  <c r="V51" i="54"/>
  <c r="H8" i="54"/>
  <c r="V82" i="54"/>
  <c r="V104" i="54"/>
  <c r="V12" i="53"/>
  <c r="V11" i="53" s="1"/>
  <c r="V58" i="53"/>
  <c r="V179" i="53"/>
  <c r="V130" i="53"/>
  <c r="G54" i="53"/>
  <c r="V96" i="53"/>
  <c r="V134" i="53"/>
  <c r="V55" i="53"/>
  <c r="W141" i="53"/>
  <c r="V70" i="53"/>
  <c r="V78" i="53"/>
  <c r="W17" i="53"/>
  <c r="H54" i="53"/>
  <c r="G17" i="53"/>
  <c r="V50" i="53"/>
  <c r="V74" i="53"/>
  <c r="W54" i="53"/>
  <c r="H17" i="53"/>
  <c r="V82" i="53"/>
  <c r="V100" i="53"/>
  <c r="V99" i="53" s="1"/>
  <c r="V142" i="53"/>
  <c r="W129" i="53"/>
  <c r="V137" i="53"/>
  <c r="H114" i="53"/>
  <c r="G99" i="53"/>
  <c r="G114" i="53"/>
  <c r="V66" i="53"/>
  <c r="V91" i="53"/>
  <c r="V115" i="53"/>
  <c r="G129" i="53"/>
  <c r="V166" i="53"/>
  <c r="V161" i="53"/>
  <c r="V152" i="53"/>
  <c r="H65" i="53"/>
  <c r="V45" i="53"/>
  <c r="V123" i="53"/>
  <c r="H141" i="53"/>
  <c r="G141" i="53"/>
  <c r="V170" i="53"/>
  <c r="V41" i="53"/>
  <c r="V156" i="53"/>
  <c r="W40" i="53"/>
  <c r="G65" i="53"/>
  <c r="G81" i="53"/>
  <c r="W99" i="53"/>
  <c r="W11" i="53"/>
  <c r="H81" i="53"/>
  <c r="V87" i="53"/>
  <c r="H99" i="53"/>
  <c r="H165" i="53"/>
  <c r="V18" i="53"/>
  <c r="V30" i="53"/>
  <c r="G40" i="53"/>
  <c r="W114" i="53"/>
  <c r="W165" i="53"/>
  <c r="H40" i="53"/>
  <c r="W81" i="53"/>
  <c r="V109" i="53"/>
  <c r="V126" i="53"/>
  <c r="H129" i="53"/>
  <c r="V176" i="53"/>
  <c r="W65" i="53"/>
  <c r="G165" i="53"/>
  <c r="H375" i="11"/>
  <c r="H119" i="54" l="1"/>
  <c r="W119" i="54"/>
  <c r="G119" i="54"/>
  <c r="W6" i="54"/>
  <c r="V8" i="54"/>
  <c r="V19" i="54"/>
  <c r="G6" i="54"/>
  <c r="V119" i="54"/>
  <c r="V81" i="54"/>
  <c r="H6" i="54"/>
  <c r="V62" i="54"/>
  <c r="V54" i="53"/>
  <c r="V129" i="53"/>
  <c r="G112" i="53"/>
  <c r="V81" i="53"/>
  <c r="V141" i="53"/>
  <c r="V65" i="53"/>
  <c r="V114" i="53"/>
  <c r="H112" i="53"/>
  <c r="H6" i="53"/>
  <c r="W112" i="53"/>
  <c r="V165" i="53"/>
  <c r="V17" i="53"/>
  <c r="W6" i="53"/>
  <c r="G6" i="53"/>
  <c r="V40" i="53"/>
  <c r="W2" i="54" l="1"/>
  <c r="G2" i="54"/>
  <c r="H2" i="54"/>
  <c r="Y4" i="54" s="1"/>
  <c r="V6" i="54"/>
  <c r="V2" i="54" s="1"/>
  <c r="X4" i="54" s="1"/>
  <c r="W2" i="53"/>
  <c r="V112" i="53"/>
  <c r="H2" i="53"/>
  <c r="G2" i="53"/>
  <c r="V6" i="53"/>
  <c r="G48" i="52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Y2" i="54" l="1"/>
  <c r="X2" i="54"/>
  <c r="Y4" i="53"/>
  <c r="V2" i="53"/>
  <c r="X4" i="53" s="1"/>
  <c r="Y2" i="53"/>
  <c r="W46" i="52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X2" i="53" l="1"/>
  <c r="H46" i="52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L87" i="36"/>
  <c r="L84" i="36"/>
  <c r="A104" i="41" l="1"/>
  <c r="W4" i="41"/>
  <c r="V4" i="41" s="1"/>
  <c r="AK4" i="41" s="1"/>
  <c r="A4" i="41"/>
  <c r="Q4" i="41" s="1"/>
  <c r="R4" i="41" s="1"/>
  <c r="AA4" i="41"/>
  <c r="A5" i="41"/>
  <c r="Q5" i="41" s="1"/>
  <c r="R5" i="41" s="1"/>
  <c r="W5" i="41"/>
  <c r="V5" i="41" s="1"/>
  <c r="A6" i="41"/>
  <c r="Q6" i="41" s="1"/>
  <c r="R6" i="41" s="1"/>
  <c r="W6" i="41"/>
  <c r="V6" i="41" s="1"/>
  <c r="AA6" i="41"/>
  <c r="A7" i="41"/>
  <c r="Q7" i="41" s="1"/>
  <c r="W7" i="41"/>
  <c r="V7" i="41" s="1"/>
  <c r="AA7" i="41"/>
  <c r="A8" i="41"/>
  <c r="Q8" i="41" s="1"/>
  <c r="R8" i="41" s="1"/>
  <c r="W8" i="41"/>
  <c r="V8" i="41" s="1"/>
  <c r="AK8" i="41" s="1"/>
  <c r="A9" i="41"/>
  <c r="R9" i="41"/>
  <c r="W9" i="41"/>
  <c r="V9" i="41" s="1"/>
  <c r="AK9" i="41" s="1"/>
  <c r="A10" i="41"/>
  <c r="R10" i="41"/>
  <c r="W10" i="41"/>
  <c r="V10" i="41" s="1"/>
  <c r="AK10" i="41" s="1"/>
  <c r="A11" i="41"/>
  <c r="Q11" i="41" s="1"/>
  <c r="R11" i="41" s="1"/>
  <c r="W11" i="41"/>
  <c r="V11" i="41" s="1"/>
  <c r="AA11" i="41"/>
  <c r="A12" i="41"/>
  <c r="Q12" i="41" s="1"/>
  <c r="R12" i="41" s="1"/>
  <c r="W12" i="41"/>
  <c r="V12" i="41" s="1"/>
  <c r="AA12" i="41"/>
  <c r="A13" i="41"/>
  <c r="Q13" i="41" s="1"/>
  <c r="R13" i="41" s="1"/>
  <c r="W13" i="41"/>
  <c r="V13" i="41" s="1"/>
  <c r="AA13" i="41"/>
  <c r="A14" i="41"/>
  <c r="Q14" i="41" s="1"/>
  <c r="R14" i="41" s="1"/>
  <c r="W14" i="41"/>
  <c r="V14" i="41" s="1"/>
  <c r="AA14" i="41"/>
  <c r="A15" i="41"/>
  <c r="Q15" i="41" s="1"/>
  <c r="R15" i="41" s="1"/>
  <c r="W15" i="41"/>
  <c r="V15" i="41" s="1"/>
  <c r="AK15" i="41" s="1"/>
  <c r="A16" i="41"/>
  <c r="Q16" i="41" s="1"/>
  <c r="R16" i="41" s="1"/>
  <c r="W16" i="41"/>
  <c r="V16" i="41" s="1"/>
  <c r="AK16" i="41" s="1"/>
  <c r="A17" i="41"/>
  <c r="Q17" i="41" s="1"/>
  <c r="R17" i="41" s="1"/>
  <c r="W17" i="41"/>
  <c r="V17" i="41" s="1"/>
  <c r="AA17" i="41"/>
  <c r="A18" i="41"/>
  <c r="Q18" i="41" s="1"/>
  <c r="R18" i="41" s="1"/>
  <c r="W18" i="41"/>
  <c r="V18" i="41" s="1"/>
  <c r="AA18" i="41"/>
  <c r="A19" i="41"/>
  <c r="Q19" i="41" s="1"/>
  <c r="R19" i="41" s="1"/>
  <c r="W19" i="41"/>
  <c r="V19" i="41" s="1"/>
  <c r="AK19" i="41" s="1"/>
  <c r="AA19" i="41"/>
  <c r="A20" i="41"/>
  <c r="Q20" i="41" s="1"/>
  <c r="R20" i="41" s="1"/>
  <c r="W20" i="41"/>
  <c r="V20" i="41" s="1"/>
  <c r="AA20" i="41"/>
  <c r="A21" i="41"/>
  <c r="Q21" i="41" s="1"/>
  <c r="R21" i="41" s="1"/>
  <c r="W21" i="41"/>
  <c r="V21" i="41" s="1"/>
  <c r="A22" i="41"/>
  <c r="Q22" i="41" s="1"/>
  <c r="R22" i="41" s="1"/>
  <c r="W22" i="41"/>
  <c r="V22" i="41" s="1"/>
  <c r="AA22" i="41"/>
  <c r="A23" i="41"/>
  <c r="Q23" i="41" s="1"/>
  <c r="R23" i="41" s="1"/>
  <c r="W23" i="41"/>
  <c r="V23" i="41" s="1"/>
  <c r="A24" i="41"/>
  <c r="Q24" i="41" s="1"/>
  <c r="R24" i="41" s="1"/>
  <c r="W24" i="41"/>
  <c r="V24" i="41" s="1"/>
  <c r="AK24" i="41" s="1"/>
  <c r="AA24" i="41"/>
  <c r="A25" i="41"/>
  <c r="Q25" i="41" s="1"/>
  <c r="R25" i="41" s="1"/>
  <c r="W25" i="41"/>
  <c r="V25" i="41" s="1"/>
  <c r="AA25" i="41"/>
  <c r="A26" i="41"/>
  <c r="Q26" i="41" s="1"/>
  <c r="R26" i="41" s="1"/>
  <c r="W26" i="41"/>
  <c r="V26" i="41" s="1"/>
  <c r="AA26" i="41"/>
  <c r="A27" i="41"/>
  <c r="Q27" i="41" s="1"/>
  <c r="R27" i="41" s="1"/>
  <c r="W27" i="41"/>
  <c r="V27" i="41" s="1"/>
  <c r="AK27" i="41" s="1"/>
  <c r="A28" i="41"/>
  <c r="Q28" i="41" s="1"/>
  <c r="R28" i="41" s="1"/>
  <c r="W28" i="41"/>
  <c r="V28" i="41" s="1"/>
  <c r="AK28" i="41" s="1"/>
  <c r="AA28" i="41"/>
  <c r="A29" i="41"/>
  <c r="Q29" i="41" s="1"/>
  <c r="R29" i="41" s="1"/>
  <c r="W29" i="41"/>
  <c r="V29" i="41" s="1"/>
  <c r="AA29" i="41"/>
  <c r="A30" i="41"/>
  <c r="O30" i="41" s="1"/>
  <c r="W30" i="41"/>
  <c r="V30" i="41" s="1"/>
  <c r="AA30" i="41"/>
  <c r="A31" i="41"/>
  <c r="Q31" i="41" s="1"/>
  <c r="R31" i="41" s="1"/>
  <c r="W31" i="41"/>
  <c r="V31" i="41" s="1"/>
  <c r="AA31" i="41"/>
  <c r="A32" i="41"/>
  <c r="Q32" i="41" s="1"/>
  <c r="R32" i="41" s="1"/>
  <c r="W32" i="41"/>
  <c r="V32" i="41" s="1"/>
  <c r="AA32" i="41"/>
  <c r="A33" i="41"/>
  <c r="Q33" i="41" s="1"/>
  <c r="R33" i="41" s="1"/>
  <c r="W33" i="41"/>
  <c r="V33" i="41" s="1"/>
  <c r="AA33" i="41"/>
  <c r="A34" i="41"/>
  <c r="Q34" i="41" s="1"/>
  <c r="R34" i="41" s="1"/>
  <c r="W34" i="41"/>
  <c r="V34" i="41" s="1"/>
  <c r="AA34" i="41"/>
  <c r="A35" i="41"/>
  <c r="Q35" i="41" s="1"/>
  <c r="R35" i="41" s="1"/>
  <c r="W35" i="41"/>
  <c r="V35" i="41" s="1"/>
  <c r="AA35" i="41"/>
  <c r="A36" i="41"/>
  <c r="Q36" i="41" s="1"/>
  <c r="R36" i="41" s="1"/>
  <c r="W36" i="41"/>
  <c r="V36" i="41" s="1"/>
  <c r="AA36" i="41"/>
  <c r="A37" i="41"/>
  <c r="Q37" i="41" s="1"/>
  <c r="R37" i="41" s="1"/>
  <c r="W37" i="41"/>
  <c r="V37" i="41" s="1"/>
  <c r="AA37" i="41"/>
  <c r="A38" i="41"/>
  <c r="Q38" i="41" s="1"/>
  <c r="R38" i="41" s="1"/>
  <c r="W38" i="41"/>
  <c r="V38" i="41" s="1"/>
  <c r="AK38" i="41" s="1"/>
  <c r="AA38" i="41"/>
  <c r="A39" i="41"/>
  <c r="Q39" i="41" s="1"/>
  <c r="R39" i="41" s="1"/>
  <c r="W39" i="41"/>
  <c r="V39" i="41" s="1"/>
  <c r="AA39" i="41"/>
  <c r="A40" i="41"/>
  <c r="Q40" i="41" s="1"/>
  <c r="R40" i="41" s="1"/>
  <c r="W40" i="41"/>
  <c r="V40" i="41" s="1"/>
  <c r="AA40" i="41"/>
  <c r="A41" i="41"/>
  <c r="Q41" i="41" s="1"/>
  <c r="R41" i="41" s="1"/>
  <c r="W41" i="41"/>
  <c r="V41" i="41" s="1"/>
  <c r="AA41" i="41"/>
  <c r="A42" i="41"/>
  <c r="Q42" i="41" s="1"/>
  <c r="R42" i="41" s="1"/>
  <c r="W42" i="41"/>
  <c r="V42" i="41" s="1"/>
  <c r="AA42" i="41"/>
  <c r="A43" i="41"/>
  <c r="O43" i="41" s="1"/>
  <c r="W43" i="41"/>
  <c r="V43" i="41" s="1"/>
  <c r="AA43" i="41"/>
  <c r="A44" i="41"/>
  <c r="Q44" i="41" s="1"/>
  <c r="R44" i="41" s="1"/>
  <c r="W44" i="41"/>
  <c r="V44" i="41" s="1"/>
  <c r="AA44" i="41"/>
  <c r="A45" i="41"/>
  <c r="O45" i="41" s="1"/>
  <c r="W45" i="41"/>
  <c r="V45" i="41" s="1"/>
  <c r="AA45" i="41"/>
  <c r="A46" i="41"/>
  <c r="Q46" i="41" s="1"/>
  <c r="R46" i="41" s="1"/>
  <c r="W46" i="41"/>
  <c r="V46" i="41" s="1"/>
  <c r="AA46" i="41"/>
  <c r="A47" i="41"/>
  <c r="Q47" i="41" s="1"/>
  <c r="R47" i="41" s="1"/>
  <c r="W47" i="41"/>
  <c r="V47" i="41" s="1"/>
  <c r="AA47" i="41"/>
  <c r="A48" i="41"/>
  <c r="O48" i="41" s="1"/>
  <c r="W48" i="41"/>
  <c r="V48" i="41" s="1"/>
  <c r="AA48" i="41"/>
  <c r="A49" i="41"/>
  <c r="O49" i="41" s="1"/>
  <c r="W49" i="41"/>
  <c r="V49" i="41" s="1"/>
  <c r="AA49" i="41"/>
  <c r="A50" i="41"/>
  <c r="Q50" i="41" s="1"/>
  <c r="R50" i="41" s="1"/>
  <c r="W50" i="41"/>
  <c r="V50" i="41" s="1"/>
  <c r="AA50" i="41"/>
  <c r="A51" i="41"/>
  <c r="Q51" i="41" s="1"/>
  <c r="R51" i="41" s="1"/>
  <c r="W51" i="41"/>
  <c r="V51" i="41" s="1"/>
  <c r="AA51" i="41"/>
  <c r="A52" i="41"/>
  <c r="Q52" i="41" s="1"/>
  <c r="R52" i="41" s="1"/>
  <c r="W52" i="41"/>
  <c r="V52" i="41" s="1"/>
  <c r="AA52" i="41"/>
  <c r="A53" i="41"/>
  <c r="Q53" i="41" s="1"/>
  <c r="R53" i="41" s="1"/>
  <c r="W53" i="41"/>
  <c r="V53" i="41" s="1"/>
  <c r="AA53" i="41"/>
  <c r="A54" i="41"/>
  <c r="Q54" i="41" s="1"/>
  <c r="R54" i="41" s="1"/>
  <c r="W54" i="41"/>
  <c r="V54" i="41" s="1"/>
  <c r="AA54" i="41"/>
  <c r="A55" i="41"/>
  <c r="Q55" i="41" s="1"/>
  <c r="R55" i="41" s="1"/>
  <c r="W55" i="41"/>
  <c r="V55" i="41" s="1"/>
  <c r="AA55" i="41"/>
  <c r="A56" i="41"/>
  <c r="O56" i="41" s="1"/>
  <c r="W56" i="41"/>
  <c r="V56" i="41" s="1"/>
  <c r="AA56" i="41"/>
  <c r="A57" i="41"/>
  <c r="Q57" i="41" s="1"/>
  <c r="R57" i="41" s="1"/>
  <c r="W57" i="41"/>
  <c r="V57" i="41" s="1"/>
  <c r="AA57" i="41"/>
  <c r="A58" i="41"/>
  <c r="Q58" i="41" s="1"/>
  <c r="R58" i="41" s="1"/>
  <c r="W58" i="41"/>
  <c r="V58" i="41" s="1"/>
  <c r="AA58" i="41"/>
  <c r="A59" i="41"/>
  <c r="Q59" i="41" s="1"/>
  <c r="R59" i="41" s="1"/>
  <c r="W59" i="41"/>
  <c r="V59" i="41" s="1"/>
  <c r="AA59" i="41"/>
  <c r="A60" i="41"/>
  <c r="Q60" i="41" s="1"/>
  <c r="R60" i="41" s="1"/>
  <c r="W60" i="41"/>
  <c r="V60" i="41" s="1"/>
  <c r="AA60" i="41"/>
  <c r="A61" i="41"/>
  <c r="Q61" i="41" s="1"/>
  <c r="R61" i="41" s="1"/>
  <c r="W61" i="41"/>
  <c r="V61" i="41" s="1"/>
  <c r="AA61" i="41"/>
  <c r="A62" i="41"/>
  <c r="Q62" i="41" s="1"/>
  <c r="R62" i="41" s="1"/>
  <c r="W62" i="41"/>
  <c r="V62" i="41" s="1"/>
  <c r="AA62" i="41"/>
  <c r="A63" i="41"/>
  <c r="Q63" i="41" s="1"/>
  <c r="R63" i="41" s="1"/>
  <c r="W63" i="41"/>
  <c r="V63" i="41" s="1"/>
  <c r="AA63" i="41"/>
  <c r="A64" i="41"/>
  <c r="Q64" i="41" s="1"/>
  <c r="R64" i="41" s="1"/>
  <c r="W64" i="41"/>
  <c r="V64" i="41" s="1"/>
  <c r="AA64" i="41"/>
  <c r="A65" i="41"/>
  <c r="Q65" i="41" s="1"/>
  <c r="R65" i="41" s="1"/>
  <c r="W65" i="41"/>
  <c r="V65" i="41" s="1"/>
  <c r="AA65" i="41"/>
  <c r="A66" i="41"/>
  <c r="O66" i="41" s="1"/>
  <c r="W66" i="41"/>
  <c r="V66" i="41" s="1"/>
  <c r="A67" i="41"/>
  <c r="Q67" i="41" s="1"/>
  <c r="R67" i="41" s="1"/>
  <c r="W67" i="41"/>
  <c r="V67" i="41" s="1"/>
  <c r="AA67" i="41"/>
  <c r="A68" i="41"/>
  <c r="Q68" i="41" s="1"/>
  <c r="R68" i="41" s="1"/>
  <c r="W68" i="41"/>
  <c r="V68" i="41" s="1"/>
  <c r="AA68" i="41"/>
  <c r="A69" i="41"/>
  <c r="Q69" i="41" s="1"/>
  <c r="R69" i="41" s="1"/>
  <c r="W69" i="41"/>
  <c r="V69" i="41" s="1"/>
  <c r="AA69" i="41"/>
  <c r="A70" i="41"/>
  <c r="Q70" i="41" s="1"/>
  <c r="R70" i="41" s="1"/>
  <c r="W70" i="41"/>
  <c r="V70" i="41" s="1"/>
  <c r="AA70" i="41"/>
  <c r="A71" i="41"/>
  <c r="Q71" i="41" s="1"/>
  <c r="R71" i="41" s="1"/>
  <c r="W71" i="41"/>
  <c r="V71" i="41" s="1"/>
  <c r="AA71" i="41"/>
  <c r="A72" i="41"/>
  <c r="Q72" i="41" s="1"/>
  <c r="R72" i="41" s="1"/>
  <c r="W72" i="41"/>
  <c r="V72" i="41" s="1"/>
  <c r="AA72" i="41"/>
  <c r="A73" i="41"/>
  <c r="Q73" i="41" s="1"/>
  <c r="R73" i="41" s="1"/>
  <c r="W73" i="41"/>
  <c r="V73" i="41" s="1"/>
  <c r="AA73" i="41"/>
  <c r="A74" i="41"/>
  <c r="Q74" i="41" s="1"/>
  <c r="R74" i="41" s="1"/>
  <c r="W74" i="41"/>
  <c r="V74" i="41" s="1"/>
  <c r="AA74" i="41"/>
  <c r="A75" i="41"/>
  <c r="Q75" i="41" s="1"/>
  <c r="R75" i="41" s="1"/>
  <c r="W75" i="41"/>
  <c r="V75" i="41" s="1"/>
  <c r="AA75" i="41"/>
  <c r="A76" i="41"/>
  <c r="Q76" i="41" s="1"/>
  <c r="R76" i="41" s="1"/>
  <c r="W76" i="41"/>
  <c r="V76" i="41" s="1"/>
  <c r="AA76" i="41"/>
  <c r="A77" i="41"/>
  <c r="Q77" i="41" s="1"/>
  <c r="R77" i="41" s="1"/>
  <c r="W77" i="41"/>
  <c r="V77" i="41" s="1"/>
  <c r="AA77" i="41"/>
  <c r="A78" i="41"/>
  <c r="Q78" i="41" s="1"/>
  <c r="R78" i="41" s="1"/>
  <c r="W78" i="41"/>
  <c r="V78" i="41" s="1"/>
  <c r="AA78" i="41"/>
  <c r="A79" i="41"/>
  <c r="Q79" i="41" s="1"/>
  <c r="W79" i="41"/>
  <c r="V79" i="41" s="1"/>
  <c r="A80" i="41"/>
  <c r="Q80" i="41" s="1"/>
  <c r="R80" i="41" s="1"/>
  <c r="W80" i="41"/>
  <c r="V80" i="41" s="1"/>
  <c r="AA80" i="41"/>
  <c r="A81" i="41"/>
  <c r="Q81" i="41" s="1"/>
  <c r="R81" i="41" s="1"/>
  <c r="W81" i="41"/>
  <c r="V81" i="41" s="1"/>
  <c r="AA81" i="41"/>
  <c r="A82" i="41"/>
  <c r="Q82" i="41" s="1"/>
  <c r="R82" i="41" s="1"/>
  <c r="W82" i="41"/>
  <c r="V82" i="41" s="1"/>
  <c r="AA82" i="41"/>
  <c r="A83" i="41"/>
  <c r="Q83" i="41" s="1"/>
  <c r="R83" i="41" s="1"/>
  <c r="W83" i="41"/>
  <c r="V83" i="41" s="1"/>
  <c r="AA83" i="41"/>
  <c r="A84" i="41"/>
  <c r="Q84" i="41" s="1"/>
  <c r="R84" i="41" s="1"/>
  <c r="W84" i="41"/>
  <c r="V84" i="41" s="1"/>
  <c r="AA84" i="41"/>
  <c r="A85" i="41"/>
  <c r="Q85" i="41" s="1"/>
  <c r="R85" i="41" s="1"/>
  <c r="W85" i="41"/>
  <c r="V85" i="41" s="1"/>
  <c r="AA85" i="41"/>
  <c r="A86" i="41"/>
  <c r="Q86" i="41" s="1"/>
  <c r="R86" i="41" s="1"/>
  <c r="W86" i="41"/>
  <c r="V86" i="41" s="1"/>
  <c r="AA86" i="41"/>
  <c r="A87" i="41"/>
  <c r="Q87" i="41" s="1"/>
  <c r="R87" i="41" s="1"/>
  <c r="W87" i="41"/>
  <c r="V87" i="41" s="1"/>
  <c r="AA87" i="41"/>
  <c r="A88" i="41"/>
  <c r="Q88" i="41" s="1"/>
  <c r="R88" i="41" s="1"/>
  <c r="W88" i="41"/>
  <c r="V88" i="41" s="1"/>
  <c r="AA88" i="41"/>
  <c r="A89" i="41"/>
  <c r="Q89" i="41" s="1"/>
  <c r="R89" i="41" s="1"/>
  <c r="W89" i="41"/>
  <c r="V89" i="41" s="1"/>
  <c r="AA89" i="41"/>
  <c r="A90" i="41"/>
  <c r="Q90" i="41" s="1"/>
  <c r="R90" i="41" s="1"/>
  <c r="W90" i="41"/>
  <c r="V90" i="41" s="1"/>
  <c r="AA90" i="41"/>
  <c r="A91" i="41"/>
  <c r="Q91" i="41"/>
  <c r="R91" i="41" s="1"/>
  <c r="W91" i="41"/>
  <c r="V91" i="41" s="1"/>
  <c r="AA91" i="41"/>
  <c r="A92" i="41"/>
  <c r="Q92" i="41" s="1"/>
  <c r="R92" i="41" s="1"/>
  <c r="W92" i="41"/>
  <c r="V92" i="41" s="1"/>
  <c r="AA92" i="41"/>
  <c r="A93" i="41"/>
  <c r="Q93" i="41" s="1"/>
  <c r="R93" i="41" s="1"/>
  <c r="W93" i="41"/>
  <c r="V93" i="41" s="1"/>
  <c r="A94" i="41"/>
  <c r="Q94" i="41" s="1"/>
  <c r="R94" i="41" s="1"/>
  <c r="W94" i="41"/>
  <c r="V94" i="41" s="1"/>
  <c r="A95" i="41"/>
  <c r="Q95" i="41" s="1"/>
  <c r="R95" i="41" s="1"/>
  <c r="W95" i="41"/>
  <c r="V95" i="41" s="1"/>
  <c r="AA95" i="41"/>
  <c r="A96" i="41"/>
  <c r="Q96" i="41" s="1"/>
  <c r="R96" i="41" s="1"/>
  <c r="W96" i="41"/>
  <c r="V96" i="41" s="1"/>
  <c r="AA96" i="41"/>
  <c r="A97" i="41"/>
  <c r="Q97" i="41" s="1"/>
  <c r="R97" i="41" s="1"/>
  <c r="W97" i="41"/>
  <c r="V97" i="41" s="1"/>
  <c r="AA97" i="41"/>
  <c r="A98" i="41"/>
  <c r="Q98" i="41" s="1"/>
  <c r="R98" i="41" s="1"/>
  <c r="W98" i="41"/>
  <c r="V98" i="41" s="1"/>
  <c r="AA98" i="41"/>
  <c r="A99" i="41"/>
  <c r="Q99" i="41" s="1"/>
  <c r="R99" i="41" s="1"/>
  <c r="W99" i="41"/>
  <c r="V99" i="41" s="1"/>
  <c r="AA99" i="41"/>
  <c r="A100" i="41"/>
  <c r="Q100" i="41" s="1"/>
  <c r="R100" i="41" s="1"/>
  <c r="W100" i="41"/>
  <c r="V100" i="41" s="1"/>
  <c r="AK100" i="41" s="1"/>
  <c r="AA100" i="41"/>
  <c r="A101" i="41"/>
  <c r="Q101" i="41" s="1"/>
  <c r="R101" i="41" s="1"/>
  <c r="W101" i="41"/>
  <c r="V101" i="41" s="1"/>
  <c r="AA101" i="41"/>
  <c r="A102" i="41"/>
  <c r="Q102" i="41" s="1"/>
  <c r="R102" i="41" s="1"/>
  <c r="W102" i="41"/>
  <c r="V102" i="41" s="1"/>
  <c r="AA102" i="41"/>
  <c r="A103" i="41"/>
  <c r="Q103" i="41" s="1"/>
  <c r="R103" i="41" s="1"/>
  <c r="V103" i="41"/>
  <c r="AA103" i="41"/>
  <c r="Q104" i="41"/>
  <c r="R104" i="41" s="1"/>
  <c r="AA104" i="41"/>
  <c r="A105" i="41"/>
  <c r="O105" i="41" s="1"/>
  <c r="AA105" i="41"/>
  <c r="A106" i="41"/>
  <c r="Q106" i="41" s="1"/>
  <c r="R106" i="41" s="1"/>
  <c r="W106" i="41"/>
  <c r="V106" i="41" s="1"/>
  <c r="AA106" i="41"/>
  <c r="A107" i="41"/>
  <c r="Q107" i="41" s="1"/>
  <c r="R107" i="41" s="1"/>
  <c r="W107" i="41"/>
  <c r="V107" i="41" s="1"/>
  <c r="AA107" i="41"/>
  <c r="A108" i="41"/>
  <c r="Q108" i="41" s="1"/>
  <c r="R108" i="41" s="1"/>
  <c r="V108" i="41"/>
  <c r="AA108" i="41"/>
  <c r="A109" i="41"/>
  <c r="Q109" i="41" s="1"/>
  <c r="R109" i="41" s="1"/>
  <c r="V109" i="41"/>
  <c r="AA109" i="41"/>
  <c r="A110" i="41"/>
  <c r="Q110" i="41" s="1"/>
  <c r="R110" i="41" s="1"/>
  <c r="W110" i="41"/>
  <c r="V110" i="41" s="1"/>
  <c r="AA110" i="41"/>
  <c r="A111" i="41"/>
  <c r="Q111" i="41" s="1"/>
  <c r="R111" i="41" s="1"/>
  <c r="W111" i="41"/>
  <c r="V111" i="41" s="1"/>
  <c r="AA111" i="41"/>
  <c r="A112" i="41"/>
  <c r="Q112" i="41" s="1"/>
  <c r="R112" i="41" s="1"/>
  <c r="AA112" i="41"/>
  <c r="A113" i="41"/>
  <c r="Q113" i="41" s="1"/>
  <c r="R113" i="41" s="1"/>
  <c r="V113" i="41"/>
  <c r="AA113" i="41"/>
  <c r="A114" i="41"/>
  <c r="Q114" i="41" s="1"/>
  <c r="R114" i="41" s="1"/>
  <c r="W114" i="41"/>
  <c r="V114" i="41" s="1"/>
  <c r="AA114" i="41"/>
  <c r="A115" i="41"/>
  <c r="R115" i="41"/>
  <c r="V115" i="41"/>
  <c r="AA115" i="41"/>
  <c r="A116" i="41"/>
  <c r="R116" i="41"/>
  <c r="V116" i="41"/>
  <c r="AA116" i="41"/>
  <c r="A117" i="41"/>
  <c r="R117" i="41"/>
  <c r="V117" i="41"/>
  <c r="AA117" i="41"/>
  <c r="A118" i="41"/>
  <c r="R118" i="41"/>
  <c r="V118" i="41"/>
  <c r="AA118" i="41"/>
  <c r="A119" i="41"/>
  <c r="R119" i="41"/>
  <c r="V119" i="41"/>
  <c r="AA119" i="41"/>
  <c r="A120" i="41"/>
  <c r="R120" i="41"/>
  <c r="V120" i="41"/>
  <c r="AA120" i="41"/>
  <c r="A121" i="41"/>
  <c r="O121" i="41" s="1"/>
  <c r="V121" i="41"/>
  <c r="AA121" i="41"/>
  <c r="A122" i="41"/>
  <c r="Q122" i="41" s="1"/>
  <c r="R122" i="41" s="1"/>
  <c r="V122" i="41"/>
  <c r="AA122" i="41"/>
  <c r="A123" i="41"/>
  <c r="Q123" i="41" s="1"/>
  <c r="R123" i="41" s="1"/>
  <c r="W123" i="41"/>
  <c r="V123" i="41" s="1"/>
  <c r="AK123" i="41" s="1"/>
  <c r="AA123" i="41"/>
  <c r="A124" i="41"/>
  <c r="Q124" i="41" s="1"/>
  <c r="R124" i="41" s="1"/>
  <c r="W124" i="41"/>
  <c r="V124" i="41" s="1"/>
  <c r="AA124" i="41"/>
  <c r="AM2" i="41"/>
  <c r="O111" i="41" l="1"/>
  <c r="O108" i="41"/>
  <c r="Q56" i="41"/>
  <c r="R56" i="41" s="1"/>
  <c r="Q105" i="41"/>
  <c r="R105" i="41" s="1"/>
  <c r="O104" i="41"/>
  <c r="Q43" i="41"/>
  <c r="R43" i="41" s="1"/>
  <c r="O46" i="41"/>
  <c r="O112" i="41"/>
  <c r="O109" i="41"/>
  <c r="O61" i="41"/>
  <c r="Q66" i="41"/>
  <c r="R66" i="41" s="1"/>
  <c r="Q45" i="41"/>
  <c r="R45" i="41" s="1"/>
  <c r="Q121" i="41"/>
  <c r="R121" i="41" s="1"/>
  <c r="O42" i="41"/>
  <c r="R7" i="41"/>
  <c r="Q49" i="41"/>
  <c r="R49" i="41" s="1"/>
  <c r="R30" i="41"/>
  <c r="Q48" i="41"/>
  <c r="R48" i="41" s="1"/>
  <c r="M5" i="37" l="1"/>
  <c r="M4" i="37"/>
  <c r="L6" i="37"/>
  <c r="M7" i="37"/>
  <c r="M6" i="37" s="1"/>
  <c r="M8" i="37"/>
  <c r="H538" i="11" l="1"/>
  <c r="V543" i="11"/>
  <c r="L132" i="36" l="1"/>
  <c r="M132" i="36"/>
  <c r="K132" i="36"/>
  <c r="J132" i="36"/>
  <c r="L129" i="36"/>
  <c r="L126" i="36"/>
  <c r="L123" i="36"/>
  <c r="L120" i="36"/>
  <c r="L117" i="36"/>
  <c r="L114" i="36"/>
  <c r="L111" i="36"/>
  <c r="L108" i="36"/>
  <c r="L105" i="36"/>
  <c r="L102" i="36"/>
  <c r="L99" i="36"/>
  <c r="L96" i="36"/>
  <c r="L93" i="36"/>
  <c r="L90" i="36"/>
  <c r="L81" i="36"/>
  <c r="M80" i="36"/>
  <c r="K80" i="36"/>
  <c r="J80" i="36"/>
  <c r="L76" i="36"/>
  <c r="L73" i="36"/>
  <c r="L70" i="36"/>
  <c r="L67" i="36"/>
  <c r="L64" i="36"/>
  <c r="L61" i="36"/>
  <c r="L55" i="36"/>
  <c r="L52" i="36"/>
  <c r="L48" i="36"/>
  <c r="L31" i="36"/>
  <c r="L8" i="36"/>
  <c r="M7" i="36"/>
  <c r="K7" i="36"/>
  <c r="J7" i="36"/>
  <c r="K26" i="31"/>
  <c r="J26" i="31"/>
  <c r="K22" i="31"/>
  <c r="J22" i="31"/>
  <c r="K20" i="31"/>
  <c r="J20" i="31"/>
  <c r="K18" i="31"/>
  <c r="J18" i="31"/>
  <c r="K3" i="31"/>
  <c r="J3" i="31"/>
  <c r="L80" i="36" l="1"/>
  <c r="L7" i="36"/>
  <c r="V653" i="33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V10" i="11"/>
  <c r="V11" i="11"/>
  <c r="V12" i="11"/>
  <c r="V13" i="11"/>
  <c r="V15" i="11"/>
  <c r="V16" i="11"/>
  <c r="V17" i="11"/>
  <c r="V19" i="11"/>
  <c r="V18" i="11" s="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50" i="11"/>
  <c r="V51" i="11"/>
  <c r="V52" i="11"/>
  <c r="V53" i="11"/>
  <c r="V55" i="11"/>
  <c r="V56" i="11"/>
  <c r="V59" i="11"/>
  <c r="V60" i="11"/>
  <c r="V61" i="11"/>
  <c r="V63" i="11"/>
  <c r="V64" i="11"/>
  <c r="V65" i="11"/>
  <c r="V67" i="11"/>
  <c r="V68" i="11"/>
  <c r="V70" i="11"/>
  <c r="V69" i="11" s="1"/>
  <c r="V74" i="11"/>
  <c r="V75" i="11"/>
  <c r="V76" i="11"/>
  <c r="V77" i="11"/>
  <c r="V78" i="11"/>
  <c r="V79" i="11"/>
  <c r="V80" i="11"/>
  <c r="V81" i="11"/>
  <c r="V83" i="11"/>
  <c r="V84" i="11"/>
  <c r="V85" i="11"/>
  <c r="V87" i="11"/>
  <c r="V88" i="11"/>
  <c r="V89" i="11"/>
  <c r="V91" i="11"/>
  <c r="V90" i="11" s="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5" i="11"/>
  <c r="V116" i="11"/>
  <c r="V117" i="11"/>
  <c r="V118" i="11"/>
  <c r="V119" i="11"/>
  <c r="V120" i="11"/>
  <c r="V121" i="11"/>
  <c r="V123" i="11"/>
  <c r="V124" i="11"/>
  <c r="V125" i="11"/>
  <c r="V126" i="11"/>
  <c r="V127" i="11"/>
  <c r="V128" i="11"/>
  <c r="V129" i="11"/>
  <c r="V130" i="11"/>
  <c r="V131" i="11"/>
  <c r="V132" i="11"/>
  <c r="V134" i="11"/>
  <c r="V135" i="11"/>
  <c r="V138" i="11"/>
  <c r="V139" i="11"/>
  <c r="V140" i="11"/>
  <c r="V143" i="11"/>
  <c r="V144" i="11"/>
  <c r="V146" i="11"/>
  <c r="V147" i="11"/>
  <c r="V148" i="11"/>
  <c r="V151" i="11"/>
  <c r="V152" i="11"/>
  <c r="V153" i="11"/>
  <c r="V154" i="11"/>
  <c r="V155" i="11"/>
  <c r="V156" i="11"/>
  <c r="V157" i="11"/>
  <c r="V158" i="11"/>
  <c r="V159" i="11"/>
  <c r="V160" i="11"/>
  <c r="V162" i="11"/>
  <c r="V163" i="11"/>
  <c r="V164" i="11"/>
  <c r="V165" i="11"/>
  <c r="V166" i="11"/>
  <c r="V167" i="11"/>
  <c r="V168" i="11"/>
  <c r="V169" i="11"/>
  <c r="V170" i="11"/>
  <c r="V171" i="11"/>
  <c r="V172" i="11"/>
  <c r="V175" i="11"/>
  <c r="V176" i="11"/>
  <c r="V177" i="11"/>
  <c r="V179" i="11"/>
  <c r="V180" i="11"/>
  <c r="V181" i="11"/>
  <c r="V182" i="11"/>
  <c r="V184" i="11"/>
  <c r="V185" i="11"/>
  <c r="V188" i="11"/>
  <c r="V189" i="11"/>
  <c r="V190" i="11"/>
  <c r="V191" i="11"/>
  <c r="V193" i="11"/>
  <c r="V194" i="11"/>
  <c r="V195" i="11"/>
  <c r="V196" i="11"/>
  <c r="V197" i="11"/>
  <c r="V199" i="11"/>
  <c r="V198" i="11" s="1"/>
  <c r="V202" i="11"/>
  <c r="V203" i="11"/>
  <c r="V204" i="11"/>
  <c r="V205" i="11"/>
  <c r="V207" i="11"/>
  <c r="V208" i="11"/>
  <c r="V209" i="11"/>
  <c r="V210" i="11"/>
  <c r="V212" i="11"/>
  <c r="V211" i="11" s="1"/>
  <c r="V215" i="11"/>
  <c r="V214" i="11" s="1"/>
  <c r="V213" i="11" s="1"/>
  <c r="V218" i="11"/>
  <c r="V219" i="11"/>
  <c r="V220" i="11"/>
  <c r="V221" i="11"/>
  <c r="V222" i="11"/>
  <c r="V223" i="11"/>
  <c r="V224" i="11"/>
  <c r="V225" i="11"/>
  <c r="V226" i="11"/>
  <c r="V227" i="11"/>
  <c r="V228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2" i="11"/>
  <c r="V251" i="11" s="1"/>
  <c r="V255" i="11"/>
  <c r="V256" i="11"/>
  <c r="V257" i="11"/>
  <c r="V258" i="11"/>
  <c r="V259" i="11"/>
  <c r="V260" i="11"/>
  <c r="V262" i="11"/>
  <c r="V265" i="11"/>
  <c r="V266" i="11"/>
  <c r="V267" i="11"/>
  <c r="V268" i="11"/>
  <c r="V269" i="11"/>
  <c r="V270" i="11"/>
  <c r="V272" i="11"/>
  <c r="V273" i="11"/>
  <c r="V276" i="11"/>
  <c r="V277" i="11"/>
  <c r="V279" i="11"/>
  <c r="V278" i="11" s="1"/>
  <c r="V281" i="11"/>
  <c r="V280" i="11" s="1"/>
  <c r="V283" i="11"/>
  <c r="V282" i="11" s="1"/>
  <c r="V286" i="11"/>
  <c r="V287" i="11"/>
  <c r="V288" i="11"/>
  <c r="V289" i="11"/>
  <c r="V290" i="11"/>
  <c r="V292" i="11"/>
  <c r="V293" i="11"/>
  <c r="V295" i="11"/>
  <c r="V296" i="11"/>
  <c r="V297" i="11"/>
  <c r="V299" i="11"/>
  <c r="V300" i="11"/>
  <c r="V301" i="11"/>
  <c r="V304" i="11"/>
  <c r="V305" i="11"/>
  <c r="V307" i="11"/>
  <c r="V308" i="11"/>
  <c r="V310" i="11"/>
  <c r="V311" i="11"/>
  <c r="V313" i="11"/>
  <c r="V314" i="11"/>
  <c r="V317" i="11"/>
  <c r="V318" i="11"/>
  <c r="V319" i="11"/>
  <c r="V320" i="11"/>
  <c r="V322" i="11"/>
  <c r="V323" i="11"/>
  <c r="V324" i="11"/>
  <c r="V326" i="11"/>
  <c r="V327" i="11"/>
  <c r="V328" i="11"/>
  <c r="V329" i="11"/>
  <c r="V331" i="11"/>
  <c r="V332" i="11"/>
  <c r="V335" i="11"/>
  <c r="V336" i="11"/>
  <c r="V337" i="11"/>
  <c r="V338" i="11"/>
  <c r="V340" i="11"/>
  <c r="V339" i="11" s="1"/>
  <c r="V342" i="11"/>
  <c r="V341" i="11" s="1"/>
  <c r="V345" i="11"/>
  <c r="V346" i="11"/>
  <c r="V348" i="11"/>
  <c r="V347" i="11" s="1"/>
  <c r="V350" i="11"/>
  <c r="V349" i="11" s="1"/>
  <c r="V352" i="11"/>
  <c r="V351" i="11" s="1"/>
  <c r="V354" i="11"/>
  <c r="V366" i="11"/>
  <c r="V389" i="11"/>
  <c r="V390" i="11"/>
  <c r="V396" i="11"/>
  <c r="V397" i="11"/>
  <c r="V398" i="11"/>
  <c r="V399" i="11"/>
  <c r="V400" i="11"/>
  <c r="V402" i="11"/>
  <c r="V401" i="11" s="1"/>
  <c r="V404" i="11"/>
  <c r="V405" i="11"/>
  <c r="V407" i="11"/>
  <c r="V408" i="11"/>
  <c r="V411" i="11"/>
  <c r="V412" i="11"/>
  <c r="V414" i="11"/>
  <c r="V413" i="11" s="1"/>
  <c r="V416" i="11"/>
  <c r="V415" i="11" s="1"/>
  <c r="V418" i="11"/>
  <c r="V417" i="11" s="1"/>
  <c r="V421" i="11"/>
  <c r="V422" i="11"/>
  <c r="V423" i="11"/>
  <c r="V425" i="11"/>
  <c r="V426" i="11"/>
  <c r="V428" i="11"/>
  <c r="V429" i="11"/>
  <c r="V430" i="11"/>
  <c r="V433" i="11"/>
  <c r="V434" i="11"/>
  <c r="V435" i="11"/>
  <c r="V436" i="11"/>
  <c r="V437" i="11"/>
  <c r="V438" i="11"/>
  <c r="V440" i="11"/>
  <c r="V441" i="11"/>
  <c r="V443" i="11"/>
  <c r="V444" i="11"/>
  <c r="V445" i="11"/>
  <c r="V447" i="11"/>
  <c r="V448" i="11"/>
  <c r="V451" i="11"/>
  <c r="V452" i="11"/>
  <c r="V453" i="11"/>
  <c r="V454" i="11"/>
  <c r="V456" i="11"/>
  <c r="V455" i="11" s="1"/>
  <c r="V458" i="11"/>
  <c r="V459" i="11"/>
  <c r="V461" i="11"/>
  <c r="V460" i="11" s="1"/>
  <c r="V464" i="11"/>
  <c r="V465" i="11"/>
  <c r="V466" i="11"/>
  <c r="V467" i="11"/>
  <c r="V469" i="11"/>
  <c r="V468" i="11" s="1"/>
  <c r="V471" i="11"/>
  <c r="V472" i="11"/>
  <c r="V474" i="11"/>
  <c r="V473" i="11" s="1"/>
  <c r="V477" i="11"/>
  <c r="V478" i="11"/>
  <c r="V479" i="11"/>
  <c r="V480" i="11"/>
  <c r="V481" i="11"/>
  <c r="V482" i="11"/>
  <c r="V484" i="11"/>
  <c r="V485" i="11"/>
  <c r="V486" i="11"/>
  <c r="V488" i="11"/>
  <c r="V489" i="11"/>
  <c r="V490" i="11"/>
  <c r="V492" i="11"/>
  <c r="V493" i="11"/>
  <c r="V494" i="11"/>
  <c r="V496" i="11"/>
  <c r="V497" i="11"/>
  <c r="V498" i="11"/>
  <c r="V501" i="11"/>
  <c r="V502" i="11"/>
  <c r="V503" i="11"/>
  <c r="V504" i="11"/>
  <c r="V506" i="11"/>
  <c r="V505" i="11" s="1"/>
  <c r="V508" i="11"/>
  <c r="V509" i="11"/>
  <c r="V510" i="11"/>
  <c r="V512" i="11"/>
  <c r="V513" i="11"/>
  <c r="V514" i="11"/>
  <c r="V516" i="11"/>
  <c r="V517" i="11"/>
  <c r="V518" i="11"/>
  <c r="V521" i="11"/>
  <c r="V522" i="11"/>
  <c r="V523" i="11"/>
  <c r="V525" i="11"/>
  <c r="V524" i="11" s="1"/>
  <c r="V527" i="11"/>
  <c r="V528" i="11"/>
  <c r="V530" i="11"/>
  <c r="V531" i="11"/>
  <c r="V532" i="11"/>
  <c r="V534" i="11"/>
  <c r="V535" i="11"/>
  <c r="V536" i="11"/>
  <c r="V539" i="11"/>
  <c r="V540" i="11"/>
  <c r="V541" i="11"/>
  <c r="V542" i="11"/>
  <c r="V545" i="11"/>
  <c r="V546" i="11"/>
  <c r="V548" i="11"/>
  <c r="V549" i="11"/>
  <c r="V550" i="11"/>
  <c r="V551" i="11"/>
  <c r="V552" i="11"/>
  <c r="V554" i="11"/>
  <c r="V555" i="11"/>
  <c r="V556" i="11"/>
  <c r="V557" i="11"/>
  <c r="V558" i="11"/>
  <c r="V560" i="11"/>
  <c r="V561" i="11"/>
  <c r="V562" i="11"/>
  <c r="V563" i="11"/>
  <c r="V564" i="11"/>
  <c r="V567" i="11"/>
  <c r="V568" i="11"/>
  <c r="V570" i="11"/>
  <c r="V569" i="11" s="1"/>
  <c r="V572" i="11"/>
  <c r="V571" i="11" s="1"/>
  <c r="V574" i="11"/>
  <c r="V573" i="11" s="1"/>
  <c r="V577" i="11"/>
  <c r="V576" i="11" s="1"/>
  <c r="V575" i="11" s="1"/>
  <c r="V580" i="11"/>
  <c r="V579" i="11" s="1"/>
  <c r="V578" i="11" s="1"/>
  <c r="V582" i="11"/>
  <c r="V586" i="11"/>
  <c r="V588" i="11"/>
  <c r="V591" i="11"/>
  <c r="V596" i="11"/>
  <c r="V597" i="11"/>
  <c r="V599" i="11"/>
  <c r="V598" i="11" s="1"/>
  <c r="V601" i="11"/>
  <c r="V602" i="11"/>
  <c r="V604" i="11"/>
  <c r="V603" i="11" s="1"/>
  <c r="V607" i="11"/>
  <c r="V608" i="11"/>
  <c r="V609" i="11"/>
  <c r="V611" i="11"/>
  <c r="V610" i="11" s="1"/>
  <c r="V613" i="11"/>
  <c r="V614" i="11"/>
  <c r="V616" i="11"/>
  <c r="V617" i="11"/>
  <c r="V620" i="11"/>
  <c r="V621" i="11"/>
  <c r="V622" i="11"/>
  <c r="V623" i="11"/>
  <c r="V625" i="11"/>
  <c r="V624" i="11" s="1"/>
  <c r="V627" i="11"/>
  <c r="V628" i="11"/>
  <c r="V630" i="11"/>
  <c r="V631" i="11"/>
  <c r="V634" i="11"/>
  <c r="V633" i="11" s="1"/>
  <c r="V632" i="11" s="1"/>
  <c r="V637" i="11"/>
  <c r="V638" i="11"/>
  <c r="V640" i="11"/>
  <c r="V641" i="11"/>
  <c r="V643" i="11"/>
  <c r="V644" i="11"/>
  <c r="V646" i="11"/>
  <c r="V645" i="11" s="1"/>
  <c r="V648" i="11"/>
  <c r="V647" i="11" s="1"/>
  <c r="V650" i="11"/>
  <c r="V649" i="11" s="1"/>
  <c r="W649" i="11"/>
  <c r="W647" i="11"/>
  <c r="W645" i="11"/>
  <c r="W642" i="11"/>
  <c r="W639" i="11"/>
  <c r="W636" i="11"/>
  <c r="W633" i="11"/>
  <c r="W632" i="11" s="1"/>
  <c r="W629" i="11"/>
  <c r="W626" i="11"/>
  <c r="W624" i="11"/>
  <c r="W619" i="11"/>
  <c r="W615" i="11"/>
  <c r="W612" i="11"/>
  <c r="W610" i="11"/>
  <c r="W606" i="11"/>
  <c r="W603" i="11"/>
  <c r="W600" i="11"/>
  <c r="W598" i="11"/>
  <c r="W595" i="11"/>
  <c r="W591" i="11"/>
  <c r="W588" i="11"/>
  <c r="W586" i="11"/>
  <c r="W582" i="11"/>
  <c r="W579" i="11"/>
  <c r="W578" i="11" s="1"/>
  <c r="W576" i="11"/>
  <c r="W575" i="11" s="1"/>
  <c r="W573" i="11"/>
  <c r="W571" i="11"/>
  <c r="W569" i="11"/>
  <c r="W566" i="11"/>
  <c r="W559" i="11"/>
  <c r="W553" i="11"/>
  <c r="W547" i="11"/>
  <c r="W544" i="11"/>
  <c r="W538" i="11"/>
  <c r="W533" i="11"/>
  <c r="W529" i="11"/>
  <c r="W526" i="11"/>
  <c r="W524" i="11"/>
  <c r="W520" i="11"/>
  <c r="W515" i="11"/>
  <c r="W511" i="11"/>
  <c r="W507" i="11"/>
  <c r="W505" i="11"/>
  <c r="W500" i="11"/>
  <c r="W495" i="11"/>
  <c r="W491" i="11"/>
  <c r="W487" i="11"/>
  <c r="W483" i="11"/>
  <c r="W476" i="11"/>
  <c r="W473" i="11"/>
  <c r="W470" i="11"/>
  <c r="W468" i="11"/>
  <c r="W463" i="11"/>
  <c r="W460" i="11"/>
  <c r="W457" i="11"/>
  <c r="W455" i="11"/>
  <c r="W450" i="11"/>
  <c r="W446" i="11"/>
  <c r="W442" i="11"/>
  <c r="W439" i="11"/>
  <c r="W432" i="11"/>
  <c r="W427" i="11"/>
  <c r="W424" i="11"/>
  <c r="W420" i="11"/>
  <c r="W417" i="11"/>
  <c r="W415" i="11"/>
  <c r="W413" i="11"/>
  <c r="W410" i="11"/>
  <c r="W406" i="11"/>
  <c r="W403" i="11"/>
  <c r="W401" i="11"/>
  <c r="W395" i="11"/>
  <c r="W388" i="11"/>
  <c r="W385" i="11"/>
  <c r="W382" i="11"/>
  <c r="W380" i="11"/>
  <c r="W376" i="11"/>
  <c r="W375" i="11"/>
  <c r="W372" i="11"/>
  <c r="W369" i="11"/>
  <c r="W366" i="11"/>
  <c r="W362" i="11"/>
  <c r="W358" i="11"/>
  <c r="W354" i="11"/>
  <c r="W351" i="11"/>
  <c r="W349" i="11"/>
  <c r="W347" i="11"/>
  <c r="W344" i="11"/>
  <c r="W341" i="11"/>
  <c r="W339" i="11"/>
  <c r="W334" i="11"/>
  <c r="W330" i="11"/>
  <c r="W325" i="11"/>
  <c r="W321" i="11"/>
  <c r="W316" i="11"/>
  <c r="W312" i="11"/>
  <c r="W309" i="11"/>
  <c r="W306" i="11"/>
  <c r="W303" i="11"/>
  <c r="W298" i="11"/>
  <c r="W294" i="11"/>
  <c r="W291" i="11"/>
  <c r="W285" i="11"/>
  <c r="W282" i="11"/>
  <c r="W280" i="11"/>
  <c r="W278" i="11"/>
  <c r="W275" i="11"/>
  <c r="W271" i="11"/>
  <c r="W264" i="11"/>
  <c r="W254" i="11"/>
  <c r="W251" i="11"/>
  <c r="W229" i="11"/>
  <c r="W217" i="11"/>
  <c r="W214" i="11"/>
  <c r="W213" i="11" s="1"/>
  <c r="W211" i="11"/>
  <c r="W206" i="11"/>
  <c r="W201" i="11"/>
  <c r="W198" i="11"/>
  <c r="W192" i="11"/>
  <c r="W187" i="11"/>
  <c r="W183" i="11"/>
  <c r="W178" i="11"/>
  <c r="W174" i="11"/>
  <c r="W161" i="11"/>
  <c r="W150" i="11"/>
  <c r="W145" i="11"/>
  <c r="W142" i="11"/>
  <c r="W137" i="11"/>
  <c r="W136" i="11" s="1"/>
  <c r="W133" i="11"/>
  <c r="W122" i="11"/>
  <c r="W114" i="11"/>
  <c r="W93" i="11"/>
  <c r="W90" i="11"/>
  <c r="W86" i="11"/>
  <c r="W82" i="11"/>
  <c r="W73" i="11"/>
  <c r="W70" i="11"/>
  <c r="W69" i="11" s="1"/>
  <c r="W66" i="11"/>
  <c r="W62" i="11"/>
  <c r="W58" i="11"/>
  <c r="W54" i="11"/>
  <c r="W49" i="11"/>
  <c r="W35" i="11"/>
  <c r="W21" i="11"/>
  <c r="W18" i="11"/>
  <c r="W14" i="11"/>
  <c r="W9" i="11"/>
  <c r="H380" i="11"/>
  <c r="H385" i="11"/>
  <c r="H382" i="11"/>
  <c r="H376" i="11"/>
  <c r="H372" i="11"/>
  <c r="H369" i="11"/>
  <c r="H366" i="11"/>
  <c r="H362" i="11"/>
  <c r="H358" i="11"/>
  <c r="H354" i="11"/>
  <c r="G366" i="11"/>
  <c r="G354" i="11"/>
  <c r="H649" i="11"/>
  <c r="G649" i="11"/>
  <c r="H647" i="11"/>
  <c r="G647" i="11"/>
  <c r="H645" i="11"/>
  <c r="G645" i="11"/>
  <c r="H642" i="11"/>
  <c r="G642" i="11"/>
  <c r="H639" i="11"/>
  <c r="G639" i="11"/>
  <c r="H636" i="11"/>
  <c r="G636" i="11"/>
  <c r="H633" i="11"/>
  <c r="H632" i="11" s="1"/>
  <c r="G633" i="11"/>
  <c r="G632" i="11" s="1"/>
  <c r="H629" i="11"/>
  <c r="G629" i="11"/>
  <c r="H626" i="11"/>
  <c r="G626" i="11"/>
  <c r="H624" i="11"/>
  <c r="G624" i="11"/>
  <c r="H619" i="11"/>
  <c r="G619" i="11"/>
  <c r="H615" i="11"/>
  <c r="G615" i="11"/>
  <c r="H612" i="11"/>
  <c r="G612" i="11"/>
  <c r="H610" i="11"/>
  <c r="G610" i="11"/>
  <c r="H606" i="11"/>
  <c r="G606" i="11"/>
  <c r="H603" i="11"/>
  <c r="G603" i="11"/>
  <c r="H600" i="11"/>
  <c r="G600" i="11"/>
  <c r="H598" i="11"/>
  <c r="G598" i="11"/>
  <c r="H595" i="11"/>
  <c r="G595" i="11"/>
  <c r="H591" i="11"/>
  <c r="G591" i="11"/>
  <c r="H588" i="11"/>
  <c r="G588" i="11"/>
  <c r="H586" i="11"/>
  <c r="G586" i="11"/>
  <c r="H582" i="11"/>
  <c r="G582" i="11"/>
  <c r="H579" i="11"/>
  <c r="H578" i="11" s="1"/>
  <c r="G579" i="11"/>
  <c r="G578" i="11" s="1"/>
  <c r="H576" i="11"/>
  <c r="H575" i="11" s="1"/>
  <c r="G576" i="11"/>
  <c r="G575" i="11" s="1"/>
  <c r="H573" i="11"/>
  <c r="G573" i="11"/>
  <c r="H571" i="11"/>
  <c r="G571" i="11"/>
  <c r="H569" i="11"/>
  <c r="G569" i="11"/>
  <c r="H566" i="11"/>
  <c r="G566" i="11"/>
  <c r="H559" i="11"/>
  <c r="G559" i="11"/>
  <c r="H553" i="11"/>
  <c r="G553" i="11"/>
  <c r="H547" i="11"/>
  <c r="G547" i="11"/>
  <c r="H544" i="11"/>
  <c r="G544" i="11"/>
  <c r="G538" i="11"/>
  <c r="H533" i="11"/>
  <c r="G533" i="11"/>
  <c r="H529" i="11"/>
  <c r="G529" i="11"/>
  <c r="H526" i="11"/>
  <c r="G526" i="11"/>
  <c r="H524" i="11"/>
  <c r="G524" i="11"/>
  <c r="H520" i="11"/>
  <c r="G520" i="11"/>
  <c r="H515" i="11"/>
  <c r="G515" i="11"/>
  <c r="H511" i="11"/>
  <c r="G511" i="11"/>
  <c r="H507" i="11"/>
  <c r="G507" i="11"/>
  <c r="H505" i="11"/>
  <c r="G505" i="11"/>
  <c r="H500" i="11"/>
  <c r="G500" i="11"/>
  <c r="H495" i="11"/>
  <c r="G495" i="11"/>
  <c r="H491" i="11"/>
  <c r="G491" i="11"/>
  <c r="H487" i="11"/>
  <c r="G487" i="11"/>
  <c r="H483" i="11"/>
  <c r="G483" i="11"/>
  <c r="H476" i="11"/>
  <c r="G476" i="11"/>
  <c r="H473" i="11"/>
  <c r="G473" i="11"/>
  <c r="H470" i="11"/>
  <c r="G470" i="11"/>
  <c r="H468" i="11"/>
  <c r="G468" i="11"/>
  <c r="H463" i="11"/>
  <c r="G463" i="11"/>
  <c r="H460" i="11"/>
  <c r="G460" i="11"/>
  <c r="H457" i="11"/>
  <c r="G457" i="11"/>
  <c r="H455" i="11"/>
  <c r="G455" i="11"/>
  <c r="H450" i="11"/>
  <c r="G450" i="11"/>
  <c r="H446" i="11"/>
  <c r="G446" i="11"/>
  <c r="H442" i="11"/>
  <c r="G442" i="11"/>
  <c r="H439" i="11"/>
  <c r="G439" i="11"/>
  <c r="H432" i="11"/>
  <c r="G432" i="11"/>
  <c r="H427" i="11"/>
  <c r="G427" i="11"/>
  <c r="H424" i="11"/>
  <c r="G424" i="11"/>
  <c r="H420" i="11"/>
  <c r="G420" i="11"/>
  <c r="H417" i="11"/>
  <c r="G417" i="11"/>
  <c r="H415" i="11"/>
  <c r="G415" i="11"/>
  <c r="H413" i="11"/>
  <c r="G413" i="11"/>
  <c r="H410" i="11"/>
  <c r="G410" i="11"/>
  <c r="H406" i="11"/>
  <c r="G406" i="11"/>
  <c r="H403" i="11"/>
  <c r="G403" i="11"/>
  <c r="H401" i="11"/>
  <c r="G401" i="11"/>
  <c r="H395" i="11"/>
  <c r="G395" i="11"/>
  <c r="H388" i="11"/>
  <c r="G388" i="11"/>
  <c r="H351" i="11"/>
  <c r="G351" i="11"/>
  <c r="H349" i="11"/>
  <c r="G349" i="11"/>
  <c r="H347" i="11"/>
  <c r="G347" i="11"/>
  <c r="H344" i="11"/>
  <c r="G344" i="11"/>
  <c r="H341" i="11"/>
  <c r="G341" i="11"/>
  <c r="H339" i="11"/>
  <c r="G339" i="11"/>
  <c r="H334" i="11"/>
  <c r="G334" i="11"/>
  <c r="H330" i="11"/>
  <c r="G330" i="11"/>
  <c r="H325" i="11"/>
  <c r="G325" i="11"/>
  <c r="H321" i="11"/>
  <c r="G321" i="11"/>
  <c r="H316" i="11"/>
  <c r="G316" i="11"/>
  <c r="H312" i="11"/>
  <c r="G312" i="11"/>
  <c r="H309" i="11"/>
  <c r="G309" i="11"/>
  <c r="H306" i="11"/>
  <c r="G306" i="11"/>
  <c r="H303" i="11"/>
  <c r="G303" i="11"/>
  <c r="H298" i="11"/>
  <c r="G298" i="11"/>
  <c r="H294" i="11"/>
  <c r="G294" i="11"/>
  <c r="H291" i="11"/>
  <c r="G291" i="11"/>
  <c r="H285" i="11"/>
  <c r="G285" i="11"/>
  <c r="H282" i="11"/>
  <c r="G282" i="11"/>
  <c r="H280" i="11"/>
  <c r="G280" i="11"/>
  <c r="H278" i="11"/>
  <c r="G278" i="11"/>
  <c r="H275" i="11"/>
  <c r="G275" i="11"/>
  <c r="H271" i="11"/>
  <c r="G271" i="11"/>
  <c r="H264" i="11"/>
  <c r="G264" i="11"/>
  <c r="H254" i="11"/>
  <c r="G254" i="11"/>
  <c r="H251" i="11"/>
  <c r="G251" i="11"/>
  <c r="H229" i="11"/>
  <c r="G229" i="11"/>
  <c r="H217" i="11"/>
  <c r="G217" i="11"/>
  <c r="H214" i="11"/>
  <c r="H213" i="11" s="1"/>
  <c r="G214" i="11"/>
  <c r="G213" i="11" s="1"/>
  <c r="H211" i="11"/>
  <c r="G211" i="11"/>
  <c r="G206" i="11"/>
  <c r="H206" i="11"/>
  <c r="H201" i="11"/>
  <c r="G201" i="11"/>
  <c r="H198" i="11"/>
  <c r="G198" i="11"/>
  <c r="H192" i="11"/>
  <c r="G192" i="11"/>
  <c r="H187" i="11"/>
  <c r="G187" i="11"/>
  <c r="H183" i="11"/>
  <c r="G183" i="11"/>
  <c r="H178" i="11"/>
  <c r="G178" i="11"/>
  <c r="H174" i="11"/>
  <c r="G174" i="11"/>
  <c r="H161" i="11"/>
  <c r="G161" i="11"/>
  <c r="H150" i="11"/>
  <c r="G150" i="11"/>
  <c r="H145" i="11"/>
  <c r="G145" i="11"/>
  <c r="H142" i="11"/>
  <c r="G142" i="11"/>
  <c r="H137" i="11"/>
  <c r="H136" i="11" s="1"/>
  <c r="G137" i="11"/>
  <c r="G136" i="11" s="1"/>
  <c r="H133" i="11"/>
  <c r="G133" i="11"/>
  <c r="H122" i="11"/>
  <c r="G122" i="11"/>
  <c r="H114" i="11"/>
  <c r="G114" i="11"/>
  <c r="H93" i="11"/>
  <c r="G93" i="11"/>
  <c r="H70" i="11"/>
  <c r="H69" i="11" s="1"/>
  <c r="G70" i="11"/>
  <c r="G69" i="11" s="1"/>
  <c r="H66" i="11"/>
  <c r="G66" i="11"/>
  <c r="H62" i="11"/>
  <c r="G62" i="11"/>
  <c r="H58" i="11"/>
  <c r="G58" i="11"/>
  <c r="H90" i="11"/>
  <c r="G90" i="11"/>
  <c r="H86" i="11"/>
  <c r="G86" i="11"/>
  <c r="H82" i="11"/>
  <c r="G82" i="11"/>
  <c r="H73" i="11"/>
  <c r="H54" i="11"/>
  <c r="G54" i="11"/>
  <c r="H49" i="11"/>
  <c r="G49" i="11"/>
  <c r="H35" i="11"/>
  <c r="G35" i="11"/>
  <c r="H21" i="11"/>
  <c r="G21" i="11"/>
  <c r="G9" i="11"/>
  <c r="H18" i="11"/>
  <c r="G18" i="11"/>
  <c r="H14" i="11"/>
  <c r="G14" i="11"/>
  <c r="H9" i="11"/>
  <c r="H3" i="31"/>
  <c r="H537" i="11" l="1"/>
  <c r="K6" i="36"/>
  <c r="J6" i="36"/>
  <c r="V423" i="33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V626" i="11"/>
  <c r="V639" i="11"/>
  <c r="V612" i="11"/>
  <c r="V495" i="11"/>
  <c r="V133" i="11"/>
  <c r="V66" i="11"/>
  <c r="V529" i="11"/>
  <c r="V636" i="11"/>
  <c r="V264" i="11"/>
  <c r="V388" i="11"/>
  <c r="V615" i="11"/>
  <c r="V49" i="11"/>
  <c r="W537" i="11"/>
  <c r="V642" i="11"/>
  <c r="V174" i="11"/>
  <c r="V309" i="11"/>
  <c r="V303" i="11"/>
  <c r="V306" i="11"/>
  <c r="V35" i="11"/>
  <c r="V275" i="11"/>
  <c r="V274" i="11" s="1"/>
  <c r="V183" i="11"/>
  <c r="V150" i="11"/>
  <c r="V457" i="11"/>
  <c r="V507" i="11"/>
  <c r="V526" i="11"/>
  <c r="V14" i="11"/>
  <c r="V439" i="11"/>
  <c r="V9" i="11"/>
  <c r="V54" i="11"/>
  <c r="W173" i="11"/>
  <c r="W302" i="11"/>
  <c r="V595" i="11"/>
  <c r="V285" i="11"/>
  <c r="V86" i="11"/>
  <c r="V403" i="11"/>
  <c r="V487" i="11"/>
  <c r="V538" i="11"/>
  <c r="V470" i="11"/>
  <c r="V344" i="11"/>
  <c r="V343" i="11" s="1"/>
  <c r="V291" i="11"/>
  <c r="V271" i="11"/>
  <c r="V520" i="11"/>
  <c r="V450" i="11"/>
  <c r="V566" i="11"/>
  <c r="V565" i="11" s="1"/>
  <c r="V500" i="11"/>
  <c r="V432" i="11"/>
  <c r="W475" i="11"/>
  <c r="V533" i="11"/>
  <c r="V446" i="11"/>
  <c r="V427" i="11"/>
  <c r="V321" i="11"/>
  <c r="V114" i="11"/>
  <c r="V606" i="11"/>
  <c r="V544" i="11"/>
  <c r="V424" i="11"/>
  <c r="V353" i="11"/>
  <c r="V330" i="11"/>
  <c r="V187" i="11"/>
  <c r="V142" i="11"/>
  <c r="W57" i="11"/>
  <c r="V82" i="11"/>
  <c r="V312" i="11"/>
  <c r="V161" i="11"/>
  <c r="V600" i="11"/>
  <c r="V476" i="11"/>
  <c r="V294" i="11"/>
  <c r="V62" i="11"/>
  <c r="W315" i="11"/>
  <c r="W394" i="11"/>
  <c r="W431" i="11"/>
  <c r="V629" i="11"/>
  <c r="V491" i="11"/>
  <c r="V442" i="11"/>
  <c r="V410" i="11"/>
  <c r="V409" i="11" s="1"/>
  <c r="V325" i="11"/>
  <c r="V145" i="11"/>
  <c r="V553" i="11"/>
  <c r="V217" i="11"/>
  <c r="V201" i="11"/>
  <c r="W141" i="11"/>
  <c r="V406" i="11"/>
  <c r="V229" i="11"/>
  <c r="V58" i="11"/>
  <c r="W284" i="11"/>
  <c r="V254" i="11"/>
  <c r="V73" i="11"/>
  <c r="W149" i="11"/>
  <c r="V547" i="11"/>
  <c r="V334" i="11"/>
  <c r="V333" i="11" s="1"/>
  <c r="V178" i="11"/>
  <c r="V93" i="11"/>
  <c r="V122" i="11"/>
  <c r="V559" i="11"/>
  <c r="V483" i="11"/>
  <c r="V463" i="11"/>
  <c r="V420" i="11"/>
  <c r="V298" i="11"/>
  <c r="V137" i="11"/>
  <c r="V136" i="11" s="1"/>
  <c r="V395" i="11"/>
  <c r="W20" i="11"/>
  <c r="W419" i="11"/>
  <c r="V581" i="11"/>
  <c r="V515" i="11"/>
  <c r="V21" i="11"/>
  <c r="W92" i="11"/>
  <c r="W253" i="11"/>
  <c r="V619" i="11"/>
  <c r="V511" i="11"/>
  <c r="V316" i="11"/>
  <c r="V206" i="11"/>
  <c r="V192" i="11"/>
  <c r="W353" i="11"/>
  <c r="W333" i="11"/>
  <c r="W449" i="11"/>
  <c r="W594" i="11"/>
  <c r="W72" i="11"/>
  <c r="W216" i="11"/>
  <c r="W618" i="11"/>
  <c r="W8" i="11"/>
  <c r="W186" i="11"/>
  <c r="W519" i="11"/>
  <c r="W462" i="11"/>
  <c r="W581" i="11"/>
  <c r="W605" i="11"/>
  <c r="W200" i="11"/>
  <c r="W499" i="11"/>
  <c r="W635" i="11"/>
  <c r="W565" i="11"/>
  <c r="W409" i="11"/>
  <c r="W343" i="11"/>
  <c r="W274" i="11"/>
  <c r="G149" i="11"/>
  <c r="G200" i="11"/>
  <c r="G353" i="11"/>
  <c r="G216" i="11"/>
  <c r="H149" i="11"/>
  <c r="H216" i="11"/>
  <c r="G419" i="11"/>
  <c r="H353" i="11"/>
  <c r="G57" i="11"/>
  <c r="H200" i="11"/>
  <c r="H419" i="11"/>
  <c r="H581" i="11"/>
  <c r="G186" i="11"/>
  <c r="H519" i="11"/>
  <c r="G605" i="11"/>
  <c r="G519" i="11"/>
  <c r="H333" i="11"/>
  <c r="G253" i="11"/>
  <c r="G333" i="11"/>
  <c r="H635" i="11"/>
  <c r="H253" i="11"/>
  <c r="H431" i="11"/>
  <c r="G394" i="11"/>
  <c r="G409" i="11"/>
  <c r="G431" i="11"/>
  <c r="H394" i="11"/>
  <c r="H409" i="11"/>
  <c r="G449" i="11"/>
  <c r="G462" i="11"/>
  <c r="G475" i="11"/>
  <c r="G581" i="11"/>
  <c r="H20" i="11"/>
  <c r="H57" i="11"/>
  <c r="H92" i="11"/>
  <c r="H186" i="11"/>
  <c r="H449" i="11"/>
  <c r="H462" i="11"/>
  <c r="H475" i="11"/>
  <c r="G594" i="11"/>
  <c r="H72" i="11"/>
  <c r="G173" i="11"/>
  <c r="G499" i="11"/>
  <c r="G537" i="11"/>
  <c r="H594" i="11"/>
  <c r="H605" i="11"/>
  <c r="G618" i="11"/>
  <c r="G20" i="11"/>
  <c r="H173" i="11"/>
  <c r="G274" i="11"/>
  <c r="G284" i="11"/>
  <c r="G302" i="11"/>
  <c r="G315" i="11"/>
  <c r="G343" i="11"/>
  <c r="H499" i="11"/>
  <c r="G565" i="11"/>
  <c r="H618" i="11"/>
  <c r="H274" i="11"/>
  <c r="H284" i="11"/>
  <c r="H302" i="11"/>
  <c r="H315" i="11"/>
  <c r="H343" i="11"/>
  <c r="H565" i="11"/>
  <c r="G635" i="11"/>
  <c r="H141" i="11"/>
  <c r="G141" i="11"/>
  <c r="G92" i="11"/>
  <c r="G8" i="11"/>
  <c r="H8" i="11"/>
  <c r="E2" i="27"/>
  <c r="F2" i="27"/>
  <c r="F1" i="27" s="1"/>
  <c r="F33" i="27"/>
  <c r="E33" i="27"/>
  <c r="E1" i="27"/>
  <c r="K282" i="28"/>
  <c r="K2" i="36" l="1"/>
  <c r="J2" i="36"/>
  <c r="V462" i="11"/>
  <c r="V465" i="33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V618" i="11"/>
  <c r="V635" i="11"/>
  <c r="V594" i="11"/>
  <c r="V8" i="11"/>
  <c r="V173" i="11"/>
  <c r="V449" i="11"/>
  <c r="V149" i="11"/>
  <c r="V519" i="11"/>
  <c r="V284" i="11"/>
  <c r="V537" i="11"/>
  <c r="V605" i="11"/>
  <c r="V302" i="11"/>
  <c r="V419" i="11"/>
  <c r="V499" i="11"/>
  <c r="V315" i="11"/>
  <c r="V253" i="11"/>
  <c r="V20" i="11"/>
  <c r="V216" i="11"/>
  <c r="V141" i="11"/>
  <c r="V394" i="11"/>
  <c r="V200" i="11"/>
  <c r="V186" i="11"/>
  <c r="V475" i="11"/>
  <c r="W392" i="11"/>
  <c r="V72" i="11"/>
  <c r="V431" i="11"/>
  <c r="V92" i="11"/>
  <c r="W6" i="11"/>
  <c r="V57" i="11"/>
  <c r="H392" i="11"/>
  <c r="G392" i="11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L6" i="36" l="1"/>
  <c r="L2" i="36" s="1"/>
  <c r="AA4" i="36" s="1"/>
  <c r="W2" i="33"/>
  <c r="V395" i="33"/>
  <c r="V6" i="33"/>
  <c r="G2" i="33"/>
  <c r="V392" i="11"/>
  <c r="V6" i="11"/>
  <c r="W2" i="11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AA2" i="36" l="1"/>
  <c r="M6" i="36"/>
  <c r="M2" i="36" s="1"/>
  <c r="Y2" i="33"/>
  <c r="V2" i="33"/>
  <c r="X2" i="33" s="1"/>
  <c r="Y4" i="33"/>
  <c r="V2" i="11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AB2" i="36" l="1"/>
  <c r="AB4" i="36"/>
  <c r="X4" i="33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G77" i="11"/>
  <c r="G73" i="11" s="1"/>
  <c r="G72" i="11" s="1"/>
  <c r="G6" i="11" s="1"/>
  <c r="G2" i="11" s="1"/>
  <c r="X2" i="11" l="1"/>
  <c r="X4" i="11"/>
  <c r="K4" i="26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H6" i="11" l="1"/>
  <c r="H2" i="11" l="1"/>
  <c r="Y2" i="11" s="1"/>
  <c r="Z6" i="11"/>
  <c r="Y4" i="11" l="1"/>
  <c r="G33" i="27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tc={23FD989F-D125-4AE7-9C36-A19A74896DA4}</author>
    <author>tc={BB5C4309-CD26-4D5C-97C1-C9C64D492B59}</author>
    <author>tc={F017770D-C12D-4EE7-B05E-71716DF45E8E}</author>
    <author>tc={6542FC07-AEE2-4FBE-BF37-A28A5037FFE1}</author>
  </authors>
  <commentList>
    <comment ref="G70" authorId="0" shapeId="0" xr:uid="{23FD989F-D125-4AE7-9C36-A19A74896D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BB5C4309-CD26-4D5C-97C1-C9C64D492B5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F017770D-C12D-4EE7-B05E-71716DF45E8E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6542FC07-AEE2-4FBE-BF37-A28A5037FFE1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tc={9DAA7515-7242-45B7-A9F8-AFD4EE449799}</author>
    <author>tc={29F2716C-B893-437F-942F-63F5D48BFB0D}</author>
    <author>tc={DCC8B91D-CA0F-49D8-B8A6-115A93627216}</author>
    <author>tc={D4BE2A47-51DB-4B7D-A211-51EAE41919D2}</author>
    <author>tc={6EE93598-4FE2-41CD-A487-602230C19C7B}</author>
    <author>tc={AE7A0A72-31F7-4BD1-BE3E-771CB5114783}</author>
    <author>tc={8DC5D5FE-B038-4D8D-A643-BB8E11CD7B14}</author>
  </authors>
  <commentList>
    <comment ref="E81" authorId="0" shapeId="0" xr:uid="{9DAA7515-7242-45B7-A9F8-AFD4EE449799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Design Spectrum</t>
      </text>
    </comment>
    <comment ref="Q81" authorId="1" shapeId="0" xr:uid="{29F2716C-B893-437F-942F-63F5D48BFB0D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Design Spectrum</t>
      </text>
    </comment>
    <comment ref="E84" authorId="2" shapeId="0" xr:uid="{DCC8B91D-CA0F-49D8-B8A6-115A93627216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Design Spectrum</t>
      </text>
    </comment>
    <comment ref="Q84" authorId="3" shapeId="0" xr:uid="{D4BE2A47-51DB-4B7D-A211-51EAE41919D2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Design Spectrum</t>
      </text>
    </comment>
    <comment ref="E87" authorId="4" shapeId="0" xr:uid="{6EE93598-4FE2-41CD-A487-602230C19C7B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Design Spectrum</t>
      </text>
    </comment>
    <comment ref="Q90" authorId="5" shapeId="0" xr:uid="{AE7A0A72-31F7-4BD1-BE3E-771CB5114783}">
      <text>
        <t>[Threaded comment]
Your version of Excel allows you to read this threaded comment; however, any edits to it will get removed if the file is opened in a newer version of Excel. Learn more: https://go.microsoft.com/fwlink/?linkid=870924
Comment:
    Design Spectrum</t>
      </text>
    </comment>
    <comment ref="D133" authorId="6" shapeId="0" xr:uid="{8DC5D5FE-B038-4D8D-A643-BB8E11CD7B14}">
      <text>
        <t>[Threaded comment]
Your version of Excel allows you to read this threaded comment; however, any edits to it will get removed if the file is opened in a newer version of Excel. Learn more: https://go.microsoft.com/fwlink/?linkid=870924
Comment:
    Subject to Receipt of Renew Consultant’s Input.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tc={9AF8C13D-7E99-4D73-B14B-8A5FF33F8869}</author>
  </authors>
  <commentList>
    <comment ref="D89" authorId="0" shapeId="0" xr:uid="{9AF8C13D-7E99-4D73-B14B-8A5FF33F886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@Vinod Soudi  This has been issued, Check and confirm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tc={B8F45636-8DE6-4D10-9916-82069014D8BF}</author>
    <author>tc={73BB845B-6DC7-43ED-8793-6BCAB8D46E52}</author>
    <author>tc={FBD56096-3476-4156-9742-6C28530776F7}</author>
    <author>tc={8B05FFD3-CF1B-4944-A5EA-4D2DB90847F3}</author>
  </authors>
  <commentList>
    <comment ref="G9" authorId="0" shapeId="0" xr:uid="{B8F45636-8DE6-4D10-9916-82069014D8B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9" authorId="1" shapeId="0" xr:uid="{73BB845B-6DC7-43ED-8793-6BCAB8D46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9" authorId="2" shapeId="0" xr:uid="{FBD56096-3476-4156-9742-6C28530776F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9" authorId="3" shapeId="0" xr:uid="{8B05FFD3-CF1B-4944-A5EA-4D2DB90847F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<sst xmlns="http://schemas.openxmlformats.org/spreadsheetml/2006/main" count="34000" uniqueCount="2348">
  <si>
    <t>Design Lead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</si>
  <si>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</si>
  <si>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</si>
  <si>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</si>
  <si>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</si>
  <si>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</si>
  <si>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</si>
  <si>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</si>
  <si>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</si>
  <si>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</si>
  <si>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</si>
  <si>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</si>
  <si>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</si>
  <si>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</si>
  <si>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</si>
  <si>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</si>
  <si>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</si>
  <si>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</si>
  <si>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</si>
  <si>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</si>
  <si>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</si>
  <si>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</si>
  <si>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</si>
  <si>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</si>
  <si>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</si>
  <si>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</si>
  <si>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</si>
  <si>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</si>
  <si>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</si>
  <si>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</si>
  <si>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</si>
  <si>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</si>
  <si>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</si>
  <si>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</si>
  <si>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</si>
  <si>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</si>
  <si>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LoD 200 - Schematic Concept</t>
  </si>
  <si>
    <t>OtF [Clubhouse LOD 200 and Approvals] [Pkgs 3]</t>
  </si>
  <si>
    <t>LoD 200 - Schematic Concept - CH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</si>
  <si>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</si>
  <si>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</si>
  <si>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</si>
  <si>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</si>
  <si>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</si>
  <si>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</si>
  <si>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</si>
  <si>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</si>
  <si>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Atul P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</si>
  <si>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</si>
  <si>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</si>
  <si>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</si>
  <si>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</si>
  <si>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</si>
  <si>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</si>
  <si>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</si>
  <si>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</si>
  <si>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Prakash C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</si>
  <si>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</si>
  <si>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</si>
  <si>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</si>
  <si>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</si>
  <si>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</si>
  <si>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</si>
  <si>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</si>
  <si>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</si>
  <si>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</si>
  <si>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</si>
  <si>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</si>
  <si>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</si>
  <si>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</si>
  <si>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</si>
  <si>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</si>
  <si>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</si>
  <si>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</si>
  <si>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</si>
  <si>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LoD 350 - Master Plan - Site Development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</si>
  <si>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</si>
  <si>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</si>
  <si>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</si>
  <si>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</si>
  <si>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</si>
  <si>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</si>
  <si>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</si>
  <si>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</si>
  <si>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</si>
  <si>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</si>
  <si>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</si>
  <si>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</si>
  <si>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</si>
  <si>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</si>
  <si>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</si>
  <si>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</si>
  <si>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</si>
  <si>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</si>
  <si>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</si>
  <si>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</si>
  <si>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</si>
  <si>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</si>
  <si>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</si>
  <si>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</si>
  <si>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</si>
  <si>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</si>
  <si>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</si>
  <si>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</si>
  <si>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LoD 350 - Site MEP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</si>
  <si>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</si>
  <si>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</si>
  <si>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</si>
  <si>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</si>
  <si>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</si>
  <si>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</si>
  <si>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</si>
  <si>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</si>
  <si>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</si>
  <si>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</si>
  <si>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</si>
  <si>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</si>
  <si>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</si>
  <si>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</si>
  <si>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</si>
  <si>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</si>
  <si>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</si>
  <si>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</si>
  <si>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</si>
  <si>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</si>
  <si>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</si>
  <si>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</si>
  <si>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</si>
  <si>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</si>
  <si>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</si>
  <si>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</si>
  <si>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</si>
  <si>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</si>
  <si>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</si>
  <si>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</si>
  <si>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</si>
  <si>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</si>
  <si>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</si>
  <si>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</si>
  <si>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</si>
  <si>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</si>
  <si>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</si>
  <si>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</si>
  <si>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</si>
  <si>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</si>
  <si>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</si>
  <si>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</si>
  <si>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</si>
  <si>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</si>
  <si>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</si>
  <si>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</si>
  <si>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</si>
  <si>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</si>
  <si>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Q1</t>
  </si>
  <si>
    <t>Q2</t>
  </si>
  <si>
    <t>Q3</t>
  </si>
  <si>
    <t>Q4</t>
  </si>
  <si>
    <t>Atul</t>
  </si>
  <si>
    <t>Design 
[FKH, Units]</t>
  </si>
  <si>
    <t>Architecture</t>
  </si>
  <si>
    <t>FKH</t>
  </si>
  <si>
    <t>[Experience Homes]</t>
  </si>
  <si>
    <t>TuiG</t>
  </si>
  <si>
    <t>Harohalli</t>
  </si>
  <si>
    <t>Violet Hill</t>
  </si>
  <si>
    <t>Shreegaon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</si>
  <si>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</si>
  <si>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</si>
  <si>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</si>
  <si>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</si>
  <si>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</si>
  <si>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</si>
  <si>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</si>
  <si>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</si>
  <si>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Master Plan | Site Development</t>
  </si>
  <si>
    <t>Experience Home + Project Experience [ V35 ]</t>
  </si>
  <si>
    <t>ITQE Ph 2b</t>
  </si>
  <si>
    <t>Tower—05 | Habitable Level 01</t>
  </si>
  <si>
    <t>Tower—06 | Habitable Level 01</t>
  </si>
  <si>
    <t>Tower—07 | Habitable Level 01</t>
  </si>
  <si>
    <t>Tower—05 | Terrace Level</t>
  </si>
  <si>
    <t>Tower—05 | Building Envelope and Common Areas [Penthouse Levels And Terrace Level]</t>
  </si>
  <si>
    <t>Tower—06 | Terrace Level</t>
  </si>
  <si>
    <t>Tower—06 | Building Envelope and Common Areas [Penthouse Levels And Terrace Level]</t>
  </si>
  <si>
    <t>Tower—07 | Terrace Level</t>
  </si>
  <si>
    <t>Tower—07 | Building Envelope and Common Areas [Penthouse Levels And Terrace Level]</t>
  </si>
  <si>
    <t>ISS 5&amp;6 | Foundations &amp; Sub-Grade</t>
  </si>
  <si>
    <t>ISS 7 | Foundations &amp; Sub-Grade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</si>
  <si>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</si>
  <si>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</si>
  <si>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</si>
  <si>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</si>
  <si>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</si>
  <si>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</si>
  <si>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</si>
  <si>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Master Plan | Site MEP</t>
  </si>
  <si>
    <t>Master Plan | Landscaping</t>
  </si>
  <si>
    <t>ITQE Ph 2c</t>
  </si>
  <si>
    <t>Marketing and Sales</t>
  </si>
  <si>
    <t>Pre Construction Set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</si>
  <si>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</si>
  <si>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</si>
  <si>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</si>
  <si>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</si>
  <si>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</si>
  <si>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Contract + Design Brief</t>
  </si>
  <si>
    <t>Schematic Concept</t>
  </si>
  <si>
    <t>Preconstruction Set</t>
  </si>
  <si>
    <t>Approvals</t>
  </si>
  <si>
    <t>Experience Home + Project Experience</t>
  </si>
  <si>
    <t>37a Nandi Hiils [V] Hoysala</t>
  </si>
  <si>
    <t>NH37a [V]</t>
  </si>
  <si>
    <t>36a Nandi Hills [V] Madukosanahalli</t>
  </si>
  <si>
    <t>NH36a [V]</t>
  </si>
  <si>
    <t>OtR</t>
  </si>
  <si>
    <t>OtR Ph1</t>
  </si>
  <si>
    <t>Individual Homes | V25 Default &amp; its Variant</t>
  </si>
  <si>
    <t>Villa Block | Super Structure</t>
  </si>
  <si>
    <t>Villa Block | Building Envelope + Plot Development</t>
  </si>
  <si>
    <t xml:space="preserve">Master Plan </t>
  </si>
  <si>
    <t xml:space="preserve">Site Development </t>
  </si>
  <si>
    <t>Site MEP</t>
  </si>
  <si>
    <t>Landscaping</t>
  </si>
  <si>
    <t>OtR Ph2</t>
  </si>
  <si>
    <t>Meena &amp; Krishnasai Residence</t>
  </si>
  <si>
    <t>MeenaSai Res</t>
  </si>
  <si>
    <t>Design Brief</t>
  </si>
  <si>
    <t>10a Nandi Hills [V] Sltnpt</t>
  </si>
  <si>
    <t>NH10a [V]</t>
  </si>
  <si>
    <t>NH Homestay</t>
  </si>
  <si>
    <t>Preconstruction</t>
  </si>
  <si>
    <t>Foundation + Subgrade</t>
  </si>
  <si>
    <t>Building envelope + Plot development</t>
  </si>
  <si>
    <t>Interiors</t>
  </si>
  <si>
    <t>OtR -Museum</t>
  </si>
  <si>
    <t xml:space="preserve">Vaderahalli </t>
  </si>
  <si>
    <t>Vaderahalli</t>
  </si>
  <si>
    <t>Units</t>
  </si>
  <si>
    <t>OtR | Villa -22- Personalised design</t>
  </si>
  <si>
    <t>Design 
[TMFT | SFTW | DBTW | TUIG]</t>
  </si>
  <si>
    <t>TMFT - Ph3</t>
  </si>
  <si>
    <t>SFTW</t>
  </si>
  <si>
    <t>ISS 01 - Podium Slab</t>
  </si>
  <si>
    <t>Clubhouse—Structure and Envelope</t>
  </si>
  <si>
    <t>Master Plan</t>
  </si>
  <si>
    <t>Clubhouse—Outdoor Spaces and Pool</t>
  </si>
  <si>
    <t>Master Plan - Site Development</t>
  </si>
  <si>
    <t>Master Plan - Site MEP</t>
  </si>
  <si>
    <t>Master Plan - Landscaping</t>
  </si>
  <si>
    <t>Clubhouse—Interiors and Facilities</t>
  </si>
  <si>
    <t>Clubhouse + Amenities - Community spaces [Board Walk, Children play area]</t>
  </si>
  <si>
    <t>Clubhouse + Amenities - Sporting Facilities</t>
  </si>
  <si>
    <t>DBTW</t>
  </si>
  <si>
    <t>Community spaces [Board Walk, Children play area,OAT]</t>
  </si>
  <si>
    <t>Sporting Facilities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</si>
  <si>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</si>
  <si>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</si>
  <si>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</si>
  <si>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</si>
  <si>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</si>
  <si>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</si>
  <si>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</si>
  <si>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</si>
  <si>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</si>
  <si>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</si>
  <si>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</si>
  <si>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</si>
  <si>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01 - Building Envelope and Common Areas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</si>
  <si>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</si>
  <si>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</si>
  <si>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</si>
  <si>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</si>
  <si>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</si>
  <si>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Terrace Level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</si>
  <si>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</si>
  <si>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</si>
  <si>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</si>
  <si>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</si>
  <si>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</si>
  <si>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</si>
  <si>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</si>
  <si>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</si>
  <si>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</si>
  <si>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Community spaces [Board Walk, Children play area]</t>
  </si>
  <si>
    <t>Poinciana</t>
  </si>
  <si>
    <t>Ambegaon</t>
  </si>
  <si>
    <t>Savakanhli</t>
  </si>
  <si>
    <t>Schematic concept - CH</t>
  </si>
  <si>
    <t>Project Experience - Entrance portal</t>
  </si>
  <si>
    <t>37a Nandi Hills [V] Hoysala</t>
  </si>
  <si>
    <t>Schematic Concept - CH</t>
  </si>
  <si>
    <t>Approvals-CH</t>
  </si>
  <si>
    <t>OTF [Suntikoppa]</t>
  </si>
  <si>
    <t>Vijayapura</t>
  </si>
  <si>
    <t>Project Experience - Entrance Portal</t>
  </si>
  <si>
    <t>10a Nandi Hiils [V] Sltnpt</t>
  </si>
  <si>
    <t>LGCE</t>
  </si>
  <si>
    <t>Contract + Design brief</t>
  </si>
  <si>
    <t>Schematic concept</t>
  </si>
  <si>
    <t>Pre-construction set</t>
  </si>
  <si>
    <t>Aundh 3a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</si>
  <si>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</si>
  <si>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</si>
  <si>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</si>
  <si>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</si>
  <si>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</si>
  <si>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</si>
  <si>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</si>
  <si>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</si>
  <si>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</si>
  <si>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</si>
  <si>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</si>
  <si>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</si>
  <si>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</si>
  <si>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</si>
  <si>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</si>
  <si>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</si>
  <si>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</si>
  <si>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</si>
  <si>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</si>
  <si>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</si>
  <si>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</si>
  <si>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</si>
  <si>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</si>
  <si>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</si>
  <si>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</si>
  <si>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</si>
  <si>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</si>
  <si>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</si>
  <si>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</si>
  <si>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</si>
  <si>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</si>
  <si>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</si>
  <si>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</si>
  <si>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Villa Cluster 3 - All Levels</t>
  </si>
  <si>
    <t>Villa Cluster 3 - Building Envelope and Common Areas</t>
  </si>
  <si>
    <t>V40 Default and it's variants</t>
  </si>
  <si>
    <t>Residential - Site Development</t>
  </si>
  <si>
    <t>Masterplan - Site MEP</t>
  </si>
  <si>
    <t>Masterplan - Landscaping</t>
  </si>
  <si>
    <t>Amenities &amp; Facilities - Sporting Facilities</t>
  </si>
  <si>
    <t>PoaRR T08</t>
  </si>
  <si>
    <t>T08 - ISS - Foundations &amp; Grade Slab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</si>
  <si>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</si>
  <si>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</si>
  <si>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</si>
  <si>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</si>
  <si>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</si>
  <si>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</si>
  <si>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L20 Default and it's variants</t>
  </si>
  <si>
    <t>D35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</si>
  <si>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</si>
  <si>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</si>
  <si>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</si>
  <si>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</si>
  <si>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</si>
  <si>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</si>
  <si>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</si>
  <si>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</si>
  <si>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</si>
  <si>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</si>
  <si>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</si>
  <si>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</si>
  <si>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</si>
  <si>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</si>
  <si>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</si>
  <si>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</si>
  <si>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</si>
  <si>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</si>
  <si>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DonaPaula</t>
  </si>
  <si>
    <t>Schematic Concept .v7 [Rework]</t>
  </si>
  <si>
    <t>Experience home</t>
  </si>
  <si>
    <t>Approvals | v7</t>
  </si>
  <si>
    <t>OtF [Suntikoppa]</t>
  </si>
  <si>
    <t>Contract + Design Brief [Commercial]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</si>
  <si>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</si>
  <si>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</si>
  <si>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</si>
  <si>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</si>
  <si>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</si>
  <si>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</si>
  <si>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</si>
  <si>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</si>
  <si>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</si>
  <si>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</si>
  <si>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</si>
  <si>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</si>
  <si>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</si>
  <si>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</si>
  <si>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</si>
  <si>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</si>
  <si>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</si>
  <si>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</si>
  <si>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</si>
  <si>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</si>
  <si>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</si>
  <si>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</si>
  <si>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</si>
  <si>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</si>
  <si>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</si>
  <si>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</si>
  <si>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</si>
  <si>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</si>
  <si>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</si>
  <si>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</si>
  <si>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</si>
  <si>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</si>
  <si>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</si>
  <si>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</si>
  <si>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</si>
  <si>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</si>
  <si>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</si>
  <si>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</si>
  <si>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</si>
  <si>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Ooty Res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</si>
  <si>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</si>
  <si>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</si>
  <si>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</si>
  <si>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</si>
  <si>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</si>
  <si>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</si>
  <si>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</si>
  <si>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</si>
  <si>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</si>
  <si>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</si>
  <si>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</si>
  <si>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</si>
  <si>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</si>
  <si>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</si>
  <si>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</si>
  <si>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</si>
  <si>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</si>
  <si>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</si>
  <si>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</si>
  <si>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</si>
  <si>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</si>
  <si>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</si>
  <si>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Gagan</t>
  </si>
  <si>
    <t>Design 
[MP+MEP+LS]</t>
  </si>
  <si>
    <t>[MP+MEP+LS]</t>
  </si>
  <si>
    <t>AtR Ph 1, 2a, 2b, 2c</t>
  </si>
  <si>
    <t>MEP</t>
  </si>
  <si>
    <t>MEP | Master Plan - Site MEP</t>
  </si>
  <si>
    <t>AtR-III</t>
  </si>
  <si>
    <t>Schematic Concept [V80]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</si>
  <si>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</si>
  <si>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</si>
  <si>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</si>
  <si>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</si>
  <si>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</si>
  <si>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</si>
  <si>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</si>
  <si>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</si>
  <si>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</si>
  <si>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</si>
  <si>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</si>
  <si>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</si>
  <si>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</si>
  <si>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</si>
  <si>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</si>
  <si>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</si>
  <si>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</si>
  <si>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</si>
  <si>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Clubhouse—Sporting Facilities</t>
  </si>
  <si>
    <t>MEP | Master Archives - Res</t>
  </si>
  <si>
    <t>T08 - ISS - Foundation and Gradeslab</t>
  </si>
  <si>
    <t>T08 - L20 Default and it's variants</t>
  </si>
  <si>
    <t>T08 - D35 Default and it's variants</t>
  </si>
  <si>
    <t>Amenities &amp; Facilities - Community spaces [Sporting Facilities]</t>
  </si>
  <si>
    <t>PoaRR-T08</t>
  </si>
  <si>
    <t>T08-Clubhouse—Interiors and Facilities</t>
  </si>
  <si>
    <t>T08 Pre Construction</t>
  </si>
  <si>
    <t>T08-Master Plan</t>
  </si>
  <si>
    <t>T08-Landscaping</t>
  </si>
  <si>
    <t>T08-Community spaces [Board Walk, Children play area]</t>
  </si>
  <si>
    <t>ISS -5 &amp; 6 | Structrural Slab 01 [Basement]</t>
  </si>
  <si>
    <t>ISS -7 | Structrural Slab 01 [Basement]</t>
  </si>
  <si>
    <t xml:space="preserve">Masterplan | Master Plan </t>
  </si>
  <si>
    <t>ISS -5 &amp; 6 | Podium Slab</t>
  </si>
  <si>
    <t>ISS -7 | Podium Slab</t>
  </si>
  <si>
    <t>Masterplan | Site MEP</t>
  </si>
  <si>
    <t>PreConstruction Set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</si>
  <si>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</si>
  <si>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</si>
  <si>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</si>
  <si>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</si>
  <si>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</si>
  <si>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</si>
  <si>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</si>
  <si>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</si>
  <si>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Master Plan 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</si>
  <si>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</si>
  <si>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</si>
  <si>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</si>
  <si>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</si>
  <si>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</si>
  <si>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</si>
  <si>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Imagine Campus</t>
  </si>
  <si>
    <t>OTR Museum</t>
  </si>
  <si>
    <t>NH-Homestay</t>
  </si>
  <si>
    <t>Constrcution GFC</t>
  </si>
  <si>
    <t>MT, Plano [Uma &amp; Kush]</t>
  </si>
  <si>
    <t>LGCE Campus</t>
  </si>
  <si>
    <t>Infra - Grading</t>
  </si>
  <si>
    <t>Infra - MEP</t>
  </si>
  <si>
    <t>Tumkur</t>
  </si>
  <si>
    <t>Yadgarpalle</t>
  </si>
  <si>
    <t>Varthur 52a</t>
  </si>
  <si>
    <t>Chamarajpet</t>
  </si>
  <si>
    <t>Lonavala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</si>
  <si>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</si>
  <si>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</si>
  <si>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</si>
  <si>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</si>
  <si>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</si>
  <si>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</si>
  <si>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</si>
  <si>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</si>
  <si>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Structural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</si>
  <si>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</si>
  <si>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</si>
  <si>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</si>
  <si>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</si>
  <si>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</si>
  <si>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</si>
  <si>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</si>
  <si>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</si>
  <si>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</si>
  <si>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</si>
  <si>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</si>
  <si>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</si>
  <si>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</si>
  <si>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</si>
  <si>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</si>
  <si>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</si>
  <si>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</si>
  <si>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</si>
  <si>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</si>
  <si>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</si>
  <si>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</si>
  <si>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</si>
  <si>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</si>
  <si>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</si>
  <si>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Site Development</t>
  </si>
  <si>
    <t>Penthouse Levels</t>
  </si>
  <si>
    <t>Terrace Level</t>
  </si>
  <si>
    <t>T08 - ISS - Podium Slab</t>
  </si>
  <si>
    <t>T08 - ISS - Parking Level Subgrade</t>
  </si>
  <si>
    <t>TMFT</t>
  </si>
  <si>
    <t>TMFT -2</t>
  </si>
  <si>
    <t>Clubhouse - Community spaces [Board Walk, Children play area,OAT]</t>
  </si>
  <si>
    <t>Clubhouse—Sporting Facilities</t>
  </si>
  <si>
    <t>Amenities &amp; Facilities |  Clubhouse—Outdoor Spaces and Pool</t>
  </si>
  <si>
    <t xml:space="preserve">Amenities &amp; Facilities |  Community spaces 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</si>
  <si>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</si>
  <si>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</si>
  <si>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</si>
  <si>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</si>
  <si>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</si>
  <si>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</si>
  <si>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</si>
  <si>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</si>
  <si>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</si>
  <si>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</si>
  <si>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</si>
  <si>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</si>
  <si>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</si>
  <si>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</si>
  <si>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</si>
  <si>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</si>
  <si>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</si>
  <si>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</si>
  <si>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</si>
  <si>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</si>
  <si>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</si>
  <si>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</si>
  <si>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</si>
  <si>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</si>
  <si>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</si>
  <si>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</si>
  <si>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</si>
  <si>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</si>
  <si>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</si>
  <si>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</si>
  <si>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</si>
  <si>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</si>
  <si>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</si>
  <si>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</si>
  <si>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</si>
  <si>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</si>
  <si>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</si>
  <si>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</si>
  <si>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</si>
  <si>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</si>
  <si>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</si>
  <si>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</si>
  <si>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</si>
  <si>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</si>
  <si>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</si>
  <si>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</si>
  <si>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</si>
  <si>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</si>
  <si>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</si>
  <si>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</si>
  <si>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</si>
  <si>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</si>
  <si>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</si>
  <si>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</si>
  <si>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Project Experience</t>
  </si>
  <si>
    <t>Violet hill</t>
  </si>
  <si>
    <t>Talashet</t>
  </si>
  <si>
    <t>OTR - Museum</t>
  </si>
  <si>
    <t>MT Plano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</si>
  <si>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</si>
  <si>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</si>
  <si>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</si>
  <si>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</si>
  <si>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</si>
  <si>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</si>
  <si>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</si>
  <si>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</si>
  <si>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</si>
  <si>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</si>
  <si>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</si>
  <si>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</si>
  <si>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</si>
  <si>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</si>
  <si>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</si>
  <si>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</si>
  <si>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</si>
  <si>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</si>
  <si>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</si>
  <si>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</si>
  <si>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</si>
  <si>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</si>
  <si>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</si>
  <si>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</si>
  <si>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</si>
  <si>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</si>
  <si>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</si>
  <si>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</si>
  <si>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</si>
  <si>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Project</t>
  </si>
  <si>
    <t>Phase</t>
  </si>
  <si>
    <t>Leader</t>
  </si>
  <si>
    <t>Discipline</t>
  </si>
  <si>
    <t>Package</t>
  </si>
  <si>
    <t>Billing value</t>
  </si>
  <si>
    <t>Plan</t>
  </si>
  <si>
    <t>Actual</t>
  </si>
  <si>
    <t>Status</t>
  </si>
  <si>
    <t>GFC</t>
  </si>
  <si>
    <t>Archives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</si>
  <si>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</si>
  <si>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</si>
  <si>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</si>
  <si>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</si>
  <si>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</si>
  <si>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</si>
  <si>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</si>
  <si>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</si>
  <si>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</si>
  <si>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</si>
  <si>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</si>
  <si>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Naveen Y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</si>
  <si>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</si>
  <si>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</si>
  <si>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</si>
  <si>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</si>
  <si>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</si>
  <si>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</si>
  <si>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</si>
  <si>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</si>
  <si>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</si>
  <si>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</si>
  <si>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</si>
  <si>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</si>
  <si>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</si>
  <si>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</si>
  <si>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</si>
  <si>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</si>
  <si>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</si>
  <si>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</si>
  <si>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</si>
  <si>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</si>
  <si>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</si>
  <si>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</si>
  <si>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</si>
  <si>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</si>
  <si>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</si>
  <si>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</si>
  <si>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</si>
  <si>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</si>
  <si>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</si>
  <si>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</si>
  <si>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</si>
  <si>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</si>
  <si>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</si>
  <si>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</si>
  <si>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</si>
  <si>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</si>
  <si>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</si>
  <si>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</si>
  <si>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</si>
  <si>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</si>
  <si>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</si>
  <si>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</si>
  <si>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</si>
  <si>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</si>
  <si>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</si>
  <si>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</si>
  <si>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</si>
  <si>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</si>
  <si>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</si>
  <si>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</si>
  <si>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</si>
  <si>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</si>
  <si>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</si>
  <si>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</si>
  <si>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</si>
  <si>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</si>
  <si>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</si>
  <si>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</si>
  <si>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Savakanahalli</t>
  </si>
  <si>
    <t>Sarjapur [Koothaganahalli]</t>
  </si>
  <si>
    <t>Naya Raipur [Plots]</t>
  </si>
  <si>
    <t>Pkgs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</si>
  <si>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</si>
  <si>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</si>
  <si>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</si>
  <si>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</si>
  <si>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</si>
  <si>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</si>
  <si>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</si>
  <si>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</si>
  <si>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</si>
  <si>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</si>
  <si>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</si>
  <si>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</si>
  <si>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</si>
  <si>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</si>
  <si>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</si>
  <si>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</si>
  <si>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/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</si>
  <si>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</si>
  <si>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</si>
  <si>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</si>
  <si>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</si>
  <si>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</si>
  <si>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</si>
  <si>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</si>
  <si>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</si>
  <si>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</si>
  <si>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</si>
  <si>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</si>
  <si>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</si>
  <si>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</si>
  <si>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</si>
  <si>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</si>
  <si>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</si>
  <si>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</si>
  <si>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</si>
  <si>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</si>
  <si>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</si>
  <si>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</si>
  <si>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</si>
  <si>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</si>
  <si>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</si>
  <si>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</si>
  <si>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</si>
  <si>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</si>
  <si>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</si>
  <si>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</si>
  <si>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</si>
  <si>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</si>
  <si>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</si>
  <si>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</si>
  <si>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</si>
  <si>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</si>
  <si>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</si>
  <si>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</si>
  <si>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</si>
  <si>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</si>
  <si>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</si>
  <si>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</si>
  <si>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</si>
  <si>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</si>
  <si>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</si>
  <si>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</si>
  <si>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</si>
  <si>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</si>
  <si>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</si>
  <si>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</si>
  <si>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</si>
  <si>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</si>
  <si>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</si>
  <si>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</si>
  <si>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</si>
  <si>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</si>
  <si>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</si>
  <si>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</si>
  <si>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</si>
  <si>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</si>
  <si>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</si>
  <si>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</si>
  <si>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</si>
  <si>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</si>
  <si>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</si>
  <si>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</si>
  <si>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</si>
  <si>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</si>
  <si>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</si>
  <si>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</si>
  <si>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</si>
  <si>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</si>
  <si>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</si>
  <si>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</si>
  <si>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</si>
  <si>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</si>
  <si>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</si>
  <si>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</si>
  <si>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</si>
  <si>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</si>
  <si>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</si>
  <si>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</si>
  <si>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</si>
  <si>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</si>
  <si>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</si>
  <si>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</si>
  <si>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</si>
  <si>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</si>
  <si>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</si>
  <si>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</si>
  <si>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</si>
  <si>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</si>
  <si>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</si>
  <si>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</si>
  <si>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</si>
  <si>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</si>
  <si>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</si>
  <si>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</si>
  <si>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Pre Construction Set - CH</t>
  </si>
  <si>
    <t>Sarj</t>
  </si>
  <si>
    <t>DP</t>
  </si>
  <si>
    <t>Foundation and Grade Slab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</si>
  <si>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</si>
  <si>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</si>
  <si>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</si>
  <si>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</si>
  <si>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</si>
  <si>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</si>
  <si>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</si>
  <si>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</si>
  <si>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</si>
  <si>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</si>
  <si>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</si>
  <si>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</si>
  <si>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</si>
  <si>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</si>
  <si>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</si>
  <si>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Landscape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</si>
  <si>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</si>
  <si>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</si>
  <si>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</si>
  <si>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</si>
  <si>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</si>
  <si>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</si>
  <si>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</si>
  <si>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</si>
  <si>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</si>
  <si>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</si>
  <si>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</si>
  <si>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</si>
  <si>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</si>
  <si>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</si>
  <si>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</si>
  <si>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</si>
  <si>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</si>
  <si>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</si>
  <si>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</si>
  <si>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</si>
  <si>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</si>
  <si>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</si>
  <si>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</si>
  <si>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</si>
  <si>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</si>
  <si>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</si>
  <si>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</si>
  <si>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</si>
  <si>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</si>
  <si>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</si>
  <si>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</t>
  </si>
  <si>
    <t>AtR - 03</t>
  </si>
  <si>
    <t>AtR - C</t>
  </si>
  <si>
    <t>PoaRR-Res</t>
  </si>
  <si>
    <t>PoaRR-T09</t>
  </si>
  <si>
    <t>PoaRR-Workcations</t>
  </si>
  <si>
    <t>ITQE-Ph1</t>
  </si>
  <si>
    <t>ITQE-Ph2a</t>
  </si>
  <si>
    <t>ITQE-Ph2b</t>
  </si>
  <si>
    <t>ITQE-Ph2c</t>
  </si>
  <si>
    <t>OTR-Ph01</t>
  </si>
  <si>
    <t>OTR-Ph02</t>
  </si>
  <si>
    <t>SftW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</si>
  <si>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</si>
  <si>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</si>
  <si>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</si>
  <si>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</si>
  <si>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</si>
  <si>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</si>
  <si>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</si>
  <si>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On Hold</t>
  </si>
  <si>
    <t>TR Mills Chamarajpet</t>
  </si>
  <si>
    <t>Jhanjh Lake [Mayfair]</t>
  </si>
  <si>
    <t>Tumkur 33a</t>
  </si>
  <si>
    <t>Sarjapur - Plotted</t>
  </si>
  <si>
    <t>Mall of Asia</t>
  </si>
  <si>
    <t>DsgnBld</t>
  </si>
  <si>
    <t>Indiranagar Res</t>
  </si>
  <si>
    <t>Swisstown</t>
  </si>
  <si>
    <t>Saideep reddy Res,Hyd</t>
  </si>
  <si>
    <t>New</t>
  </si>
  <si>
    <t>5a GTC Indrngr</t>
  </si>
  <si>
    <t>HPL</t>
  </si>
  <si>
    <t>Windmils, Hyd</t>
  </si>
  <si>
    <t>Windmils, Sftw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</si>
  <si>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</si>
  <si>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</si>
  <si>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</si>
  <si>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</si>
  <si>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</si>
  <si>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</si>
  <si>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</si>
  <si>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</si>
  <si>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FY 2026-27 | Design Goals + Billing</t>
  </si>
  <si>
    <t>Description</t>
  </si>
  <si>
    <t>Plan - Billing [Cr.]</t>
  </si>
  <si>
    <t>Plan - Pkgs</t>
  </si>
  <si>
    <t>Lead</t>
  </si>
  <si>
    <t>Person 1</t>
  </si>
  <si>
    <t>Person 2</t>
  </si>
  <si>
    <t>Person 3</t>
  </si>
  <si>
    <t>Draftperson</t>
  </si>
  <si>
    <t>Actuals - Billing [Cr.]</t>
  </si>
  <si>
    <t>Actuals - Pkgs</t>
  </si>
  <si>
    <t>Ongoing Projects</t>
  </si>
  <si>
    <t>Ph 1, 2a, 2b, 2c</t>
  </si>
  <si>
    <t>Package Release</t>
  </si>
  <si>
    <t>Package Release [Complete LoD 350 ]</t>
  </si>
  <si>
    <t>Ph 1, 2a, 2b</t>
  </si>
  <si>
    <t>Saji A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</si>
  <si>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</si>
  <si>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</si>
  <si>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</si>
  <si>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</si>
  <si>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</si>
  <si>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Ph 2c</t>
  </si>
  <si>
    <t>LoD 350 - Master Plan - Site MEP</t>
  </si>
  <si>
    <t>LoD 350 - Clubhouse + Amenities - Sporting Facilities</t>
  </si>
  <si>
    <t>Satish H</t>
  </si>
  <si>
    <t>Alwin</t>
  </si>
  <si>
    <t>Aniket P</t>
  </si>
  <si>
    <t>Ambika</t>
  </si>
  <si>
    <t>Ajmal/Shahnawaz</t>
  </si>
  <si>
    <t>Atharv</t>
  </si>
  <si>
    <t>Prasad</t>
  </si>
  <si>
    <t>Salomi</t>
  </si>
  <si>
    <t>Eranna
Praveen
Hareesha</t>
  </si>
  <si>
    <t>Avinash
Deepu
Shreedhar
Mahadev</t>
  </si>
  <si>
    <t>Ph 3</t>
  </si>
  <si>
    <t>Package Release [Complete LoD 350]</t>
  </si>
  <si>
    <t>LoD 300 - Pre Construction Set</t>
  </si>
  <si>
    <t>Guruprasad</t>
  </si>
  <si>
    <t>LoD 350 - Home Products - V45 Default and it's variants</t>
  </si>
  <si>
    <t>Aaron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</si>
  <si>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</si>
  <si>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</si>
  <si>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</si>
  <si>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</si>
  <si>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</si>
  <si>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</si>
  <si>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</si>
  <si>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</si>
  <si>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34 - Building Envelope + Plot Development </t>
  </si>
  <si>
    <t>LoD 350 - Master Plan - Master Plan</t>
  </si>
  <si>
    <t>LoD 350 - Site Development - 02 Road Works</t>
  </si>
  <si>
    <t>Package Release [Complete LoD 350 except V80 ]</t>
  </si>
  <si>
    <t>LoD 300 - Preconstruction Set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</si>
  <si>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</si>
  <si>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</si>
  <si>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</si>
  <si>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</si>
  <si>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</si>
  <si>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34 - Foundations and Sub-Grade Structure </t>
  </si>
  <si>
    <t xml:space="preserve">LoD 350 - Villa Block 34 - Super Structure  </t>
  </si>
  <si>
    <t>Avinash
Sandeep
Shreedhar</t>
  </si>
  <si>
    <t>Lajja</t>
  </si>
  <si>
    <t xml:space="preserve">Anisha </t>
  </si>
  <si>
    <t>Chetan
Anupa</t>
  </si>
  <si>
    <t>LoD 350 - Home Products - V45 Default</t>
  </si>
  <si>
    <t>Com</t>
  </si>
  <si>
    <t>Naveen KL</t>
  </si>
  <si>
    <t>Vasudha C</t>
  </si>
  <si>
    <t>Sathvika D</t>
  </si>
  <si>
    <t>LoD 350 - Master Plan - Landscaping</t>
  </si>
  <si>
    <t>Arshad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</si>
  <si>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</si>
  <si>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</si>
  <si>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</si>
  <si>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</si>
  <si>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</si>
  <si>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Dhirender+
Shrishail</t>
  </si>
  <si>
    <t>Rohit</t>
  </si>
  <si>
    <t>Sagar+Rajath</t>
  </si>
  <si>
    <t>Namrath</t>
  </si>
  <si>
    <t>Eranna
Praveen</t>
  </si>
  <si>
    <t>Avinash
Deepu</t>
  </si>
  <si>
    <t>TMD Ph2</t>
  </si>
  <si>
    <t>Ph 2</t>
  </si>
  <si>
    <t xml:space="preserve">LoD 350 - Childern play area </t>
  </si>
  <si>
    <t>Play equipment selection pending</t>
  </si>
  <si>
    <t>Res</t>
  </si>
  <si>
    <t>Complete the project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</si>
  <si>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</si>
  <si>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</si>
  <si>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</si>
  <si>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</si>
  <si>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</si>
  <si>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</si>
  <si>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</si>
  <si>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</si>
  <si>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</si>
  <si>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</si>
  <si>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</si>
  <si>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</si>
  <si>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</si>
  <si>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</si>
  <si>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LOD 350 Site Development</t>
  </si>
  <si>
    <t>Lincy</t>
  </si>
  <si>
    <t>Subrahmanya</t>
  </si>
  <si>
    <t>Darshan</t>
  </si>
  <si>
    <t>LOD 350 Site MEP</t>
  </si>
  <si>
    <t>LOD 350 Sporting Facilities</t>
  </si>
  <si>
    <t>Abhishek</t>
  </si>
  <si>
    <t>Hareesha
Praveen</t>
  </si>
  <si>
    <t>Byahattimath
Shreedhar
Mahadev
Deepu
Ajay</t>
  </si>
  <si>
    <t>LOD 350 Clubhouse Outdoor Spaces and Pool</t>
  </si>
  <si>
    <t>LOD 350 Amenities &amp; Facilities - Community spaces [Sporting Facilities]</t>
  </si>
  <si>
    <t>Apoorva</t>
  </si>
  <si>
    <t>T08</t>
  </si>
  <si>
    <t>Package Release [Complete the project]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</si>
  <si>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</si>
  <si>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</si>
  <si>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</si>
  <si>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</si>
  <si>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</si>
  <si>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</si>
  <si>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</si>
  <si>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</si>
  <si>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</si>
  <si>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 xml:space="preserve">LOD 350 L22 Default </t>
  </si>
  <si>
    <t>Shahbazz</t>
  </si>
  <si>
    <t>LOD 350 L20 Default [Modification for Dry Wall]</t>
  </si>
  <si>
    <t>Aardra</t>
  </si>
  <si>
    <t>LOD 350 D35 Default [Modification for Dry Wall]</t>
  </si>
  <si>
    <t>LOD 350 Master Plan</t>
  </si>
  <si>
    <t>LOD 350 Penthouse Levels</t>
  </si>
  <si>
    <t>LOD 350 Terrace Level</t>
  </si>
  <si>
    <t>LOD 350 Building Envelope and Common Areas [Penthouse Levels And Terrace Level]</t>
  </si>
  <si>
    <t>LOD 350 Clubhouse—Interiors and Facilities</t>
  </si>
  <si>
    <t>LOD 350 Landscape</t>
  </si>
  <si>
    <t>LOD 350 Clubhouse—Outdoor Spaces and Pool</t>
  </si>
  <si>
    <t>LOD 350 Community spaces [Board Walk, Children play area]</t>
  </si>
  <si>
    <t>LOD 350 R25P Default and It's Variants</t>
  </si>
  <si>
    <t>Shahbaaz</t>
  </si>
  <si>
    <t>Jayashankar</t>
  </si>
  <si>
    <t>LOD 350 T08 - ISS - Foundations &amp; Grade Slab</t>
  </si>
  <si>
    <t>Nadeem</t>
  </si>
  <si>
    <t>-</t>
  </si>
  <si>
    <t>LOD 350 T08 - ISS - Podium Slab</t>
  </si>
  <si>
    <t>LOD 350 T08 - ISS - Parking Level Subgrade</t>
  </si>
  <si>
    <t>Karthik</t>
  </si>
  <si>
    <t>Hareesha
Praveen</t>
  </si>
  <si>
    <t>Hanumanthraya
Shreedhar
Sandeep</t>
  </si>
  <si>
    <t>LOD 350 ISS - Foundation and Gradeslab</t>
  </si>
  <si>
    <t>LOD 350 L20 Default and it's variants</t>
  </si>
  <si>
    <t>LOD 350 D35 Default and it's variants</t>
  </si>
  <si>
    <t>LOD 350 L22 Default and It's Variants</t>
  </si>
  <si>
    <t>LOD 350 T08-Clubhouse—Interiors and Facilities</t>
  </si>
  <si>
    <t>Ph 1</t>
  </si>
  <si>
    <t>Dinakar Venugopal</t>
  </si>
  <si>
    <t>Aishwarya Hegde</t>
  </si>
  <si>
    <t>Sheethal Prabhu</t>
  </si>
  <si>
    <t>Anand Thoppil</t>
  </si>
  <si>
    <t>LoD 350 - Master Plan | Site Development</t>
  </si>
  <si>
    <t>Raghavendra</t>
  </si>
  <si>
    <t>Vinay</t>
  </si>
  <si>
    <t>LoD 350 - Amenities &amp; Facilities |  Clubhouse—Outdoor Spaces and Pool</t>
  </si>
  <si>
    <t xml:space="preserve">LoD 350 - Amenities &amp; Facilities |  Community spaces </t>
  </si>
  <si>
    <t>Ph 2a</t>
  </si>
  <si>
    <t>Cijey M</t>
  </si>
  <si>
    <t>Syed Musharaff</t>
  </si>
  <si>
    <t>LoD 350 -Experience Home + Project Experience [ V35 ]</t>
  </si>
  <si>
    <t xml:space="preserve">Theodora Rodrigues </t>
  </si>
  <si>
    <t>Thomas Pradip Moreira</t>
  </si>
  <si>
    <t>Harshitha</t>
  </si>
  <si>
    <t>LoD 350 - Master Plan | Site MEP</t>
  </si>
  <si>
    <t>Ph 2b</t>
  </si>
  <si>
    <t>Complete the project except site development and site MEP</t>
  </si>
  <si>
    <t>LoD 350 - Tower—06 | Habitable Level 01</t>
  </si>
  <si>
    <t>Akarsh Vagman</t>
  </si>
  <si>
    <t>Hruthika Mylar</t>
  </si>
  <si>
    <t>Khushi Shetty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</si>
  <si>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</si>
  <si>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</si>
  <si>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</si>
  <si>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</si>
  <si>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</si>
  <si>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ISS 5&amp;6 | Podium Slab</t>
  </si>
  <si>
    <t>LoD 350 - ISS 7 | Podium Slab</t>
  </si>
  <si>
    <t>LoD 350 - ISS 5&amp;6 | Building Envelope and Common Areas</t>
  </si>
  <si>
    <t>LoD 350 - ISS 7 | Building Envelope and Common Areas</t>
  </si>
  <si>
    <t>Complete the project except site development and site MEP &amp; STP</t>
  </si>
  <si>
    <t>LoD 350 - Tower 06 | Habitable Level - Even</t>
  </si>
  <si>
    <t>Antony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</si>
  <si>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</si>
  <si>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</si>
  <si>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</si>
  <si>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</si>
  <si>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</si>
  <si>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</si>
  <si>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</si>
  <si>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Tower 05 | Terrace Level</t>
  </si>
  <si>
    <t>LoD 350 - Tower 06 | Terrace Level</t>
  </si>
  <si>
    <t>LoD 350 - Tower 07 | Terrace Level</t>
  </si>
  <si>
    <t>LoD 350 - ISS5&amp;6 | Podium Slab</t>
  </si>
  <si>
    <t>Ajmal (after finishing ATR Site MEP works) &amp; New resource hired, joining in July</t>
  </si>
  <si>
    <t>ItQE-Ph2c [T9]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</si>
  <si>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</si>
  <si>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</si>
  <si>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</si>
  <si>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</si>
  <si>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</si>
  <si>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Sahana</t>
  </si>
  <si>
    <t>LoD 350 - ISS 9 | Earthwork</t>
  </si>
  <si>
    <t>Outsourced</t>
  </si>
  <si>
    <t>LoD 350 - T09 [Foundation &amp; Grade Slab], ISS09 [[Foundation &amp; Grade Slab]</t>
  </si>
  <si>
    <t>Hareesha  
Bhavya</t>
  </si>
  <si>
    <t>Byahattimath
Matsarambabu
Prem</t>
  </si>
  <si>
    <t>LoD 350 - Villa Block | Building Envelope + Plot Development</t>
  </si>
  <si>
    <t>Niashinlulu</t>
  </si>
  <si>
    <t>Akshara Rohit</t>
  </si>
  <si>
    <t>Saurabh Bothra</t>
  </si>
  <si>
    <t>LoD 350 - LoD 350 -Experience Home + Project Experience [ V35 ]</t>
  </si>
  <si>
    <t>Mazhar</t>
  </si>
  <si>
    <t>Samyukta</t>
  </si>
  <si>
    <t>LoD 350 - Villa Block | Super Structure</t>
  </si>
  <si>
    <t>LoD 350 - LoD 350 - Amenities &amp; Facilities | Community spaces [Board Walk, Children play area]</t>
  </si>
  <si>
    <t>Package Release [LoD 350 - CH structure &amp; envelope, Interiors]</t>
  </si>
  <si>
    <t>Om Prakash</t>
  </si>
  <si>
    <t>LoD 350 - Clubhouse—Structure and Envelope</t>
  </si>
  <si>
    <t>Veeresh N</t>
  </si>
  <si>
    <t>Ankita Macha</t>
  </si>
  <si>
    <t>Lavanya</t>
  </si>
  <si>
    <t>LoD 350 - Clubhouse—Interiors and Facilities</t>
  </si>
  <si>
    <t>LoD 350 - Sporting Facilities</t>
  </si>
  <si>
    <t>Package Release [LoD 350 - Site dev, Site MEP, CH structure &amp; Envelope]</t>
  </si>
  <si>
    <t>LoD 350 - Site Development</t>
  </si>
  <si>
    <t>Shivaraj</t>
  </si>
  <si>
    <t>Saurav</t>
  </si>
  <si>
    <t>LoD 350 - Clubhouse—Outdoor Spaces and Pool</t>
  </si>
  <si>
    <t>Package Release [LoD 350 - CH outdoorspaces &amp; pool]</t>
  </si>
  <si>
    <t>LoD 350 - Clubhouse—Outdoorspaces &amp; pool</t>
  </si>
  <si>
    <t>Eranna
Bhavya
Hareesha</t>
  </si>
  <si>
    <t>Avinash
Antoney
Matsarambabu</t>
  </si>
  <si>
    <t>TMFT-Ph 2</t>
  </si>
  <si>
    <t xml:space="preserve">Complete the project </t>
  </si>
  <si>
    <t>CB Raman</t>
  </si>
  <si>
    <t>Balaji R</t>
  </si>
  <si>
    <t>Anitha K</t>
  </si>
  <si>
    <t>`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</si>
  <si>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</si>
  <si>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</si>
  <si>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</si>
  <si>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</si>
  <si>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</si>
  <si>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Home Products - L21 Default and it's variants</t>
  </si>
  <si>
    <t>Aniket</t>
  </si>
  <si>
    <t>LoD 350 - Tower-1-Habitable Level - Even</t>
  </si>
  <si>
    <t>LoD 350 - Tower-1-Habitable Level - Odd</t>
  </si>
  <si>
    <t>LoD 350 - Tower-2-Habitable Level 01</t>
  </si>
  <si>
    <t>LoD 350 - Tower-2-Habitable Level - Even</t>
  </si>
  <si>
    <t>LoD 350 - Tower-2-Habitable Level - Odd</t>
  </si>
  <si>
    <t>LoD 350 - Tower-3-Habitable Level 01</t>
  </si>
  <si>
    <t>LoD 350 - Tower-3-Habitable Level - Even</t>
  </si>
  <si>
    <t>LoD 350 - Tower-3-Habitable Level - Odd</t>
  </si>
  <si>
    <t>LoD 350 - Tower-4-Habitable Level 01</t>
  </si>
  <si>
    <t>LoD 350 - Tower-4-Habitable Level - Even</t>
  </si>
  <si>
    <t>LoD 350 - Tower-4-Habitable Level - Odd</t>
  </si>
  <si>
    <t>LoD 350 - Tower 05-Foundation and Grade Slab</t>
  </si>
  <si>
    <t>LoD 350 - Tower-5-Habitable Level 01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</si>
  <si>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</si>
  <si>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</si>
  <si>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</si>
  <si>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</si>
  <si>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</si>
  <si>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</si>
  <si>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</si>
  <si>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Master Plan- Master Plan</t>
  </si>
  <si>
    <t>Bhavya
Hareesha</t>
  </si>
  <si>
    <t>Viresh
Matsarambabu
Byahattimath
Hanumanthraya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</si>
  <si>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</si>
  <si>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</si>
  <si>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</si>
  <si>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</si>
  <si>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</si>
  <si>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</si>
  <si>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</si>
  <si>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</si>
  <si>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</si>
  <si>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</si>
  <si>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</si>
  <si>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350 [Clubhouse &amp; Masterplan] by 26'Q2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</si>
  <si>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</si>
  <si>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</si>
  <si>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</si>
  <si>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</si>
  <si>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</si>
  <si>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</si>
  <si>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Avinash
Antoney
Shreedhar</t>
  </si>
  <si>
    <t>Complete LoD 200 by 26'Q2</t>
  </si>
  <si>
    <t>LoD 100 - Design Brief</t>
  </si>
  <si>
    <t>Sagar</t>
  </si>
  <si>
    <t>karthik</t>
  </si>
  <si>
    <t>Batches to be removed - Can be taken up once the architectural details are received.</t>
  </si>
  <si>
    <t>Complete LoD 350 - Foundation and Structure by 26'Q2</t>
  </si>
  <si>
    <t>Manik G</t>
  </si>
  <si>
    <t>LoD 200 - Approvals</t>
  </si>
  <si>
    <t>LoD 300 - Pre Construction set</t>
  </si>
  <si>
    <t>LoD 350 - Foundation and Structure</t>
  </si>
  <si>
    <t>Complete LoD 300 by 26'Q2</t>
  </si>
  <si>
    <t>MS Res</t>
  </si>
  <si>
    <t>Complete LoD 200, Approvals by 26'Q2</t>
  </si>
  <si>
    <t>Avinash
Sampath
Mahadev</t>
  </si>
  <si>
    <t>Anisha</t>
  </si>
  <si>
    <t>NH HS</t>
  </si>
  <si>
    <t>LoD 350 - Building Envelope + Plot Development</t>
  </si>
  <si>
    <t>LoD 350 - Interiors</t>
  </si>
  <si>
    <t>Avinash
Ajay
Matsarambabu</t>
  </si>
  <si>
    <t>Chetan</t>
  </si>
  <si>
    <t>Indrng Res</t>
  </si>
  <si>
    <t>Complete the project  [Complete LoD 350 ]</t>
  </si>
  <si>
    <t>LoD 350 - Block A - Interiors</t>
  </si>
  <si>
    <t>LoD 350 - Block B - Interiors</t>
  </si>
  <si>
    <t>LoD 350 - Block C - Interiors</t>
  </si>
  <si>
    <t>LoD 350 -Block C - Building Envelope + Plot Development</t>
  </si>
  <si>
    <t>LoD 350 - Block C- Building Envelope + Plot Development</t>
  </si>
  <si>
    <t>Theja</t>
  </si>
  <si>
    <t>OTR Mus</t>
  </si>
  <si>
    <t>Complete Schematic concept</t>
  </si>
  <si>
    <t>Fullkit Homes</t>
  </si>
  <si>
    <t>Tuig [V20]</t>
  </si>
  <si>
    <t>Shell + Interior GFC</t>
  </si>
  <si>
    <t>Design Specs + GFC</t>
  </si>
  <si>
    <t>Default Marketing BOQ</t>
  </si>
  <si>
    <t>Tuig [V30]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</si>
  <si>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</si>
  <si>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</si>
  <si>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</si>
  <si>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</si>
  <si>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</si>
  <si>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</si>
  <si>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</si>
  <si>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</t>
  </si>
  <si>
    <t>OTF [V60]</t>
  </si>
  <si>
    <t>OTF [V25H]</t>
  </si>
  <si>
    <t>Rework Pkgs</t>
  </si>
  <si>
    <t>Rwrk</t>
  </si>
  <si>
    <t>STR Package Release [LoD 350 - Parking level subgrade]</t>
  </si>
  <si>
    <t>Charan</t>
  </si>
  <si>
    <t> </t>
  </si>
  <si>
    <t>ITQE-T05</t>
  </si>
  <si>
    <t>T05</t>
  </si>
  <si>
    <t>STR Package Release [LoD 350 - Habitable Level 01]</t>
  </si>
  <si>
    <t>Satish</t>
  </si>
  <si>
    <t>New Projects</t>
  </si>
  <si>
    <t>Complete Approvals</t>
  </si>
  <si>
    <t>Approvals - CH</t>
  </si>
  <si>
    <t>Mazhar ( If Villa concept is different new resource is required)</t>
  </si>
  <si>
    <t>Avinash
Deepu
Mahadev</t>
  </si>
  <si>
    <t>TMFT-Ph 3</t>
  </si>
  <si>
    <t>LOD 350 -Tower Habitable levels, MP Pkg 2</t>
  </si>
  <si>
    <t>To be shared - Naveen Y [Clearance on requirement from KS required]</t>
  </si>
  <si>
    <t>LOD 350 -Tower Habitable levels, MP Pkg 2, ISS Pkg 2</t>
  </si>
  <si>
    <t xml:space="preserve">Dhirender </t>
  </si>
  <si>
    <t>Arpitha</t>
  </si>
  <si>
    <t>LOD 350 -Tower Habitable levels, MP Pkg 1, ISS Pkg 2</t>
  </si>
  <si>
    <t>Avinash
Subash
Shreedhar</t>
  </si>
  <si>
    <t xml:space="preserve">LOD 350 - MP Pkg 1 </t>
  </si>
  <si>
    <t>ItQE-Ph3a [T10-12 &amp; 31 Villas]</t>
  </si>
  <si>
    <t>Ph 3a</t>
  </si>
  <si>
    <t>LoD 300 [Marketing and Sales, Pre Construction Set], LoD 350 [Experience Home + Project Experience]</t>
  </si>
  <si>
    <t>Nischala Akkineni</t>
  </si>
  <si>
    <t>LoD 350 - Experience Home + Project Experience</t>
  </si>
  <si>
    <t>LoD 300 - Marketing and Sales</t>
  </si>
  <si>
    <t>LoD 200 [Schematic Concept], LoD 300 [Pre Construction Set]</t>
  </si>
  <si>
    <t>Raghavendra &amp; New Resource</t>
  </si>
  <si>
    <t>LoD 200 [Schematic Concept], LoD 300 [Pre Construction Set], LoD 350 [Experience Home + Project Experience]</t>
  </si>
  <si>
    <t>Prem
Matsarambabu
Byahattimath</t>
  </si>
  <si>
    <t>Sarjapur Road [South Block-Resi]</t>
  </si>
  <si>
    <t>Srjp - Res</t>
  </si>
  <si>
    <t>Complete LoD 200, Approvals &amp; Experience Homes by 26'Q2</t>
  </si>
  <si>
    <t>To be shared - Om Prakash</t>
  </si>
  <si>
    <t>Vidhi Kapadia</t>
  </si>
  <si>
    <t>Nikita Potadar</t>
  </si>
  <si>
    <t>LoD 200 - CH: Schematic Concept</t>
  </si>
  <si>
    <t>LoD 200 - CH: Approvals</t>
  </si>
  <si>
    <t>Complete LoD 200 &amp; Experience Homes by 26'Q2</t>
  </si>
  <si>
    <t>Praveen
Hareesha</t>
  </si>
  <si>
    <t>Ajay
Hanumanthraya
Byahattimath
Matsarambabu
Shreedhar</t>
  </si>
  <si>
    <t>Sarjapur - C (South Block)</t>
  </si>
  <si>
    <t>Srjp - C - SB</t>
  </si>
  <si>
    <t>Complete LoD 200, Approvals, Marketing &amp; Sales by 26'Q2</t>
  </si>
  <si>
    <t>Swathi S</t>
  </si>
  <si>
    <t>Akhila G</t>
  </si>
  <si>
    <t>Shadha</t>
  </si>
  <si>
    <t>LoD 200 - Marketing and Sales</t>
  </si>
  <si>
    <t>Complete LoD 200 &amp; Approvals by 26'Q2</t>
  </si>
  <si>
    <t>Deepu
Shreedhar
Byahattimath</t>
  </si>
  <si>
    <t>Sarjapur - C (North Block)</t>
  </si>
  <si>
    <t>Srjp - C - NB</t>
  </si>
  <si>
    <t>Fathima S</t>
  </si>
  <si>
    <t>Nanditha S</t>
  </si>
  <si>
    <t>Suganthan</t>
  </si>
  <si>
    <t>Deepu
Byahattimath
Matsarambabu</t>
  </si>
  <si>
    <t>Master Planning</t>
  </si>
  <si>
    <t>LoD 350</t>
  </si>
  <si>
    <t>LoD 100 - Contract + Design Brief [Commercial]</t>
  </si>
  <si>
    <t>Aswin J</t>
  </si>
  <si>
    <t xml:space="preserve">Approvals </t>
  </si>
  <si>
    <t>Mithoon</t>
  </si>
  <si>
    <t xml:space="preserve">LoD 300 - Pre Construction Set </t>
  </si>
  <si>
    <t>LoD 350 - Project Entrance</t>
  </si>
  <si>
    <t>LoD 300 - Pre Construction set - CH</t>
  </si>
  <si>
    <t>Raghav</t>
  </si>
  <si>
    <t>Avinash
Prem
Matsarambabu</t>
  </si>
  <si>
    <t>Aproova</t>
  </si>
  <si>
    <t>Harohalli [Plotted]</t>
  </si>
  <si>
    <t>[Dsgn Brf, LOD 200 - Schematic, Approvals, LoD 350 - Exp, LoD 300 -  Pre const]</t>
  </si>
  <si>
    <t>Utpal</t>
  </si>
  <si>
    <t>Megha</t>
  </si>
  <si>
    <t>LoD 350 - Project Experience</t>
  </si>
  <si>
    <t>[LOD 200 - Schematic]</t>
  </si>
  <si>
    <t>[LOD 200 - Schematic,LoD 350 - Exp, LoD 300 -  Pre const]</t>
  </si>
  <si>
    <t>LoD 300 - Pre-construction Set</t>
  </si>
  <si>
    <t>[LOD 200 - Schematic, Approvals, LoD 350 - Exp, LoD 300 -  Pre const]</t>
  </si>
  <si>
    <t>Eranna
Praveen</t>
  </si>
  <si>
    <t>Avinash
Prateesha
Deepu</t>
  </si>
  <si>
    <t xml:space="preserve">Shreegaon [61.6a] </t>
  </si>
  <si>
    <t>Package Release [till LoD 200 - Pre Construction Set]</t>
  </si>
  <si>
    <t>Manali</t>
  </si>
  <si>
    <t>Package Release [till LoD 200 - Schematic Concept]</t>
  </si>
  <si>
    <t>Eranna
Bhavya</t>
  </si>
  <si>
    <t>Violet Hill [21.76a]</t>
  </si>
  <si>
    <t xml:space="preserve"> </t>
  </si>
  <si>
    <t>Package Release [till LoD 350 - Infra - Plot Boundary &amp; Enclosures]</t>
  </si>
  <si>
    <t>LoD 350 - Project Experience [Sales Lounge, Model Road]</t>
  </si>
  <si>
    <t>LoD 350 - Infra - Grading</t>
  </si>
  <si>
    <t>LoD 350 - Infra - MEP</t>
  </si>
  <si>
    <t>LoD 350 - BOQ &amp; Technical Specifications,</t>
  </si>
  <si>
    <t>Lod - 350 Infra - Plot Boundary &amp; Enclosures</t>
  </si>
  <si>
    <t>Package Release [till LoD 200 - Approvals]</t>
  </si>
  <si>
    <t>Satish/Lincy</t>
  </si>
  <si>
    <t>Alwin/Subramanya</t>
  </si>
  <si>
    <t>LoD 350 - Structures - Security Cabin and Entrance [Rework]</t>
  </si>
  <si>
    <t>Package Release [till LoD 350 - Structures - Security Cabin and Entrance]</t>
  </si>
  <si>
    <t>LoD 350 - BOQ &amp; Technical Specifications</t>
  </si>
  <si>
    <t>LoD 350 - Infra - Coordinated</t>
  </si>
  <si>
    <t>Apoorva
Gouri</t>
  </si>
  <si>
    <t>LoD 350 - Structures - Security Cabin and Entrance</t>
  </si>
  <si>
    <t>Violet Hill [27.08a]</t>
  </si>
  <si>
    <t>Package Release [till LoD 300 - Pre Construction Set]</t>
  </si>
  <si>
    <t>Byatarayanpura [behind Mall of Asia]</t>
  </si>
  <si>
    <t>Byatarayanpura</t>
  </si>
  <si>
    <t>LOD 350 -Tower Pkg 1, MP Pkg 1, CH Pkg 1</t>
  </si>
  <si>
    <t>Sreeja</t>
  </si>
  <si>
    <t>Sinchana</t>
  </si>
  <si>
    <t>TR Mills</t>
  </si>
  <si>
    <t xml:space="preserve">TR Mills </t>
  </si>
  <si>
    <t>LOD 300, LOD 350 Exp home</t>
  </si>
  <si>
    <t xml:space="preserve">LoD 100 - Contract + Design Brief </t>
  </si>
  <si>
    <t>Simran</t>
  </si>
  <si>
    <t>KIADB - Mys</t>
  </si>
  <si>
    <t>Complete the project by Q4</t>
  </si>
  <si>
    <t>Imgn</t>
  </si>
  <si>
    <t xml:space="preserve">Package Release [Complete LoD 100, 200] </t>
  </si>
  <si>
    <t xml:space="preserve">Package Release [Complete LoD 200] </t>
  </si>
  <si>
    <t>Hareesha
Bhavya</t>
  </si>
  <si>
    <t>Byahattimath
Shreedhar
Viresh</t>
  </si>
  <si>
    <t>OtR OOTA</t>
  </si>
  <si>
    <t>OTR OOTA</t>
  </si>
  <si>
    <t>Lod100 - Design Brief</t>
  </si>
  <si>
    <t>Blue in Green</t>
  </si>
  <si>
    <t>BiG</t>
  </si>
  <si>
    <t>LOD 350 -MP, ISS, CH, Tower Habitable levels</t>
  </si>
  <si>
    <t>LoD 200 - Schematic Concept .v7 [Rework]</t>
  </si>
  <si>
    <t>Vdrhl</t>
  </si>
  <si>
    <t>Vdrhl-Res</t>
  </si>
  <si>
    <t>Vdrhl-Plotted Dev</t>
  </si>
  <si>
    <t>Amaresh</t>
  </si>
  <si>
    <t>Vdrhl-Cmrcl</t>
  </si>
  <si>
    <t>Critical Requirement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</si>
  <si>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</si>
  <si>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</si>
  <si>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</si>
  <si>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</si>
  <si>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</si>
  <si>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</si>
  <si>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</si>
  <si>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</si>
  <si>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</si>
  <si>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</si>
  <si>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</si>
  <si>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</si>
  <si>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</si>
  <si>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</si>
  <si>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</si>
  <si>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</si>
  <si>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</si>
  <si>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</si>
  <si>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</si>
  <si>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</si>
  <si>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</si>
  <si>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</si>
  <si>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</si>
  <si>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LoD 200 Schematic concept, Approvals</t>
  </si>
  <si>
    <t>LoD 200 Schematic concept</t>
  </si>
  <si>
    <t>Experience Home + Project Experience; LoD 300 - Pre Construction Set; LoD 300 - Marketing and Sales</t>
  </si>
  <si>
    <t>LoD 300 Pre Construction, Approvals, Experience home and Sales lounge</t>
  </si>
  <si>
    <t>LoD 300 Pre Construction, Approvals</t>
  </si>
  <si>
    <t>LoD 200  by Jul'26. LoD 350 - Project Entrance by Jul'26. Approvals by Aug'26</t>
  </si>
  <si>
    <t>LoD 200 Schematic concept finalization [Master plan]</t>
  </si>
  <si>
    <t xml:space="preserve">LoD 200 Schematic concept </t>
  </si>
  <si>
    <t xml:space="preserve">LoD 350 - Structures - Security Cabin and Entrance </t>
  </si>
  <si>
    <t>LoD 100 Concept finalisation, LoD 200 Schematic concept, Approvals</t>
  </si>
  <si>
    <t>LoD 100 Concept finalisation, Approvals</t>
  </si>
  <si>
    <t>Nava Raipur</t>
  </si>
  <si>
    <t>FY 2026-27 Q3 | Design Goals + Billing</t>
  </si>
  <si>
    <t>Release date</t>
  </si>
  <si>
    <t>Responsible</t>
  </si>
  <si>
    <t>Step 1</t>
  </si>
  <si>
    <t>METAL FABRICATION</t>
  </si>
  <si>
    <t>SITE SECTION THROUGH VISITORS' CAR PARKS</t>
  </si>
  <si>
    <t>SITE SECTION THROUGH SERVICE YARDS</t>
  </si>
  <si>
    <t xml:space="preserve">Services team to share revised service yard sizes to be given as per centralized HVAC scheme </t>
  </si>
  <si>
    <t>ENTRY FROM MAIN ROAD</t>
  </si>
  <si>
    <t>GATE DETAIL</t>
  </si>
  <si>
    <t>EXIT GATE DESIGN</t>
  </si>
  <si>
    <t xml:space="preserve">PLAN - VISITOR'S CAR PARK </t>
  </si>
  <si>
    <t>FLOORING, GUTTER DETAILS</t>
  </si>
  <si>
    <t>SECURITY CABIN 1 - PLAN , SECTIONS, ELEVATIONS (1/2)</t>
  </si>
  <si>
    <t>SECURITY CABIN 1 - PLAN , SECTIONS, ELEVATIONS (2/2)</t>
  </si>
  <si>
    <t>SECURITY CABIN 1 - ELECTRICAL LAYOUT &amp; SCHEDULE</t>
  </si>
  <si>
    <t>SECURITY CABIN 1 - DOOR &amp; WINDOW DETAIL</t>
  </si>
  <si>
    <t>SECURITY CABIN 2 - PLAN , SECTIONS, ELEVATIONS (1/2)</t>
  </si>
  <si>
    <t>SECURITY CABIN 2 - PLAN , SECTIONS, ELEVATIONS (2/2)</t>
  </si>
  <si>
    <t>SECURITY CABIN 2 - ELECTRICAL LAYOUT &amp; SCHEDULE</t>
  </si>
  <si>
    <t>SECURITY CABIN 2 - DOOR &amp; WINDOW DETAIL</t>
  </si>
  <si>
    <t>WEST BOUNDARY WALL DETAIL</t>
  </si>
  <si>
    <t>NORTH BOUNDARY WALL DETAIL</t>
  </si>
  <si>
    <t>RAMP 1 DETAILS - (DOWN FROM NORTH SIDE ROAD)</t>
  </si>
  <si>
    <t>RAMP 2 DETAILS - (UP FROM SOUTH SIDE ROAD)</t>
  </si>
  <si>
    <t>DRIVEWAY 1 DETAILS</t>
  </si>
  <si>
    <t>DRIVEWAY 2 DETAILS</t>
  </si>
  <si>
    <t>OWC</t>
  </si>
  <si>
    <t>SETTING OUT PLAN</t>
  </si>
  <si>
    <t>Detailed Elevations/ Part Elevations</t>
  </si>
  <si>
    <t>Detailed Sections/ Part Sections</t>
  </si>
  <si>
    <t>Doors And Windows</t>
  </si>
  <si>
    <t>Masonry Setout Plans, Details</t>
  </si>
  <si>
    <t>Electrical Layout</t>
  </si>
  <si>
    <t>Reflected Ceiling Plan</t>
  </si>
  <si>
    <t>Equipment Layout</t>
  </si>
  <si>
    <t>Setting Out</t>
  </si>
  <si>
    <t>UGT, WTP</t>
  </si>
  <si>
    <t>Masonry &amp; Flooring Setout Plans, Details</t>
  </si>
  <si>
    <t>STP</t>
  </si>
  <si>
    <t xml:space="preserve">Services to share the STP layout &amp; Chiller Plant layout </t>
  </si>
  <si>
    <t>Transformer Yard, DG Yard, Electrical Room,Communication Room, Details &amp; Drawings etc</t>
  </si>
  <si>
    <t>Site level drawings</t>
  </si>
  <si>
    <t>Waterbody details</t>
  </si>
  <si>
    <t>All Signage</t>
  </si>
  <si>
    <t>SETTING OUT PLAN - RAFT</t>
  </si>
  <si>
    <t>Post excavation as mentioned in S-T06-FD0001</t>
  </si>
  <si>
    <t>SETTING OUT PLAN - RAFT - COLUMNS</t>
  </si>
  <si>
    <t>FOUNDATION SETTING OUT PLAN</t>
  </si>
  <si>
    <t xml:space="preserve">Structural consultant to issue the pending drawings </t>
  </si>
  <si>
    <t xml:space="preserve">COLUMN SETTING OUT PLAN </t>
  </si>
  <si>
    <t>Structural consultant to issue the pending drawings</t>
  </si>
  <si>
    <t xml:space="preserve">RETAINING WALL SETTING OUT PLAN </t>
  </si>
  <si>
    <t>RAMP 2 Details</t>
  </si>
  <si>
    <t xml:space="preserve">No Dependencies </t>
  </si>
  <si>
    <t>Shaft Details</t>
  </si>
  <si>
    <t>WATERPROOFING LAYOUT - SSL 02</t>
  </si>
  <si>
    <t>Step 2</t>
  </si>
  <si>
    <t>DRAINAGE PLAN - SSL 02</t>
  </si>
  <si>
    <t xml:space="preserve">Shibanee workshop pending for services
Estimation team to share product BOQ 
Estimation team to share package codes 
Estimation team to close on fenestration BOQ
Swaja HA coordination pending </t>
  </si>
  <si>
    <t xml:space="preserve">Estimation team to share product BOQ 
Estimation team to share package codes 
Estimation team to close on fenestration BOQ
Swaja HA coordination pending 
</t>
  </si>
  <si>
    <t xml:space="preserve">Services team to discuss the updates with Shibanee 
Swaja specs to be finalized </t>
  </si>
  <si>
    <t xml:space="preserve">Revised GA Set </t>
  </si>
  <si>
    <t>External Building Elements</t>
  </si>
  <si>
    <t>Water Body Details</t>
  </si>
  <si>
    <t>Enclosure And Fencing Details</t>
  </si>
  <si>
    <t>Task description 1</t>
  </si>
  <si>
    <t>Task description 2</t>
  </si>
  <si>
    <t>LoD 350 - ISS -Parking Level Slab - Sub grade</t>
  </si>
  <si>
    <t>Kiran</t>
  </si>
  <si>
    <t xml:space="preserve">GFCs already issued. Revisions if necessary based on site soil condition to be decided after excavations completed. </t>
  </si>
  <si>
    <t>Bhavya
Hareesha
Vallivel
Rinu</t>
  </si>
  <si>
    <t>LoD 350 - ISS-2_Foundations &amp; Grade Slab [Rework]</t>
  </si>
  <si>
    <t>0093 |Down By The Water</t>
  </si>
  <si>
    <t>AR</t>
  </si>
  <si>
    <t>ST</t>
  </si>
  <si>
    <t>Completed</t>
  </si>
  <si>
    <t>Scope</t>
  </si>
  <si>
    <t>Pending</t>
  </si>
  <si>
    <t>NA</t>
  </si>
  <si>
    <t>DESIGN CONCEPT</t>
  </si>
  <si>
    <t>CONSTRUCTION DOCUMENTS</t>
  </si>
  <si>
    <r>
      <t>GFC | Tower—</t>
    </r>
    <r>
      <rPr>
        <b/>
        <sz val="10"/>
        <color theme="1"/>
        <rFont val="Helvetica Neue Light"/>
        <family val="2"/>
      </rPr>
      <t>01</t>
    </r>
  </si>
  <si>
    <t>T01-01</t>
  </si>
  <si>
    <t>T01-02</t>
  </si>
  <si>
    <t>Parking Level-Sub grade</t>
  </si>
  <si>
    <t>T01-03</t>
  </si>
  <si>
    <t>Building Envelope and Common Areas [Basement]</t>
  </si>
  <si>
    <t>T01-04</t>
  </si>
  <si>
    <t>Habitable Level 01</t>
  </si>
  <si>
    <t>T01-05</t>
  </si>
  <si>
    <t>Habitable Level - Even</t>
  </si>
  <si>
    <t>T01-06</t>
  </si>
  <si>
    <t>Habitable Level - Odd</t>
  </si>
  <si>
    <t>T01-07</t>
  </si>
  <si>
    <t>Building Envelope and Common Areas [Typical Tower Levels]</t>
  </si>
  <si>
    <t>T01-08</t>
  </si>
  <si>
    <t>T01-09</t>
  </si>
  <si>
    <t>T01-10</t>
  </si>
  <si>
    <t>Building Envelope and Common Areas [Penthouse Levels And Terrace Level]</t>
  </si>
  <si>
    <r>
      <t>GFC | Tower—</t>
    </r>
    <r>
      <rPr>
        <b/>
        <sz val="10"/>
        <color theme="1"/>
        <rFont val="Helvetica Neue Light"/>
        <family val="2"/>
      </rPr>
      <t>2</t>
    </r>
  </si>
  <si>
    <t>T02-01</t>
  </si>
  <si>
    <t>T02-02</t>
  </si>
  <si>
    <t>T02-03</t>
  </si>
  <si>
    <t>T02-04</t>
  </si>
  <si>
    <t>T02-05</t>
  </si>
  <si>
    <t>T02-06</t>
  </si>
  <si>
    <t>T02-07</t>
  </si>
  <si>
    <t>T02-08</t>
  </si>
  <si>
    <t>T02-09</t>
  </si>
  <si>
    <t>T02-10</t>
  </si>
  <si>
    <t>GFC | Tower—3</t>
  </si>
  <si>
    <t>T03-01</t>
  </si>
  <si>
    <t>T03-02</t>
  </si>
  <si>
    <t>T03-03</t>
  </si>
  <si>
    <t>T03-04</t>
  </si>
  <si>
    <t>T03-05</t>
  </si>
  <si>
    <t>T03-06</t>
  </si>
  <si>
    <t>T03-07</t>
  </si>
  <si>
    <t>T03-08</t>
  </si>
  <si>
    <t>T03-09</t>
  </si>
  <si>
    <t>T03-10</t>
  </si>
  <si>
    <t>GFC | Tower—4</t>
  </si>
  <si>
    <t>T04-01</t>
  </si>
  <si>
    <t>T04-02</t>
  </si>
  <si>
    <t>T04-03</t>
  </si>
  <si>
    <t>T04-04</t>
  </si>
  <si>
    <t>T04-05</t>
  </si>
  <si>
    <t>T04-06</t>
  </si>
  <si>
    <t>T04-07</t>
  </si>
  <si>
    <t>T04-08</t>
  </si>
  <si>
    <t>T04-09</t>
  </si>
  <si>
    <t>T04-10</t>
  </si>
  <si>
    <t>GFC | Tower—5</t>
  </si>
  <si>
    <t>T05-01</t>
  </si>
  <si>
    <t>T05-02</t>
  </si>
  <si>
    <t>T05-03</t>
  </si>
  <si>
    <t>T05-04</t>
  </si>
  <si>
    <t>T05-05</t>
  </si>
  <si>
    <t>T05-06</t>
  </si>
  <si>
    <t>T05-07</t>
  </si>
  <si>
    <t>T05-08</t>
  </si>
  <si>
    <t>T05-09</t>
  </si>
  <si>
    <t>T05-10</t>
  </si>
  <si>
    <t>GFC | Tower—6</t>
  </si>
  <si>
    <t>T06-01</t>
  </si>
  <si>
    <t>T06-02</t>
  </si>
  <si>
    <t>T06-03</t>
  </si>
  <si>
    <t>T06-04</t>
  </si>
  <si>
    <t>T06-05</t>
  </si>
  <si>
    <t>T06-06</t>
  </si>
  <si>
    <t>T06-07</t>
  </si>
  <si>
    <t>T06-08</t>
  </si>
  <si>
    <t>T06-09</t>
  </si>
  <si>
    <t>T06-10</t>
  </si>
  <si>
    <r>
      <t xml:space="preserve">GFC | Independent Subgrade Structure [Tower </t>
    </r>
    <r>
      <rPr>
        <b/>
        <sz val="10"/>
        <color theme="1"/>
        <rFont val="Helvetica Neue Light"/>
        <family val="2"/>
      </rPr>
      <t>1-7</t>
    </r>
    <r>
      <rPr>
        <sz val="10"/>
        <color theme="1"/>
        <rFont val="Helvetica Neue Light"/>
        <family val="2"/>
      </rPr>
      <t>]</t>
    </r>
  </si>
  <si>
    <t>ISS-01</t>
  </si>
  <si>
    <t>Earthwork</t>
  </si>
  <si>
    <t>ISS-02</t>
  </si>
  <si>
    <t>ISS-03</t>
  </si>
  <si>
    <t>ISS-04</t>
  </si>
  <si>
    <t>ISS-05</t>
  </si>
  <si>
    <t>Building Envelope and Common Areas</t>
  </si>
  <si>
    <t>GFC | Individual Homes</t>
  </si>
  <si>
    <t>L21-01</t>
  </si>
  <si>
    <t>L21 Default and it's variants</t>
  </si>
  <si>
    <t>I20-01</t>
  </si>
  <si>
    <t>I25-01</t>
  </si>
  <si>
    <t>GFC | Master Plan</t>
  </si>
  <si>
    <t>MP-01</t>
  </si>
  <si>
    <t>MP-02</t>
  </si>
  <si>
    <t>MP-03</t>
  </si>
  <si>
    <t>MP-04</t>
  </si>
  <si>
    <t>GFC | Amenities &amp; Facilities</t>
  </si>
  <si>
    <t>AMN-01</t>
  </si>
  <si>
    <t>AMN-02</t>
  </si>
  <si>
    <t>AMN-03</t>
  </si>
  <si>
    <t>AMN-04</t>
  </si>
  <si>
    <t>AMN-05</t>
  </si>
  <si>
    <t>POST-CONSTRUCTION</t>
  </si>
  <si>
    <t xml:space="preserve">Complete set of "As-Built" drawings, final BoQ and project costs, </t>
  </si>
  <si>
    <t>MAJOR REWORKS</t>
  </si>
  <si>
    <t>50 Units</t>
  </si>
  <si>
    <t>CONCAT</t>
  </si>
  <si>
    <t>S.No</t>
  </si>
  <si>
    <t>Combined Units</t>
  </si>
  <si>
    <t>Unit no</t>
  </si>
  <si>
    <t>Product</t>
  </si>
  <si>
    <t>Customer Name</t>
  </si>
  <si>
    <t>Customisation</t>
  </si>
  <si>
    <t>Architect</t>
  </si>
  <si>
    <t>Saleable Area</t>
  </si>
  <si>
    <t>SALE [SF]</t>
  </si>
  <si>
    <t>Virtual Completion</t>
  </si>
  <si>
    <t>Launch Date</t>
  </si>
  <si>
    <t>Signoff Quarter</t>
  </si>
  <si>
    <t>GFC Target</t>
  </si>
  <si>
    <t>Status [Currently Launched Products]</t>
  </si>
  <si>
    <t>Status[Product to be Launched]</t>
  </si>
  <si>
    <t>HDP Quarter</t>
  </si>
  <si>
    <t>ID Revenue</t>
  </si>
  <si>
    <t>Currently Launched</t>
  </si>
  <si>
    <t>Expected ID Revenue [PD Launch]</t>
  </si>
  <si>
    <t>Remarks 
[ID Priority] Plaster</t>
  </si>
  <si>
    <t>Remarks 
[ID Priority] Flooring</t>
  </si>
  <si>
    <t>Remarks [CRM]</t>
  </si>
  <si>
    <t>MEP Requirement</t>
  </si>
  <si>
    <t>HVAC</t>
  </si>
  <si>
    <t>ELE</t>
  </si>
  <si>
    <t>PHE</t>
  </si>
  <si>
    <t>FF</t>
  </si>
  <si>
    <t>HA</t>
  </si>
  <si>
    <t>LS Requirement</t>
  </si>
  <si>
    <t>Billing</t>
  </si>
  <si>
    <t>Ph-1</t>
  </si>
  <si>
    <t>V45</t>
  </si>
  <si>
    <t>Mr. Satish Polamreddi</t>
  </si>
  <si>
    <t>Personalised</t>
  </si>
  <si>
    <t>Sold</t>
  </si>
  <si>
    <t>Q22026</t>
  </si>
  <si>
    <t>2b</t>
  </si>
  <si>
    <t>V50</t>
  </si>
  <si>
    <t>Sameer Bansal &amp; Shikha Bansal</t>
  </si>
  <si>
    <t>e-Design</t>
  </si>
  <si>
    <t>Employee</t>
  </si>
  <si>
    <t>ATR158-160</t>
  </si>
  <si>
    <t>158-160</t>
  </si>
  <si>
    <t>V30</t>
  </si>
  <si>
    <t>Aditya Kumar Banthia - Combined</t>
  </si>
  <si>
    <t>2c</t>
  </si>
  <si>
    <t>Sameer Bansal</t>
  </si>
  <si>
    <t>V80</t>
  </si>
  <si>
    <t>Varsha Naresh Shah</t>
  </si>
  <si>
    <t>Fenny Saumil Shah</t>
  </si>
  <si>
    <t>POARR</t>
  </si>
  <si>
    <t>V40</t>
  </si>
  <si>
    <t>Tripprayar Sahasranaman Priyaa &amp; Ruman Kumar Singh &amp; Ms. S Saroja</t>
  </si>
  <si>
    <t>Ar bandwidth issue</t>
  </si>
  <si>
    <t>Yes</t>
  </si>
  <si>
    <t>Harshendra Maheshwari &amp; Pooja Harshendra Maheshwari</t>
  </si>
  <si>
    <t>Reenu Manmohan</t>
  </si>
  <si>
    <t>Mrs. Damini Chandra</t>
  </si>
  <si>
    <t>Bhavesh Kothari - Combined</t>
  </si>
  <si>
    <t>Channel Partner</t>
  </si>
  <si>
    <t>Mr.Prabhav Kashyap Addepalli &amp; Ms.Shireen Pangtey</t>
  </si>
  <si>
    <t>Sumeet Mathur &amp; ritu Mathur</t>
  </si>
  <si>
    <t>Sai Krishnan Ramanathan &amp; Radha Saikrishnan</t>
  </si>
  <si>
    <t>T2</t>
  </si>
  <si>
    <t>L45</t>
  </si>
  <si>
    <t>Sangeeta Tanwani - P1</t>
  </si>
  <si>
    <t xml:space="preserve">High Priority </t>
  </si>
  <si>
    <t>Q42026</t>
  </si>
  <si>
    <t>L30</t>
  </si>
  <si>
    <t>Deepti Tolani</t>
  </si>
  <si>
    <t>T3</t>
  </si>
  <si>
    <t>L45P1</t>
  </si>
  <si>
    <t>Senthil Govindan</t>
  </si>
  <si>
    <t>L45P3</t>
  </si>
  <si>
    <t>T4_Stepped</t>
  </si>
  <si>
    <t>Ramanan Ravi Iyer and Pallavi Bhardwaj</t>
  </si>
  <si>
    <t>T4</t>
  </si>
  <si>
    <t>Phani Kishan Addepalli</t>
  </si>
  <si>
    <t>Anupam Gupta &amp; Monie Gupta</t>
  </si>
  <si>
    <t>Abraar Ahmed &amp; Sumaiyah Tayzeen</t>
  </si>
  <si>
    <t>Aravindan Vijay Raghavan</t>
  </si>
  <si>
    <t>C20</t>
  </si>
  <si>
    <t>Pavani Marpuri &amp; Sriram Marpuri</t>
  </si>
  <si>
    <t>no progress</t>
  </si>
  <si>
    <t>L30P</t>
  </si>
  <si>
    <t>Mr. Navneet Prakash Khandelwal &amp; Nutan Khandelwal</t>
  </si>
  <si>
    <t>Released to Site</t>
  </si>
  <si>
    <t>T5_Stepped</t>
  </si>
  <si>
    <t>Sumit Wadhwa &amp; Kriti Chopra Wadhwa</t>
  </si>
  <si>
    <t>T5</t>
  </si>
  <si>
    <t>Anita Sanghi</t>
  </si>
  <si>
    <t>Dimpy Hasija</t>
  </si>
  <si>
    <t xml:space="preserve">L Radharani and Subramanian Ganapathy Venugopal </t>
  </si>
  <si>
    <t>Krishna Kumar Pandala</t>
  </si>
  <si>
    <t>Sameer Dhanrajani</t>
  </si>
  <si>
    <t>Aditi Kulkarni &amp; Murali Ganesan</t>
  </si>
  <si>
    <t>Nanjarapalli Reddappa Reddy</t>
  </si>
  <si>
    <t>Masonry start date* - tower 5</t>
  </si>
  <si>
    <t>R11</t>
  </si>
  <si>
    <t>Naresh Shaw &amp; Khushbu Saha</t>
  </si>
  <si>
    <t>Nitish Nigam &amp; Uma Kameswari Chembrolu</t>
  </si>
  <si>
    <t>Kinshuk Mishra &amp; Gayathri Pasupathi</t>
  </si>
  <si>
    <t>Venkarama Srinivasa Kumar &amp; Poorani Aravindan</t>
  </si>
  <si>
    <t>Sonu Chandra and Vinay Singh</t>
  </si>
  <si>
    <t>Ruma Kishore</t>
  </si>
  <si>
    <t>Tripuraneni Varun &amp; E Prathyusha</t>
  </si>
  <si>
    <t>Debashis Ghosh</t>
  </si>
  <si>
    <t>Saji Alexander P &amp; Annie K Philip</t>
  </si>
  <si>
    <t>Dhananjay Ashok Gore &amp; Sujata Dhananjay Gore</t>
  </si>
  <si>
    <t>Manish Mohan and Sunil Mohan</t>
  </si>
  <si>
    <t>Vijay Sukhlal Chinchole &amp; Priti Balkrishna Namdhari</t>
  </si>
  <si>
    <t>Robin Sharma &amp; Priyanka Bhakuni</t>
  </si>
  <si>
    <t>Vipin Pruthi &amp; Vandana Pruthi</t>
  </si>
  <si>
    <t>Sourav Kundu &amp; Anuradha Das</t>
  </si>
  <si>
    <t>Sanjeev Anant Indurkar &amp; Maya Sanjeev Indurkar</t>
  </si>
  <si>
    <t>Manik Gupta &amp; Ashok Kumar Gupta</t>
  </si>
  <si>
    <t>Mudit Raj Gupta &amp;  Shruti Gupta</t>
  </si>
  <si>
    <t>Himanshu Lohiya &amp; Akshita Jain</t>
  </si>
  <si>
    <t>Gisha George &amp; Jiju George</t>
  </si>
  <si>
    <t>Shashank Sardana &amp; Hitanshi Bhatia</t>
  </si>
  <si>
    <t>Ankit Uppal</t>
  </si>
  <si>
    <t>Gabriel Thomas &amp; Riya Mary Ranjan</t>
  </si>
  <si>
    <t>H B Sekar &amp; Preetha C</t>
  </si>
  <si>
    <t>T6</t>
  </si>
  <si>
    <t>L45p2</t>
  </si>
  <si>
    <t>Kislay Pandey &amp; Abhinav Sinha</t>
  </si>
  <si>
    <t>T7</t>
  </si>
  <si>
    <t>C20P</t>
  </si>
  <si>
    <t>Himanshu Arora</t>
  </si>
  <si>
    <t>D35</t>
  </si>
  <si>
    <t>Narayanaswamy Mohan</t>
  </si>
  <si>
    <t>Satchidananda Sivachidabarasarma Sogala</t>
  </si>
  <si>
    <t>Transition pending since Nov-2025</t>
  </si>
  <si>
    <t>2233a</t>
  </si>
  <si>
    <t>U10</t>
  </si>
  <si>
    <t>V Uma</t>
  </si>
  <si>
    <t>Q32026</t>
  </si>
  <si>
    <t>3073b</t>
  </si>
  <si>
    <t xml:space="preserve">Subabrata Ghosh  </t>
  </si>
  <si>
    <t>L21</t>
  </si>
  <si>
    <t>Shaifali Aggarwal</t>
  </si>
  <si>
    <t>Ritesh Monnappa</t>
  </si>
  <si>
    <t>Usha Kandikattu</t>
  </si>
  <si>
    <t>Abhay Gupta &amp; Komal Goyal</t>
  </si>
  <si>
    <t>Mudit Gupta &amp; Nimisha Gupta</t>
  </si>
  <si>
    <t>Guda Shrikant Reddy &amp; Guda Suhasini Reddy</t>
  </si>
  <si>
    <t>Milina Chakraborty &amp; Debjani Chakraborty</t>
  </si>
  <si>
    <t>Pankaj P Jathar &amp; Runa Jathar</t>
  </si>
  <si>
    <t>Deeksha Shrivastava &amp; Ujjwal Deep</t>
  </si>
  <si>
    <t>Nilesh Misal &amp; Varsha Jadhav</t>
  </si>
  <si>
    <t>Arun kumar Jain</t>
  </si>
  <si>
    <t>Sombabu Ivaturi</t>
  </si>
  <si>
    <t>Concern from customer- No progress</t>
  </si>
  <si>
    <t>Praveen Singh Thakur</t>
  </si>
  <si>
    <t>Booked</t>
  </si>
  <si>
    <t>Raman Jha</t>
  </si>
  <si>
    <t>Vishal Kumar</t>
  </si>
  <si>
    <t>Shishir Kumaraswamy Athrey &amp; Suchitra Chandrashekhar</t>
  </si>
  <si>
    <t>Abhishek &amp; Ritika Kejriwal</t>
  </si>
  <si>
    <t>Llakkiya R</t>
  </si>
  <si>
    <t>Avadhoot Dixit &amp; Bhargavi Dixit</t>
  </si>
  <si>
    <t xml:space="preserve">Gagan Verma </t>
  </si>
  <si>
    <t>Surinder Mittal</t>
  </si>
  <si>
    <t>Shubham Mittal</t>
  </si>
  <si>
    <t>Ranjiesh Nair and Triza Ranjiesh Nair</t>
  </si>
  <si>
    <t>Akash Gupta &amp; Anveshika Gupta</t>
  </si>
  <si>
    <t>V35</t>
  </si>
  <si>
    <t>Sandhya Ramula</t>
  </si>
  <si>
    <t>Transistion pending since April-2025</t>
  </si>
  <si>
    <t>Rekha Jagdish Hiregoudar</t>
  </si>
  <si>
    <t>Transistion pending since May-2025</t>
  </si>
  <si>
    <t>Kiran Gehani &amp; Tania Kiran</t>
  </si>
  <si>
    <t>L20</t>
  </si>
  <si>
    <t>Prithviraj Chitnis &amp; Kalpana Chitnis</t>
  </si>
  <si>
    <t>Dr. Pallavi Abhirudra Mulay &amp; Abhirudra Ramkrishna Mulay</t>
  </si>
  <si>
    <t>Manjari Upadhaye</t>
  </si>
  <si>
    <t>Nikhil Joshi &amp; Shubhangi Joshi</t>
  </si>
  <si>
    <t>Prachi Prakash Chemburkar &amp; Neelima Prakash Chemburkar</t>
  </si>
  <si>
    <t xml:space="preserve">Rajat Bhat </t>
  </si>
  <si>
    <t>L20a</t>
  </si>
  <si>
    <t>Atit Shrikant Admulwar</t>
  </si>
  <si>
    <t>L30p</t>
  </si>
  <si>
    <t>M/s. JSP Autocore Private Limited</t>
  </si>
  <si>
    <t>Shweta Jindal &amp; Mahavir Jindal</t>
  </si>
  <si>
    <t>Vishal Pratap Singh Bist</t>
  </si>
  <si>
    <t>H20</t>
  </si>
  <si>
    <t>VBA North Star (Vishal Asrani)</t>
  </si>
  <si>
    <t>4323b</t>
  </si>
  <si>
    <t>Vishal Asrani</t>
  </si>
  <si>
    <t xml:space="preserve">Sidharth Rozario </t>
  </si>
  <si>
    <t>Kona Shivani &amp; Kona Krishna Karthik Reddy</t>
  </si>
  <si>
    <t>Ph-2</t>
  </si>
  <si>
    <t>Loveen Vuppala &amp; Saroj Bangaru (planning to resale)</t>
  </si>
  <si>
    <t>Shikha Vijay and Anubhav Kela</t>
  </si>
  <si>
    <t>Aleti Rama Brahmam</t>
  </si>
  <si>
    <t>Swapnil Suresh Jamthe &amp; Kalyani Swapnil janthe</t>
  </si>
  <si>
    <t>T1</t>
  </si>
  <si>
    <t>1211a</t>
  </si>
  <si>
    <t>Sandeep Rajaram Karande</t>
  </si>
  <si>
    <t>Q42025</t>
  </si>
  <si>
    <t>1134</t>
  </si>
  <si>
    <t>L20b</t>
  </si>
  <si>
    <t>Landowner</t>
  </si>
  <si>
    <t>Default</t>
  </si>
  <si>
    <t>Not for Sale</t>
  </si>
  <si>
    <t>Under Extraction</t>
  </si>
  <si>
    <t>1152</t>
  </si>
  <si>
    <t>1154</t>
  </si>
  <si>
    <t>1172</t>
  </si>
  <si>
    <t>1174</t>
  </si>
  <si>
    <t>1254</t>
  </si>
  <si>
    <t>C20b</t>
  </si>
  <si>
    <t>Bipranshu Saha</t>
  </si>
  <si>
    <t>C20a</t>
  </si>
  <si>
    <t>Shibanee &amp; Kamal Architects Sagar</t>
  </si>
  <si>
    <t>C20p</t>
  </si>
  <si>
    <t>Meenakshee Sudhir Pande and Hrishikesh Nandkishore Deshpande</t>
  </si>
  <si>
    <t>PoARR</t>
  </si>
  <si>
    <t>Aditi Ankit Raipuria</t>
  </si>
  <si>
    <t>ID Units</t>
  </si>
  <si>
    <t>FY26-27 Q2</t>
  </si>
  <si>
    <t>Row Labels</t>
  </si>
  <si>
    <t>Sum of Plan - Billing [Cr.]</t>
  </si>
  <si>
    <t>Count of Plan - Pkgs</t>
  </si>
  <si>
    <t>Jul-Sept BL0</t>
  </si>
  <si>
    <t>Area</t>
  </si>
  <si>
    <t>ID revenue</t>
  </si>
  <si>
    <t>Atul [Personalised]</t>
  </si>
  <si>
    <t>Saji [Personalised]</t>
  </si>
  <si>
    <t>Navneet [Total]</t>
  </si>
  <si>
    <t>E-Design</t>
  </si>
  <si>
    <t>Personalised Customisation</t>
  </si>
  <si>
    <t>Shweta V</t>
  </si>
  <si>
    <t>Product Development</t>
  </si>
  <si>
    <t>Fabric Craft</t>
  </si>
  <si>
    <t>Edesign</t>
  </si>
  <si>
    <t>Grand Total</t>
  </si>
  <si>
    <t>FY 2026-27 Q2 | Design Goals + Billing | Cijey M</t>
  </si>
  <si>
    <t>LoD 350 - Tower—05 | Habitable Level 01</t>
  </si>
  <si>
    <t>Complete LoD 300, LoD 350 Foundation and Structure</t>
  </si>
  <si>
    <t>LoD 200 - Schematic Concept &amp; Approvals</t>
  </si>
  <si>
    <t xml:space="preserve">Complete LoD 300, Approvals &amp; Experience Homes </t>
  </si>
  <si>
    <t>LoD 300 - Preconstruction</t>
  </si>
  <si>
    <t>FY 2026-27 Q2 | Design Goals + Billing | Saji A</t>
  </si>
  <si>
    <t>LoD 350 - Home Products - V80 Default and it's variants</t>
  </si>
  <si>
    <t xml:space="preserve">LoD 350 - Villa Block 33 - Building Envelope + Plot Development </t>
  </si>
  <si>
    <t>LOD 350 L22 Default and variants</t>
  </si>
  <si>
    <t>LOD 350 R25 Default [Modification for Dry Wall]</t>
  </si>
  <si>
    <t>Interior Design + Product Development</t>
  </si>
  <si>
    <t>ID</t>
  </si>
  <si>
    <t>PID</t>
  </si>
  <si>
    <t>ATR , POARR</t>
  </si>
  <si>
    <t>FY 2026-27 Q2 | Design Goals + Billing | Om Prakash</t>
  </si>
  <si>
    <t>Sreeja P</t>
  </si>
  <si>
    <t>LoD 300 - Pre Construction</t>
  </si>
  <si>
    <t>LoD 200 - Schematic Concept, Approvals</t>
  </si>
  <si>
    <t xml:space="preserve">Aparna </t>
  </si>
  <si>
    <t>LoD 300 - CH: Preconstruction</t>
  </si>
  <si>
    <t>Aparna S</t>
  </si>
  <si>
    <t>Package Release [LoD 200 - Schematic Concept]</t>
  </si>
  <si>
    <t>FY 2026-27 Q2 | Design Goals + Billing | Naveen Y</t>
  </si>
  <si>
    <t xml:space="preserve">Complete LoD 300, Approvals, Marketing &amp; Sales </t>
  </si>
  <si>
    <t>LOD 350 - MP Pkg 1, Project Entrance</t>
  </si>
  <si>
    <t>Swathi</t>
  </si>
  <si>
    <t>FY 2026-27 Q2 | Design Goals + Billing | Manik G</t>
  </si>
  <si>
    <t>FY 2026-27 Q2 | Design Goals + Billing | Gaganjit S</t>
  </si>
  <si>
    <t>Package Release [Complete LoD 350  ]</t>
  </si>
  <si>
    <t>LOD 350 T08-Clubhouse—Outdoor Spaces and Pool</t>
  </si>
  <si>
    <t>LOD 350 T08-Community spaces [Board Walk, Children play area]</t>
  </si>
  <si>
    <t>Tree Avenue details, Play equipment selection pending</t>
  </si>
  <si>
    <t>Complete LoD 300</t>
  </si>
  <si>
    <t xml:space="preserve">Complete LoD 300 &amp; Experience Homes </t>
  </si>
  <si>
    <t xml:space="preserve">Complete LoD 300 &amp; Approvals </t>
  </si>
  <si>
    <t xml:space="preserve">Complete LoD 300 </t>
  </si>
  <si>
    <t>Complete LoD 300 &amp; Approvals</t>
  </si>
  <si>
    <t>[Dsgn Brf, LOD 200 - Schematic, Approvals]</t>
  </si>
  <si>
    <t>[LOD 200 - Schematic, Approvals]</t>
  </si>
  <si>
    <t>Package Release [Lod 200 -Schematic Concept &amp; Approvals]</t>
  </si>
  <si>
    <t xml:space="preserve"> Approvals</t>
  </si>
  <si>
    <t>Package Release [till LoD 350 - Infra - Signage &amp; Street Lighting]</t>
  </si>
  <si>
    <t>Lod 350 - Infra - Signage &amp; Street Lighting</t>
  </si>
  <si>
    <t>LoD 300 - Pre Construction Set, Approvals</t>
  </si>
  <si>
    <t>FY 2026-27 Q2 | Design Goals + Billing | Navneet K</t>
  </si>
  <si>
    <t>PD Launch</t>
  </si>
  <si>
    <t xml:space="preserve">ITQE [L25] - Pending Variants </t>
  </si>
  <si>
    <t>OTR [V25]</t>
  </si>
  <si>
    <t>POARR [R25, D35, L20]</t>
  </si>
  <si>
    <t>DBTW [I20, I25, L21]</t>
  </si>
  <si>
    <t>TMD, POARR, SFTW</t>
  </si>
  <si>
    <t>ATR, POARR, ITQE, TMFT, SFTW, TMD</t>
  </si>
  <si>
    <t>FY 2026-27 Q2 | Design Goals + Billing | Shweta V</t>
  </si>
  <si>
    <t>IDPD</t>
  </si>
  <si>
    <t>Exp Homes</t>
  </si>
  <si>
    <t xml:space="preserve">itqE 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</si>
  <si>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</si>
  <si>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</si>
  <si>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</si>
  <si>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</si>
  <si>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</si>
  <si>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</si>
  <si>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</si>
  <si>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</si>
  <si>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PD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</si>
  <si>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</si>
  <si>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</si>
  <si>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</si>
  <si>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Soft furnishing for all experience homes except V35</t>
  </si>
  <si>
    <t>Villa 18 - Store selections</t>
  </si>
  <si>
    <t>FY 2026-27 Q2 | Design Goals + Billing | Prakash C</t>
  </si>
  <si>
    <t xml:space="preserve">LoD 350 - Villa Block 33 - Foundations and Sub-Grade Structure </t>
  </si>
  <si>
    <t xml:space="preserve">LoD 350 - Villa Block 33 - Super Structure  </t>
  </si>
  <si>
    <t>LoD 350 - Tower-[Commercial] - Habitable Level 6-10</t>
  </si>
  <si>
    <t>LoD 350 - Tower-[Commercial] - Terrace Level</t>
  </si>
  <si>
    <t>LoD 350 - ISS5&amp;6 |Foundations &amp; Grade Slab</t>
  </si>
  <si>
    <t>LoD 350 - ISS7 | Podium Slab</t>
  </si>
  <si>
    <t>Lincy R</t>
  </si>
  <si>
    <t>Package Release [ LoD 200 - Schematic Concept]</t>
  </si>
  <si>
    <t>Ph1</t>
  </si>
  <si>
    <t>satish</t>
  </si>
  <si>
    <t>FY 2026-27 Q2 | Design Goals + Billing | Atul P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</si>
  <si>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</si>
  <si>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</si>
  <si>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</si>
  <si>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</si>
  <si>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</si>
  <si>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</si>
  <si>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</si>
  <si>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</si>
  <si>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</si>
  <si>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</si>
  <si>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</si>
  <si>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</si>
  <si>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</si>
  <si>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</si>
  <si>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</si>
  <si>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</si>
  <si>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</si>
  <si>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</si>
  <si>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</si>
  <si>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</si>
  <si>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</si>
  <si>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</si>
  <si>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</si>
  <si>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</si>
  <si>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</si>
  <si>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</si>
  <si>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</si>
  <si>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</si>
  <si>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</si>
  <si>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</si>
  <si>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</si>
  <si>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</si>
  <si>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</si>
  <si>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</si>
  <si>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</si>
  <si>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</si>
  <si>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[LOD 350 -Tower Pkg 1, MP Pkg 1, ISS Pkg 1, CH Pkg 1 by 27'Q1]</t>
  </si>
  <si>
    <t>Package Release [LOD 300, LOD 350 Exp home by 27'Q1]</t>
  </si>
  <si>
    <t>Package Release [Complete the project by Q4]</t>
  </si>
  <si>
    <t>Package Release [Complete LoD 100, 200] by 26Q2</t>
  </si>
  <si>
    <t>Package Release [LOD 350 -MP, ISS, CH, Tower Habitable levels by 27'Q1]</t>
  </si>
  <si>
    <t>NH10a Sultanpet</t>
  </si>
  <si>
    <t>NH10a</t>
  </si>
  <si>
    <t>Package Release[Dsgn Brf, LOD 200, Approvals, LOD 300, Exp Home]</t>
  </si>
  <si>
    <t>NH37a [Acharalahalli]</t>
  </si>
  <si>
    <t>NH37a Ach</t>
  </si>
  <si>
    <t>Package Release [Dsgn Brf, LOD 200]</t>
  </si>
  <si>
    <t>NH30a [Madakuhosahalli]</t>
  </si>
  <si>
    <t>NH30a MH</t>
  </si>
  <si>
    <t>Package release [Dsgn Brf, LOD 200, Approvals, LOD 300, Exp Home]</t>
  </si>
  <si>
    <t>Package Release [Dsgn Brf, LoD 100]</t>
  </si>
  <si>
    <t>Svknhli</t>
  </si>
  <si>
    <t>Package Release [Dsgn Brf, LOD 100]</t>
  </si>
  <si>
    <t>Aundh [3a]</t>
  </si>
  <si>
    <t>JL - MF</t>
  </si>
  <si>
    <t>Srjp-P</t>
  </si>
  <si>
    <t>Windmils, SftW</t>
  </si>
  <si>
    <t>TBD with Kamal</t>
  </si>
  <si>
    <t>Saideep Res</t>
  </si>
  <si>
    <t>Package Release [Complete the Project by Q4]</t>
  </si>
  <si>
    <t>5a GTC</t>
  </si>
  <si>
    <t>Complete the project [except LoD 350 - Interiors]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</si>
  <si>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</si>
  <si>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</si>
  <si>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</si>
  <si>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</si>
  <si>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</si>
  <si>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</si>
  <si>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</si>
  <si>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</si>
  <si>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</si>
  <si>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</si>
  <si>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</si>
  <si>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</si>
  <si>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</si>
  <si>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</si>
  <si>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</si>
  <si>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</si>
  <si>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</si>
  <si>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</si>
  <si>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</si>
  <si>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</si>
  <si>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</si>
  <si>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</si>
  <si>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</si>
  <si>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</si>
  <si>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</si>
  <si>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</si>
  <si>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</si>
  <si>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</si>
  <si>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</si>
  <si>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</si>
  <si>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</si>
  <si>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STR</t>
  </si>
  <si>
    <t>LDS</t>
  </si>
  <si>
    <t>2026 | Design Goals + Billing</t>
  </si>
  <si>
    <t>Billing [Cr.]</t>
  </si>
  <si>
    <t>Package Release [Complete LoD 350 by Q1]</t>
  </si>
  <si>
    <t>Clubhouse + Amenities - Clubhouse—Interiors and Facilities</t>
  </si>
  <si>
    <t>Auditorium Drawings</t>
  </si>
  <si>
    <t>Clubhouse + Amenities - Community spaces [Staff Lounge, Children play area]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</si>
  <si>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</si>
  <si>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</si>
  <si>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</si>
  <si>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</si>
  <si>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</si>
  <si>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</si>
  <si>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</si>
  <si>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</si>
  <si>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</si>
  <si>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</si>
  <si>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</si>
  <si>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</si>
  <si>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</si>
  <si>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</si>
  <si>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</si>
  <si>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</si>
  <si>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</si>
  <si>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</si>
  <si>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</si>
  <si>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</si>
  <si>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</si>
  <si>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</si>
  <si>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</si>
  <si>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</si>
  <si>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</si>
  <si>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Villa Block 31 - Foundations and Sub-Grade Structure</t>
  </si>
  <si>
    <t xml:space="preserve">Villa Block 32 - Foundations and Sub-Grade Structure </t>
  </si>
  <si>
    <t>Home Products - V45 Default</t>
  </si>
  <si>
    <t>Site Development - 06 Landscape</t>
  </si>
  <si>
    <t>Tower-[Commercial] - Habitable Level 1-2</t>
  </si>
  <si>
    <t>Tower-[Commercial] - Habitable Level 3-5</t>
  </si>
  <si>
    <t>Childern play area [Complete by Q2]</t>
  </si>
  <si>
    <t xml:space="preserve">Childern play area </t>
  </si>
  <si>
    <t>Package Release [Complete the project by Q1]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</si>
  <si>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</si>
  <si>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</si>
  <si>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</si>
  <si>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</si>
  <si>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</si>
  <si>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ISS Building Envelope and Common Areas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</si>
  <si>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</si>
  <si>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</si>
  <si>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</si>
  <si>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</si>
  <si>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</si>
  <si>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</si>
  <si>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</si>
  <si>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</si>
  <si>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Clubhouse Outdoor Spaces and Pool</t>
  </si>
  <si>
    <t>Pool Deck Drainage Routing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</si>
  <si>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</si>
  <si>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</si>
  <si>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</si>
  <si>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</si>
  <si>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</si>
  <si>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 xml:space="preserve">L22 Default </t>
  </si>
  <si>
    <t>L20 Default [Modification for Dry Wall]</t>
  </si>
  <si>
    <t>D35 Default [Modification for Dry Wall]</t>
  </si>
  <si>
    <t>ISS - Foundation and Gradeslab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</si>
  <si>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</si>
  <si>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</si>
  <si>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</si>
  <si>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</si>
  <si>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</si>
  <si>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</si>
  <si>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</si>
  <si>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Boundary wall details</t>
  </si>
  <si>
    <t>Internal Staircase details</t>
  </si>
  <si>
    <t>Electrical room cutout and sleeve details</t>
  </si>
  <si>
    <t>Package Release [ Complete the project by Q3]</t>
  </si>
  <si>
    <t>L25 Default and it's variants</t>
  </si>
  <si>
    <t>Tower 05 | Habitable Level - Even</t>
  </si>
  <si>
    <t>Tower 05 | Habitable Level - Odd</t>
  </si>
  <si>
    <t>Tower 06 | Habitable Level - Even</t>
  </si>
  <si>
    <t>SSL 22 - Slab details</t>
  </si>
  <si>
    <t>Tower 06 | Habitable Level - Odd</t>
  </si>
  <si>
    <t>SSL 21 - Slab details</t>
  </si>
  <si>
    <t>Tower 07 | Habitable Level - Even</t>
  </si>
  <si>
    <t>Tower 07 | Habitable Level - Odd</t>
  </si>
  <si>
    <t>ISS5&amp;6 | Structrural Slab 01 [Basement]</t>
  </si>
  <si>
    <t>SSL 01 - Slab details</t>
  </si>
  <si>
    <t>ISS 7 | Foundations &amp; Sub|Grade</t>
  </si>
  <si>
    <t>STP details</t>
  </si>
  <si>
    <t xml:space="preserve">ISS 7 | Structrural Slab 01 [Basement] </t>
  </si>
  <si>
    <t>ISS5&amp;6 | Podium Slab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</si>
  <si>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</si>
  <si>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</si>
  <si>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</si>
  <si>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</si>
  <si>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</si>
  <si>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</si>
  <si>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</si>
  <si>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</si>
  <si>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</si>
  <si>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</si>
  <si>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</si>
  <si>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</si>
  <si>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</si>
  <si>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</si>
  <si>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</si>
  <si>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</si>
  <si>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</si>
  <si>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Amenities &amp; Facilities | Community spaces [Board Walk, Children play area]</t>
  </si>
  <si>
    <t>Play area and out door gym equipment foundation details</t>
  </si>
  <si>
    <t>Package Release [Complete LoD 350 by Q2]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</si>
  <si>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</si>
  <si>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</si>
  <si>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</si>
  <si>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</si>
  <si>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</si>
  <si>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</si>
  <si>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</si>
  <si>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</si>
  <si>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</si>
  <si>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</si>
  <si>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</si>
  <si>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Package Release [Complete LoD 350 by Q4 2025]</t>
  </si>
  <si>
    <t>Inspection Chamber [Type III]</t>
  </si>
  <si>
    <t>Setting Out Plan</t>
  </si>
  <si>
    <t>Waterproofing Layout SSL 02</t>
  </si>
  <si>
    <t>LoD 300 - Pre Construction Set [Podium]</t>
  </si>
  <si>
    <t>Typical Level:Column[Above SSL10] &amp; Beam GFCs[Above SSL8]</t>
  </si>
  <si>
    <t>SSL 3 - Slab and Sleeve GFCs</t>
  </si>
  <si>
    <t>Typical Level:Column[Above SSL10] &amp;Slab, Sleeve GFCs</t>
  </si>
  <si>
    <t>Foundation Layout and Raft Reinforcement Details</t>
  </si>
  <si>
    <t>Package Release [Complete the project by Q2]</t>
  </si>
  <si>
    <t>Tower 02 - Terrace Level</t>
  </si>
  <si>
    <t>Package Release [Complete the project by Q3]</t>
  </si>
  <si>
    <t>Complete the project by Q3</t>
  </si>
  <si>
    <t>Complete the project by Q1 [except LoD 350 - Interiors - Q2]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</si>
  <si>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</si>
  <si>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</si>
  <si>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</si>
  <si>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</si>
  <si>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</si>
  <si>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</si>
  <si>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</si>
  <si>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STR Package Release [Parking level subgrade]</t>
  </si>
  <si>
    <t>Package Release [Except Master plan and Amenities]</t>
  </si>
  <si>
    <t>Complete the Project</t>
  </si>
  <si>
    <t>Package Release [Dsgn Brf, LOD 200, Approvals, LOD 300]</t>
  </si>
  <si>
    <t>[Dsgn Brf, LOD 200, Approvals, LOD 300, LOD 350]</t>
  </si>
  <si>
    <t>[LOD 200, LOD 300, LOD350]</t>
  </si>
  <si>
    <t>[LOD 200, Approvals, LOD 300, LOD 350]</t>
  </si>
  <si>
    <t>Package Release [LoD 350-ISS, Habitable Level 2-10]</t>
  </si>
  <si>
    <t>LoD 350 - ISS, Habitable Level 2-10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</si>
  <si>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</si>
  <si>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</si>
  <si>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</si>
  <si>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</si>
  <si>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</si>
  <si>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Package Release [LOD 350 - Towers by Q4]</t>
  </si>
  <si>
    <t>[LOD 350 - Towers]</t>
  </si>
  <si>
    <t>[LOD 300]</t>
  </si>
  <si>
    <t>Package release [Except Amenities and Facilities]</t>
  </si>
  <si>
    <t>[Dsgn Brf, LOD 200, Approvals, LOD 300, Project Entrance]</t>
  </si>
  <si>
    <t xml:space="preserve">Pre Construction Set </t>
  </si>
  <si>
    <t>Project Experience + Project Entrance</t>
  </si>
  <si>
    <t>[LOD 200, Approvals]</t>
  </si>
  <si>
    <t>Clubhouse - Roof design finalisation pending</t>
  </si>
  <si>
    <t>Pre Construction set - CH</t>
  </si>
  <si>
    <t>[LOD 200, LOD 300]</t>
  </si>
  <si>
    <t>[LOD 200, Approvals, LOD 300]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</si>
  <si>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</si>
  <si>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</si>
  <si>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</si>
  <si>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</si>
  <si>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</si>
  <si>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</si>
  <si>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</si>
  <si>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Schematic Concept [Rework]</t>
  </si>
  <si>
    <t>Approvals [Rework]</t>
  </si>
  <si>
    <t>Structures - Security Cabin and Entrance [Rework]</t>
  </si>
  <si>
    <t>Appr</t>
  </si>
  <si>
    <t>Structures - Security Cabin and Entrance</t>
  </si>
  <si>
    <t xml:space="preserve">                                                   </t>
  </si>
  <si>
    <t>Package Release [Dsgn Brf, LOD 200, Approvals]</t>
  </si>
  <si>
    <t>[LOD 200]</t>
  </si>
  <si>
    <t>Package Release [Dsgn Brf, LOD 200, Approvals, Exp home]</t>
  </si>
  <si>
    <t>[Dsgn Brf, LOD 200, Approvals, LOD 300]</t>
  </si>
  <si>
    <t>[ LOD 200, Approvals, LOD 300]</t>
  </si>
  <si>
    <t>Package Release [Complete LOD 100 by Q1]</t>
  </si>
  <si>
    <t>Package release [LOD 200, Approvals, LOD 300, Experience home by Q2]</t>
  </si>
  <si>
    <t>[ Approvals,LOD 300, Exp home, LOD350]</t>
  </si>
  <si>
    <t>[LOD 200, LOD 300, Approvals]</t>
  </si>
  <si>
    <t>Experience Home + Project Entrance</t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</si>
  <si>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</si>
  <si>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</si>
  <si>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</si>
  <si>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</si>
  <si>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</si>
  <si>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</si>
  <si>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</si>
  <si>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</si>
  <si>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</si>
  <si>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</si>
  <si>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</si>
  <si>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</si>
  <si>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</si>
  <si>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</si>
  <si>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</si>
  <si>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</si>
  <si>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</si>
  <si>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Café to be designed by Manik, Cijey to share the details</t>
  </si>
  <si>
    <t>RSP to be used, check feasibility from PMD point of view</t>
  </si>
  <si>
    <t>DBR Pending [Ar, LS, MEP]</t>
  </si>
  <si>
    <t>All STR Deliverables completed</t>
  </si>
  <si>
    <t>LoD 300 - Pre Construction Set [V80]</t>
  </si>
  <si>
    <t>LOD 350 L22 Default and variants [Modification for Dry Wall]</t>
  </si>
  <si>
    <t xml:space="preserve">LOD 350 L20 Default and it's variants </t>
  </si>
  <si>
    <t>LOD 350 L22 Default and It's Variants [Modification for Dry Wall]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</si>
  <si>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</si>
  <si>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</si>
  <si>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</si>
  <si>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</si>
  <si>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</si>
  <si>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</si>
  <si>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</si>
  <si>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</si>
  <si>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</si>
  <si>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</si>
  <si>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</si>
  <si>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</si>
  <si>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</si>
  <si>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</si>
  <si>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</si>
  <si>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</si>
  <si>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</si>
  <si>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</si>
  <si>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</si>
  <si>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</si>
  <si>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</si>
  <si>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</si>
  <si>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</si>
  <si>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</si>
  <si>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</si>
  <si>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</si>
  <si>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</si>
  <si>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</si>
  <si>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</si>
  <si>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</si>
  <si>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</si>
  <si>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</si>
  <si>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</si>
  <si>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</si>
  <si>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</si>
  <si>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</si>
  <si>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</si>
  <si>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</si>
  <si>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</si>
  <si>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</si>
  <si>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</si>
  <si>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</si>
  <si>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</si>
  <si>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</si>
  <si>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</si>
  <si>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</si>
  <si>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</si>
  <si>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</si>
  <si>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</si>
  <si>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</si>
  <si>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</si>
  <si>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</si>
  <si>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</si>
  <si>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</si>
  <si>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</si>
  <si>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</si>
  <si>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</si>
  <si>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</si>
  <si>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</si>
  <si>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</si>
  <si>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</si>
  <si>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</si>
  <si>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</si>
  <si>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</si>
  <si>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</si>
  <si>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</si>
  <si>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</si>
  <si>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</si>
  <si>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</si>
  <si>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</si>
  <si>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</si>
  <si>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</si>
  <si>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</si>
  <si>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</si>
  <si>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</si>
  <si>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</si>
  <si>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</si>
  <si>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</si>
  <si>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</si>
  <si>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</si>
  <si>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TuiG [M20, M30 and M40]</t>
  </si>
  <si>
    <t>Harohalli [M30, M40 and V50]</t>
  </si>
  <si>
    <t>Violet Hill [Product?]</t>
  </si>
  <si>
    <t>Shreegaon [V50]</t>
  </si>
  <si>
    <t>One Tiny Flower [V50 D and V50 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</si>
</sst>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  <numFmt numFmtId="170" formatCode="[$-409]mmmm/yy;@"/>
    <numFmt numFmtId="171" formatCode="0%;\-0%;\-;@"/>
  </numFmts>
  <fonts count="150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1"/>
      <name val="Helvetica Neue Light"/>
      <family val="2"/>
    </font>
    <font>
      <sz val="9"/>
      <name val="Helvetica Neue Light"/>
      <family val="2"/>
    </font>
    <font>
      <sz val="9"/>
      <color rgb="FF242424"/>
      <name val="Consolas"/>
      <family val="3"/>
    </font>
    <font>
      <sz val="11"/>
      <color rgb="FFFF0000"/>
      <name val="MetaNormal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9"/>
      <color theme="4" tint="0.39997558519241921"/>
      <name val="Helvetica Neue Light"/>
      <family val="2"/>
    </font>
    <font>
      <sz val="9"/>
      <color theme="4" tint="0.39997558519241921"/>
      <name val="Meta-Normal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sz val="10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14"/>
      <color theme="0"/>
      <name val="Meta-Normal"/>
      <family val="3"/>
    </font>
    <font>
      <sz val="11"/>
      <color theme="1"/>
      <name val="Meta-Normal"/>
      <family val="3"/>
    </font>
    <font>
      <sz val="9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sz val="9"/>
      <color theme="1"/>
      <name val="Helvetica Neue Light"/>
      <family val="2"/>
    </font>
    <font>
      <sz val="10"/>
      <color theme="1"/>
      <name val="Helvetica Neue Light"/>
    </font>
    <font>
      <sz val="9"/>
      <color theme="4" tint="0.39997558519241921"/>
      <name val="Helvetica Neue Light"/>
    </font>
    <font>
      <sz val="9"/>
      <color rgb="FF333333"/>
      <name val="Inherit"/>
      <charset val="1"/>
    </font>
    <font>
      <sz val="9"/>
      <color rgb="FF8EA9DB"/>
      <name val="Helvetica Neue Light"/>
      <charset val="1"/>
    </font>
    <font>
      <sz val="9"/>
      <color theme="1"/>
      <name val="Helvetica Neue Light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2">
    <xf numFmtId="0" fontId="0" fillId="0" borderId="0"/>
    <xf numFmtId="0" fontId="8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</cellStyleXfs>
  <cellXfs count="969">
    <xf numFmtId="0" fontId="0" fillId="0" borderId="0" xfId="0"/>
    <xf numFmtId="0" fontId="47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1" fillId="3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2" fillId="0" borderId="1" xfId="2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4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1" fillId="0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9" fillId="0" borderId="1" xfId="2" applyNumberFormat="1" applyFont="1" applyFill="1" applyBorder="1" applyAlignment="1">
      <alignment horizontal="right"/>
    </xf>
    <xf numFmtId="0" fontId="11" fillId="0" borderId="8" xfId="11" applyFont="1" applyBorder="1" applyAlignment="1">
      <alignment vertical="center" wrapText="1"/>
    </xf>
    <xf numFmtId="165" fontId="11" fillId="0" borderId="1" xfId="2" applyNumberFormat="1" applyFont="1" applyBorder="1" applyAlignment="1">
      <alignment horizontal="center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/>
    <xf numFmtId="165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1" fillId="0" borderId="0" xfId="11" applyFont="1" applyAlignment="1">
      <alignment vertical="center" wrapText="1"/>
    </xf>
    <xf numFmtId="49" fontId="9" fillId="0" borderId="1" xfId="0" applyNumberFormat="1" applyFont="1" applyBorder="1" applyAlignment="1">
      <alignment horizontal="left" wrapText="1"/>
    </xf>
    <xf numFmtId="0" fontId="1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165" fontId="18" fillId="0" borderId="1" xfId="2" applyNumberFormat="1" applyFont="1" applyBorder="1" applyAlignment="1">
      <alignment horizontal="right"/>
    </xf>
    <xf numFmtId="165" fontId="19" fillId="3" borderId="1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0" fontId="17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165" fontId="22" fillId="3" borderId="1" xfId="2" applyNumberFormat="1" applyFont="1" applyFill="1" applyBorder="1" applyAlignment="1">
      <alignment horizontal="right"/>
    </xf>
    <xf numFmtId="165" fontId="23" fillId="0" borderId="1" xfId="2" applyNumberFormat="1" applyFont="1" applyFill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/>
    <xf numFmtId="0" fontId="21" fillId="0" borderId="5" xfId="0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wrapText="1"/>
    </xf>
    <xf numFmtId="165" fontId="23" fillId="0" borderId="5" xfId="2" applyNumberFormat="1" applyFont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5" fontId="18" fillId="2" borderId="1" xfId="2" applyNumberFormat="1" applyFont="1" applyFill="1" applyBorder="1" applyAlignment="1">
      <alignment horizontal="right" wrapText="1"/>
    </xf>
    <xf numFmtId="165" fontId="12" fillId="0" borderId="1" xfId="2" applyNumberFormat="1" applyFont="1" applyBorder="1" applyAlignment="1">
      <alignment horizontal="right" wrapText="1"/>
    </xf>
    <xf numFmtId="165" fontId="12" fillId="4" borderId="1" xfId="2" applyNumberFormat="1" applyFont="1" applyFill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/>
    </xf>
    <xf numFmtId="164" fontId="11" fillId="0" borderId="1" xfId="2" applyFont="1" applyBorder="1" applyAlignment="1">
      <alignment horizontal="left" wrapText="1"/>
    </xf>
    <xf numFmtId="164" fontId="12" fillId="4" borderId="1" xfId="2" applyFont="1" applyFill="1" applyBorder="1" applyAlignment="1">
      <alignment horizontal="right" wrapText="1"/>
    </xf>
    <xf numFmtId="164" fontId="12" fillId="4" borderId="1" xfId="2" applyFont="1" applyFill="1" applyBorder="1" applyAlignment="1">
      <alignment horizontal="right"/>
    </xf>
    <xf numFmtId="166" fontId="11" fillId="0" borderId="1" xfId="2" applyNumberFormat="1" applyFont="1" applyBorder="1" applyAlignment="1">
      <alignment horizontal="left" wrapText="1"/>
    </xf>
    <xf numFmtId="166" fontId="9" fillId="0" borderId="1" xfId="2" applyNumberFormat="1" applyFont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1" xfId="2" applyFont="1" applyBorder="1" applyAlignment="1">
      <alignment horizontal="right" wrapText="1"/>
    </xf>
    <xf numFmtId="164" fontId="9" fillId="0" borderId="7" xfId="2" applyFont="1" applyBorder="1" applyAlignment="1">
      <alignment horizontal="center" vertical="center"/>
    </xf>
    <xf numFmtId="166" fontId="9" fillId="0" borderId="1" xfId="2" applyNumberFormat="1" applyFont="1" applyBorder="1"/>
    <xf numFmtId="0" fontId="9" fillId="0" borderId="1" xfId="9" applyFont="1" applyBorder="1" applyAlignment="1">
      <alignment horizontal="left" vertical="center"/>
    </xf>
    <xf numFmtId="165" fontId="12" fillId="3" borderId="1" xfId="2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2" applyFont="1" applyBorder="1"/>
    <xf numFmtId="164" fontId="9" fillId="0" borderId="1" xfId="2" applyFont="1" applyBorder="1" applyAlignment="1">
      <alignment horizontal="left" wrapText="1"/>
    </xf>
    <xf numFmtId="164" fontId="9" fillId="0" borderId="1" xfId="2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0" fontId="15" fillId="0" borderId="6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9" fillId="0" borderId="1" xfId="2" applyFont="1" applyBorder="1" applyAlignment="1">
      <alignment wrapText="1"/>
    </xf>
    <xf numFmtId="164" fontId="11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wrapText="1"/>
    </xf>
    <xf numFmtId="2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left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0" xfId="11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165" fontId="9" fillId="0" borderId="1" xfId="2" applyNumberFormat="1" applyFont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left" wrapText="1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2" fillId="4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/>
    <xf numFmtId="0" fontId="11" fillId="0" borderId="6" xfId="0" applyFont="1" applyBorder="1" applyAlignment="1">
      <alignment horizontal="left" wrapText="1"/>
    </xf>
    <xf numFmtId="0" fontId="11" fillId="5" borderId="6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right" wrapText="1"/>
    </xf>
    <xf numFmtId="165" fontId="26" fillId="0" borderId="1" xfId="2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wrapText="1"/>
    </xf>
    <xf numFmtId="2" fontId="15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165" fontId="12" fillId="0" borderId="1" xfId="2" applyNumberFormat="1" applyFont="1" applyBorder="1" applyAlignment="1">
      <alignment horizontal="right" vertical="center"/>
    </xf>
    <xf numFmtId="165" fontId="12" fillId="3" borderId="1" xfId="2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165" fontId="23" fillId="0" borderId="1" xfId="2" applyNumberFormat="1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0" fontId="17" fillId="0" borderId="4" xfId="0" applyFont="1" applyBorder="1"/>
    <xf numFmtId="2" fontId="11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0" fontId="18" fillId="2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vertical="top"/>
    </xf>
    <xf numFmtId="0" fontId="30" fillId="0" borderId="6" xfId="0" applyFont="1" applyBorder="1" applyAlignment="1">
      <alignment vertical="top"/>
    </xf>
    <xf numFmtId="0" fontId="31" fillId="7" borderId="6" xfId="0" applyFont="1" applyFill="1" applyBorder="1"/>
    <xf numFmtId="0" fontId="33" fillId="8" borderId="6" xfId="0" applyFont="1" applyFill="1" applyBorder="1"/>
    <xf numFmtId="0" fontId="34" fillId="8" borderId="6" xfId="0" applyFont="1" applyFill="1" applyBorder="1"/>
    <xf numFmtId="0" fontId="30" fillId="8" borderId="6" xfId="0" applyFont="1" applyFill="1" applyBorder="1"/>
    <xf numFmtId="0" fontId="35" fillId="8" borderId="9" xfId="0" applyFont="1" applyFill="1" applyBorder="1"/>
    <xf numFmtId="0" fontId="35" fillId="9" borderId="6" xfId="0" applyFont="1" applyFill="1" applyBorder="1"/>
    <xf numFmtId="0" fontId="36" fillId="8" borderId="6" xfId="0" applyFont="1" applyFill="1" applyBorder="1"/>
    <xf numFmtId="0" fontId="37" fillId="8" borderId="6" xfId="0" applyFont="1" applyFill="1" applyBorder="1"/>
    <xf numFmtId="3" fontId="35" fillId="8" borderId="9" xfId="0" applyNumberFormat="1" applyFont="1" applyFill="1" applyBorder="1"/>
    <xf numFmtId="0" fontId="35" fillId="8" borderId="6" xfId="0" applyFont="1" applyFill="1" applyBorder="1"/>
    <xf numFmtId="0" fontId="38" fillId="8" borderId="6" xfId="0" applyFont="1" applyFill="1" applyBorder="1"/>
    <xf numFmtId="0" fontId="29" fillId="8" borderId="6" xfId="0" applyFont="1" applyFill="1" applyBorder="1"/>
    <xf numFmtId="0" fontId="35" fillId="8" borderId="9" xfId="0" quotePrefix="1" applyFont="1" applyFill="1" applyBorder="1"/>
    <xf numFmtId="0" fontId="39" fillId="8" borderId="6" xfId="0" applyFont="1" applyFill="1" applyBorder="1"/>
    <xf numFmtId="0" fontId="40" fillId="8" borderId="6" xfId="0" applyFont="1" applyFill="1" applyBorder="1"/>
    <xf numFmtId="0" fontId="37" fillId="8" borderId="9" xfId="0" applyFont="1" applyFill="1" applyBorder="1"/>
    <xf numFmtId="3" fontId="37" fillId="8" borderId="9" xfId="0" applyNumberFormat="1" applyFont="1" applyFill="1" applyBorder="1"/>
    <xf numFmtId="0" fontId="37" fillId="9" borderId="6" xfId="0" applyFont="1" applyFill="1" applyBorder="1"/>
    <xf numFmtId="0" fontId="35" fillId="9" borderId="9" xfId="0" applyFont="1" applyFill="1" applyBorder="1"/>
    <xf numFmtId="3" fontId="38" fillId="8" borderId="9" xfId="0" applyNumberFormat="1" applyFont="1" applyFill="1" applyBorder="1"/>
    <xf numFmtId="0" fontId="37" fillId="9" borderId="9" xfId="0" applyFont="1" applyFill="1" applyBorder="1"/>
    <xf numFmtId="0" fontId="35" fillId="0" borderId="9" xfId="0" applyFont="1" applyBorder="1"/>
    <xf numFmtId="0" fontId="35" fillId="9" borderId="10" xfId="0" applyFont="1" applyFill="1" applyBorder="1"/>
    <xf numFmtId="0" fontId="41" fillId="0" borderId="6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0" fontId="43" fillId="0" borderId="1" xfId="0" applyFont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165" fontId="45" fillId="3" borderId="1" xfId="2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6" fillId="0" borderId="1" xfId="0" applyFont="1" applyBorder="1"/>
    <xf numFmtId="0" fontId="47" fillId="3" borderId="2" xfId="0" applyFont="1" applyFill="1" applyBorder="1" applyAlignment="1">
      <alignment vertical="center"/>
    </xf>
    <xf numFmtId="0" fontId="47" fillId="0" borderId="1" xfId="0" applyFont="1" applyBorder="1" applyAlignment="1">
      <alignment horizontal="right"/>
    </xf>
    <xf numFmtId="165" fontId="48" fillId="3" borderId="1" xfId="2" applyNumberFormat="1" applyFont="1" applyFill="1" applyBorder="1" applyAlignment="1">
      <alignment horizontal="right"/>
    </xf>
    <xf numFmtId="0" fontId="46" fillId="0" borderId="2" xfId="0" applyFont="1" applyBorder="1" applyAlignment="1">
      <alignment horizontal="left"/>
    </xf>
    <xf numFmtId="0" fontId="46" fillId="0" borderId="3" xfId="0" applyFont="1" applyBorder="1"/>
    <xf numFmtId="0" fontId="47" fillId="0" borderId="5" xfId="0" applyFont="1" applyBorder="1" applyAlignment="1">
      <alignment horizontal="right"/>
    </xf>
    <xf numFmtId="165" fontId="49" fillId="0" borderId="5" xfId="2" applyNumberFormat="1" applyFont="1" applyBorder="1" applyAlignment="1">
      <alignment horizontal="right" wrapText="1"/>
    </xf>
    <xf numFmtId="0" fontId="51" fillId="3" borderId="2" xfId="0" applyFont="1" applyFill="1" applyBorder="1" applyAlignment="1">
      <alignment vertical="center"/>
    </xf>
    <xf numFmtId="0" fontId="51" fillId="3" borderId="3" xfId="0" applyFont="1" applyFill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right"/>
    </xf>
    <xf numFmtId="0" fontId="51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3" fillId="3" borderId="2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53" fillId="3" borderId="5" xfId="0" applyFont="1" applyFill="1" applyBorder="1" applyAlignment="1">
      <alignment horizontal="center" vertical="center" wrapText="1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47" fillId="0" borderId="5" xfId="2" applyNumberFormat="1" applyFont="1" applyBorder="1" applyAlignment="1">
      <alignment horizontal="right"/>
    </xf>
    <xf numFmtId="0" fontId="55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 wrapText="1"/>
    </xf>
    <xf numFmtId="165" fontId="55" fillId="0" borderId="1" xfId="2" applyNumberFormat="1" applyFont="1" applyBorder="1" applyAlignment="1">
      <alignment horizontal="right" vertical="center"/>
    </xf>
    <xf numFmtId="165" fontId="52" fillId="3" borderId="1" xfId="2" applyNumberFormat="1" applyFont="1" applyFill="1" applyBorder="1" applyAlignment="1">
      <alignment horizontal="right" vertical="center"/>
    </xf>
    <xf numFmtId="165" fontId="55" fillId="2" borderId="1" xfId="2" applyNumberFormat="1" applyFont="1" applyFill="1" applyBorder="1" applyAlignment="1">
      <alignment horizontal="right" vertical="center" wrapText="1"/>
    </xf>
    <xf numFmtId="0" fontId="50" fillId="0" borderId="1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wrapText="1"/>
    </xf>
    <xf numFmtId="165" fontId="57" fillId="0" borderId="1" xfId="2" applyNumberFormat="1" applyFont="1" applyBorder="1" applyAlignment="1">
      <alignment horizontal="right"/>
    </xf>
    <xf numFmtId="165" fontId="57" fillId="0" borderId="1" xfId="2" applyNumberFormat="1" applyFont="1" applyBorder="1" applyAlignment="1">
      <alignment horizontal="right" wrapText="1"/>
    </xf>
    <xf numFmtId="0" fontId="56" fillId="0" borderId="1" xfId="0" applyFont="1" applyBorder="1"/>
    <xf numFmtId="0" fontId="57" fillId="4" borderId="1" xfId="0" applyFont="1" applyFill="1" applyBorder="1" applyAlignment="1">
      <alignment horizontal="left" vertical="center"/>
    </xf>
    <xf numFmtId="165" fontId="57" fillId="4" borderId="1" xfId="2" applyNumberFormat="1" applyFont="1" applyFill="1" applyBorder="1" applyAlignment="1">
      <alignment horizontal="right" wrapText="1"/>
    </xf>
    <xf numFmtId="164" fontId="57" fillId="0" borderId="1" xfId="2" applyFont="1" applyBorder="1" applyAlignment="1">
      <alignment horizontal="right"/>
    </xf>
    <xf numFmtId="0" fontId="44" fillId="0" borderId="1" xfId="0" applyFont="1" applyBorder="1" applyAlignment="1">
      <alignment horizontal="left" vertical="center"/>
    </xf>
    <xf numFmtId="165" fontId="45" fillId="0" borderId="1" xfId="2" applyNumberFormat="1" applyFont="1" applyBorder="1" applyAlignment="1">
      <alignment horizontal="right"/>
    </xf>
    <xf numFmtId="165" fontId="45" fillId="0" borderId="1" xfId="2" applyNumberFormat="1" applyFont="1" applyFill="1" applyBorder="1" applyAlignment="1">
      <alignment horizontal="center" vertical="center"/>
    </xf>
    <xf numFmtId="165" fontId="45" fillId="0" borderId="1" xfId="2" applyNumberFormat="1" applyFont="1" applyBorder="1" applyAlignment="1">
      <alignment horizontal="right" wrapText="1"/>
    </xf>
    <xf numFmtId="0" fontId="45" fillId="0" borderId="1" xfId="0" applyFont="1" applyBorder="1" applyAlignment="1">
      <alignment horizontal="left" vertical="center"/>
    </xf>
    <xf numFmtId="165" fontId="45" fillId="0" borderId="1" xfId="2" applyNumberFormat="1" applyFont="1" applyFill="1" applyBorder="1" applyAlignment="1">
      <alignment horizontal="right"/>
    </xf>
    <xf numFmtId="0" fontId="58" fillId="0" borderId="6" xfId="0" applyFont="1" applyBorder="1" applyAlignment="1">
      <alignment wrapText="1"/>
    </xf>
    <xf numFmtId="0" fontId="45" fillId="0" borderId="1" xfId="0" applyFont="1" applyBorder="1" applyAlignment="1">
      <alignment horizontal="left" wrapText="1"/>
    </xf>
    <xf numFmtId="0" fontId="43" fillId="0" borderId="0" xfId="0" applyFont="1"/>
    <xf numFmtId="0" fontId="45" fillId="0" borderId="1" xfId="0" applyFont="1" applyBorder="1" applyAlignment="1">
      <alignment horizontal="right" wrapText="1"/>
    </xf>
    <xf numFmtId="165" fontId="44" fillId="0" borderId="1" xfId="2" applyNumberFormat="1" applyFont="1" applyBorder="1" applyAlignment="1">
      <alignment horizontal="right"/>
    </xf>
    <xf numFmtId="0" fontId="45" fillId="0" borderId="1" xfId="0" applyFont="1" applyBorder="1" applyAlignment="1">
      <alignment horizontal="left" vertical="center" wrapText="1"/>
    </xf>
    <xf numFmtId="165" fontId="57" fillId="3" borderId="1" xfId="2" applyNumberFormat="1" applyFont="1" applyFill="1" applyBorder="1" applyAlignment="1">
      <alignment horizontal="right"/>
    </xf>
    <xf numFmtId="165" fontId="45" fillId="0" borderId="1" xfId="2" applyNumberFormat="1" applyFont="1" applyBorder="1" applyAlignment="1">
      <alignment horizontal="center" vertical="center"/>
    </xf>
    <xf numFmtId="0" fontId="58" fillId="0" borderId="6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8" fillId="0" borderId="6" xfId="0" applyFont="1" applyBorder="1" applyAlignment="1">
      <alignment horizontal="left" vertical="center" wrapText="1"/>
    </xf>
    <xf numFmtId="0" fontId="59" fillId="4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center"/>
    </xf>
    <xf numFmtId="165" fontId="58" fillId="0" borderId="1" xfId="2" applyNumberFormat="1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 wrapText="1"/>
    </xf>
    <xf numFmtId="0" fontId="43" fillId="0" borderId="1" xfId="0" applyFont="1" applyBorder="1" applyAlignment="1">
      <alignment vertical="top"/>
    </xf>
    <xf numFmtId="0" fontId="44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165" fontId="45" fillId="0" borderId="1" xfId="2" applyNumberFormat="1" applyFont="1" applyBorder="1" applyAlignment="1">
      <alignment horizontal="right" vertical="top"/>
    </xf>
    <xf numFmtId="165" fontId="45" fillId="3" borderId="1" xfId="2" applyNumberFormat="1" applyFont="1" applyFill="1" applyBorder="1" applyAlignment="1">
      <alignment horizontal="right" vertical="top"/>
    </xf>
    <xf numFmtId="0" fontId="45" fillId="0" borderId="1" xfId="0" applyFont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center"/>
    </xf>
    <xf numFmtId="165" fontId="45" fillId="0" borderId="0" xfId="2" applyNumberFormat="1" applyFont="1" applyAlignment="1">
      <alignment vertical="center" wrapText="1"/>
    </xf>
    <xf numFmtId="165" fontId="57" fillId="0" borderId="1" xfId="2" applyNumberFormat="1" applyFont="1" applyBorder="1" applyAlignment="1">
      <alignment horizontal="right" vertical="center"/>
    </xf>
    <xf numFmtId="165" fontId="57" fillId="3" borderId="1" xfId="2" applyNumberFormat="1" applyFont="1" applyFill="1" applyBorder="1" applyAlignment="1">
      <alignment horizontal="right" vertical="center"/>
    </xf>
    <xf numFmtId="164" fontId="57" fillId="0" borderId="1" xfId="2" applyFont="1" applyBorder="1" applyAlignment="1">
      <alignment horizontal="right" vertical="center"/>
    </xf>
    <xf numFmtId="165" fontId="45" fillId="0" borderId="1" xfId="0" applyNumberFormat="1" applyFont="1" applyBorder="1" applyAlignment="1">
      <alignment horizontal="left" vertical="center" wrapText="1"/>
    </xf>
    <xf numFmtId="0" fontId="56" fillId="0" borderId="1" xfId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wrapText="1"/>
    </xf>
    <xf numFmtId="165" fontId="57" fillId="0" borderId="1" xfId="2" applyNumberFormat="1" applyFont="1" applyFill="1" applyBorder="1" applyAlignment="1">
      <alignment horizontal="right"/>
    </xf>
    <xf numFmtId="165" fontId="57" fillId="0" borderId="1" xfId="2" applyNumberFormat="1" applyFont="1" applyFill="1" applyBorder="1" applyAlignment="1">
      <alignment horizontal="right" wrapText="1"/>
    </xf>
    <xf numFmtId="0" fontId="45" fillId="0" borderId="1" xfId="0" applyFont="1" applyBorder="1" applyAlignment="1">
      <alignment vertical="center" wrapText="1"/>
    </xf>
    <xf numFmtId="164" fontId="58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wrapText="1"/>
    </xf>
    <xf numFmtId="0" fontId="58" fillId="0" borderId="1" xfId="0" applyFont="1" applyBorder="1"/>
    <xf numFmtId="0" fontId="58" fillId="0" borderId="6" xfId="0" applyFont="1" applyBorder="1" applyAlignment="1">
      <alignment horizontal="left" wrapText="1"/>
    </xf>
    <xf numFmtId="0" fontId="58" fillId="0" borderId="6" xfId="0" applyFont="1" applyBorder="1" applyAlignment="1">
      <alignment horizontal="right" wrapText="1"/>
    </xf>
    <xf numFmtId="0" fontId="58" fillId="0" borderId="6" xfId="0" applyFont="1" applyBorder="1"/>
    <xf numFmtId="0" fontId="58" fillId="0" borderId="0" xfId="0" applyFont="1" applyAlignment="1">
      <alignment wrapText="1"/>
    </xf>
    <xf numFmtId="0" fontId="58" fillId="0" borderId="1" xfId="0" applyFont="1" applyBorder="1" applyAlignment="1">
      <alignment horizontal="left" vertical="top" wrapText="1"/>
    </xf>
    <xf numFmtId="165" fontId="55" fillId="0" borderId="1" xfId="2" applyNumberFormat="1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top"/>
    </xf>
    <xf numFmtId="165" fontId="57" fillId="0" borderId="1" xfId="2" applyNumberFormat="1" applyFont="1" applyBorder="1" applyAlignment="1">
      <alignment horizontal="right" vertical="top"/>
    </xf>
    <xf numFmtId="165" fontId="57" fillId="3" borderId="1" xfId="2" applyNumberFormat="1" applyFont="1" applyFill="1" applyBorder="1" applyAlignment="1">
      <alignment horizontal="right" vertical="top"/>
    </xf>
    <xf numFmtId="0" fontId="61" fillId="3" borderId="2" xfId="0" applyFont="1" applyFill="1" applyBorder="1" applyAlignment="1">
      <alignment vertical="center"/>
    </xf>
    <xf numFmtId="0" fontId="61" fillId="3" borderId="3" xfId="0" applyFont="1" applyFill="1" applyBorder="1" applyAlignment="1">
      <alignment vertical="center"/>
    </xf>
    <xf numFmtId="0" fontId="61" fillId="0" borderId="5" xfId="0" applyFont="1" applyBorder="1" applyAlignment="1">
      <alignment horizontal="center" vertical="center"/>
    </xf>
    <xf numFmtId="165" fontId="61" fillId="0" borderId="5" xfId="2" applyNumberFormat="1" applyFont="1" applyBorder="1" applyAlignment="1">
      <alignment horizontal="center" vertical="center"/>
    </xf>
    <xf numFmtId="165" fontId="61" fillId="3" borderId="5" xfId="2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/>
    </xf>
    <xf numFmtId="165" fontId="47" fillId="0" borderId="1" xfId="2" applyNumberFormat="1" applyFont="1" applyBorder="1" applyAlignment="1">
      <alignment horizontal="right"/>
    </xf>
    <xf numFmtId="165" fontId="49" fillId="0" borderId="1" xfId="2" applyNumberFormat="1" applyFont="1" applyBorder="1" applyAlignment="1">
      <alignment horizontal="right" wrapText="1"/>
    </xf>
    <xf numFmtId="165" fontId="57" fillId="4" borderId="1" xfId="2" applyNumberFormat="1" applyFont="1" applyFill="1" applyBorder="1" applyAlignment="1">
      <alignment horizontal="right" vertical="center"/>
    </xf>
    <xf numFmtId="0" fontId="44" fillId="0" borderId="1" xfId="0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right" wrapText="1"/>
    </xf>
    <xf numFmtId="1" fontId="30" fillId="0" borderId="11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58" fillId="0" borderId="1" xfId="0" applyNumberFormat="1" applyFont="1" applyBorder="1" applyAlignment="1">
      <alignment horizontal="right" vertical="center" wrapText="1"/>
    </xf>
    <xf numFmtId="164" fontId="43" fillId="0" borderId="1" xfId="0" applyNumberFormat="1" applyFont="1" applyBorder="1" applyAlignment="1">
      <alignment horizontal="right" wrapText="1"/>
    </xf>
    <xf numFmtId="165" fontId="60" fillId="4" borderId="1" xfId="2" applyNumberFormat="1" applyFont="1" applyFill="1" applyBorder="1" applyAlignment="1">
      <alignment horizontal="right" wrapText="1"/>
    </xf>
    <xf numFmtId="0" fontId="45" fillId="4" borderId="1" xfId="0" applyFont="1" applyFill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 wrapText="1"/>
    </xf>
    <xf numFmtId="0" fontId="62" fillId="0" borderId="1" xfId="0" applyFont="1" applyBorder="1"/>
    <xf numFmtId="0" fontId="63" fillId="0" borderId="1" xfId="0" applyFont="1" applyBorder="1"/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165" fontId="57" fillId="0" borderId="0" xfId="2" applyNumberFormat="1" applyFont="1" applyBorder="1" applyAlignment="1">
      <alignment horizontal="right"/>
    </xf>
    <xf numFmtId="165" fontId="57" fillId="3" borderId="0" xfId="2" applyNumberFormat="1" applyFont="1" applyFill="1" applyBorder="1" applyAlignment="1">
      <alignment horizontal="right"/>
    </xf>
    <xf numFmtId="165" fontId="57" fillId="0" borderId="0" xfId="2" applyNumberFormat="1" applyFont="1" applyAlignment="1">
      <alignment horizontal="right"/>
    </xf>
    <xf numFmtId="165" fontId="57" fillId="3" borderId="0" xfId="2" applyNumberFormat="1" applyFont="1" applyFill="1" applyAlignment="1">
      <alignment horizontal="right"/>
    </xf>
    <xf numFmtId="0" fontId="45" fillId="0" borderId="6" xfId="0" applyFont="1" applyBorder="1" applyAlignment="1">
      <alignment wrapText="1"/>
    </xf>
    <xf numFmtId="0" fontId="64" fillId="0" borderId="1" xfId="0" applyFont="1" applyBorder="1"/>
    <xf numFmtId="164" fontId="58" fillId="0" borderId="6" xfId="0" applyNumberFormat="1" applyFont="1" applyBorder="1" applyAlignment="1">
      <alignment vertical="center" wrapText="1"/>
    </xf>
    <xf numFmtId="0" fontId="66" fillId="0" borderId="1" xfId="0" applyFont="1" applyBorder="1"/>
    <xf numFmtId="164" fontId="45" fillId="0" borderId="1" xfId="0" applyNumberFormat="1" applyFont="1" applyBorder="1" applyAlignment="1">
      <alignment horizontal="right" vertical="center" wrapText="1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165" fontId="60" fillId="0" borderId="1" xfId="2" applyNumberFormat="1" applyFont="1" applyBorder="1" applyAlignment="1">
      <alignment horizontal="right"/>
    </xf>
    <xf numFmtId="165" fontId="60" fillId="3" borderId="1" xfId="2" applyNumberFormat="1" applyFont="1" applyFill="1" applyBorder="1" applyAlignment="1">
      <alignment horizontal="right"/>
    </xf>
    <xf numFmtId="0" fontId="67" fillId="0" borderId="1" xfId="0" applyFont="1" applyBorder="1"/>
    <xf numFmtId="164" fontId="47" fillId="3" borderId="5" xfId="0" applyNumberFormat="1" applyFont="1" applyFill="1" applyBorder="1" applyAlignment="1">
      <alignment horizontal="center" vertical="center"/>
    </xf>
    <xf numFmtId="164" fontId="49" fillId="0" borderId="5" xfId="2" applyFont="1" applyBorder="1" applyAlignment="1">
      <alignment horizontal="right" wrapText="1"/>
    </xf>
    <xf numFmtId="164" fontId="53" fillId="0" borderId="5" xfId="0" applyNumberFormat="1" applyFont="1" applyBorder="1" applyAlignment="1">
      <alignment horizontal="center" vertical="center" wrapText="1"/>
    </xf>
    <xf numFmtId="164" fontId="53" fillId="3" borderId="5" xfId="0" applyNumberFormat="1" applyFont="1" applyFill="1" applyBorder="1" applyAlignment="1">
      <alignment horizontal="center" vertical="center" wrapText="1"/>
    </xf>
    <xf numFmtId="164" fontId="55" fillId="2" borderId="1" xfId="2" applyFont="1" applyFill="1" applyBorder="1" applyAlignment="1">
      <alignment horizontal="right" vertical="center" wrapText="1"/>
    </xf>
    <xf numFmtId="164" fontId="57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left" wrapText="1"/>
    </xf>
    <xf numFmtId="164" fontId="45" fillId="0" borderId="1" xfId="2" applyFont="1" applyBorder="1" applyAlignment="1">
      <alignment horizontal="left" vertical="top" wrapText="1"/>
    </xf>
    <xf numFmtId="164" fontId="45" fillId="0" borderId="0" xfId="2" applyFont="1" applyAlignment="1">
      <alignment vertical="center" wrapText="1"/>
    </xf>
    <xf numFmtId="164" fontId="45" fillId="0" borderId="8" xfId="11" applyNumberFormat="1" applyFont="1" applyBorder="1" applyAlignment="1">
      <alignment vertical="center" wrapText="1"/>
    </xf>
    <xf numFmtId="164" fontId="45" fillId="0" borderId="0" xfId="11" applyNumberFormat="1" applyFont="1" applyAlignment="1">
      <alignment vertical="center" wrapText="1"/>
    </xf>
    <xf numFmtId="164" fontId="57" fillId="0" borderId="1" xfId="2" applyFont="1" applyFill="1" applyBorder="1" applyAlignment="1">
      <alignment horizontal="right" wrapText="1"/>
    </xf>
    <xf numFmtId="164" fontId="58" fillId="0" borderId="1" xfId="2" applyFont="1" applyBorder="1" applyAlignment="1">
      <alignment horizontal="left" vertical="top" wrapText="1"/>
    </xf>
    <xf numFmtId="164" fontId="58" fillId="0" borderId="1" xfId="2" applyFont="1" applyBorder="1" applyAlignment="1">
      <alignment horizontal="left" vertical="center" wrapText="1"/>
    </xf>
    <xf numFmtId="164" fontId="61" fillId="3" borderId="5" xfId="2" applyFont="1" applyFill="1" applyBorder="1" applyAlignment="1">
      <alignment horizontal="center" vertical="center" wrapText="1"/>
    </xf>
    <xf numFmtId="164" fontId="53" fillId="0" borderId="5" xfId="2" applyFont="1" applyBorder="1" applyAlignment="1">
      <alignment horizontal="center" vertical="center" wrapText="1"/>
    </xf>
    <xf numFmtId="164" fontId="49" fillId="0" borderId="1" xfId="2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45" fillId="0" borderId="1" xfId="2" applyFont="1" applyBorder="1" applyAlignment="1">
      <alignment horizontal="center"/>
    </xf>
    <xf numFmtId="164" fontId="65" fillId="0" borderId="1" xfId="2" applyFont="1" applyBorder="1" applyAlignment="1">
      <alignment horizontal="right" wrapText="1" indent="1"/>
    </xf>
    <xf numFmtId="0" fontId="45" fillId="0" borderId="0" xfId="0" applyFont="1" applyAlignment="1">
      <alignment wrapText="1"/>
    </xf>
    <xf numFmtId="164" fontId="45" fillId="0" borderId="0" xfId="0" applyNumberFormat="1" applyFont="1" applyAlignment="1">
      <alignment horizontal="right" wrapText="1"/>
    </xf>
    <xf numFmtId="164" fontId="67" fillId="0" borderId="1" xfId="0" applyNumberFormat="1" applyFont="1" applyBorder="1" applyAlignment="1">
      <alignment horizontal="left" vertical="center" wrapText="1"/>
    </xf>
    <xf numFmtId="164" fontId="67" fillId="0" borderId="1" xfId="0" applyNumberFormat="1" applyFont="1" applyBorder="1"/>
    <xf numFmtId="166" fontId="57" fillId="4" borderId="1" xfId="2" applyNumberFormat="1" applyFont="1" applyFill="1" applyBorder="1" applyAlignment="1">
      <alignment horizontal="right" wrapText="1"/>
    </xf>
    <xf numFmtId="164" fontId="55" fillId="0" borderId="1" xfId="2" applyFont="1" applyBorder="1" applyAlignment="1">
      <alignment horizontal="right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left" wrapText="1"/>
    </xf>
    <xf numFmtId="0" fontId="58" fillId="0" borderId="0" xfId="0" applyFont="1" applyAlignment="1">
      <alignment vertical="center" wrapText="1"/>
    </xf>
    <xf numFmtId="164" fontId="58" fillId="0" borderId="0" xfId="0" applyNumberFormat="1" applyFont="1" applyAlignment="1">
      <alignment horizontal="left" vertical="center" wrapText="1"/>
    </xf>
    <xf numFmtId="0" fontId="68" fillId="0" borderId="0" xfId="0" applyFont="1"/>
    <xf numFmtId="0" fontId="69" fillId="0" borderId="0" xfId="0" applyFont="1"/>
    <xf numFmtId="17" fontId="68" fillId="0" borderId="0" xfId="0" applyNumberFormat="1" applyFont="1"/>
    <xf numFmtId="0" fontId="68" fillId="0" borderId="8" xfId="3" applyFont="1" applyBorder="1"/>
    <xf numFmtId="0" fontId="68" fillId="0" borderId="0" xfId="3" applyFont="1"/>
    <xf numFmtId="0" fontId="68" fillId="0" borderId="8" xfId="3" applyFont="1" applyBorder="1" applyAlignment="1">
      <alignment horizontal="center"/>
    </xf>
    <xf numFmtId="0" fontId="68" fillId="0" borderId="0" xfId="3" applyFont="1" applyAlignment="1">
      <alignment horizontal="center"/>
    </xf>
    <xf numFmtId="0" fontId="68" fillId="0" borderId="8" xfId="3" applyFont="1" applyBorder="1" applyAlignment="1">
      <alignment vertical="center"/>
    </xf>
    <xf numFmtId="2" fontId="70" fillId="0" borderId="8" xfId="3" applyNumberFormat="1" applyFont="1" applyBorder="1"/>
    <xf numFmtId="1" fontId="70" fillId="0" borderId="8" xfId="3" applyNumberFormat="1" applyFont="1" applyBorder="1"/>
    <xf numFmtId="2" fontId="68" fillId="0" borderId="0" xfId="3" applyNumberFormat="1" applyFont="1"/>
    <xf numFmtId="0" fontId="69" fillId="0" borderId="8" xfId="3" applyFont="1" applyBorder="1" applyAlignment="1">
      <alignment vertical="center"/>
    </xf>
    <xf numFmtId="2" fontId="68" fillId="0" borderId="0" xfId="25" applyNumberFormat="1" applyFont="1"/>
    <xf numFmtId="0" fontId="68" fillId="0" borderId="1" xfId="3" applyFont="1" applyBorder="1"/>
    <xf numFmtId="2" fontId="68" fillId="0" borderId="1" xfId="3" applyNumberFormat="1" applyFont="1" applyBorder="1"/>
    <xf numFmtId="0" fontId="70" fillId="0" borderId="8" xfId="3" applyFont="1" applyBorder="1"/>
    <xf numFmtId="0" fontId="69" fillId="0" borderId="8" xfId="3" applyFont="1" applyBorder="1"/>
    <xf numFmtId="0" fontId="71" fillId="0" borderId="8" xfId="3" applyFont="1" applyBorder="1" applyAlignment="1">
      <alignment vertical="center"/>
    </xf>
    <xf numFmtId="0" fontId="72" fillId="0" borderId="8" xfId="3" applyFont="1" applyBorder="1" applyAlignment="1">
      <alignment vertical="center"/>
    </xf>
    <xf numFmtId="2" fontId="35" fillId="0" borderId="8" xfId="3" applyNumberFormat="1" applyFont="1" applyBorder="1"/>
    <xf numFmtId="1" fontId="35" fillId="0" borderId="8" xfId="3" applyNumberFormat="1" applyFont="1" applyBorder="1"/>
    <xf numFmtId="0" fontId="69" fillId="0" borderId="0" xfId="3" applyFont="1"/>
    <xf numFmtId="0" fontId="73" fillId="0" borderId="8" xfId="3" applyFont="1" applyBorder="1" applyAlignment="1">
      <alignment vertical="center"/>
    </xf>
    <xf numFmtId="0" fontId="74" fillId="0" borderId="8" xfId="3" applyFont="1" applyBorder="1" applyAlignment="1">
      <alignment vertical="center"/>
    </xf>
    <xf numFmtId="0" fontId="74" fillId="0" borderId="8" xfId="3" applyFont="1" applyBorder="1"/>
    <xf numFmtId="2" fontId="70" fillId="0" borderId="8" xfId="3" applyNumberFormat="1" applyFont="1" applyBorder="1" applyAlignment="1">
      <alignment horizontal="right"/>
    </xf>
    <xf numFmtId="1" fontId="68" fillId="0" borderId="0" xfId="3" applyNumberFormat="1" applyFont="1"/>
    <xf numFmtId="1" fontId="75" fillId="0" borderId="8" xfId="3" applyNumberFormat="1" applyFont="1" applyBorder="1"/>
    <xf numFmtId="1" fontId="0" fillId="0" borderId="8" xfId="3" applyNumberFormat="1" applyFont="1" applyBorder="1"/>
    <xf numFmtId="2" fontId="76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8" fillId="0" borderId="0" xfId="0" applyFont="1" applyAlignment="1">
      <alignment horizontal="center"/>
    </xf>
    <xf numFmtId="2" fontId="38" fillId="0" borderId="8" xfId="3" applyNumberFormat="1" applyFont="1" applyBorder="1"/>
    <xf numFmtId="1" fontId="38" fillId="0" borderId="8" xfId="3" applyNumberFormat="1" applyFont="1" applyBorder="1"/>
    <xf numFmtId="1" fontId="8" fillId="0" borderId="8" xfId="3" applyNumberFormat="1" applyFont="1" applyBorder="1"/>
    <xf numFmtId="2" fontId="8" fillId="0" borderId="8" xfId="3" applyNumberFormat="1" applyFont="1" applyBorder="1"/>
    <xf numFmtId="0" fontId="28" fillId="0" borderId="6" xfId="0" applyFont="1" applyBorder="1" applyAlignment="1">
      <alignment horizontal="left" vertical="center" wrapText="1"/>
    </xf>
    <xf numFmtId="0" fontId="71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5" fillId="0" borderId="8" xfId="3" applyNumberFormat="1" applyFont="1" applyBorder="1"/>
    <xf numFmtId="0" fontId="73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0" fontId="71" fillId="0" borderId="0" xfId="3" applyFont="1"/>
    <xf numFmtId="0" fontId="68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8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wrapText="1"/>
    </xf>
    <xf numFmtId="0" fontId="28" fillId="0" borderId="8" xfId="3" applyFont="1" applyBorder="1" applyAlignment="1">
      <alignment wrapText="1"/>
    </xf>
    <xf numFmtId="0" fontId="71" fillId="0" borderId="8" xfId="3" applyFont="1" applyBorder="1" applyAlignment="1">
      <alignment wrapText="1"/>
    </xf>
    <xf numFmtId="0" fontId="68" fillId="0" borderId="0" xfId="3" applyFont="1" applyAlignment="1">
      <alignment wrapText="1"/>
    </xf>
    <xf numFmtId="0" fontId="72" fillId="0" borderId="8" xfId="3" applyFont="1" applyBorder="1" applyAlignment="1">
      <alignment wrapText="1"/>
    </xf>
    <xf numFmtId="0" fontId="74" fillId="0" borderId="8" xfId="3" applyFont="1" applyBorder="1" applyAlignment="1">
      <alignment wrapText="1"/>
    </xf>
    <xf numFmtId="0" fontId="82" fillId="10" borderId="8" xfId="3" applyFont="1" applyFill="1" applyBorder="1" applyAlignment="1">
      <alignment vertical="center"/>
    </xf>
    <xf numFmtId="0" fontId="82" fillId="10" borderId="8" xfId="3" applyFont="1" applyFill="1" applyBorder="1"/>
    <xf numFmtId="0" fontId="82" fillId="10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0" borderId="8" xfId="3" applyNumberFormat="1" applyFont="1" applyFill="1" applyBorder="1"/>
    <xf numFmtId="2" fontId="86" fillId="0" borderId="8" xfId="3" applyNumberFormat="1" applyFont="1" applyBorder="1"/>
    <xf numFmtId="1" fontId="87" fillId="0" borderId="8" xfId="3" applyNumberFormat="1" applyFont="1" applyBorder="1"/>
    <xf numFmtId="0" fontId="74" fillId="0" borderId="0" xfId="3" applyFont="1"/>
    <xf numFmtId="165" fontId="68" fillId="0" borderId="0" xfId="3" applyNumberFormat="1" applyFont="1" applyAlignment="1">
      <alignment vertical="center"/>
    </xf>
    <xf numFmtId="0" fontId="72" fillId="0" borderId="8" xfId="3" applyFont="1" applyBorder="1"/>
    <xf numFmtId="0" fontId="68" fillId="0" borderId="0" xfId="3" applyFont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69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vertical="center"/>
    </xf>
    <xf numFmtId="0" fontId="68" fillId="0" borderId="1" xfId="3" applyFont="1" applyBorder="1" applyAlignment="1">
      <alignment vertical="center"/>
    </xf>
    <xf numFmtId="0" fontId="72" fillId="0" borderId="1" xfId="3" applyFont="1" applyBorder="1" applyAlignment="1">
      <alignment vertical="center"/>
    </xf>
    <xf numFmtId="43" fontId="68" fillId="0" borderId="0" xfId="3" applyNumberFormat="1" applyFont="1" applyAlignment="1">
      <alignment horizontal="center"/>
    </xf>
    <xf numFmtId="0" fontId="89" fillId="0" borderId="8" xfId="3" applyFont="1" applyBorder="1" applyAlignment="1">
      <alignment vertical="center"/>
    </xf>
    <xf numFmtId="0" fontId="89" fillId="0" borderId="8" xfId="3" applyFont="1" applyBorder="1"/>
    <xf numFmtId="0" fontId="89" fillId="0" borderId="8" xfId="3" applyFont="1" applyBorder="1" applyAlignment="1">
      <alignment wrapText="1"/>
    </xf>
    <xf numFmtId="2" fontId="90" fillId="0" borderId="8" xfId="3" applyNumberFormat="1" applyFont="1" applyBorder="1"/>
    <xf numFmtId="1" fontId="90" fillId="0" borderId="8" xfId="3" applyNumberFormat="1" applyFont="1" applyBorder="1"/>
    <xf numFmtId="1" fontId="37" fillId="0" borderId="8" xfId="3" applyNumberFormat="1" applyFont="1" applyBorder="1"/>
    <xf numFmtId="0" fontId="28" fillId="0" borderId="8" xfId="3" applyFont="1" applyBorder="1" applyAlignment="1">
      <alignment vertical="center"/>
    </xf>
    <xf numFmtId="0" fontId="28" fillId="0" borderId="8" xfId="3" applyFont="1" applyBorder="1"/>
    <xf numFmtId="2" fontId="37" fillId="0" borderId="8" xfId="3" applyNumberFormat="1" applyFont="1" applyBorder="1"/>
    <xf numFmtId="1" fontId="91" fillId="10" borderId="8" xfId="3" applyNumberFormat="1" applyFont="1" applyFill="1" applyBorder="1"/>
    <xf numFmtId="168" fontId="70" fillId="0" borderId="8" xfId="3" applyNumberFormat="1" applyFont="1" applyBorder="1"/>
    <xf numFmtId="2" fontId="91" fillId="10" borderId="8" xfId="3" applyNumberFormat="1" applyFont="1" applyFill="1" applyBorder="1"/>
    <xf numFmtId="168" fontId="75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0" fontId="71" fillId="0" borderId="6" xfId="0" applyFont="1" applyBorder="1" applyAlignment="1">
      <alignment vertical="center" wrapText="1"/>
    </xf>
    <xf numFmtId="1" fontId="92" fillId="0" borderId="8" xfId="3" applyNumberFormat="1" applyFont="1" applyBorder="1"/>
    <xf numFmtId="0" fontId="28" fillId="0" borderId="0" xfId="3" applyFont="1"/>
    <xf numFmtId="164" fontId="84" fillId="2" borderId="8" xfId="2" applyFont="1" applyFill="1" applyBorder="1"/>
    <xf numFmtId="0" fontId="68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4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horizontal="left" vertical="center" wrapText="1"/>
    </xf>
    <xf numFmtId="2" fontId="94" fillId="3" borderId="8" xfId="3" applyNumberFormat="1" applyFont="1" applyFill="1" applyBorder="1" applyAlignment="1">
      <alignment horizontal="center" vertical="center"/>
    </xf>
    <xf numFmtId="2" fontId="95" fillId="0" borderId="8" xfId="3" applyNumberFormat="1" applyFont="1" applyBorder="1"/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vertical="center"/>
    </xf>
    <xf numFmtId="2" fontId="95" fillId="0" borderId="1" xfId="0" applyNumberFormat="1" applyFont="1" applyBorder="1" applyAlignment="1">
      <alignment horizontal="center" vertical="center"/>
    </xf>
    <xf numFmtId="0" fontId="69" fillId="0" borderId="1" xfId="3" applyFont="1" applyBorder="1"/>
    <xf numFmtId="2" fontId="95" fillId="0" borderId="8" xfId="3" applyNumberFormat="1" applyFont="1" applyBorder="1" applyAlignment="1">
      <alignment horizontal="center"/>
    </xf>
    <xf numFmtId="0" fontId="71" fillId="0" borderId="1" xfId="3" applyFont="1" applyBorder="1" applyAlignment="1">
      <alignment vertical="center"/>
    </xf>
    <xf numFmtId="0" fontId="72" fillId="0" borderId="8" xfId="3" applyFont="1" applyBorder="1" applyAlignment="1">
      <alignment horizontal="left" wrapText="1"/>
    </xf>
    <xf numFmtId="2" fontId="97" fillId="0" borderId="8" xfId="3" applyNumberFormat="1" applyFont="1" applyBorder="1" applyAlignment="1">
      <alignment horizontal="center"/>
    </xf>
    <xf numFmtId="0" fontId="74" fillId="0" borderId="1" xfId="3" applyFont="1" applyBorder="1" applyAlignment="1">
      <alignment vertical="center"/>
    </xf>
    <xf numFmtId="0" fontId="74" fillId="0" borderId="1" xfId="3" applyFont="1" applyBorder="1" applyAlignment="1">
      <alignment horizontal="center" vertical="center"/>
    </xf>
    <xf numFmtId="0" fontId="74" fillId="0" borderId="1" xfId="3" applyFont="1" applyBorder="1" applyAlignment="1">
      <alignment horizontal="left" vertical="center"/>
    </xf>
    <xf numFmtId="2" fontId="98" fillId="0" borderId="1" xfId="0" applyNumberFormat="1" applyFont="1" applyBorder="1" applyAlignment="1">
      <alignment horizontal="center" vertical="center"/>
    </xf>
    <xf numFmtId="0" fontId="68" fillId="0" borderId="0" xfId="3" applyFont="1" applyAlignment="1">
      <alignment horizontal="left" vertical="center"/>
    </xf>
    <xf numFmtId="2" fontId="95" fillId="0" borderId="0" xfId="0" applyNumberFormat="1" applyFont="1" applyAlignment="1">
      <alignment horizontal="center" vertical="center"/>
    </xf>
    <xf numFmtId="2" fontId="96" fillId="0" borderId="0" xfId="3" applyNumberFormat="1" applyFont="1"/>
    <xf numFmtId="0" fontId="68" fillId="0" borderId="0" xfId="3" applyFont="1" applyAlignment="1">
      <alignment horizontal="left" wrapText="1"/>
    </xf>
    <xf numFmtId="2" fontId="95" fillId="0" borderId="0" xfId="3" applyNumberFormat="1" applyFont="1"/>
    <xf numFmtId="2" fontId="95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0" fontId="99" fillId="0" borderId="0" xfId="3" applyFont="1"/>
    <xf numFmtId="0" fontId="99" fillId="0" borderId="0" xfId="3" applyFont="1" applyAlignment="1">
      <alignment vertical="center"/>
    </xf>
    <xf numFmtId="0" fontId="99" fillId="0" borderId="0" xfId="3" applyFont="1" applyAlignment="1">
      <alignment horizontal="center"/>
    </xf>
    <xf numFmtId="0" fontId="99" fillId="0" borderId="0" xfId="3" applyFont="1" applyAlignment="1">
      <alignment horizontal="left" wrapText="1"/>
    </xf>
    <xf numFmtId="0" fontId="56" fillId="0" borderId="1" xfId="3" applyFont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100" fillId="0" borderId="1" xfId="3" applyNumberFormat="1" applyFont="1" applyBorder="1" applyAlignment="1">
      <alignment horizontal="center" vertical="center"/>
    </xf>
    <xf numFmtId="1" fontId="100" fillId="0" borderId="1" xfId="3" applyNumberFormat="1" applyFont="1" applyBorder="1" applyAlignment="1">
      <alignment horizontal="center" vertical="center"/>
    </xf>
    <xf numFmtId="2" fontId="101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/>
    </xf>
    <xf numFmtId="2" fontId="101" fillId="0" borderId="1" xfId="3" applyNumberFormat="1" applyFont="1" applyBorder="1" applyAlignment="1">
      <alignment horizontal="center" vertical="center"/>
    </xf>
    <xf numFmtId="0" fontId="43" fillId="0" borderId="0" xfId="3" applyFont="1"/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 wrapText="1"/>
    </xf>
    <xf numFmtId="2" fontId="101" fillId="0" borderId="1" xfId="3" applyNumberFormat="1" applyFont="1" applyBorder="1" applyAlignment="1">
      <alignment horizontal="center" vertical="center" wrapText="1"/>
    </xf>
    <xf numFmtId="2" fontId="101" fillId="0" borderId="1" xfId="3" applyNumberFormat="1" applyFont="1" applyBorder="1" applyAlignment="1">
      <alignment horizontal="center" wrapText="1"/>
    </xf>
    <xf numFmtId="0" fontId="67" fillId="0" borderId="1" xfId="3" applyFont="1" applyBorder="1" applyAlignment="1">
      <alignment vertical="center" wrapText="1"/>
    </xf>
    <xf numFmtId="0" fontId="56" fillId="0" borderId="1" xfId="3" applyFont="1" applyBorder="1"/>
    <xf numFmtId="2" fontId="100" fillId="0" borderId="1" xfId="3" applyNumberFormat="1" applyFont="1" applyBorder="1" applyAlignment="1">
      <alignment horizontal="center"/>
    </xf>
    <xf numFmtId="0" fontId="3" fillId="0" borderId="1" xfId="3" applyBorder="1"/>
    <xf numFmtId="2" fontId="102" fillId="0" borderId="1" xfId="3" applyNumberFormat="1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0" xfId="3"/>
    <xf numFmtId="2" fontId="103" fillId="0" borderId="1" xfId="3" applyNumberFormat="1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43" fillId="0" borderId="0" xfId="3" applyFont="1" applyAlignment="1">
      <alignment horizontal="center"/>
    </xf>
    <xf numFmtId="2" fontId="101" fillId="0" borderId="1" xfId="3" applyNumberFormat="1" applyFont="1" applyBorder="1" applyAlignment="1">
      <alignment horizontal="left" vertical="center"/>
    </xf>
    <xf numFmtId="1" fontId="101" fillId="0" borderId="1" xfId="3" applyNumberFormat="1" applyFont="1" applyBorder="1" applyAlignment="1">
      <alignment horizontal="left" vertical="center"/>
    </xf>
    <xf numFmtId="0" fontId="43" fillId="0" borderId="0" xfId="3" applyFont="1" applyAlignment="1">
      <alignment horizontal="left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95" fillId="0" borderId="8" xfId="0" applyNumberFormat="1" applyFont="1" applyBorder="1" applyAlignment="1">
      <alignment horizontal="center" vertical="center"/>
    </xf>
    <xf numFmtId="0" fontId="72" fillId="0" borderId="8" xfId="3" applyFont="1" applyBorder="1" applyAlignment="1">
      <alignment horizontal="center" vertical="center"/>
    </xf>
    <xf numFmtId="0" fontId="72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6" fillId="0" borderId="8" xfId="3" applyNumberFormat="1" applyFont="1" applyBorder="1"/>
    <xf numFmtId="0" fontId="2" fillId="0" borderId="1" xfId="3" applyFont="1" applyBorder="1"/>
    <xf numFmtId="1" fontId="100" fillId="0" borderId="1" xfId="3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 vertical="center"/>
    </xf>
    <xf numFmtId="1" fontId="95" fillId="0" borderId="8" xfId="3" applyNumberFormat="1" applyFont="1" applyBorder="1"/>
    <xf numFmtId="1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70" fillId="0" borderId="1" xfId="3" applyNumberFormat="1" applyFont="1" applyBorder="1"/>
    <xf numFmtId="2" fontId="95" fillId="0" borderId="1" xfId="3" applyNumberFormat="1" applyFont="1" applyBorder="1"/>
    <xf numFmtId="0" fontId="54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horizontal="left" vertical="center" wrapText="1"/>
    </xf>
    <xf numFmtId="2" fontId="94" fillId="3" borderId="1" xfId="3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0" xfId="3" applyFont="1"/>
    <xf numFmtId="0" fontId="2" fillId="0" borderId="1" xfId="3" applyFont="1" applyBorder="1" applyAlignment="1">
      <alignment vertical="center"/>
    </xf>
    <xf numFmtId="0" fontId="2" fillId="0" borderId="0" xfId="3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right" wrapText="1"/>
    </xf>
    <xf numFmtId="164" fontId="2" fillId="0" borderId="1" xfId="2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7" xfId="2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7" xfId="2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2" applyFont="1" applyBorder="1"/>
    <xf numFmtId="0" fontId="2" fillId="0" borderId="1" xfId="0" applyFont="1" applyBorder="1" applyAlignment="1">
      <alignment horizontal="left" vertical="top" wrapText="1"/>
    </xf>
    <xf numFmtId="164" fontId="2" fillId="0" borderId="1" xfId="2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center" vertical="center"/>
    </xf>
    <xf numFmtId="164" fontId="2" fillId="0" borderId="1" xfId="2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5" fontId="2" fillId="0" borderId="1" xfId="2" applyNumberFormat="1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8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8" fillId="0" borderId="0" xfId="3" applyNumberFormat="1" applyFont="1" applyAlignment="1">
      <alignment vertical="center"/>
    </xf>
    <xf numFmtId="2" fontId="69" fillId="0" borderId="0" xfId="3" applyNumberFormat="1" applyFont="1" applyAlignment="1">
      <alignment vertical="center"/>
    </xf>
    <xf numFmtId="0" fontId="69" fillId="0" borderId="0" xfId="3" applyFont="1" applyAlignment="1">
      <alignment vertical="center"/>
    </xf>
    <xf numFmtId="1" fontId="0" fillId="0" borderId="0" xfId="0" applyNumberFormat="1"/>
    <xf numFmtId="1" fontId="8" fillId="0" borderId="8" xfId="2" applyNumberFormat="1" applyFont="1" applyBorder="1"/>
    <xf numFmtId="165" fontId="68" fillId="0" borderId="0" xfId="3" applyNumberFormat="1" applyFont="1" applyAlignment="1">
      <alignment horizontal="center" vertical="center"/>
    </xf>
    <xf numFmtId="165" fontId="70" fillId="0" borderId="0" xfId="2" applyNumberFormat="1" applyFont="1" applyAlignment="1">
      <alignment vertical="center"/>
    </xf>
    <xf numFmtId="165" fontId="70" fillId="0" borderId="0" xfId="2" applyNumberFormat="1" applyFont="1"/>
    <xf numFmtId="165" fontId="70" fillId="0" borderId="0" xfId="2" applyNumberFormat="1" applyFont="1" applyAlignment="1">
      <alignment horizontal="center"/>
    </xf>
    <xf numFmtId="165" fontId="70" fillId="0" borderId="0" xfId="3" applyNumberFormat="1" applyFont="1" applyAlignment="1">
      <alignment vertical="center"/>
    </xf>
    <xf numFmtId="0" fontId="70" fillId="0" borderId="0" xfId="3" applyFont="1"/>
    <xf numFmtId="0" fontId="82" fillId="2" borderId="8" xfId="3" applyFont="1" applyFill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68" fillId="0" borderId="8" xfId="0" applyFont="1" applyBorder="1" applyAlignment="1">
      <alignment vertical="center" wrapText="1"/>
    </xf>
    <xf numFmtId="0" fontId="72" fillId="0" borderId="8" xfId="0" applyFont="1" applyBorder="1" applyAlignment="1">
      <alignment vertical="center"/>
    </xf>
    <xf numFmtId="0" fontId="68" fillId="0" borderId="16" xfId="3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72" fillId="0" borderId="8" xfId="0" applyFont="1" applyBorder="1" applyAlignment="1">
      <alignment vertical="center" wrapText="1"/>
    </xf>
    <xf numFmtId="0" fontId="68" fillId="0" borderId="8" xfId="3" applyFont="1" applyBorder="1" applyAlignment="1">
      <alignment horizontal="left" vertical="center" wrapText="1"/>
    </xf>
    <xf numFmtId="0" fontId="58" fillId="0" borderId="0" xfId="0" applyFont="1"/>
    <xf numFmtId="0" fontId="69" fillId="11" borderId="8" xfId="3" applyFont="1" applyFill="1" applyBorder="1" applyAlignment="1">
      <alignment vertical="center"/>
    </xf>
    <xf numFmtId="0" fontId="69" fillId="11" borderId="8" xfId="3" applyFont="1" applyFill="1" applyBorder="1"/>
    <xf numFmtId="0" fontId="69" fillId="11" borderId="8" xfId="3" applyFont="1" applyFill="1" applyBorder="1" applyAlignment="1">
      <alignment wrapText="1"/>
    </xf>
    <xf numFmtId="2" fontId="75" fillId="11" borderId="8" xfId="3" applyNumberFormat="1" applyFont="1" applyFill="1" applyBorder="1"/>
    <xf numFmtId="1" fontId="75" fillId="11" borderId="8" xfId="3" applyNumberFormat="1" applyFont="1" applyFill="1" applyBorder="1"/>
    <xf numFmtId="2" fontId="8" fillId="11" borderId="8" xfId="3" applyNumberFormat="1" applyFont="1" applyFill="1" applyBorder="1"/>
    <xf numFmtId="1" fontId="8" fillId="11" borderId="8" xfId="3" applyNumberFormat="1" applyFont="1" applyFill="1" applyBorder="1"/>
    <xf numFmtId="0" fontId="71" fillId="11" borderId="8" xfId="3" applyFont="1" applyFill="1" applyBorder="1" applyAlignment="1">
      <alignment vertical="center"/>
    </xf>
    <xf numFmtId="0" fontId="71" fillId="11" borderId="8" xfId="3" applyFont="1" applyFill="1" applyBorder="1"/>
    <xf numFmtId="0" fontId="71" fillId="11" borderId="8" xfId="3" applyFont="1" applyFill="1" applyBorder="1" applyAlignment="1">
      <alignment wrapText="1"/>
    </xf>
    <xf numFmtId="2" fontId="79" fillId="11" borderId="8" xfId="3" applyNumberFormat="1" applyFont="1" applyFill="1" applyBorder="1"/>
    <xf numFmtId="1" fontId="79" fillId="11" borderId="8" xfId="3" applyNumberFormat="1" applyFont="1" applyFill="1" applyBorder="1"/>
    <xf numFmtId="2" fontId="79" fillId="11" borderId="8" xfId="3" applyNumberFormat="1" applyFont="1" applyFill="1" applyBorder="1" applyAlignment="1">
      <alignment horizontal="right"/>
    </xf>
    <xf numFmtId="1" fontId="78" fillId="11" borderId="8" xfId="3" applyNumberFormat="1" applyFont="1" applyFill="1" applyBorder="1"/>
    <xf numFmtId="2" fontId="78" fillId="11" borderId="8" xfId="3" applyNumberFormat="1" applyFont="1" applyFill="1" applyBorder="1"/>
    <xf numFmtId="0" fontId="73" fillId="11" borderId="8" xfId="3" applyFont="1" applyFill="1" applyBorder="1" applyAlignment="1">
      <alignment vertical="center"/>
    </xf>
    <xf numFmtId="0" fontId="73" fillId="11" borderId="8" xfId="3" applyFont="1" applyFill="1" applyBorder="1"/>
    <xf numFmtId="1" fontId="8" fillId="11" borderId="8" xfId="2" applyNumberFormat="1" applyFont="1" applyFill="1" applyBorder="1"/>
    <xf numFmtId="0" fontId="89" fillId="11" borderId="8" xfId="3" applyFont="1" applyFill="1" applyBorder="1" applyAlignment="1">
      <alignment vertical="center"/>
    </xf>
    <xf numFmtId="0" fontId="89" fillId="11" borderId="8" xfId="3" applyFont="1" applyFill="1" applyBorder="1"/>
    <xf numFmtId="0" fontId="89" fillId="11" borderId="8" xfId="3" applyFont="1" applyFill="1" applyBorder="1" applyAlignment="1">
      <alignment wrapText="1"/>
    </xf>
    <xf numFmtId="2" fontId="90" fillId="11" borderId="8" xfId="3" applyNumberFormat="1" applyFont="1" applyFill="1" applyBorder="1"/>
    <xf numFmtId="1" fontId="90" fillId="11" borderId="8" xfId="3" applyNumberFormat="1" applyFont="1" applyFill="1" applyBorder="1"/>
    <xf numFmtId="0" fontId="105" fillId="0" borderId="8" xfId="3" applyFont="1" applyBorder="1" applyAlignment="1">
      <alignment wrapText="1"/>
    </xf>
    <xf numFmtId="0" fontId="106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8" fillId="0" borderId="0" xfId="0" applyNumberFormat="1" applyFont="1"/>
    <xf numFmtId="0" fontId="74" fillId="0" borderId="0" xfId="0" applyFont="1"/>
    <xf numFmtId="2" fontId="74" fillId="0" borderId="0" xfId="0" applyNumberFormat="1" applyFont="1"/>
    <xf numFmtId="0" fontId="68" fillId="11" borderId="0" xfId="0" applyFont="1" applyFill="1"/>
    <xf numFmtId="0" fontId="2" fillId="11" borderId="0" xfId="0" applyFont="1" applyFill="1"/>
    <xf numFmtId="2" fontId="68" fillId="11" borderId="0" xfId="0" applyNumberFormat="1" applyFont="1" applyFill="1"/>
    <xf numFmtId="0" fontId="69" fillId="2" borderId="8" xfId="3" applyFont="1" applyFill="1" applyBorder="1" applyAlignment="1">
      <alignment vertical="center"/>
    </xf>
    <xf numFmtId="0" fontId="71" fillId="2" borderId="8" xfId="3" applyFont="1" applyFill="1" applyBorder="1" applyAlignment="1">
      <alignment vertical="center"/>
    </xf>
    <xf numFmtId="0" fontId="73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89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8" fillId="2" borderId="1" xfId="0" applyFont="1" applyFill="1" applyBorder="1" applyAlignment="1">
      <alignment horizontal="right"/>
    </xf>
    <xf numFmtId="0" fontId="68" fillId="11" borderId="1" xfId="0" applyFont="1" applyFill="1" applyBorder="1"/>
    <xf numFmtId="0" fontId="8" fillId="2" borderId="1" xfId="0" applyFont="1" applyFill="1" applyBorder="1"/>
    <xf numFmtId="2" fontId="75" fillId="11" borderId="1" xfId="0" applyNumberFormat="1" applyFont="1" applyFill="1" applyBorder="1"/>
    <xf numFmtId="1" fontId="75" fillId="11" borderId="1" xfId="0" applyNumberFormat="1" applyFont="1" applyFill="1" applyBorder="1"/>
    <xf numFmtId="0" fontId="68" fillId="2" borderId="1" xfId="0" applyFont="1" applyFill="1" applyBorder="1"/>
    <xf numFmtId="0" fontId="68" fillId="11" borderId="1" xfId="0" applyFont="1" applyFill="1" applyBorder="1" applyAlignment="1">
      <alignment horizontal="left"/>
    </xf>
    <xf numFmtId="2" fontId="8" fillId="11" borderId="1" xfId="0" applyNumberFormat="1" applyFont="1" applyFill="1" applyBorder="1"/>
    <xf numFmtId="0" fontId="69" fillId="2" borderId="8" xfId="3" applyFont="1" applyFill="1" applyBorder="1" applyAlignment="1">
      <alignment vertical="center" wrapText="1"/>
    </xf>
    <xf numFmtId="0" fontId="89" fillId="2" borderId="8" xfId="3" applyFont="1" applyFill="1" applyBorder="1" applyAlignment="1">
      <alignment vertical="center"/>
    </xf>
    <xf numFmtId="2" fontId="68" fillId="0" borderId="1" xfId="3" applyNumberFormat="1" applyFont="1" applyBorder="1" applyAlignment="1">
      <alignment vertical="center"/>
    </xf>
    <xf numFmtId="0" fontId="69" fillId="12" borderId="8" xfId="3" applyFont="1" applyFill="1" applyBorder="1" applyAlignment="1">
      <alignment vertical="center"/>
    </xf>
    <xf numFmtId="0" fontId="69" fillId="12" borderId="8" xfId="3" applyFont="1" applyFill="1" applyBorder="1" applyAlignment="1">
      <alignment vertical="center" wrapText="1"/>
    </xf>
    <xf numFmtId="2" fontId="8" fillId="12" borderId="8" xfId="3" applyNumberFormat="1" applyFont="1" applyFill="1" applyBorder="1" applyAlignment="1">
      <alignment vertical="center"/>
    </xf>
    <xf numFmtId="0" fontId="71" fillId="12" borderId="8" xfId="3" applyFont="1" applyFill="1" applyBorder="1" applyAlignment="1">
      <alignment vertical="center"/>
    </xf>
    <xf numFmtId="0" fontId="89" fillId="12" borderId="8" xfId="3" applyFont="1" applyFill="1" applyBorder="1" applyAlignment="1">
      <alignment vertical="center"/>
    </xf>
    <xf numFmtId="169" fontId="107" fillId="3" borderId="8" xfId="2" applyNumberFormat="1" applyFont="1" applyFill="1" applyBorder="1" applyAlignment="1">
      <alignment horizontal="center" vertical="center"/>
    </xf>
    <xf numFmtId="165" fontId="108" fillId="3" borderId="8" xfId="2" applyNumberFormat="1" applyFont="1" applyFill="1" applyBorder="1" applyAlignment="1">
      <alignment horizontal="center" vertical="center"/>
    </xf>
    <xf numFmtId="165" fontId="8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/>
    </xf>
    <xf numFmtId="2" fontId="70" fillId="0" borderId="8" xfId="3" applyNumberFormat="1" applyFont="1" applyBorder="1" applyAlignment="1">
      <alignment vertical="center"/>
    </xf>
    <xf numFmtId="1" fontId="70" fillId="0" borderId="8" xfId="3" applyNumberFormat="1" applyFont="1" applyBorder="1" applyAlignment="1">
      <alignment vertical="center"/>
    </xf>
    <xf numFmtId="0" fontId="82" fillId="10" borderId="8" xfId="3" applyFont="1" applyFill="1" applyBorder="1" applyAlignment="1">
      <alignment vertical="center" wrapText="1"/>
    </xf>
    <xf numFmtId="2" fontId="81" fillId="10" borderId="8" xfId="3" applyNumberFormat="1" applyFont="1" applyFill="1" applyBorder="1" applyAlignment="1">
      <alignment vertical="center"/>
    </xf>
    <xf numFmtId="165" fontId="81" fillId="10" borderId="8" xfId="2" applyNumberFormat="1" applyFont="1" applyFill="1" applyBorder="1" applyAlignment="1">
      <alignment vertical="center"/>
    </xf>
    <xf numFmtId="165" fontId="70" fillId="0" borderId="8" xfId="2" applyNumberFormat="1" applyFont="1" applyBorder="1" applyAlignment="1">
      <alignment vertical="center"/>
    </xf>
    <xf numFmtId="2" fontId="75" fillId="2" borderId="8" xfId="3" applyNumberFormat="1" applyFont="1" applyFill="1" applyBorder="1" applyAlignment="1">
      <alignment vertical="center"/>
    </xf>
    <xf numFmtId="165" fontId="75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7" fillId="0" borderId="0" xfId="3" applyFont="1" applyAlignment="1">
      <alignment vertical="center"/>
    </xf>
    <xf numFmtId="0" fontId="72" fillId="0" borderId="8" xfId="3" applyFont="1" applyBorder="1" applyAlignment="1">
      <alignment vertical="center" wrapText="1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1" fillId="0" borderId="16" xfId="3" applyFont="1" applyBorder="1" applyAlignment="1">
      <alignment vertical="center"/>
    </xf>
    <xf numFmtId="0" fontId="71" fillId="0" borderId="0" xfId="3" applyFont="1" applyAlignment="1">
      <alignment vertical="center"/>
    </xf>
    <xf numFmtId="0" fontId="89" fillId="12" borderId="8" xfId="3" applyFont="1" applyFill="1" applyBorder="1" applyAlignment="1">
      <alignment vertical="center" wrapText="1"/>
    </xf>
    <xf numFmtId="2" fontId="75" fillId="12" borderId="8" xfId="3" applyNumberFormat="1" applyFont="1" applyFill="1" applyBorder="1" applyAlignment="1">
      <alignment vertical="center"/>
    </xf>
    <xf numFmtId="165" fontId="75" fillId="12" borderId="8" xfId="2" applyNumberFormat="1" applyFont="1" applyFill="1" applyBorder="1" applyAlignment="1">
      <alignment vertical="center"/>
    </xf>
    <xf numFmtId="2" fontId="79" fillId="2" borderId="8" xfId="3" applyNumberFormat="1" applyFont="1" applyFill="1" applyBorder="1" applyAlignment="1">
      <alignment horizontal="right" vertical="center"/>
    </xf>
    <xf numFmtId="165" fontId="79" fillId="2" borderId="8" xfId="2" applyNumberFormat="1" applyFont="1" applyFill="1" applyBorder="1" applyAlignment="1">
      <alignment horizontal="right" vertical="center"/>
    </xf>
    <xf numFmtId="0" fontId="71" fillId="12" borderId="8" xfId="3" applyFont="1" applyFill="1" applyBorder="1" applyAlignment="1">
      <alignment vertical="center" wrapText="1"/>
    </xf>
    <xf numFmtId="2" fontId="8" fillId="0" borderId="8" xfId="3" applyNumberFormat="1" applyFont="1" applyBorder="1" applyAlignment="1">
      <alignment vertical="center"/>
    </xf>
    <xf numFmtId="165" fontId="75" fillId="0" borderId="8" xfId="2" applyNumberFormat="1" applyFont="1" applyBorder="1" applyAlignment="1">
      <alignment vertical="center"/>
    </xf>
    <xf numFmtId="2" fontId="76" fillId="0" borderId="8" xfId="3" applyNumberFormat="1" applyFont="1" applyBorder="1" applyAlignment="1">
      <alignment vertical="center"/>
    </xf>
    <xf numFmtId="2" fontId="104" fillId="0" borderId="8" xfId="3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2" fontId="80" fillId="0" borderId="8" xfId="3" applyNumberFormat="1" applyFont="1" applyBorder="1" applyAlignment="1">
      <alignment vertical="center"/>
    </xf>
    <xf numFmtId="2" fontId="78" fillId="2" borderId="8" xfId="3" applyNumberFormat="1" applyFont="1" applyFill="1" applyBorder="1" applyAlignment="1">
      <alignment vertical="center"/>
    </xf>
    <xf numFmtId="165" fontId="78" fillId="2" borderId="8" xfId="2" applyNumberFormat="1" applyFont="1" applyFill="1" applyBorder="1" applyAlignment="1">
      <alignment vertical="center"/>
    </xf>
    <xf numFmtId="0" fontId="89" fillId="0" borderId="8" xfId="3" applyFont="1" applyBorder="1" applyAlignment="1">
      <alignment vertical="center" wrapText="1"/>
    </xf>
    <xf numFmtId="1" fontId="0" fillId="0" borderId="8" xfId="3" applyNumberFormat="1" applyFont="1" applyBorder="1" applyAlignment="1">
      <alignment vertical="center"/>
    </xf>
    <xf numFmtId="0" fontId="88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0" fillId="0" borderId="8" xfId="3" applyNumberFormat="1" applyFont="1" applyBorder="1" applyAlignment="1">
      <alignment horizontal="right" vertical="center"/>
    </xf>
    <xf numFmtId="1" fontId="75" fillId="12" borderId="8" xfId="2" applyNumberFormat="1" applyFont="1" applyFill="1" applyBorder="1" applyAlignment="1">
      <alignment vertical="center"/>
    </xf>
    <xf numFmtId="0" fontId="109" fillId="0" borderId="0" xfId="3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2" fontId="34" fillId="0" borderId="8" xfId="0" applyNumberFormat="1" applyFont="1" applyBorder="1" applyAlignment="1">
      <alignment vertical="center"/>
    </xf>
    <xf numFmtId="165" fontId="34" fillId="0" borderId="8" xfId="2" applyNumberFormat="1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0" xfId="0" applyFont="1" applyAlignment="1">
      <alignment vertical="center"/>
    </xf>
    <xf numFmtId="2" fontId="91" fillId="10" borderId="8" xfId="3" applyNumberFormat="1" applyFont="1" applyFill="1" applyBorder="1" applyAlignment="1">
      <alignment vertical="center"/>
    </xf>
    <xf numFmtId="165" fontId="91" fillId="10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4" fillId="0" borderId="0" xfId="3" applyFont="1" applyAlignment="1">
      <alignment vertical="center"/>
    </xf>
    <xf numFmtId="2" fontId="79" fillId="12" borderId="8" xfId="3" applyNumberFormat="1" applyFont="1" applyFill="1" applyBorder="1" applyAlignment="1">
      <alignment vertical="center"/>
    </xf>
    <xf numFmtId="165" fontId="79" fillId="12" borderId="8" xfId="2" applyNumberFormat="1" applyFont="1" applyFill="1" applyBorder="1" applyAlignment="1">
      <alignment vertical="center"/>
    </xf>
    <xf numFmtId="2" fontId="37" fillId="0" borderId="8" xfId="3" applyNumberFormat="1" applyFont="1" applyBorder="1" applyAlignment="1">
      <alignment vertical="center"/>
    </xf>
    <xf numFmtId="165" fontId="37" fillId="0" borderId="8" xfId="2" applyNumberFormat="1" applyFont="1" applyBorder="1" applyAlignment="1">
      <alignment vertical="center"/>
    </xf>
    <xf numFmtId="0" fontId="28" fillId="0" borderId="1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68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8" fillId="13" borderId="0" xfId="3" applyFont="1" applyFill="1" applyAlignment="1">
      <alignment vertical="center"/>
    </xf>
    <xf numFmtId="0" fontId="68" fillId="13" borderId="0" xfId="3" applyFont="1" applyFill="1" applyAlignment="1">
      <alignment horizontal="center" vertical="center"/>
    </xf>
    <xf numFmtId="0" fontId="69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1" fillId="13" borderId="0" xfId="3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8" fillId="13" borderId="0" xfId="3" applyFont="1" applyFill="1" applyAlignment="1">
      <alignment vertical="center"/>
    </xf>
    <xf numFmtId="0" fontId="74" fillId="0" borderId="8" xfId="3" applyFont="1" applyBorder="1" applyAlignment="1">
      <alignment vertical="center" wrapText="1"/>
    </xf>
    <xf numFmtId="0" fontId="71" fillId="2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vertical="center" wrapText="1"/>
    </xf>
    <xf numFmtId="0" fontId="89" fillId="2" borderId="8" xfId="3" applyFont="1" applyFill="1" applyBorder="1" applyAlignment="1">
      <alignment vertical="center" wrapText="1"/>
    </xf>
    <xf numFmtId="9" fontId="68" fillId="0" borderId="0" xfId="27" applyFont="1" applyAlignment="1">
      <alignment vertical="center"/>
    </xf>
    <xf numFmtId="165" fontId="108" fillId="3" borderId="8" xfId="2" applyNumberFormat="1" applyFont="1" applyFill="1" applyBorder="1" applyAlignment="1">
      <alignment horizontal="right" vertical="center"/>
    </xf>
    <xf numFmtId="0" fontId="73" fillId="0" borderId="8" xfId="3" applyFont="1" applyBorder="1" applyAlignment="1">
      <alignment vertical="center" wrapText="1"/>
    </xf>
    <xf numFmtId="0" fontId="110" fillId="0" borderId="8" xfId="3" applyFont="1" applyBorder="1" applyAlignment="1">
      <alignment vertical="center" wrapText="1"/>
    </xf>
    <xf numFmtId="0" fontId="89" fillId="14" borderId="8" xfId="3" applyFont="1" applyFill="1" applyBorder="1" applyAlignment="1">
      <alignment vertical="center" wrapText="1"/>
    </xf>
    <xf numFmtId="165" fontId="70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8" fillId="3" borderId="8" xfId="2" applyNumberFormat="1" applyFont="1" applyFill="1" applyBorder="1" applyAlignment="1">
      <alignment horizontal="left" vertical="center"/>
    </xf>
    <xf numFmtId="0" fontId="68" fillId="0" borderId="1" xfId="0" applyFont="1" applyBorder="1"/>
    <xf numFmtId="0" fontId="68" fillId="0" borderId="1" xfId="0" applyFont="1" applyBorder="1" applyAlignment="1">
      <alignment vertical="center"/>
    </xf>
    <xf numFmtId="0" fontId="112" fillId="0" borderId="0" xfId="3" applyFont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3" fillId="0" borderId="0" xfId="0" applyFont="1"/>
    <xf numFmtId="0" fontId="114" fillId="0" borderId="0" xfId="0" applyFont="1"/>
    <xf numFmtId="0" fontId="113" fillId="0" borderId="0" xfId="0" applyFont="1" applyAlignment="1">
      <alignment horizontal="right"/>
    </xf>
    <xf numFmtId="0" fontId="75" fillId="0" borderId="0" xfId="0" applyFont="1"/>
    <xf numFmtId="2" fontId="75" fillId="0" borderId="0" xfId="0" applyNumberFormat="1" applyFont="1"/>
    <xf numFmtId="0" fontId="70" fillId="0" borderId="0" xfId="0" applyFont="1"/>
    <xf numFmtId="2" fontId="70" fillId="0" borderId="0" xfId="0" applyNumberFormat="1" applyFont="1"/>
    <xf numFmtId="164" fontId="70" fillId="0" borderId="8" xfId="2" applyFont="1" applyBorder="1" applyAlignment="1">
      <alignment vertical="center"/>
    </xf>
    <xf numFmtId="164" fontId="0" fillId="0" borderId="8" xfId="2" applyFont="1" applyBorder="1" applyAlignment="1">
      <alignment vertical="center"/>
    </xf>
    <xf numFmtId="0" fontId="115" fillId="15" borderId="8" xfId="0" applyFont="1" applyFill="1" applyBorder="1" applyAlignment="1">
      <alignment vertical="center" wrapText="1"/>
    </xf>
    <xf numFmtId="0" fontId="117" fillId="0" borderId="0" xfId="29" applyFont="1" applyAlignment="1">
      <alignment vertical="center"/>
    </xf>
    <xf numFmtId="0" fontId="118" fillId="0" borderId="0" xfId="29" applyFont="1" applyAlignment="1">
      <alignment vertical="center"/>
    </xf>
    <xf numFmtId="0" fontId="119" fillId="0" borderId="0" xfId="29" applyFont="1" applyAlignment="1">
      <alignment vertical="center"/>
    </xf>
    <xf numFmtId="0" fontId="117" fillId="0" borderId="0" xfId="30" applyFont="1" applyAlignment="1">
      <alignment horizontal="center" vertical="center"/>
    </xf>
    <xf numFmtId="0" fontId="117" fillId="0" borderId="0" xfId="29" applyFont="1" applyAlignment="1">
      <alignment horizontal="center" vertical="center"/>
    </xf>
    <xf numFmtId="0" fontId="119" fillId="0" borderId="0" xfId="30" applyFont="1" applyAlignment="1">
      <alignment vertical="center"/>
    </xf>
    <xf numFmtId="0" fontId="120" fillId="0" borderId="1" xfId="30" applyFont="1" applyBorder="1" applyAlignment="1">
      <alignment horizontal="left" vertical="center"/>
    </xf>
    <xf numFmtId="1" fontId="102" fillId="0" borderId="1" xfId="30" applyNumberFormat="1" applyFont="1" applyBorder="1" applyAlignment="1">
      <alignment horizontal="left" vertical="center" wrapText="1"/>
    </xf>
    <xf numFmtId="0" fontId="120" fillId="0" borderId="1" xfId="30" applyFont="1" applyBorder="1" applyAlignment="1">
      <alignment horizontal="center" vertical="center" wrapText="1"/>
    </xf>
    <xf numFmtId="0" fontId="117" fillId="0" borderId="0" xfId="30" applyFont="1" applyAlignment="1">
      <alignment vertical="center"/>
    </xf>
    <xf numFmtId="0" fontId="97" fillId="0" borderId="1" xfId="30" applyFont="1" applyBorder="1" applyAlignment="1">
      <alignment horizontal="center" vertical="center"/>
    </xf>
    <xf numFmtId="15" fontId="119" fillId="0" borderId="1" xfId="30" applyNumberFormat="1" applyFont="1" applyBorder="1" applyAlignment="1">
      <alignment horizontal="center" vertical="center" wrapText="1"/>
    </xf>
    <xf numFmtId="15" fontId="102" fillId="0" borderId="1" xfId="30" applyNumberFormat="1" applyFont="1" applyBorder="1" applyAlignment="1">
      <alignment horizontal="center" vertical="center"/>
    </xf>
    <xf numFmtId="0" fontId="117" fillId="0" borderId="0" xfId="30" applyFont="1" applyAlignment="1">
      <alignment horizontal="left" vertical="center"/>
    </xf>
    <xf numFmtId="15" fontId="102" fillId="0" borderId="1" xfId="30" applyNumberFormat="1" applyFont="1" applyBorder="1" applyAlignment="1">
      <alignment horizontal="center" vertical="center" wrapText="1"/>
    </xf>
    <xf numFmtId="2" fontId="97" fillId="0" borderId="1" xfId="30" applyNumberFormat="1" applyFont="1" applyBorder="1" applyAlignment="1">
      <alignment horizontal="right" vertical="center"/>
    </xf>
    <xf numFmtId="0" fontId="121" fillId="0" borderId="0" xfId="29" applyFont="1"/>
    <xf numFmtId="1" fontId="122" fillId="0" borderId="1" xfId="30" applyNumberFormat="1" applyFont="1" applyBorder="1" applyAlignment="1">
      <alignment horizontal="center" vertical="center" wrapText="1"/>
    </xf>
    <xf numFmtId="15" fontId="122" fillId="0" borderId="1" xfId="30" applyNumberFormat="1" applyFont="1" applyBorder="1" applyAlignment="1">
      <alignment horizontal="center" vertical="center"/>
    </xf>
    <xf numFmtId="2" fontId="98" fillId="0" borderId="1" xfId="30" applyNumberFormat="1" applyFont="1" applyBorder="1" applyAlignment="1">
      <alignment horizontal="right" vertical="center"/>
    </xf>
    <xf numFmtId="2" fontId="97" fillId="0" borderId="1" xfId="30" applyNumberFormat="1" applyFont="1" applyBorder="1" applyAlignment="1">
      <alignment vertical="center"/>
    </xf>
    <xf numFmtId="0" fontId="68" fillId="0" borderId="1" xfId="0" applyFont="1" applyBorder="1" applyAlignment="1">
      <alignment vertical="center" wrapText="1"/>
    </xf>
    <xf numFmtId="0" fontId="124" fillId="0" borderId="0" xfId="3" applyFont="1" applyAlignment="1">
      <alignment vertical="center"/>
    </xf>
    <xf numFmtId="0" fontId="111" fillId="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123" fillId="0" borderId="0" xfId="3" applyFont="1" applyAlignment="1">
      <alignment vertical="center"/>
    </xf>
    <xf numFmtId="0" fontId="124" fillId="0" borderId="0" xfId="3" applyFont="1" applyAlignment="1">
      <alignment vertical="center" wrapText="1"/>
    </xf>
    <xf numFmtId="0" fontId="124" fillId="0" borderId="0" xfId="3" applyFont="1" applyAlignment="1">
      <alignment horizontal="center" vertical="center"/>
    </xf>
    <xf numFmtId="0" fontId="125" fillId="0" borderId="0" xfId="3" applyFont="1" applyAlignment="1">
      <alignment vertical="center"/>
    </xf>
    <xf numFmtId="0" fontId="126" fillId="0" borderId="0" xfId="3" applyFont="1" applyAlignment="1">
      <alignment vertical="center"/>
    </xf>
    <xf numFmtId="0" fontId="116" fillId="0" borderId="0" xfId="3" applyFont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vertical="center"/>
    </xf>
    <xf numFmtId="165" fontId="8" fillId="2" borderId="8" xfId="2" applyNumberFormat="1" applyFont="1" applyFill="1" applyBorder="1" applyAlignment="1">
      <alignment vertical="center"/>
    </xf>
    <xf numFmtId="165" fontId="8" fillId="0" borderId="8" xfId="2" applyNumberFormat="1" applyFont="1" applyBorder="1" applyAlignment="1">
      <alignment vertical="center"/>
    </xf>
    <xf numFmtId="2" fontId="37" fillId="0" borderId="8" xfId="0" applyNumberFormat="1" applyFont="1" applyBorder="1" applyAlignment="1">
      <alignment vertical="center"/>
    </xf>
    <xf numFmtId="164" fontId="108" fillId="3" borderId="8" xfId="2" applyFont="1" applyFill="1" applyBorder="1" applyAlignment="1">
      <alignment horizontal="center" vertical="center"/>
    </xf>
    <xf numFmtId="164" fontId="78" fillId="2" borderId="8" xfId="2" applyFont="1" applyFill="1" applyBorder="1" applyAlignment="1">
      <alignment vertical="center"/>
    </xf>
    <xf numFmtId="0" fontId="29" fillId="0" borderId="1" xfId="30" applyFont="1" applyBorder="1" applyAlignment="1">
      <alignment horizontal="left" vertical="center"/>
    </xf>
    <xf numFmtId="0" fontId="2" fillId="0" borderId="0" xfId="29" applyFont="1" applyAlignment="1">
      <alignment vertical="center"/>
    </xf>
    <xf numFmtId="0" fontId="2" fillId="0" borderId="1" xfId="29" applyFont="1" applyBorder="1" applyAlignment="1">
      <alignment horizontal="center" vertical="center"/>
    </xf>
    <xf numFmtId="0" fontId="45" fillId="0" borderId="1" xfId="30" applyFont="1" applyBorder="1" applyAlignment="1">
      <alignment vertical="center"/>
    </xf>
    <xf numFmtId="0" fontId="2" fillId="0" borderId="1" xfId="30" applyFont="1" applyBorder="1" applyAlignment="1">
      <alignment horizontal="center" vertical="center"/>
    </xf>
    <xf numFmtId="0" fontId="29" fillId="0" borderId="1" xfId="30" applyFont="1" applyBorder="1" applyAlignment="1">
      <alignment horizontal="center" vertical="center" wrapText="1"/>
    </xf>
    <xf numFmtId="0" fontId="2" fillId="0" borderId="1" xfId="30" applyFont="1" applyBorder="1" applyAlignment="1">
      <alignment vertical="center"/>
    </xf>
    <xf numFmtId="15" fontId="45" fillId="0" borderId="1" xfId="30" applyNumberFormat="1" applyFont="1" applyBorder="1" applyAlignment="1">
      <alignment horizontal="center" vertical="center" wrapText="1"/>
    </xf>
    <xf numFmtId="15" fontId="2" fillId="0" borderId="1" xfId="30" applyNumberFormat="1" applyFont="1" applyBorder="1" applyAlignment="1">
      <alignment horizontal="center" vertical="center"/>
    </xf>
    <xf numFmtId="0" fontId="2" fillId="0" borderId="1" xfId="30" applyFont="1" applyBorder="1" applyAlignment="1">
      <alignment horizontal="left" vertical="center"/>
    </xf>
    <xf numFmtId="14" fontId="111" fillId="3" borderId="1" xfId="30" applyNumberFormat="1" applyFont="1" applyFill="1" applyBorder="1" applyAlignment="1">
      <alignment horizontal="center" vertical="center" wrapText="1"/>
    </xf>
    <xf numFmtId="14" fontId="111" fillId="3" borderId="1" xfId="30" applyNumberFormat="1" applyFont="1" applyFill="1" applyBorder="1" applyAlignment="1">
      <alignment horizontal="center" vertical="center"/>
    </xf>
    <xf numFmtId="0" fontId="29" fillId="0" borderId="1" xfId="29" applyFont="1" applyBorder="1" applyAlignment="1">
      <alignment horizontal="center" vertical="center"/>
    </xf>
    <xf numFmtId="0" fontId="29" fillId="0" borderId="1" xfId="29" applyFont="1" applyBorder="1" applyAlignment="1">
      <alignment vertical="center"/>
    </xf>
    <xf numFmtId="15" fontId="41" fillId="0" borderId="1" xfId="30" applyNumberFormat="1" applyFont="1" applyBorder="1" applyAlignment="1">
      <alignment horizontal="left" vertical="center"/>
    </xf>
    <xf numFmtId="15" fontId="29" fillId="0" borderId="1" xfId="30" applyNumberFormat="1" applyFont="1" applyBorder="1" applyAlignment="1">
      <alignment horizontal="left" vertical="center"/>
    </xf>
    <xf numFmtId="170" fontId="29" fillId="0" borderId="1" xfId="30" applyNumberFormat="1" applyFont="1" applyBorder="1" applyAlignment="1">
      <alignment horizontal="center" vertical="center"/>
    </xf>
    <xf numFmtId="14" fontId="45" fillId="0" borderId="1" xfId="30" applyNumberFormat="1" applyFont="1" applyBorder="1" applyAlignment="1">
      <alignment vertical="center"/>
    </xf>
    <xf numFmtId="170" fontId="72" fillId="0" borderId="1" xfId="30" applyNumberFormat="1" applyFont="1" applyBorder="1" applyAlignment="1">
      <alignment vertical="center"/>
    </xf>
    <xf numFmtId="170" fontId="72" fillId="0" borderId="1" xfId="30" applyNumberFormat="1" applyFont="1" applyBorder="1" applyAlignment="1">
      <alignment horizontal="left" vertical="center"/>
    </xf>
    <xf numFmtId="0" fontId="67" fillId="0" borderId="0" xfId="29" applyFont="1" applyAlignment="1">
      <alignment vertical="center"/>
    </xf>
    <xf numFmtId="170" fontId="72" fillId="0" borderId="1" xfId="30" applyNumberFormat="1" applyFont="1" applyBorder="1" applyAlignment="1">
      <alignment horizontal="center" vertical="center"/>
    </xf>
    <xf numFmtId="0" fontId="72" fillId="0" borderId="1" xfId="30" applyFont="1" applyBorder="1" applyAlignment="1">
      <alignment horizontal="left" vertical="center"/>
    </xf>
    <xf numFmtId="0" fontId="45" fillId="0" borderId="1" xfId="30" applyFont="1" applyBorder="1" applyAlignment="1">
      <alignment horizontal="left" vertical="center"/>
    </xf>
    <xf numFmtId="14" fontId="72" fillId="0" borderId="1" xfId="30" applyNumberFormat="1" applyFont="1" applyBorder="1" applyAlignment="1">
      <alignment vertical="center"/>
    </xf>
    <xf numFmtId="0" fontId="45" fillId="0" borderId="0" xfId="29" applyFont="1" applyAlignment="1">
      <alignment vertical="center"/>
    </xf>
    <xf numFmtId="0" fontId="29" fillId="0" borderId="6" xfId="29" applyFont="1" applyBorder="1" applyAlignment="1">
      <alignment horizontal="left" vertical="center"/>
    </xf>
    <xf numFmtId="0" fontId="41" fillId="0" borderId="1" xfId="30" applyFont="1" applyBorder="1" applyAlignment="1">
      <alignment horizontal="left" vertical="center"/>
    </xf>
    <xf numFmtId="170" fontId="41" fillId="0" borderId="1" xfId="30" applyNumberFormat="1" applyFont="1" applyBorder="1" applyAlignment="1">
      <alignment horizontal="center" vertical="center"/>
    </xf>
    <xf numFmtId="0" fontId="67" fillId="0" borderId="1" xfId="30" applyFont="1" applyBorder="1" applyAlignment="1">
      <alignment horizontal="left" vertical="center"/>
    </xf>
    <xf numFmtId="0" fontId="67" fillId="0" borderId="1" xfId="30" applyFont="1" applyBorder="1" applyAlignment="1">
      <alignment vertical="center"/>
    </xf>
    <xf numFmtId="0" fontId="29" fillId="0" borderId="1" xfId="30" applyFont="1" applyBorder="1" applyAlignment="1">
      <alignment vertical="center"/>
    </xf>
    <xf numFmtId="0" fontId="41" fillId="0" borderId="1" xfId="29" applyFont="1" applyBorder="1" applyAlignment="1">
      <alignment vertical="center"/>
    </xf>
    <xf numFmtId="14" fontId="67" fillId="0" borderId="1" xfId="30" applyNumberFormat="1" applyFont="1" applyBorder="1" applyAlignment="1">
      <alignment vertical="center"/>
    </xf>
    <xf numFmtId="170" fontId="74" fillId="0" borderId="1" xfId="30" applyNumberFormat="1" applyFont="1" applyBorder="1" applyAlignment="1">
      <alignment horizontal="center" vertical="center"/>
    </xf>
    <xf numFmtId="170" fontId="74" fillId="0" borderId="1" xfId="30" applyNumberFormat="1" applyFont="1" applyBorder="1" applyAlignment="1">
      <alignment horizontal="left" vertical="center"/>
    </xf>
    <xf numFmtId="0" fontId="29" fillId="0" borderId="1" xfId="30" applyFont="1" applyBorder="1" applyAlignment="1">
      <alignment horizontal="center" vertical="center"/>
    </xf>
    <xf numFmtId="1" fontId="29" fillId="0" borderId="1" xfId="30" applyNumberFormat="1" applyFont="1" applyBorder="1" applyAlignment="1">
      <alignment horizontal="left" vertical="center" wrapText="1"/>
    </xf>
    <xf numFmtId="2" fontId="29" fillId="0" borderId="1" xfId="30" applyNumberFormat="1" applyFont="1" applyBorder="1" applyAlignment="1">
      <alignment horizontal="right" vertical="center"/>
    </xf>
    <xf numFmtId="0" fontId="45" fillId="0" borderId="1" xfId="30" applyFont="1" applyBorder="1" applyAlignment="1">
      <alignment horizontal="center" vertical="center"/>
    </xf>
    <xf numFmtId="0" fontId="72" fillId="0" borderId="1" xfId="30" applyFont="1" applyBorder="1" applyAlignment="1">
      <alignment horizontal="center" vertical="center"/>
    </xf>
    <xf numFmtId="1" fontId="45" fillId="0" borderId="1" xfId="30" applyNumberFormat="1" applyFont="1" applyBorder="1" applyAlignment="1">
      <alignment horizontal="center" vertical="center" wrapText="1"/>
    </xf>
    <xf numFmtId="0" fontId="45" fillId="0" borderId="1" xfId="30" applyFont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 wrapText="1"/>
    </xf>
    <xf numFmtId="0" fontId="68" fillId="13" borderId="0" xfId="3" applyFont="1" applyFill="1" applyAlignment="1">
      <alignment horizontal="center" vertical="center" wrapText="1"/>
    </xf>
    <xf numFmtId="0" fontId="68" fillId="0" borderId="0" xfId="3" applyFont="1" applyAlignment="1">
      <alignment horizontal="center" vertical="center" wrapText="1"/>
    </xf>
    <xf numFmtId="15" fontId="68" fillId="0" borderId="0" xfId="3" applyNumberFormat="1" applyFont="1" applyAlignment="1">
      <alignment vertical="center"/>
    </xf>
    <xf numFmtId="0" fontId="2" fillId="0" borderId="0" xfId="29" applyFont="1" applyAlignment="1">
      <alignment horizontal="center" vertical="center"/>
    </xf>
    <xf numFmtId="0" fontId="45" fillId="0" borderId="0" xfId="30" applyFont="1" applyAlignment="1">
      <alignment vertical="center"/>
    </xf>
    <xf numFmtId="0" fontId="2" fillId="0" borderId="0" xfId="30" applyFont="1" applyAlignment="1">
      <alignment horizontal="center" vertical="center"/>
    </xf>
    <xf numFmtId="0" fontId="2" fillId="0" borderId="0" xfId="30" applyFont="1" applyAlignment="1">
      <alignment vertical="center"/>
    </xf>
    <xf numFmtId="0" fontId="2" fillId="0" borderId="0" xfId="30" applyFont="1" applyAlignment="1">
      <alignment horizontal="left" vertical="center"/>
    </xf>
    <xf numFmtId="2" fontId="68" fillId="0" borderId="0" xfId="3" applyNumberFormat="1" applyFont="1" applyAlignment="1">
      <alignment horizontal="left" vertical="center"/>
    </xf>
    <xf numFmtId="15" fontId="68" fillId="0" borderId="0" xfId="3" applyNumberFormat="1" applyFont="1" applyAlignment="1">
      <alignment horizontal="left" vertical="center"/>
    </xf>
    <xf numFmtId="0" fontId="127" fillId="0" borderId="8" xfId="3" applyFont="1" applyBorder="1" applyAlignment="1">
      <alignment vertical="center" wrapText="1"/>
    </xf>
    <xf numFmtId="2" fontId="127" fillId="0" borderId="8" xfId="3" applyNumberFormat="1" applyFont="1" applyBorder="1" applyAlignment="1">
      <alignment vertical="center"/>
    </xf>
    <xf numFmtId="15" fontId="128" fillId="0" borderId="8" xfId="3" applyNumberFormat="1" applyFont="1" applyBorder="1" applyAlignment="1">
      <alignment horizontal="left" vertical="center"/>
    </xf>
    <xf numFmtId="0" fontId="129" fillId="0" borderId="1" xfId="0" applyFont="1" applyBorder="1" applyAlignment="1">
      <alignment vertical="center"/>
    </xf>
    <xf numFmtId="0" fontId="69" fillId="0" borderId="1" xfId="0" applyFont="1" applyBorder="1" applyAlignment="1">
      <alignment horizontal="right" vertical="center"/>
    </xf>
    <xf numFmtId="0" fontId="130" fillId="0" borderId="1" xfId="0" applyFont="1" applyBorder="1" applyAlignment="1">
      <alignment horizontal="right" vertical="center"/>
    </xf>
    <xf numFmtId="0" fontId="129" fillId="0" borderId="1" xfId="0" applyFont="1" applyBorder="1" applyAlignment="1">
      <alignment vertical="center" wrapText="1"/>
    </xf>
    <xf numFmtId="171" fontId="129" fillId="0" borderId="1" xfId="0" applyNumberFormat="1" applyFont="1" applyBorder="1" applyAlignment="1">
      <alignment horizontal="center" vertical="center"/>
    </xf>
    <xf numFmtId="171" fontId="129" fillId="0" borderId="1" xfId="0" applyNumberFormat="1" applyFont="1" applyBorder="1" applyAlignment="1">
      <alignment vertical="center"/>
    </xf>
    <xf numFmtId="0" fontId="129" fillId="0" borderId="0" xfId="0" applyFont="1" applyAlignment="1">
      <alignment vertical="center"/>
    </xf>
    <xf numFmtId="0" fontId="129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 vertical="center"/>
    </xf>
    <xf numFmtId="171" fontId="132" fillId="3" borderId="1" xfId="0" applyNumberFormat="1" applyFont="1" applyFill="1" applyBorder="1" applyAlignment="1">
      <alignment horizontal="center" vertical="center"/>
    </xf>
    <xf numFmtId="171" fontId="131" fillId="0" borderId="1" xfId="0" applyNumberFormat="1" applyFont="1" applyBorder="1" applyAlignment="1">
      <alignment horizontal="center" vertical="center"/>
    </xf>
    <xf numFmtId="0" fontId="129" fillId="0" borderId="0" xfId="0" applyFont="1" applyAlignment="1">
      <alignment horizontal="center" vertical="center"/>
    </xf>
    <xf numFmtId="165" fontId="68" fillId="0" borderId="1" xfId="31" applyNumberFormat="1" applyFont="1" applyFill="1" applyBorder="1" applyAlignment="1">
      <alignment horizontal="center" vertical="center"/>
    </xf>
    <xf numFmtId="0" fontId="133" fillId="0" borderId="1" xfId="0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135" fillId="0" borderId="1" xfId="0" applyFont="1" applyBorder="1" applyAlignment="1">
      <alignment horizontal="center" vertical="center"/>
    </xf>
    <xf numFmtId="0" fontId="134" fillId="0" borderId="1" xfId="0" applyFont="1" applyBorder="1" applyAlignment="1">
      <alignment horizontal="right" wrapText="1"/>
    </xf>
    <xf numFmtId="0" fontId="133" fillId="0" borderId="0" xfId="0" applyFont="1" applyAlignment="1">
      <alignment horizontal="center" vertical="center"/>
    </xf>
    <xf numFmtId="0" fontId="131" fillId="0" borderId="1" xfId="0" applyFont="1" applyBorder="1" applyAlignment="1">
      <alignment vertical="center" wrapText="1"/>
    </xf>
    <xf numFmtId="0" fontId="131" fillId="0" borderId="1" xfId="0" applyFont="1" applyBorder="1" applyAlignment="1">
      <alignment vertical="center"/>
    </xf>
    <xf numFmtId="171" fontId="131" fillId="0" borderId="1" xfId="0" applyNumberFormat="1" applyFont="1" applyBorder="1" applyAlignment="1">
      <alignment vertical="center"/>
    </xf>
    <xf numFmtId="0" fontId="69" fillId="16" borderId="1" xfId="0" applyFont="1" applyFill="1" applyBorder="1" applyAlignment="1">
      <alignment horizontal="right" vertical="center"/>
    </xf>
    <xf numFmtId="0" fontId="130" fillId="16" borderId="1" xfId="0" applyFont="1" applyFill="1" applyBorder="1" applyAlignment="1">
      <alignment horizontal="right" vertical="center"/>
    </xf>
    <xf numFmtId="0" fontId="131" fillId="16" borderId="1" xfId="0" applyFont="1" applyFill="1" applyBorder="1" applyAlignment="1">
      <alignment vertical="center" wrapText="1"/>
    </xf>
    <xf numFmtId="0" fontId="131" fillId="16" borderId="1" xfId="0" applyFont="1" applyFill="1" applyBorder="1" applyAlignment="1">
      <alignment vertical="center"/>
    </xf>
    <xf numFmtId="171" fontId="129" fillId="16" borderId="1" xfId="0" applyNumberFormat="1" applyFont="1" applyFill="1" applyBorder="1" applyAlignment="1">
      <alignment horizontal="center" vertical="center"/>
    </xf>
    <xf numFmtId="171" fontId="136" fillId="0" borderId="1" xfId="0" applyNumberFormat="1" applyFont="1" applyBorder="1" applyAlignment="1">
      <alignment horizontal="center" vertical="center"/>
    </xf>
    <xf numFmtId="171" fontId="137" fillId="0" borderId="1" xfId="0" applyNumberFormat="1" applyFont="1" applyBorder="1" applyAlignment="1">
      <alignment horizontal="center" vertical="center"/>
    </xf>
    <xf numFmtId="171" fontId="138" fillId="0" borderId="1" xfId="0" applyNumberFormat="1" applyFont="1" applyBorder="1" applyAlignment="1">
      <alignment vertical="center"/>
    </xf>
    <xf numFmtId="171" fontId="139" fillId="0" borderId="1" xfId="0" applyNumberFormat="1" applyFont="1" applyBorder="1" applyAlignment="1">
      <alignment vertical="center"/>
    </xf>
    <xf numFmtId="0" fontId="69" fillId="0" borderId="1" xfId="0" applyFont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68" fillId="2" borderId="1" xfId="0" applyFont="1" applyFill="1" applyBorder="1" applyAlignment="1">
      <alignment vertical="center"/>
    </xf>
    <xf numFmtId="0" fontId="129" fillId="2" borderId="1" xfId="0" applyFont="1" applyFill="1" applyBorder="1" applyAlignment="1">
      <alignment vertical="center"/>
    </xf>
    <xf numFmtId="165" fontId="133" fillId="0" borderId="1" xfId="31" applyNumberFormat="1" applyFont="1" applyFill="1" applyBorder="1" applyAlignment="1">
      <alignment horizontal="center" vertical="center"/>
    </xf>
    <xf numFmtId="171" fontId="133" fillId="0" borderId="1" xfId="0" applyNumberFormat="1" applyFont="1" applyBorder="1" applyAlignment="1">
      <alignment horizontal="center" vertical="center"/>
    </xf>
    <xf numFmtId="171" fontId="133" fillId="2" borderId="1" xfId="0" applyNumberFormat="1" applyFont="1" applyFill="1" applyBorder="1" applyAlignment="1">
      <alignment horizontal="center" vertical="center"/>
    </xf>
    <xf numFmtId="171" fontId="140" fillId="0" borderId="1" xfId="0" applyNumberFormat="1" applyFont="1" applyBorder="1" applyAlignment="1">
      <alignment horizontal="center" vertical="center"/>
    </xf>
    <xf numFmtId="0" fontId="69" fillId="0" borderId="0" xfId="0" applyFont="1" applyAlignment="1">
      <alignment horizontal="right" vertical="center"/>
    </xf>
    <xf numFmtId="171" fontId="129" fillId="0" borderId="0" xfId="0" applyNumberFormat="1" applyFont="1" applyAlignment="1">
      <alignment horizontal="center" vertical="center"/>
    </xf>
    <xf numFmtId="171" fontId="129" fillId="0" borderId="0" xfId="0" applyNumberFormat="1" applyFont="1" applyAlignment="1">
      <alignment vertical="center"/>
    </xf>
    <xf numFmtId="1" fontId="68" fillId="0" borderId="1" xfId="0" applyNumberFormat="1" applyFont="1" applyBorder="1" applyAlignment="1">
      <alignment horizontal="right" vertical="center"/>
    </xf>
    <xf numFmtId="171" fontId="141" fillId="0" borderId="1" xfId="0" applyNumberFormat="1" applyFont="1" applyBorder="1" applyAlignment="1">
      <alignment vertical="center"/>
    </xf>
    <xf numFmtId="171" fontId="141" fillId="0" borderId="1" xfId="0" applyNumberFormat="1" applyFont="1" applyBorder="1" applyAlignment="1">
      <alignment horizontal="center" vertical="center"/>
    </xf>
    <xf numFmtId="1" fontId="72" fillId="0" borderId="1" xfId="0" applyNumberFormat="1" applyFont="1" applyBorder="1" applyAlignment="1">
      <alignment horizontal="right" vertical="center"/>
    </xf>
    <xf numFmtId="0" fontId="72" fillId="0" borderId="1" xfId="0" applyFont="1" applyBorder="1" applyAlignment="1">
      <alignment vertical="center"/>
    </xf>
    <xf numFmtId="0" fontId="142" fillId="0" borderId="1" xfId="0" applyFont="1" applyBorder="1" applyAlignment="1">
      <alignment vertical="center"/>
    </xf>
    <xf numFmtId="171" fontId="143" fillId="0" borderId="1" xfId="0" applyNumberFormat="1" applyFont="1" applyBorder="1" applyAlignment="1">
      <alignment vertical="center"/>
    </xf>
    <xf numFmtId="0" fontId="142" fillId="0" borderId="0" xfId="0" applyFont="1" applyAlignment="1">
      <alignment vertical="center"/>
    </xf>
    <xf numFmtId="2" fontId="69" fillId="0" borderId="1" xfId="0" applyNumberFormat="1" applyFont="1" applyBorder="1" applyAlignment="1">
      <alignment horizontal="right" vertical="center"/>
    </xf>
    <xf numFmtId="0" fontId="47" fillId="0" borderId="1" xfId="0" applyFont="1" applyBorder="1" applyAlignment="1">
      <alignment vertical="center" wrapText="1"/>
    </xf>
    <xf numFmtId="171" fontId="141" fillId="0" borderId="1" xfId="0" applyNumberFormat="1" applyFont="1" applyBorder="1" applyAlignment="1">
      <alignment vertical="center" wrapText="1"/>
    </xf>
    <xf numFmtId="0" fontId="130" fillId="0" borderId="0" xfId="0" applyFont="1" applyAlignment="1">
      <alignment horizontal="right" vertical="center"/>
    </xf>
    <xf numFmtId="0" fontId="129" fillId="0" borderId="0" xfId="0" applyFont="1" applyAlignment="1">
      <alignment vertical="center" wrapText="1"/>
    </xf>
    <xf numFmtId="0" fontId="69" fillId="18" borderId="8" xfId="3" applyFont="1" applyFill="1" applyBorder="1" applyAlignment="1">
      <alignment vertical="center"/>
    </xf>
    <xf numFmtId="0" fontId="69" fillId="18" borderId="8" xfId="3" applyFont="1" applyFill="1" applyBorder="1" applyAlignment="1">
      <alignment vertical="center" wrapText="1"/>
    </xf>
    <xf numFmtId="2" fontId="75" fillId="18" borderId="8" xfId="3" applyNumberFormat="1" applyFont="1" applyFill="1" applyBorder="1" applyAlignment="1">
      <alignment vertical="center"/>
    </xf>
    <xf numFmtId="0" fontId="127" fillId="0" borderId="8" xfId="3" applyFont="1" applyBorder="1" applyAlignment="1">
      <alignment vertical="center"/>
    </xf>
    <xf numFmtId="0" fontId="144" fillId="0" borderId="0" xfId="3" applyFont="1" applyAlignment="1">
      <alignment vertical="center"/>
    </xf>
    <xf numFmtId="0" fontId="144" fillId="13" borderId="0" xfId="3" applyFont="1" applyFill="1" applyAlignment="1">
      <alignment vertical="center"/>
    </xf>
    <xf numFmtId="2" fontId="0" fillId="0" borderId="0" xfId="3" applyNumberFormat="1" applyFont="1" applyAlignment="1">
      <alignment vertical="center"/>
    </xf>
    <xf numFmtId="165" fontId="70" fillId="0" borderId="0" xfId="2" applyNumberFormat="1" applyFont="1" applyBorder="1" applyAlignment="1">
      <alignment vertical="center"/>
    </xf>
    <xf numFmtId="0" fontId="145" fillId="0" borderId="8" xfId="3" applyFont="1" applyBorder="1" applyAlignment="1">
      <alignment vertical="center" wrapText="1"/>
    </xf>
    <xf numFmtId="0" fontId="146" fillId="0" borderId="8" xfId="3" applyFont="1" applyBorder="1" applyAlignment="1">
      <alignment vertical="center" wrapText="1"/>
    </xf>
    <xf numFmtId="0" fontId="147" fillId="0" borderId="0" xfId="0" applyFont="1" applyAlignment="1">
      <alignment wrapText="1"/>
    </xf>
    <xf numFmtId="15" fontId="74" fillId="0" borderId="0" xfId="3" applyNumberFormat="1" applyFont="1" applyAlignment="1">
      <alignment horizontal="left" vertical="center"/>
    </xf>
    <xf numFmtId="0" fontId="145" fillId="0" borderId="8" xfId="3" applyFont="1" applyBorder="1" applyAlignment="1">
      <alignment vertical="center"/>
    </xf>
    <xf numFmtId="0" fontId="148" fillId="0" borderId="0" xfId="0" applyFont="1"/>
    <xf numFmtId="15" fontId="145" fillId="0" borderId="0" xfId="3" applyNumberFormat="1" applyFont="1" applyAlignment="1">
      <alignment horizontal="left" vertical="center"/>
    </xf>
    <xf numFmtId="0" fontId="149" fillId="0" borderId="0" xfId="3" applyFont="1" applyAlignment="1">
      <alignment vertical="center"/>
    </xf>
    <xf numFmtId="0" fontId="149" fillId="13" borderId="0" xfId="3" applyFont="1" applyFill="1" applyAlignment="1">
      <alignment vertical="center"/>
    </xf>
    <xf numFmtId="0" fontId="145" fillId="0" borderId="16" xfId="3" applyFont="1" applyBorder="1" applyAlignment="1">
      <alignment vertical="center"/>
    </xf>
    <xf numFmtId="0" fontId="145" fillId="13" borderId="0" xfId="3" applyFont="1" applyFill="1" applyAlignment="1">
      <alignment vertical="center"/>
    </xf>
    <xf numFmtId="0" fontId="145" fillId="0" borderId="0" xfId="3" applyFont="1" applyAlignment="1">
      <alignment vertical="center"/>
    </xf>
    <xf numFmtId="0" fontId="146" fillId="0" borderId="8" xfId="3" applyFont="1" applyBorder="1" applyAlignment="1">
      <alignment vertical="center"/>
    </xf>
    <xf numFmtId="0" fontId="145" fillId="0" borderId="0" xfId="3" applyFont="1" applyAlignment="1">
      <alignment vertical="center" wrapText="1"/>
    </xf>
    <xf numFmtId="15" fontId="128" fillId="0" borderId="0" xfId="3" applyNumberFormat="1" applyFont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47" fillId="3" borderId="1" xfId="0" applyFont="1" applyFill="1" applyBorder="1" applyAlignment="1">
      <alignment horizontal="left" vertical="center" wrapText="1"/>
    </xf>
    <xf numFmtId="0" fontId="47" fillId="17" borderId="1" xfId="0" applyFont="1" applyFill="1" applyBorder="1" applyAlignment="1">
      <alignment horizontal="left" vertical="center"/>
    </xf>
    <xf numFmtId="0" fontId="47" fillId="17" borderId="1" xfId="0" applyFont="1" applyFill="1" applyBorder="1" applyAlignment="1">
      <alignment horizontal="left" vertical="center" wrapText="1"/>
    </xf>
    <xf numFmtId="0" fontId="83" fillId="3" borderId="14" xfId="3" applyFont="1" applyFill="1" applyBorder="1" applyAlignment="1">
      <alignment horizontal="center" vertical="center"/>
    </xf>
    <xf numFmtId="0" fontId="83" fillId="3" borderId="15" xfId="3" applyFont="1" applyFill="1" applyBorder="1" applyAlignment="1">
      <alignment horizontal="center" vertical="center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F4D5F6BA-E1EA-4C7A-91FC-E03D036255E3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2.xml"/><Relationship Id="rId50" Type="http://schemas.openxmlformats.org/officeDocument/2006/relationships/styles" Target="styles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pivotCacheDefinition" Target="pivotCache/pivotCacheDefinition3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ocumenttasks/documenttask1.xml><?xml version="1.0" encoding="utf-8"?>
<Tasks xmlns="http://schemas.microsoft.com/office/tasks/2019/documenttasks">
  <Task id="{34422DF2-25B5-44B1-976C-2DB9F7A17E1F}">
    <Anchor>
      <Comment id="{9AF8C13D-7E99-4D73-B14B-8A5FF33F8869}"/>
    </Anchor>
    <History>
      <Event time="2023-03-12T10:46:06.01" id="{21D8224E-7078-4752-9671-7D1B30BDC971}">
        <Attribution userId="IF(_{r20}&gt;0,2,&quot;-&quot;)" userName="IF(_{r2}&gt;0,2,&quot;-&quot;)" userProvider="訝Ẅ 299==AAEEGG &#10;&#10;&#10;Q&#10;&#10;299==AAEEGGXLSﱉ큸耀IF(_{r1}&gt;0,2,&quot;-&quot;)튰竪ȴ脀⡐⛉ȴ脀⥀⛉ȴ脀⿐⛉ȴ膀僐⛝ȴ膀戠翾絸ȴ茘翾ꡐ䟰ȴ葘翾ꡐ䟰ȴﱞ큩耀IF(_{r2}&gt;0,2,&quot;-&quot;)2_88E4_00104B2D4E50_.wvu.PrintTitles怀虐穭ȴ惈塭翷怀蝠穭ȴ惈塭翷怀貰穭ȴ惈塭翷怀骀穭ȴ惈塭翷怀⬸鶰穭ȴ惈塭翷怀뇠穭ȴ惈塭翷怀ﾯ쾞耀IF(_{r9}&gt;0,2,&quot;-&quot;)ƀﾼ쾏耀IF(_{r10}&gt;0,2,&quot;-&quot;)䄂ȴ㝀絹ȴ䄂å㕠絹ȴ䄂å㕠絹ȴ䄂å㝀絹ȴ䄂å㏠絹ȴ䄂å㗀絹ȴ䄂å㗀絹ȴ䄂å㏠絹ȴ䄂å㐐絹ȴ䄂å䘠臎ȴ䄂ȴ亠臎ȴ䄂ȴ䙠臎ȴ䄂ȴ錐奦ȴ䄂ȴﾍ쾼耀IF(_{r12}&gt;0,2,&quot;-&quot;)鮰翾睰翾翾秈翾°絹ȴ稀翾址翾箰翾＀絸ȴ䍀翾쪨翾䒰翾翾䕀翾翾䚐翾盘翾愸翾攐絸ȴ翾翾翾鮰翾翾鮰翾￢쾭耀IF(_{r13}&gt;0,2,&quot;-&quot;)Ѱ絹ȴ㝨翾棐絸ȴ㣘翾棐絸ȴ㮘翾萠絥ȴ㱐翾쪨翾ꀈ翾翾ꁀ翾萠絥ȴꂐ翾挀絸ȴ翾鳰翾翾鳰翾戠翾￀絸ȴ茘翾슐䟰ȴ葘翾슐䟰ȴ０翾쪨翾￳쿂耀IF(_{r5}&gt;0,2,&quot;-&quot;)裰⣴翿裰⣴翿裰⣴翿裰⣴翿裰⣴翿裰⣴翿裰⣴翿裰⣴翿裰⣴翿裰⣴翿裰⣴翿裰⣴翿裰⣴翿裰⣴翿裰⣴翿裰⣴翿裰⣴翿裰⣴翿裰⣴翿裰⣴翿裰⣴翿裰⣴翿裰⣴翿裰⣴翿裰⣴翿裰⣴翿裰⣴翿裰⣴翿￀쿳耀IF(_{r6}&gt;0,2,&quot;-&quot;).2776436Z [message     ] processing message: {&quot;C&quot;:&quot;d-650429B0-B,0!T16a,0!T16b,0!T16c,0!T16d,B0&quot;,&quot;M&quot;:[]}&#10;줉ﶾ뵈ƀ￑쿠耀IF(_{r16}&gt;0,2,&quot;-&quot;)숀胜ȴᅼ翾挀ఋȴٞڳh,슐胜ȴ㩀俈ȴٞڳnt슐胜ȴ錀伧ȴ๙翾왐翾Ꟑ穭ȴ鍐伧ȴＦ켑耀IF(_{r21}&gt;0,2,&quot;-&quot;)nvironment.com3064_.wvu.FilterData/Dropbox/00 BAG/Goals Y19 I 15-16/[TEMP.XLS]grp 灯쬀ਘ褁圏湩潤獷䐠獥瑫灯ⲩＷ켆龜耀IF(_{r18}&gt;0,2,&quot;-&quot;)ὀ絹ȴ㝨翾栐絸ȴ㣘翾栐絸ȴ㮘翾﬐絤ȴ愸翾榐絸ȴꀈ翾翾ꁀ翾﬐絤ȴꂐ翾ↀ絹ȴ翾鳰翾翾鳰翾戠翾ῐ絹ȴ茘翾௰絥ȴ葘翾௰絥ȴ＄켷切耀IF(_{r19}&gt;0,2,&quot;-&quot;)䳠臎ȴ䗠臎ȴ䱠臎ȴ䖠臎ȴ䖠臎ȴ䱠臎ȴ䗠臎ȴ䳠臎ȴ䘠臎ȴ亠臎ȴ䙠臎ȴ錐奦ȴ긠䟰ȴ緐翾翾⩐翾翾ະ翾쪨翾翾⊣ȴ翾鳰翾㕈翾翾㖀翾＀⊙ȴ５켤ﯷ耀IF(_{r20}&gt;0,2,&quot;-&quot;)鮰翾睰翾翾秈翾絸ȴ稀翾址翾箰翾絸ȴ㿨翾㽐翾䍀翾쪨翾䒰翾翾䕀翾翾䚐翾盘翾愸翾嬐絹ȴ翾翾翾鮰翾翾鮰翾ｪ콕ﰀ耀IF(_{r21}&gt;0,2,&quot;-&quot;)2776436Z [message     ] processing message: {&quot;C&quot;:&quot;d-650429B0-B,0!T16a,0!T16b,0!T16c,0!T16d,B0&quot;,&quot;M&quot;:[]}&#10;桃楡⹮浸祬ｻ콊ﶋ耀IF(_{r22}&gt;0,2,&quot;-&quot;)Āʀ糁ȴĀी糁ȴĀ훀她ȴĀ퉀她ȴĀ她ȴĀ她ȴĀ她ȴĀ她ȴĀ죠㇧ȴĀ유㇧ȴĀ쾠㇧ȴĀ퀠㇧ȴĀ欠㇨ȴĀｈ콻︀退჈侧ȴៈ侧ȴᠸ侧ȴᖘ侧ȴỈ侧ȴ✘侧ȴ␈侧ȴᵸ侧ȴᢨ侧ȴศ侧ȴᤘ侧ȴᾨ侧ȴ⇘侧ȴｙ콨＀耀IF(_{r24}&gt;0,2,&quot;-&quot;)鮰翾睰翾翾秈翾ՠ絹ȴ稀翾址翾箰翾ɠ絹ȴ䍀翾쪨翾䒰翾翾䕀翾翾䚐翾盘翾愸翾枰絸ȴ翾翾翾鮰翾翾鮰翾ﺮ캙老IF('Design Fee'!ID73&gt;0,2,&quot;-&quot;)ost Construction is not planned in CY23ﺿ캎Ā老IF('Design Fee'!IE73&gt;0,2,&quot;-&quot;)this is not loaded ???ﺌ캿Ȁ老IF('Design Fee'!JH73&gt;0,2,&quot;-&quot;)95% is divided by 12ﺝ캬̀老IF('Design Fee'!ES73&gt;0,2,&quot;-&quot;)95% is divided by 12ﻲ컝Ѐ老IF('Design Fee'!JK73&gt;0,2,&quot;-&quot;)95% is divided by 120Documents/02%20Design/Projects/Contracts/0059_PoaRR/Design%20Fee%2023ﻃ컲Ԁ老IF('Design Fee'!JM73&gt;0,2,&quot;-&quot;)this is not loaded ???c42-a951-14bb20890f34ﻐ컣؀老IF('Design Fee'!JN73&gt;0,2,&quot;-&quot;)ued till dec'22 had got deleted. Hence the values were not appearing︡츐܀老IF('Design Fee'!JO73&gt;0,2,&quot;-&quot;)comites/pmo/Shared%20Documents/02%20Design/Projects/Contracts/0059_PoaRR/Design%20Fee%2023︶츁ࠀ老IF('Design Fee'!JP73&gt;0,2,&quot;-&quot;)95% is divided by 12︇츶ऀ老IF('Design Fee'!EK73&gt;0,2,&quot;-&quot;)sued, Check and confirm︔츧਀老IF('Design Fee'!ER73&gt;0,2,&quot;-&quot;)this is not loaded ???﹥칔଀老IF('Design Fee'!DF73&gt;0,2,&quot;-&quot;)ﹺ칅ఀ老IF('Design Fee'!FN73&gt;0,2,&quot;-&quot;)95% is divided by 12﹋칺ഀ老IF('Design Fee'!FV73&gt;0,2,&quot;-&quot;)95% is divided by 12﹘칫฀老IF('Design Fee'!GX73&gt;0,2,&quot;-&quot;)95% is divided by 12囹춘ༀ老IF('Design Fee'!GY73&gt;0,2,&quot;-&quot;)ost Construction is not planned in CY23俟ȴ保ȴ０保ȴ保ȴ保ȴ縷保ȴ﬐保ȴ保ȴﾐ保ȴ保ȴ保ȴ戀保ȴ保ȴ保ȴ料춉က老IF('Design Fee'!HA73&gt;0,2,&quot;-&quot;)95% is divided by 12憐춾ᄀ老IF('Design Fee'!DE73&gt;0,2,&quot;-&quot;)this is not loaded ???c42-a951-14bb20890f34列춯ሀ老IF('Design Fee'!EI73&gt;0,2,&quot;-&quot;)this is not loaded ???[Ā४[Ā४[Ā४[Ā४[Ā४Ā४Ā४Ā४Ā४Ā४६७吝췜ጀ老IF('Design Fee'!FU73&gt;0,2,&quot;-&quot;)95% is divided by 120Documents/02%20Design/Projects/Contracts/0059_PoaRR/Design%20Fee%2023蓼췍᐀老IF('Design Fee'!HD73&gt;0,2,&quot;-&quot;)齀㶆翿ꃈ㶆翿꠰㶆翿黈㶆翿龈㶆翿陸췢ᔀ老IF('Design Fee'!IF73&gt;0,2,&quot;-&quot;)95% is divided by 12鸞촓᛿老IF('Design Fee'!FX73&gt;0,2,&quot;-&quot;)ost Construction is not planned in CY23櫓촀ᜀ老IF('Design Fee'!HC73&gt;0,2,&quot;-&quot;)爀摯捵楴湯句촱᠇老IF('Design Fee'!IB73&gt;0,2,&quot;-&quot;)this is not loaded ???c42-a951-14bb20890f3474珞촦ᤀ老IF('Design Fee'!II73&gt;0,2,&quot;-&quot;)ost Construction is not planned in CY23磻쵗ᨇ老IF('Design Fee'!EM73&gt;0,2,&quot;-&quot;)this is not loaded ???c42-a951-14bb20890f34掠쵄ᬀ老IF('Design Fee'!CC73&gt;0,2,&quot;-&quot;)爀摯捵楴湯壘쵵ᰇ老IF('Design Fee'!DH73&gt;0,2,&quot;-&quot;)95% is divided by 12拏쵪ᴀ老IF('Design Fee'!FP73&gt;0,2,&quot;-&quot;)ost Construction is not planned in CY230f34첛ỷ老IF('Design Fee'!EL73&gt;0,2,&quot;-&quot;)95% is divided by 12첈ἀ老IF('Design Fee'!GZ73&gt;0,2,&quot;-&quot;)95% is divided by 12첹⃣老IF('Design Fee'!DJ73&gt;0,2,&quot;-&quot;)95% is divided by 12瑣摉첮℀老IF('Design Fee'!EJ73&gt;0,2,&quot;-&quot;)95% is divided by 1256e-45f3-adac-be6829c80874쳟∀老IF('Design Fee'!DD73&gt;0,2,&quot;-&quot;)95% is divided by 12-4c42-a951-14bb20890f34쳌⌀老IF('Design Fee'!FT73&gt;0,2,&quot;-&quot;)95% is divided by 12쳽␀老IF('Design Fee'!CD73&gt;0,2,&quot;-&quot;)95% is divided by 1256e-45f3-adac-be6829c80874찒─老IF('Design Fee'!DM73&gt;0,2,&quot;-&quot;)95% is divided by 12찃☀老IF('Design Fee'!DK73&gt;0,2,&quot;-&quot;)95% is divided by 12ꢀꌹﳞࣙ찰✀老IF('Design Fee'!FQ73&gt;0,2,&quot;-&quot;)95% is divided by 12찡⠀老IF('Design Fee'!DG73&gt;0,2,&quot;-&quot;)95% is divided by 12:3pt;width:100.8pt;height:60pt;z-index:19;&#10;  visibility:hidden''en'챖⤀老IF('Design Fee'!DN73&gt;0,2,&quot;-&quot;)95% is divided by 12챇⨀老IF('Design Fee'!FW73&gt;0,2,&quot;-&quot;)7EBF1F7A30}[:[:[g챴⬀老IF('Design Fee'!DL73&gt;0,2,&quot;-&quot;)95% is divided by 12챥Ⰰ老IF('Design Fee'!GW73&gt;0,2,&quot;-&quot;)ued till dec'22 had got deleted. Hence the values were not appearingﮫ쮚ⴀ老IF('Design Fee'!HG73&gt;0,2,&quot;-&quot;)7E352E8FB3};margin-top:413.4pt;width:99pt;height:60pt;z-index:2;&#10;  visibility:hidden'en'﮸쮋⸀老IF('Design Fee'!IC73&gt;0,2,&quot;-&quot;)ost Construction is not planned in CY23ﮉ쮸⼀老IF('Design Fee'!IH73&gt;0,2,&quot;-&quot;)sued, Check and confirm-45f3-adac-be6829c80874ﮞ쮩　老IF('Design Fee'!IJ73&gt;0,2,&quot;-&quot;)絰舁ȴ‐舃ȴ泐臱ȴ믐妧ȴ糈ȴ㑰䟢ȴ夼ȴ㮐ㆿȴ倠糁ȴڻȴ퀐蘶ȴ†妯ȴﯯ쯞㄀老IF('Design Fee'!EP73&gt;0,2,&quot;-&quot;)009CBD48D2}¦ĐĒŮƿǒ̷;΀ψǡǼǔǟƽƽϊћǾəﯼ쯏㈀老IF(_{r24}&gt;0,2,&quot;-&quot;)潦浲缀椀㍮2﯍쯼㌀老IF('Design Fee'!CB73&gt;0,2,&quot;-&quot;)ued, Check and confirmﬢ쯭㐀老IF('Design Fee'!EO73&gt;0,2,&quot;-&quot;)דּ쬂㔀老IF('Design Fee'!HE73&gt;0,2,&quot;-&quot;)　〮ﬀ쬳㘀老IF('Design Fee'!IK73&gt;0,2,&quot;-&quot;)this is not loaded ???﬑쬠㜀老IF('Design Fee'!CE73&gt;0,2,&quot;-&quot;)&#10;ﭦ쭑㠀老IF('Design Fee'!FR73&gt;0,2,&quot;-&quot;)ost Construction is not planned in CY23ﭷ쭆㧿老IF('Design Fee'!EQ73&gt;0,2,&quot;-&quot;)ost Construction is not planned in CY239c80874פּ쭷㨀老IF('Design Fee'!IL73&gt;0,2,&quot;-&quot;)ued, Check and confirmc42-a951-14bb20890f3474ﭕ쭤㬇老IF('Design Fee'!JG73&gt;0,2,&quot;-&quot;)comꃈ㶆翿꠰㶆翿黈㶆翿龈㶆翿着쪕㰀老IF('Design Fee'!JI73&gt;0,2,&quot;-&quot;)this is not loaded ???c42-a951-14bb20890f3474請쪊㴇老IF('Design Fee'!FO73&gt;0,2,&quot;-&quot;)舀伧ȴ愈쪻㸀老IF('Design Fee'!HF73&gt;0,2,&quot;-&quot;)㈀㈶1滋쪨㼇老IF('Design Fee'!JJ73&gt;0,2,&quot;-&quot;)this is not loaded ???[Ā४[Ā४[Ā४[Ā४[Ā४Ā४Ā४Ā४Ā४Ā४६﫮쫙䀀老IF('Design Fee'!KR73&gt;0,2,&quot;-&quot;)櫋䴤惻㬻헢弡畬档瀺⎇糵봌뿾뭅瑛൛⦯묣ℙ귨館苚笫昈᭤ꎾЅ鏋씴鴤훧뽶礫呸軼딲腂ዾ诖奧샭暒䂖Ꞙᮨ䄦Ἷખ㎐傶떧籪폦餜壥䥅ⶴ℉勞ᧄ䃗⟾㉣䓧ꎴ槪尤䒼氌㮀ぁ즭룜ꑹᩃ妶첢㥪蚲ᗖ쑕抯碥゛L.T﫿쫎䇷老℡笁ȴ䄂å℡笁ȴ䄂å‡笁ȴ䄂åᎡ笁ȴ䄂åὡ笁ȴ䄂å₡笁ȴ䄂åᏡ笁ȴ䄂å᭡笁ȴ䄂åᐡ笁ȴ䄂å䏠笁ȴ䄂ȴ⊟ȴĂ翾鸞笂ȴ䄂笂ȴ䄂쁰ںȴ䄂ȴ쌐ںȴ䄂翾怒笂ȴ䄂翾頻쫿䈀老㿡笁ȴ䄂㿡笁ȴ䄂㹡笁ȴ䄂㍡笁ȴ䄂㪡笁ȴ䄂㚡笁ȴ䄂㝡笁ȴ䄂㜡笁ȴ䄂㣡笁ȴ䄂㸡笁ȴ䄂96A0C-F192-11D4-A65F-0040963251E5}\InprocServer32﫝쫬䍬老ꯡ笂ȴ䄂ꯡ笂ȴ䄂ꌡ笂ȴ䄂ꞡ笂ȴ䄂ꡡ笂ȴ䄂ꧡ笂ȴ䄂軁ںȴ䄂褡ںȴ䄂꺡笂ȴ䄂겡笂ȴ䄂免쨝䐀老꫏䥩ఀꁘ鼴ꮮ；㝅葊徏ɉ癄聻聵䟙䡂䖤瓨챠᫻쀀‬鼜ꮮ；㝅葊徏ɉ癄ͻ_쀀鼛ꮮ；㝅葊徏ɉ癄ͻͷ甀ώς쉷ȃ眀ǧô撰偟͋਄ࠀ℀Ȁༀ砀⽬潷歲潢歯砮汭ꂰ 鼜ꮮ；㝅葊徏ɉ癄{ﱷࠀ⤫鵔츧罔嘆飳荿䤫䬬ูᄐ/⭸逩䈾꜍쌘ڰ밹෡掫ḃ線չ糖쨲䔀老뭪輧ᆢ텂돽鿱淪葘壌὚澙賧贋簄톕턞䣔봟쉫貢弄탿溰䪾鼱ﮩට띒峨녅ꣿ⩓埏阷껸嵓藶ʊ׳魳绻鑊⒑贇턘᭔ꘅ᪢⁍䁢ꭨ╁쪧𛯬닧脴幏ꞔὺ艟Ρ朝量⒙䞗憝촚ᎂ轭돜頩膫㚤଎쯭㇙ද襷␠劓띇勉璎䶳᛬붢᝾錔儝첅ⱔ⥿₉▝Ṙ詽彎廖ꔋ틻蹺└ᚦꬩ蝡䪵吳뾓寤ﬢ♗塚쨣䘀老È翾Ѐȋ.ǡ&lt;翿翿::㾀㾀⓿ሃֲᖘ莄Ǡ䄀企⋂-ȴ䄀翾視쩐䜀老潡笁ȴ䄂潡笁ȴ䄂污笁ȴ䄂烡笁ȴ䄂搡笁ȴ䄂浡笁ȴ䄂翿㹑ںȴ䄂朡笁ȴ䄂翿䆁ںȴ䄂柠笁ȴ䄂棠笁ȴ䄂抠笁ȴ䄂㹐ںȴ䄂涠笁ȴ䄂淠笁ȴ䄂拠笁ȴ䄂2勇쩁䠀老ﰀ臌ȴᅼ翾 ٞڳ12ﱀ臌ȴ鎐臠ȴٞڳ-0ﱀ臌ȴ蔀䟬ȴ 왐翾﷠穭ȴ薠䟬ȴ漢쩶䤀老IF('Design Fee'!KT73&gt;0,2,&quot;-&quot;)捜ꌴ䣙夒齲༕創鞞쓿苹䚕橶頞䙦鬺혷퀃喼駺㘷㯤㤦晑긹枣氨땂럝뇑濝홧勡뢶Σﰪ葿䊌癖䍪䯉煄ߜ㣻ഛ䕐⾴瑇ঙ벘⽛臶糒㕀ꪰ⁫嫶ﰠ퀔剷Ӝ莤坄᫔޶䀧䁄좚솪訕釗唪㎭韘⸸측H.T穀쩧䨀老笂ȴ䄂笂ȴ䄂笂ȴ䄂笂ȴ䄂笂ȴ䄂笂ȴ䄂笂ȴ䄂笂ȴ䄂笂ȴ䄂笂ȴ䄂96A0C-F192-11D4-A65F-0040963251E5}\InprocHandler얥즔䬀老IF('Design Fee'!KV73&gt;0,2,&quot;-&quot;)弩㹰쿒崱需Ⴁ悥넄콷藜ꆨ⧴巋꼢㧤긵棣쯧鲰砇に⏡놤ミዊ硷췦髵외׆伺鍬ᑲ딏徳部⴫騎㡖ꦙ悎䡰쎊ᅓ⎣㸳舍柧瑄㎩左䬟儶䈸ᕭ랈谤篪ﲕͧ뢨᪜ḙ㛾ⴎ胅턿鼖௱ﶌ뵅ꍗໄ꽞ା味鍁朘逃礓炃襬ᨼ뼁얙Ѩȴ2얺즅䰀老Authorᆀ穮ȴ» v䠽ȴ污呬灹e얋즺䴀老獡笁ȴ䄂獡笁ȴ䄂羡笁ȴ䄂粡笁ȴ䄂绡笁ȴ䄂繡笁ȴ䄂翿䡱ںȴ䄂聡笁ȴ䄂翿䣑ںȴ䄂珠笁ȴ䄂缠笁ȴ䄂穠笁ȴ䄂䡰ںȴ䄂狠笁ȴ䄂璠笁ȴ䄂甠笁ȴ䄂얘즫一老ɐ⛜ȴåΠⅱȴℐ⛌ȴܠʀW䗻ᘯ䘪ᘯA媇엩짘伀老런臠ȴ말臠ȴ배臠ȴ벐臠ȴ뤰臠ȴ뺰臠ȴ롐臠ȴ뼐臠ȴ륐臠ȴ쀰臠ȴ숰臠ȴ슐臠ȴ臠ȴ臠ȴ臠ȴ臠ȴ臠ȴ臠ȴ엾짉倀老쌑ںȴ䄂쌑ںȴ䄂笂ȴ䄂笂ȴ䄂率笂ȴ䄂뻱ںȴ䄂笂ȴ䄂笂ȴ䄂笂ȴ䄂엏짾儀老엜짯刀送⊾ȴଠ䟦ȴਠ䟦ȴዠ䟦ȴ௠䟦ȴ๠䟦ȴ࿠䟦ȴᐠ䟦ȴጠ䟦ȴᆠ䟦ȴࠠ䟦ȴྠ䟦ȴૠ䟦ȴ۠䟦ȴᏠ䟦ȴ۠䟦ȴૠ䟦ȴྠ䟦ȴࠠ䟦ȴᆠ䟦ȴጠ䟦ȴᐠ䟦ȴ࿠䟦ȴ๠䟦ȴ௠䟦ȴዠ䟦ȴਠ䟦ȴଠ䟦ȴ헐翾꛰⊳ȴ홨翾翾2씭줜匀老黡笁ȴ䄂黡笁ȴ䄂饡笁ȴ䄂ꃡ笁ȴ䄂鍡笁ȴ䄂釡笁ȴ䄂鱡笁ȴ䄂翿呱ںȴ䄂陡笁ȴ䄂翿嘡ںȴ䄂211B6-3650-4F75-8334-FA359598E1C5}\InprocServer32씂줍吀老ⓡ笁ȴ䄂ⓡ笁ȴ䄂╡笁ȴ䄂⠡笁ȴ䄂◡笁ȴ䄂⦡笁ȴ䄂⤡笁ȴ䄂ⱡ笁ȴ䄂♡笁ȴ䄂⚡笁ȴ䄂〡笁ȴ䄂씓줢唀老魡笁ȴ䄂魡笁ȴ䄂鮡笁ȴ䄂ꝡ笁ȴ䄂겡笁ȴ䄂ꐡ笁ȴ䄂翿卑ںȴ䄂ꑡ笁ȴ䄂翿叡ںȴ䄂ꊠ笁ȴ䄂ꅠ笁ȴ䄂ꤠ笁ȴ䄂卐ںȴ䄂뀠笁ȴ䄂ꓠ笁ȴ䄂ꔠ笁ȴ䄂애쥓嘀老牵潩ీ穮ȴీ穮ȴ嵐妯ȴౘ穮ȴౘ穮ȴ顈⋡翿ƻ앱쥀圀老앆쥱堀老쏑ںȴ䄂쏑ںȴ䄂李笂ȴ䄂﨡笂ȴ䄂笀ȴ䄂笀ȴ䄂뽑ںȴ䄂á笁ȴ䄂￡笀ȴ䄂笀ȴ䄂96A0C-F192-11D4-A65F-0040963251E5}\InprocHandler32앗쥦夀老ᣡ笁ȴ䄂ᣡ笁ȴ䄂᳡笁ȴ䄂ῡ笁ȴ䄂ጡ笁ȴ䄂ỡ笁ȴ䄂ᢡ笁ȴ䄂ሡ笁ȴ䄂ᛡ笁ȴ䄂쒤좗娀老翾㽀ںȴ绐翾ಸ仴ȴ㜰翾鱸翾㝨翾⿰貢ȴ㟨翾ꯐ⊳ȴ㨀翾ꯐ⊳ȴ㨸翾⤀貢ȴ愸翾㪐ںȴ鱸翾⨠貢ȴ턀翾김⊳ȴ퓈翾쪨翾픀翾쪨翾홨翾翾홨翾翾홨翾翾cServer32쒵좄嬀老IF('Design Fee'!KP73&gt;0,2,&quot;-&quot;)l\Microsoft\Office\16.0\OfficeFileCache\0\0\A4HAAAANBSFNEMFCCDESFUEGDJBVG6BY\P7D4OLJDQV66Q.T66Q.T쒊좵峿老臌ȴᅼ翾挀ఋȴٞڳ/0臌ȴ鯐臠ȴٞڳå臌ȴ吀僜ȴ๙翾왐翾ጠ穮ȴ咐僜ȴ2쒛좪崀送귫⊝ȴ盘翾꺒⊝ȴ쪨翾껛⊝ȴ쪨翾꽻⊝ȴ쪨翾뀘⊝ȴ紐ȴ끵⊝ȴ邐਎ȴ냉⊝ȴ邐਎ȴ늸⊝ȴ쪨翾㜰翾鱸翾㝨翾ꮀ等ȴ㟨翾檠ਧȴ㣘翾ꮀ等ȴꂐ翾灀伧ȴ翾紐ȴ萠翾㨘䢋ȴ쓨죛帇送藈⊾ȴ֠䟦ȴà䟦ȴﮠ䟥ȴ＠䟥ȴŠ䟦ȴ﫠䟥ȴ猪䟥ȴʠ䟦ȴѠ䟦ȴ褐䟥ȴ怒䟥ȴ鸞䟥ȴ裂䟥ȴﵠ䟥ȴ裂䟥ȴ鸞䟥ȴ怒䟥ȴ褐䟥ȴѠ䟦ȴʠ䟦ȴ猪䟥ȴ﫠䟥ȴŠ䟦ȴ＠䟥ȴﮠ䟥ȴà䟦ȴ֠䟦ȴ8=쓹죈开老莡笁ȴ䄂莡笁ȴ䄂薡笁ȴ䄂赡笁ȴ䄂財笁ȴ䄂躡笁ȴ䄂翿僡ںȴ䄂蒡笁ȴ䄂翿凑ںȴ䄂SID\{54E211B6-3650-4F75-8334-FA359598E1C5}\InprocServer32쓎죹怇老魸㲹翿Ԡⅱȴℐ⛌ȴࠠ@W䎻ᚎ䑗ᚎA皼쓟죮愀老https://totalenvmt.sharepoint.com/sites/pmo/Shared Documents/02 Design/Projects/Contracts/0059_PoaRR/Design Fee 23/03 Yearly/T08/쐬젟戇老E&lt;resolutionId provider=&quot;None&quot;&gt;&lt;localId name=&quot;Author&quot;/&gt;&lt;/resolutionId&gt;쐽젌挀老턡笂ȴ䄂턡笂ȴ䄂쒡笂ȴ䄂욡笂ȴ䄂읡笂ȴ䄂졡笂ȴ䄂쪡笂ȴ䄂챡笂ȴ䄂鷱ںȴ䄂쐒젽擷老笂ȴ䄂翾笂ȴ䄂翾笂ȴ䄂笂ȴ䄂笂ȴ䄂視笂ȴ䄂笂ȴ䄂瑱笂ȴ䄂ﬡ笂ȴ䄂ﴡ笂ȴ䄂Ａ笂ȴ䄂ﰡ笂ȴ䄂笂ȴ䄂笂ȴ䄂笂ȴ䄂笂ȴ䄂쑣졒攀老ers쑰졃暎老ㅷࠟ힗鬒퉣攑ꘈ时뢹鋺쬃纡죡谍됾鄛ʾ师妟筱ﴑ샠迣흙加킡呋䣒䢖矯⧩쬆၃⾠ᘼⶎỾ㱕쏬ഘⶳꯄ獗匛﮺﨟貽凓⁑幇翯ꮘ䈗藊齜㜢䔴幃鸀茢톯쟦ᜓꓩ摩职꒶轿祝鞞⹩邳Ფ정쮬⥏竬嵜誟풸묌볐뗋ấ켈䇄ഃڽꃃ죴唷䉹ꬵ顁ﳯ㤓믃揯聼좜䙉歰芠㹐Ӑ쪶씥ׁ录糲圯꿑澕涬歹쑁조最老ڹȴ胈ڹȴ胈ڹȴ臚ᐑ৛ȴ耐⟱৚ȴ聀橁翾聀䜠夰ȴĀ翾䡀夰ȴĀ翾䢀夰ȴĀ翾䥠夰ȴĀ翾䥠夰ȴĀ翾눸膬ȴĀ﷠ㆰȴĀ翾ÀㆱȴĀ翾ÀㆱȴĀ翾쬐如ȴ䄂翿៫쑖졡栀老잧잖椀老잴잇樀老Author遰臠ȴā臠ȴlags翿ȁād㕿å㕿å&#10;臍ȴ笁ȴs翿鄑㕿å㕿å&#10;ime翿뷧揀Ǚ㕿å㕿å입잴欀老\REGISTRY\USER\S-1-5-21-2616738511-4190267537-3980908136-2754\Software\Microsoft\Office\16.0\Common\TargetedMessagingService잚장氀老핡笂ȴ䄂핡笂ȴ䄂笂ȴ䄂혡笂ȴ䄂笂ȴ䄂笂ȴ䄂햡笂ȴ䄂笂ȴ䄂홡笂ȴ䄂휡笂ȴ䄂넑ںȴ䄂녁ںȴ䄂笂ȴ䄂笂ȴ䄂5}\InprocServer32쟫쟚洀老笂ȴ䄂翾笂ȴ䄂翾﷡笂ȴ䄂翾說笂ȴ䄂翾ﭡ笂ȴ䄂翾︡笂ȴ䄂翾笂ȴ䄂翾｡笂ȴ䄂翾ﾡ笂ȴ䄂翾笂ȴ䄂翾쟸쟋渀老ɐ⛜ȴå龰㶆翿黠㶆翿ꀨ㶆翿齠㶆翿鼀㶆翿鼠㶆翿齀㶆翿ꃈ㶆翿꠰㶆翿黈㶆翿龈㶆翿쟉쟸漀老濸伂ȴ捈伂ȴ瘘伂ȴ皈伂ȴ筘伂ȴ橈伂ȴ罈伂ȴ踨伂ȴ羸伂ȴ靘伂ȴ쟞쟩瀀老윯윞焀老⤀穮ȴ⧠穮ȴlenvhttp://schemas.openxmlformats.org/package/2006/relationshipsoje륔㪚翿nt⤀穮ȴ&lt;00윀ⱜȴ윀ⱜȴ⧀穮ȴ03%20Yearly/으윏爀老IF('Design Fee'!JQ73&gt;0,2,&quot;-&quot;)l\Microsoft\Office\16.0\OfficeFileCache\0\0\A4HAAAANBSFNEMFCCDESFUEGDJBVG6BY\OHPHPCCAL27XK.T撯㲯K.T윍으猀老悀窅ȴ00zx'q'ă0ă0⬀穮ȴ읢윭琀老魸㲹翿චⅱȴℐ⛌ȴࠠ̀Wꗰᘿ똹ᙆA崯읳읂甀老牵潩ⴰ穮ȴⴰ穮ȴ捐妯ȴⵈ穮ȴⵈ穮ȴ顈⋡翿ƻ은읳瘀老IF('Design Fee'!KQ73&gt;0,2,&quot;-&quot;)䞞契ꃆ쁴鰋憈嬻׍䣦鬽㝺㵅왧뤙쟂䴣隧솒뭿랸鷏嘵祡꼪셷ᩍ픏䘩铓ﾧ潃㧓䌵앪娇竗族烣騗릙ꔘㅂ꒧⁥뿝튅ᙓὄ扄ê᳞ࢂ繇䏡抝䆓鳍犯ꠝ디㦝ꔴ錝䲱ﾜ䚡㸺僟䄲僡픐嬞칻䮩щ寺ǵꞕﮀ徒Ꙫވ㐴O.T응읠眀老꫏䥩ఁ䁚ྜྷⷾ髊農䱉붫릩䁕覀똦愩ꄱꁎ붘ᐬ଀ì⻀赀️쨭늚䦏ꭌꦽ޹嗞̀ͷ쀀쀮ྑⷾ髊農䱉붫릩䁕崃칵숀ȃᔀς뀀΢釀️쨭늚䦏ꭌꦽ޹嗞@ﱷࠀ⤫虼鷳뫋ﶽ돹抆᥉狇ᄐ.⭸䈩⎮␵⁚쀈踰롪ద摩஁紈抰偝͋ᐄ؀ࠀ℀븀嚆ࡧı숀߂က砀⽬慣捬桃楡⹮浸祬욦욑砀老IF('Design Fee'!KS73&gt;0,2,&quot;-&quot;)铠ᾱӦ넥뵕岧ḫ䊪归粈ᙁ齐⏢ꙭ籎寍ģ鸐Ӿ尮存칋蚅ḹ攋䢁嚝Შ꺶烥習៾鄤액䣪ɩ侖ꏋ㬃雷큍渴腾⩵⚂か栅贺ﾊ쳳즙챉⏀珗샶厯Ꮍꌷ낤덈솞䣠䴍渌෦憦싌褋ﲔ৛麉惊㤜뼁딌赝葫ꬃꨨ흲隁饝霿욷욆礀老魰ख़ȴå裰⣴翿裰⣴翿裰⣴翿裰⣴翿裰⣴翿裰⣴翿裰⣴翿裰⣴翿裰⣴翿裰⣴翿裰⣴翿裰⣴翿裰⣴翿裰⣴翿裰⣴翿裰⣴翿裰⣴翿裰⣴翿裰⣴翿裰⣴翿裰⣴翿裰⣴翿裰⣴翿裰⣴翿裰⣴翿裰⣴翿裰⣴翿裰⣴翿裰⣴翿裰⣴翿욄욷稀老욕욤笀老쒈訝Ẅ|嬈塭翷(ྠ웪웕簀老쒈訝Ẅ|嬈塭翷ྠ웻웊紀老椡笂ȴ䄂翾椡笂ȴ䄂翾採笂ȴ䄂翾梡笂ȴ䄂翾昡笂ȴ䄂翾泡笂ȴ䄂翾擡笂ȴ䄂翾桡笂ȴ䄂翾没笂ȴ䄂翾次笂ȴ䄂翾憡笂ȴ䄂翾棡笂ȴ䄂翾㮠笁ȴ䄂翾㮠笁ȴ䄂翾㵠笁ȴ䄂翾퓀⊟ȴĂ翾웈웻縀老쳡笂ȴ䄂쳡笂ȴ䄂췡笂ȴ䄂칡笂ȴ䄂캡笂ȴ䄂콡笂ȴ䄂킡笂ȴ䄂쇡笂ȴ䄂퉡笂ȴ䄂푡笂ȴ䄂ꛁںȴ䄂ꔑںȴ䄂笂ȴ䄂笂ȴ䄂웙웨翿老翐䟣ȴ翐䟣ȴ葐䟣ȴ磐䟣ȴ窐䟣ȴ縐䟣ȴ耐䟣ȴ蛐䟣ȴ舐䟣ȴ蘐䟣ȴ碐䟣ȴ籐䟣ȴ罐䟣ȴ艐䟣ȴ結䟣ȴ聐䟣ȴ竐䟣ȴ蠐䟣ȴ繐䟣ȴ礐䟣ȴ糐䟣ȴ肐䟣ȴ芐䟣ȴ綐䟣ȴ胐䟣ȴĂ翾퀐苣ȴ䄂翾ퟰ苣ȴ䄂翾튰苣ȴ䄂翿옮옙耀老IF(_{r0}&gt;0,2,&quot;-&quot;)\-#,##0.0_ ;_ * &quot;-&quot;??_ ;_ @_ @_ 옿옎脇送!vinod.soudi@total-environment.com㈀㈶1옌옿舀老IF('Design Fee'!KY73&gt;0,2,&quot;-&quot;)_ * &quot;-&quot;??_ ;_ @_  옝올茇老IF(_{r6}&gt;0,2,&quot;-&quot;)#,##0_ ;_ * &quot;-&quot;??_ ;_ @_ 　〮왲왝萀老IF(_{r5}&gt;0,2,&quot;-&quot;)* \-#,##0.000_ ;_ * &quot;-&quot;??_ ;_ @_ 왃왲蔇老IF(_{r14}&gt;0,2,&quot;-&quot;),##0\);_(* &quot;-&quot;??_);_(@_)왐왣蘀老IF(_{r19}&gt;0,2,&quot;-&quot;)\(#,##0.00\);_(* &quot;-&quot;??_);_(@_)騤칋Ოୁ椗ⴥ᰺鈨㦨茎삒泝Ѯ㴠㓱㉎뺢돟ꜫꇿ␶솜괁됢跧鱒⵳返훎࿦뗆Ữꋥ郁ଐₓ㕆혻扔㰡覩ۀ蘖붚鎬线헰讖毪釶楧盗㻱琼嶻ᖘቱ䤖薒᝹ཷ亮涾횿빯＀Ͽ송얐蟷老COUNT(_{r0})(* \(#,##0\);_(* &quot;-&quot;??_);_(@_)砀散l솶얁蠀老IF(_{r22}&gt;0,2,&quot;-&quot;)\-#,##0.00_ ;_ * &quot;-&quot;??_ ;_ @_ @_ 솇얶褣老IF(_{r23}&gt;0,2,&quot;-&quot;)汆条s?솔얧言老È翾Ѐȵ.$翿$$$㾀㾀⣿∛޲Ԁ莄徠傱ȴ㏠傱ȴ㫠傱ȴ㌀傱ȴ因傱ȴ쇥엔謀老IF(_{r7}&gt;0,2,&quot;-&quot;)\-#,##0.0_ ;_ * &quot;-&quot;??_ ;_ @_ 쇺업谀老IF('Design Fee'!CE51&gt;0,2,&quot;-&quot;)쇋엺贀老뤀苟ȴᅼ翾/ٞہ/0륰苟ȴ퀰৚ȴٞہnt륰苟ȴ吀苤ȴ棁ıå왐翾䜰穮ȴ哐苤ȴ쇘엫踀老IF(_{r2}&gt;0,2,&quot;-&quot;)* \-#,##0.000_ ;_ * &quot;-&quot;??_ ;_ @_ kage/2006/relationships륔㪚翿䟐穮ȴ&lt;ᕠ聽ȴᕠ聽ȴ䢐穮ȴ섩씘輀老IF(_{r15}&gt;0,2,&quot;-&quot;),##0_ ;_ * &quot;-&quot;??_ ;_ @_ ꅋ섾씉退老IF(_{r20}&gt;0,2,&quot;-&quot;)섏씾鄀老IF(_{r12}&gt;0,2,&quot;-&quot;),##0\);_(* &quot;-&quot;??_);_(@_)㌀㄰䨭湡서씯鈀老IF(_{r21}&gt;0,2,&quot;-&quot;)\-#,##0.00_ ;_ * &quot;-&quot;??_ ;_ @_ 셭앜錀老IF(_{r24}&gt;0,2,&quot;-&quot;)\-#,##0.00_ ;_ * &quot;-&quot;??_ ;_ @_ @_ 셂앍鐀老IF('Design Fee'!CC51&gt;0,2,&quot;-&quot;)栀牡灥楯瑮挮浯셓앢销老Ꞑ⊓ȴ쪨翾睠翾盘翾翾⩰⊳ȴ厸翾쌀僔ȴ睰翾翾禀翾鸰翾秈翾엀苣ȴ稀翾址翾箰翾쬰苣ȴ緐翾翾䒰翾翾愸翾⊙ȴ赸翾ﴠ⊙ȴ翾翾翾鮰翾삠쒓阀老IF('Design Fee'!KW73&gt;0,2,&quot;-&quot;) ;_ * &quot;-&quot;??_ ;_ @_  삱쒀需老IF(_{r0}&gt;0,2,&quot;-&quot;)#,##0_ ;_ * &quot;-&quot;??_ ;_ @_ _(@_)ꢀꌹﳞࣙ삆쒱頀老È翾Ѐȑ.D&amp;DD㾀㾀⣿∛䆱ᖘ茄,輐翾삗쒦餀老COUNT(_{r0}) * \-#,##0_ ;_ * &quot;-&quot;??_ ;_ @_ @_  @_ 샤쓗騀老쒈訝Ẅ 299==AAEEGG &#10;&#10;&#10;Q&#10;&#10;299==AAEEGG샵쓄鬀老IF('Design Fee'!CD51&gt;0,2,&quot;-&quot;)0_ ;_ * &quot;-&quot;??_ ;_ @_  샊쓵鰀老COUNT(_{r0}) ;_ * \-#,##0.00_ ;_ * &quot;-&quot;??_ ;_ @_ 샛쓪鴀老COUNT(_{r0}) ;_ * \-#,##0.00_ ;_ * &quot;-&quot;??_ ;_ @_ 쀨쐛鸀老띠翾쁀翾❠Ċ鏠ĀǴ렀翾茈奨ȴ茈奨ȴЄB쀹쐈鼀老IF(_{r3}&gt;0,2,&quot;-&quot;)#,##0\);_(* &quot;-&quot;??_);_(@_)_ @_  쀎쐹ꀀ老IF(_{r9}&gt;0,2,&quot;-&quot;) \(#,##0.00\);_(* &quot;-&quot;??_);_(@_)쀟쐮ꄀ老IF('Design Fee'!KX73&gt;0,2,&quot;-&quot;)&quot;-&quot;??_ ;_ @_ _ @_ 쁬쑟ꋿ老IF('Design Fee'!CB51&gt;0,2,&quot;-&quot;)&quot;-&quot;??_);_(@_)쁽쑌ꌀ老COUNT(_{r0});_ * \-#,##0.0_ ;_ * &quot;-&quot;??_ ;_ @_ ㈶1쁒쑽ꐇ老_{r0}##0_);_(* \(#,##0\);_(* &quot;-&quot;??_);_(@_)愓폃攫㽩쎣쎒ꔀ老IF(_{r10}&gt;0,2,&quot;-&quot;)-#,##0.0_ ;_ * &quot;-&quot;??_ ;_ @_  ackage/2006/relationships륔㪚翿恀穮ȴ&lt;彐聽ȴ彐聽ȴ愀穮ȴ쎰쎃ꘇ老瓠翾愰穮ȴЀ吮湥 㟀穮ȴ䄸翾䃈翾䄀翾㨰翾)&#10;쎁쎰꜀老IF(_{r13}&gt;0,2,&quot;-&quot;),##0_ ;_ * &quot;-&quot;??_ ;_ @_ 椀㍮2쎖쎡ꠇ老COUNT(_{r0});_ * \-#,##0.0_ ;_ * &quot;-&quot;??_ ;_ @_ 苤ȴ쏧쏖꤀老쏴쏇꫷老촀苟ȴᅼ翾鞘翾ٞڳ/0춰苟ȴ컰৚ȴٞڳnt춰苟ȴ넀䟣ȴ왐翾昀穮ȴ뇐䟣ȴ쏅쏴꬀老IF(_{r0}&gt;0,2,&quot;-&quot;) \(#,##0.00\);_(* &quot;-&quot;??_);_(@_)쏚쏥갠老È翾Ѐ#簮Π⊥ȴ㾀㾀⣿ယ঱茄翾缀⊥ȴ輐翾ȴ翾쌫쌚관老IF(_{r11}&gt;0,2,&quot;-&quot;),##0\);_(* &quot;-&quot;??_);_(@_)_ @_ 쌸쌋글老癸翾쪨翾盈翾쪨翾ꑠ翾纈翾䖈翾⊤ȴ俈翾翾㏨翾圐⊳ȴ䊈翾⛀貢ȴ䋀翾鷠翾䎈翾ڹȴ䏀翾쪨翾䏸翾쪨翾ະ翾쪨翾䣠翾꿰⊳ȴ㏈翾⊙ȴ㐀翾쪨翾㐀翾쪨翾쌉쌸꼀老ꗑ如ȴ䄂翾ꗑ如ȴ䄂翾ꁑ如ȴ䄂翾ꬑ如ȴ䄂翾ꢑ如ȴ䄂翾ꓑ如ȴ䄂翾깑如ȴ䄂翾꼑如ȴ䄂翾Ā翾金䟣ȴ䄂褑䟣ȴ䄂鎑䟣ȴ䄂阑䟣ȴ䄂∀⊠ȴĀ翾쌞쌩뀀老COUNT(_{r0});_ * \-#,##0.0_ ;_ * &quot;-&quot;??_ ;_ @_    썯썞넀老苟ȴᅼ翾빠䏊翿ٞڳ苟ȴ톐৚ȴٞڳ苟ȴ开絴ȴp왐翾浰穮ȴ忀絴ȴ썼썏눀老볐如ȴ볐如ȴ땐如ȴ닐如ȴ밐如ȴ랐如ȴ뗐如ȴ묐如ȴ뢐如ȴ댐如ȴ느如ȴ紐䟣ȴ腐䟣ȴ菐䟣ȴ脐䟣ȴ菐䟣ȴ腐䟣ȴ紐䟣ȴ썍썼대老IF(_{r0}&gt;0,2,&quot;-&quot;)耀==AAEEGG &#10;&#10;&#10;Q&#10;&#10;299==AAEEGG슢썭됀老COUNT(_{r0});_ * \-#,##0.0_ ;_ * &quot;-&quot;??_ ;_ @_   &#10;슳슂딀老IF(_{r16}&gt;0,2,&quot;-&quot;)준翾슀슳똀老IF(_{r1}&gt;0,2,&quot;-&quot;)d翾슑슠뜀老IF(_{r17}&gt;0,2,&quot;-&quot;)䌮畯瑮싦싑렀老싷싆뤀老IF(_{r8}&gt;0,2,&quot;-&quot;)#,##0\);_(* &quot;-&quot;??_);_(@_)_ @_ 싄싷먀老IF(_{r18}&gt;0,2,&quot;-&quot;)档缀싕실묀送$suchita.sharma@total-environment.com숪숕밀老竨苟ȴ묠笂ȴ뜠笂ȴ놠笂ȴ顀絵ȴ멠笂ȴ룠笂ȴ률笂ȴ릠笂ȴ몠笂ȴ髀絵ȴ뭠笂ȴ銠絵ȴ둠笂ȴ蹀絵ȴ눠笂ȴ뮠笂ȴ뉠笂ȴ钀絵ȴ뙠笂ȴ앀僌ȴ쓰僌ȴ퓠僌ȴ쥐僌ȴ쒠僌ȴ찠僌ȴ挐僠ȴ提僠ȴ搐僠ȴ꼰備ȴ栐僠ȴ桐僠ȴ숻숊봀老꒑如ȴ䄂翾꒑如ȴ䄂翾ꖑ如ȴ䄂翾광如ȴ䄂翾Ā翾跑䟣ȴ䄂翾闑䟣ȴ䄂翾躑䟣ȴ䄂翾軑䟣ȴ䄂ڠ⊠ȴĀ翾숈숻븀老_{r0}##0_);_(* \(#,##0\);_(* &quot;-&quot;??_);_(@_)숙숨뼀老IF(_{r4}&gt;0,2,&quot;-&quot;) \-#,##0.00_ ;_ * &quot;-&quot;??_ ;_ @_ 쉮쉙쀀老IF('Design Fee'!FT63&gt;0,2,&quot;-&quot;)最苣ȴ쉿쉎섀老COUNT(_{r2})nv怀苤ȴ䕳癮缀䰀䉏䱁쉌쉿숀老IF(_{r22}&gt;0,2,&quot;-&quot;)瑮慲瑣欀苤ȴ쉝쉬쌀老IF('Design Fee'!FU63&gt;0,2,&quot;-&quot;)&quot;-&quot;??_);_(@_)퐀䟣ȴ춲솝쐀老IF('Design Fee'!FV63&gt;0,2,&quot;-&quot;)猀牥扏敪瑣摉춃솲엿老IF('Design Fee'!FR63&gt;0,2,&quot;-&quot;)猀牥扏敪瑣摉춐솣였老IF(_{r17}&gt;0,2,&quot;-&quot;)敒潣摲s췡쇐윇老IF('Design Fee'!FW63&gt;0,2,&quot;-&quot;)唀䥐췶쇁저老IF(_{r14}&gt;0,2,&quot;-&quot;)㏏å一倱偅う〰㄰い2췇쇶줇老IF('Design Fee'!EK63&gt;0,2,&quot;-&quot;)췔쇧쨀老IF('Design Fee'!CE63&gt;0,2,&quot;-&quot;)쨀䟣ȴ촥섔쬇老IF(_{r1}&gt;0,2,&quot;-&quot;)湡䥴d䰀䉏䱁촺섅찀老IF(_{r2}&gt;0,2,&quot;-&quot;)敓畱湥散敱촋섺췷老IF('Design Fee'!CB63&gt;0,2,&quot;-&quot;)猀o촘섫츀老IF('Design Fee'!DK63&gt;0,2,&quot;-&quot;)준䟣ȴ쵩션켠老IF(_{r10}&gt;0,2,&quot;-&quot;)䘮摱n䰀䉏䱁쵾셉퀀老IF(_{r6}&gt;0,2,&quot;-&quot;)䌮畯瑮攀苤ȴ쵏셾턀老COUNT(_{r0})ȴ栀苤ȴ齠㶆翿최셯툀老IF(_{r15}&gt;0,2,&quot;-&quot;)ƈ笣ȴȕ청삜팀老IF(_{r0}&gt;0,2,&quot;-&quot;)hare봀䟣ȴ첂삍퐀老IF(_{r8}&gt;0,2,&quot;-&quot;)#,##0_ ;_ * &quot;-&quot;??_ ;_ @_ 䰀䉏䱁첓삢픀老IF('Design Fee'!CD63&gt;0,2,&quot;-&quot;)漀浭牥楣污쳠샓혀老IF(_{r16}&gt;0,2,&quot;-&quot;)污呬灹e쳱샀휀老IF('Design Fee'!DJ63&gt;0,2,&quot;-&quot;)氀硳쳆샱老IF(_{r18}&gt;0,2,&quot;-&quot;)ƈ笣ȴ伀䥐쳗샦老IF('Design Fee'!DD63&gt;0,2,&quot;-&quot;)찤쀗老COUNT(_{r4})翿瘀湥⹴摉攀翾촀䟣ȴ찵쀄老IF(_{r7}&gt;0,2,&quot;-&quot;)普⹯敌敶l찊쀵老IF(_{r13}&gt;0,2,&quot;-&quot;)⹯敌敶l찛쀪老IF('Design Fee'!EJ63&gt;0,2,&quot;-&quot;)챨쁛老IF('Design Fee'!DH63&gt;0,2,&quot;-&quot;)最絴ȴ챹쁈老IF('Design Fee'!DN63&gt;0,2,&quot;-&quot;)챎쁹老IF('Design Fee'!EM63&gt;0,2,&quot;-&quot;)敭챟쁮老COUNT(_{r0})最苤ȴ湡䥴d툀䟣ȴ쾬ﾟ老IF(_{r3}&gt;0,2,&quot;-&quot;)摉攀翾팀䟣ȴ쾽ﾌ老IF('Design Fee'!EQ63&gt;0,2,&quot;-&quot;) ;_ * &quot;-&quot;??_ ;_ @_ 뼁ān쾒ﾽ老IF(_{r21}&gt;0,2,&quot;-&quot;)\-#,##0.00_ ;_ * &quot;-&quot;??_ ;_ @_ 쿣ￒ老COUNT(_{r3})翿挀苤ȴ湡䥴d쿰ￃ老IF(_{r11}&gt;0,2,&quot;-&quot;)atch쿁￰老IF('Design Fee'!ER63&gt;0,2,&quot;-&quot;)欀苤ȴ쿖￡老IF('Design Fee'!EI63&gt;0,2,&quot;-&quot;)켧６老COUNT(_{r1})nv渀苤ȴ条sȴ樀苤ȴ켴＇老IF('Design Fee'!CC63&gt;0,2,&quot;-&quot;)켅Ｔ老IF(_{r23}&gt;0,2,&quot;-&quot;)湡䥴d켚Ｅ老IF('Design Fee'!DG63&gt;0,2,&quot;-&quot;)敲콫ｚ老IF('Design Fee'!EL63&gt;0,2,&quot;-&quot;)苟ȴ콸ｋ老IF(_{r24}&gt;0,2,&quot;-&quot;),##0_ ;_ * &quot;-&quot;??_ ;_ @_ ㌀㈰ち浹は㍢㌰콉ｸ老IF('Design Fee'!DF63&gt;0,2,&quot;-&quot;)콞ｩ老IF('Design Fee'!ES63&gt;0,2,&quot;-&quot;)㿰캯ﺞ老IF('Design Fee'!FN63&gt;0,2,&quot;-&quot;)ໄ㇘ࣛ캼ﺏ老IF('Design Fee'!DM63&gt;0,2,&quot;-&quot;)준䟣ȴ캍ﺼ老IF(_{r5}&gt;0,2,&quot;-&quot;)敳呲灹e컢ﺭ老IF(_{r9}&gt;0,2,&quot;-&quot;)⹯敌敶l漀浭牥楣污컳ﻂ老IF(_{r12}&gt;0,2,&quot;-&quot;)hare컀ﻳ老IF(_{r19}&gt;0,2,&quot;-&quot;)湡䥴d컑ﻠ老IF(_{r20}&gt;0,2,&quot;-&quot;)\-#,##0.00_ ;_ * &quot;-&quot;??_ ;_ @_ -츦︑老IF('Design Fee'!DL63&gt;0,2,&quot;-&quot;)&quot;-&quot;??_);_(@_)츷︆豈老IF('Design Fee'!FO63&gt;0,2,&quot;-&quot;)준䟣ȴ츄︷切老IF('Design Fee'!FP63&gt;0,2,&quot;-&quot;)츕︤ﬀ老IF('Design Fee'!FQ63&gt;0,2,&quot;-&quot;)&quot;-&quot;??_);_(@_)_ @_ 칪﹕ﰀ老IF('Design Fee'!EO63&gt;0,2,&quot;-&quot;)칻﹊ﴀ老IF(_{r4}&gt;0,2,&quot;-&quot;)殗춯랁칈ﹻ︀老IF('Design Fee'!EP63&gt;0,2,&quot;-&quot;)칙﹨＀老IF('Design Fee'!DE63&gt;0,2,&quot;-&quot;)즮ﶙ耂IF('Design Fee'!ND63&gt;0,2,&quot;-&quot;)즿ﶎĀ耂IF('Design Fee'!NH63&gt;0,2,&quot;-&quot;)ᑻ䞮竡㾔즌ﶿȀ耂IF('Design Fee'!GY63&gt;0,2,&quot;-&quot;)증ﶬ̀耂IF('Design Fee'!NG63&gt;0,2,&quot;-&quot;)猀o짲﷝Ѐ耂IF('Design Fee'!JK63&gt;0,2,&quot;-&quot;)뤀䟣ȴ짃ﷲԀ耂IF('Design Fee'!NJ63&gt;0,2,&quot;-&quot;)弮෰㇘ࣛ짐﷣؀耂IF('Design Fee'!JQ63&gt;0,2,&quot;-&quot;)븀䟣ȴ줡ﴐ܀耂COUNT(_{r0}) ;_ * \-#,##0.00_ ;_ * &quot;-&quot;??_ ;_ @_ 8줶ﴁࠀ耂IF('Design Fee'!GZ63&gt;0,2,&quot;-&quot;)줇ﴶऀ耂IF('Design Fee'!NC63&gt;0,2,&quot;-&quot;)搀苣ȴ줔ﴧ਀耂COUNT(_{r2}) ;_ * \-#,##0.00_ ;_ * &quot;-&quot;??_ ;_ @_ ǽ쥥ﵔ௿耂IF('Design Fee'!ID63&gt;0,2,&quot;-&quot;)뼁ān쥺﵅ఀ耂IF('Design Fee'!HG63&gt;0,2,&quot;-&quot;)쥋ﵺഇ耂IF('Design Fee'!MA63&gt;0,2,&quot;-&quot;)뎀揀Ǚ쥘ﵫ฀耂IF('Design Fee'!HC63&gt;0,2,&quot;-&quot;)Ĭ좩ﲘ༇耂IF('Design Fee'!JG63&gt;0,2,&quot;-&quot;)섀䟣ȴ좾ﲉက耂IF('Design Fee'!ME63&gt;0,2,&quot;-&quot;)좏ﲾᄇ耂IF('Design Fee'!FX63&gt;0,2,&quot;-&quot;)묀䟣ȴ좜ﲯሀ耂COUNT(_{r1})(* \(#,##0\);_(* &quot;-&quot;??_);_(@_)ꅶ죭ﳜ᏷耂IF('Design Fee'!MD63&gt;0,2,&quot;-&quot;)宐揀Ǚ죂ﳍ᐀耂IF('Design Fee'!JH63&gt;0,2,&quot;-&quot;)j죓ﳢᔠ耂IF('Design Fee'!JN63&gt;0,2,&quot;-&quot;)뎀揀Ǚ젠ﰓᘀ耂IF('Design Fee'!LW63&gt;0,2,&quot;-&quot;)樀苣ȴ젱ﰀᜀ耂IF('Design Fee'!MZ63&gt;0,2,&quot;-&quot;)쐀䟣ȴ젆ﰱ᠀耂IF('Design Fee'!KS63&gt;0,2,&quot;-&quot;)젗ﰦᤀ耂IF('Design Fee'!KV63&gt;0,2,&quot;-&quot;)敥졤ﱗᨀ耂IF('Design Fee'!KR63&gt;0,2,&quot;-&quot;)졵ﱄᬀ耂IF('Design Fee'!IB63&gt;0,2,&quot;-&quot;)唀䥐졊ﱵᰀ耂IF('Design Fee'!NF63&gt;0,2,&quot;-&quot;)䤀I졛ﱪᴀ耂IF('Design Fee'!KZ63&gt;0,2,&quot;-&quot;)摭쮨ﮛḀ耂IF('Design Fee'!NI63&gt;0,2,&quot;-&quot;)쮹ﮈἀ耂IF('Design Fee'!IC63&gt;0,2,&quot;-&quot;)⩨쮎﮹ 耂IF('Design Fee'!LV63&gt;0,2,&quot;-&quot;)쮟ﮮ℀耂IF('Design Fee'!LY63&gt;0,2,&quot;-&quot;)쯬ﯟ∀耂IF('Design Fee'!IE63&gt;0,2,&quot;-&quot;)쯽﯌⌀耂IF('Design Fee'!JJ63&gt;0,2,&quot;-&quot;)쯒ﯽ␀耂IF('Design Fee'!GX63&gt;0,2,&quot;-&quot;)退䟬ȴ쬣﬒─耂IF('Design Fee'!GW63&gt;0,2,&quot;-&quot;)ᴀ䟮ȴ쬰ﬃ☀耂IF('Design Fee'!IF63&gt;0,2,&quot;-&quot;)禝쬁אּ✀耂IF('Design Fee'!JM63&gt;0,2,&quot;-&quot;)문쬖ﬡ⠀耂IF('Design Fee'!IK63&gt;0,2,&quot;-&quot;)䐀僜ȴ쭧ﭖ⤀耂IF('Design Fee'!JO63&gt;0,2,&quot;-&quot;)쭴קּ⨀耂IF('Design Fee'!JI63&gt;0,2,&quot;-&quot;)쭅ﭴ⬀耂IF('Design Fee'!JP63&gt;0,2,&quot;-&quot;)坸쭚ﭥⰀ耂IF('Design Fee'!KX63&gt;0,2,&quot;-&quot;)樀苤ȴ쪫漢ⴀ耂IF('Design Fee'!LX63&gt;0,2,&quot;-&quot;)쪸懲⻿耂IF('Design Fee'!LU63&gt;0,2,&quot;-&quot;)禝쪉視⼀耂IF('Design Fee'!KT63&gt;0,2,&quot;-&quot;)쪞睊〇耂IF('Design Fee'!IJ63&gt;0,2,&quot;-&quot;)문쫯﫞㄀耂IF('Design Fee'!II63&gt;0,2,&quot;-&quot;)쫼𢡊㈇耂IF('Design Fee'!HE63&gt;0,2,&quot;-&quot;)㿰쫍﫼㌀耂IF('Design Fee'!HF63&gt;0,2,&quot;-&quot;)뎀揀Ǚ쨢﫭㐇耂IF('Design Fee'!IH63&gt;0,2,&quot;-&quot;)쨳拓㔀耂IF('Design Fee'!KP63&gt;0,2,&quot;-&quot;)猀牥扏敪瑣摉쨀勉㛷耂IF('Design Fee'!KW63&gt;0,2,&quot;-&quot;)쨑蘒㜀耂IF('Design Fee'!HA63&gt;0,2,&quot;-&quot;)먀䟣ȴ쩦祝㠽耂IF('Design Fee'!IL63&gt;0,2,&quot;-&quot;)䰀䉏䱁쩷渚㤀耂IF('Design Fee'!KY63&gt;0,2,&quot;-&quot;)뎀揀Ǚ쩄勺㨀耂IF('Design Fee'!KQ63&gt;0,2,&quot;-&quot;)쩕賓㬀耂IF('Design Fee'!MB63&gt;0,2,&quot;-&quot;)ǽ햪秊㰀耂IF('Design Fee'!HD63&gt;0,2,&quot;-&quot;)漀浭牥楣污햻力㴀耂IF('Design Fee'!MC63&gt;0,2,&quot;-&quot;)했僚㸀耂IF('Design Fee'!NA63&gt;0,2,&quot;-&quot;)䜀䠽ȴ햙令㼀耂IF('Design Fee'!NB63&gt;0,2,&quot;-&quot;)猀o헮慄䀀耂IF('Design Fee'!GX63&gt;0,2,&quot;-&quot;)齀㶆翿ꃈ㶆翿꠰㶆翿黈㶆翿龈㶆翿헿硫䄀耂IF(_{r10}&gt;0,2,&quot;-&quot;)齠㶆翿鼀㶆翿鼠㶆翿齀㶆翿ꃈ㶆翿꠰㶆翿黈㶆翿龈㶆翿헌刺䈀耂IF('Design Fee'!EJ63&gt;0,2,&quot;-&quot;)齀㶆翿ꃈ㶆翿꠰㶆翿黈㶆翿龈㶆翿헝溺䌀耂IF('Design Fee'!GZ63&gt;0,2,&quot;-&quot;)齀㶆翿ꃈ㶆翿꠰㶆翿黈㶆翿龈㶆翿픲欄䐀耂IF('Design Fee'!HA63&gt;0,2,&quot;-&quot;)齀㶆翿ꃈ㶆翿꠰㶆翿黈㶆翿龈㶆翿픃爐䔀耂IF('Design Fee'!HC63&gt;0,2,&quot;-&quot;)齀㶆翿ꃈ㶆翿꠰㶆翿黈㶆翿龈㶆翿픐藍䘀耂IF(_{r7}&gt;0,2,&quot;-&quot;)齠㶆翿鼀㶆翿鼠㶆翿齀㶆翿ꃈ㶆翿꠰㶆翿黈㶆翿龈㶆翿핡縷䜀耂IF('Design Fee'!DG63&gt;0,2,&quot;-&quot;)齀㶆翿ꃈ㶆翿꠰㶆翿黈㶆翿龈㶆翿핶論䠀耂IF('Design Fee'!FQ63&gt;0,2,&quot;-&quot;)齀㶆翿ꃈ㶆翿꠰㶆翿黈㶆翿龈㶆翿핇略䤀耂IF('Design Fee'!FU63&gt;0,2,&quot;-&quot;)齀㶆翿ꃈ㶆翿꠰㶆翿黈㶆翿龈㶆翿핔不䨀耂IF('Design Fee'!GY63&gt;0,2,&quot;-&quot;)齀㶆翿ꃈ㶆翿꠰㶆翿黈㶆翿龈㶆翿풥䬀耂IF('Design Fee'!HD63&gt;0,2,&quot;-&quot;)齀㶆翿ꃈ㶆翿꠰㶆翿黈㶆翿龈㶆翿풺䰀耂IF('Design Fee'!HE63&gt;0,2,&quot;-&quot;)齀㶆翿ꃈ㶆翿꠰㶆翿黈㶆翿龈㶆翿풋䴀耂IF(_{r22}&gt;0,2,&quot;-&quot;)齠㶆翿鼀㶆翿鼠㶆翿齀㶆翿ꃈ㶆翿꠰㶆翿黈㶆翿龈㶆翿풘一耂IF(_{r9}&gt;0,2,&quot;-&quot;)齠㶆翿鼀㶆翿鼠㶆翿齀㶆翿ꃈ㶆翿꠰㶆翿黈㶆翿龈㶆翿퓩伀耂IF('Design Fee'!ES63&gt;0,2,&quot;-&quot;)齀㶆翿ꃈ㶆翿꠰㶆翿黈㶆翿龈㶆翿퓾倀耂IF(_{r20}&gt;0,2,&quot;-&quot;)齠㶆翿鼀㶆翿鼠㶆翿齀㶆翿ꃈ㶆翿꠰㶆翿黈㶆翿龈㶆翿퓏凿耂IF('Design Fee'!EO63&gt;0,2,&quot;-&quot;)齀㶆翿ꃈ㶆翿꠰㶆翿黈㶆翿龈㶆翿퓜刀耂COUNT(_{r4})翿ꀨ㶆翿齠㶆翿鼀㶆翿鼠㶆翿齀㶆翿ꃈ㶆翿꠰㶆翿黈㶆翿龈㶆翿퐭匇耂IF('Design Fee'!FR63&gt;0,2,&quot;-&quot;)齀㶆翿ꃈ㶆翿꠰㶆翿黈㶆翿龈㶆翿퐂吀耂IF('Design Fee'!CB63&gt;0,2,&quot;-&quot;)齀㶆翿ꃈ㶆翿꠰㶆翿黈㶆翿龈㶆翿퐓唇耂IF(_{r6}&gt;0,2,&quot;-&quot;)齠㶆翿鼀㶆翿鼠㶆翿齀㶆翿ꃈ㶆翿꠰㶆翿黈㶆翿龈㶆翿푠嘀耂IF(_{r24}&gt;0,2,&quot;-&quot;)齠㶆翿鼀㶆翿鼠㶆翿齀㶆翿ꃈ㶆翿꠰㶆翿黈㶆翿龈㶆翿푱圇耂IF('Design Fee'!EQ63&gt;0,2,&quot;-&quot;)齀㶆翿ꃈ㶆翿꠰㶆翿黈㶆翿龈㶆翿푆堀耂COUNT(_{r3})翿ꀨ㶆翿齠㶆翿鼀㶆翿鼠㶆翿齀㶆翿ꃈ㶆翿꠰㶆翿黈㶆翿龈㶆翿푗姷耂IF('Design Fee'!DL63&gt;0,2,&quot;-&quot;)齀㶆翿ꃈ㶆翿꠰㶆翿黈㶆翿龈㶆翿힤娀耂IF('Design Fee'!DK63&gt;0,2,&quot;-&quot;)齀㶆翿ꃈ㶆翿꠰㶆翿黈㶆翿龈㶆翿ힵ實耂IF('Design Fee'!DN63&gt;0,2,&quot;-&quot;)齀㶆翿ꃈ㶆翿꠰㶆翿黈㶆翿龈㶆翿힊尀耂IF('Design Fee'!EL63&gt;0,2,&quot;-&quot;)齀㶆翿ꃈ㶆翿꠰㶆翿黈㶆翿龈㶆翿힛崀耂IF(_{r14}&gt;0,2,&quot;-&quot;)齠㶆翿鼀㶆翿鼠㶆翿齀㶆翿ꃈ㶆翿꠰㶆翿黈㶆翿龈㶆翿ퟨ帀耂IF(_{r23}&gt;0,2,&quot;-&quot;)齠㶆翿鼀㶆翿鼠㶆翿齀㶆翿ꃈ㶆翿꠰㶆翿黈㶆翿龈㶆翿ퟹ开耂IF('Design Fee'!CE63&gt;0,2,&quot;-&quot;)齀㶆翿ꃈ㶆翿꠰㶆翿黈㶆翿龈㶆翿"/>
        <Anchor>
          <Comment id="{9AF8C13D-7E99-4D73-B14B-8A5FF33F8869}"/>
        </Anchor>
        <Create/>
      </Event>
      <Event time="2023-03-12T10:46:06.01" id="{8D89A772-41EF-4E92-B3F4-BDFDB9D0782E}">
        <Attribution userId="IF(_{r20}&gt;0,2,&quot;-&quot;)" userName="IF(_{r2}&gt;0,2,&quot;-&quot;)" userProvider="訝Ẅ 299==AAEEGG &#10;&#10;&#10;Q&#10;&#10;299==AAEEGGXLSﱉ큸耀IF(_{r1}&gt;0,2,&quot;-&quot;)튰竪ȴ脀⡐⛉ȴ脀⥀⛉ȴ脀⿐⛉ȴ膀僐⛝ȴ膀戠翾絸ȴ茘翾ꡐ䟰ȴ葘翾ꡐ䟰ȴﱞ큩耀IF(_{r2}&gt;0,2,&quot;-&quot;)2_88E4_00104B2D4E50_.wvu.PrintTitles怀虐穭ȴ惈塭翷怀蝠穭ȴ惈塭翷怀貰穭ȴ惈塭翷怀骀穭ȴ惈塭翷怀⬸鶰穭ȴ惈塭翷怀뇠穭ȴ惈塭翷怀ﾯ쾞耀IF(_{r9}&gt;0,2,&quot;-&quot;)ƀﾼ쾏耀IF(_{r10}&gt;0,2,&quot;-&quot;)䄂ȴ㝀絹ȴ䄂å㕠絹ȴ䄂å㕠絹ȴ䄂å㝀絹ȴ䄂å㏠絹ȴ䄂å㗀絹ȴ䄂å㗀絹ȴ䄂å㏠絹ȴ䄂å㐐絹ȴ䄂å䘠臎ȴ䄂ȴ亠臎ȴ䄂ȴ䙠臎ȴ䄂ȴ錐奦ȴ䄂ȴﾍ쾼耀IF(_{r12}&gt;0,2,&quot;-&quot;)鮰翾睰翾翾秈翾°絹ȴ稀翾址翾箰翾＀絸ȴ䍀翾쪨翾䒰翾翾䕀翾翾䚐翾盘翾愸翾攐絸ȴ翾翾翾鮰翾翾鮰翾￢쾭耀IF(_{r13}&gt;0,2,&quot;-&quot;)Ѱ絹ȴ㝨翾棐絸ȴ㣘翾棐絸ȴ㮘翾萠絥ȴ㱐翾쪨翾ꀈ翾翾ꁀ翾萠絥ȴꂐ翾挀絸ȴ翾鳰翾翾鳰翾戠翾￀絸ȴ茘翾슐䟰ȴ葘翾슐䟰ȴ０翾쪨翾￳쿂耀IF(_{r5}&gt;0,2,&quot;-&quot;)裰⣴翿裰⣴翿裰⣴翿裰⣴翿裰⣴翿裰⣴翿裰⣴翿裰⣴翿裰⣴翿裰⣴翿裰⣴翿裰⣴翿裰⣴翿裰⣴翿裰⣴翿裰⣴翿裰⣴翿裰⣴翿裰⣴翿裰⣴翿裰⣴翿裰⣴翿裰⣴翿裰⣴翿裰⣴翿裰⣴翿裰⣴翿裰⣴翿￀쿳耀IF(_{r6}&gt;0,2,&quot;-&quot;).2776436Z [message     ] processing message: {&quot;C&quot;:&quot;d-650429B0-B,0!T16a,0!T16b,0!T16c,0!T16d,B0&quot;,&quot;M&quot;:[]}&#10;줉ﶾ뵈ƀ￑쿠耀IF(_{r16}&gt;0,2,&quot;-&quot;)숀胜ȴᅼ翾挀ఋȴٞڳh,슐胜ȴ㩀俈ȴٞڳnt슐胜ȴ錀伧ȴ๙翾왐翾Ꟑ穭ȴ鍐伧ȴＦ켑耀IF(_{r21}&gt;0,2,&quot;-&quot;)nvironment.com3064_.wvu.FilterData/Dropbox/00 BAG/Goals Y19 I 15-16/[TEMP.XLS]grp 灯쬀ਘ褁圏湩潤獷䐠獥瑫灯ⲩＷ켆龜耀IF(_{r18}&gt;0,2,&quot;-&quot;)ὀ絹ȴ㝨翾栐絸ȴ㣘翾栐絸ȴ㮘翾﬐絤ȴ愸翾榐絸ȴꀈ翾翾ꁀ翾﬐絤ȴꂐ翾ↀ絹ȴ翾鳰翾翾鳰翾戠翾ῐ絹ȴ茘翾௰絥ȴ葘翾௰絥ȴ＄켷切耀IF(_{r19}&gt;0,2,&quot;-&quot;)䳠臎ȴ䗠臎ȴ䱠臎ȴ䖠臎ȴ䖠臎ȴ䱠臎ȴ䗠臎ȴ䳠臎ȴ䘠臎ȴ亠臎ȴ䙠臎ȴ錐奦ȴ긠䟰ȴ緐翾翾⩐翾翾ະ翾쪨翾翾⊣ȴ翾鳰翾㕈翾翾㖀翾＀⊙ȴ５켤ﯷ耀IF(_{r20}&gt;0,2,&quot;-&quot;)鮰翾睰翾翾秈翾絸ȴ稀翾址翾箰翾絸ȴ㿨翾㽐翾䍀翾쪨翾䒰翾翾䕀翾翾䚐翾盘翾愸翾嬐絹ȴ翾翾翾鮰翾翾鮰翾ｪ콕ﰀ耀IF(_{r21}&gt;0,2,&quot;-&quot;)2776436Z [message     ] processing message: {&quot;C&quot;:&quot;d-650429B0-B,0!T16a,0!T16b,0!T16c,0!T16d,B0&quot;,&quot;M&quot;:[]}&#10;桃楡⹮浸祬ｻ콊ﶋ耀IF(_{r22}&gt;0,2,&quot;-&quot;)Āʀ糁ȴĀी糁ȴĀ훀她ȴĀ퉀她ȴĀ她ȴĀ她ȴĀ她ȴĀ她ȴĀ죠㇧ȴĀ유㇧ȴĀ쾠㇧ȴĀ퀠㇧ȴĀ欠㇨ȴĀｈ콻︀退჈侧ȴៈ侧ȴᠸ侧ȴᖘ侧ȴỈ侧ȴ✘侧ȴ␈侧ȴᵸ侧ȴᢨ侧ȴศ侧ȴᤘ侧ȴᾨ侧ȴ⇘侧ȴｙ콨＀耀IF(_{r24}&gt;0,2,&quot;-&quot;)鮰翾睰翾翾秈翾ՠ絹ȴ稀翾址翾箰翾ɠ絹ȴ䍀翾쪨翾䒰翾翾䕀翾翾䚐翾盘翾愸翾枰絸ȴ翾翾翾鮰翾翾鮰翾ﺮ캙老IF('Design Fee'!ID73&gt;0,2,&quot;-&quot;)ost Construction is not planned in CY23ﺿ캎Ā老IF('Design Fee'!IE73&gt;0,2,&quot;-&quot;)this is not loaded ???ﺌ캿Ȁ老IF('Design Fee'!JH73&gt;0,2,&quot;-&quot;)95% is divided by 12ﺝ캬̀老IF('Design Fee'!ES73&gt;0,2,&quot;-&quot;)95% is divided by 12ﻲ컝Ѐ老IF('Design Fee'!JK73&gt;0,2,&quot;-&quot;)95% is divided by 120Documents/02%20Design/Projects/Contracts/0059_PoaRR/Design%20Fee%2023ﻃ컲Ԁ老IF('Design Fee'!JM73&gt;0,2,&quot;-&quot;)this is not loaded ???c42-a951-14bb20890f34ﻐ컣؀老IF('Design Fee'!JN73&gt;0,2,&quot;-&quot;)ued till dec'22 had got deleted. Hence the values were not appearing︡츐܀老IF('Design Fee'!JO73&gt;0,2,&quot;-&quot;)comites/pmo/Shared%20Documents/02%20Design/Projects/Contracts/0059_PoaRR/Design%20Fee%2023︶츁ࠀ老IF('Design Fee'!JP73&gt;0,2,&quot;-&quot;)95% is divided by 12︇츶ऀ老IF('Design Fee'!EK73&gt;0,2,&quot;-&quot;)sued, Check and confirm︔츧਀老IF('Design Fee'!ER73&gt;0,2,&quot;-&quot;)this is not loaded ???﹥칔଀老IF('Design Fee'!DF73&gt;0,2,&quot;-&quot;)ﹺ칅ఀ老IF('Design Fee'!FN73&gt;0,2,&quot;-&quot;)95% is divided by 12﹋칺ഀ老IF('Design Fee'!FV73&gt;0,2,&quot;-&quot;)95% is divided by 12﹘칫฀老IF('Design Fee'!GX73&gt;0,2,&quot;-&quot;)95% is divided by 12囹춘ༀ老IF('Design Fee'!GY73&gt;0,2,&quot;-&quot;)ost Construction is not planned in CY23俟ȴ保ȴ０保ȴ保ȴ保ȴ縷保ȴ﬐保ȴ保ȴﾐ保ȴ保ȴ保ȴ戀保ȴ保ȴ保ȴ料춉က老IF('Design Fee'!HA73&gt;0,2,&quot;-&quot;)95% is divided by 12憐춾ᄀ老IF('Design Fee'!DE73&gt;0,2,&quot;-&quot;)this is not loaded ???c42-a951-14bb20890f34列춯ሀ老IF('Design Fee'!EI73&gt;0,2,&quot;-&quot;)this is not loaded ???[Ā४[Ā४[Ā४[Ā४[Ā४Ā४Ā४Ā४Ā४Ā४६७吝췜ጀ老IF('Design Fee'!FU73&gt;0,2,&quot;-&quot;)95% is divided by 120Documents/02%20Design/Projects/Contracts/0059_PoaRR/Design%20Fee%2023蓼췍᐀老IF('Design Fee'!HD73&gt;0,2,&quot;-&quot;)齀㶆翿ꃈ㶆翿꠰㶆翿黈㶆翿龈㶆翿陸췢ᔀ老IF('Design Fee'!IF73&gt;0,2,&quot;-&quot;)95% is divided by 12鸞촓᛿老IF('Design Fee'!FX73&gt;0,2,&quot;-&quot;)ost Construction is not planned in CY23櫓촀ᜀ老IF('Design Fee'!HC73&gt;0,2,&quot;-&quot;)爀摯捵楴湯句촱᠇老IF('Design Fee'!IB73&gt;0,2,&quot;-&quot;)this is not loaded ???c42-a951-14bb20890f3474珞촦ᤀ老IF('Design Fee'!II73&gt;0,2,&quot;-&quot;)ost Construction is not planned in CY23磻쵗ᨇ老IF('Design Fee'!EM73&gt;0,2,&quot;-&quot;)this is not loaded ???c42-a951-14bb20890f34掠쵄ᬀ老IF('Design Fee'!CC73&gt;0,2,&quot;-&quot;)爀摯捵楴湯壘쵵ᰇ老IF('Design Fee'!DH73&gt;0,2,&quot;-&quot;)95% is divided by 12拏쵪ᴀ老IF('Design Fee'!FP73&gt;0,2,&quot;-&quot;)ost Construction is not planned in CY230f34첛ỷ老IF('Design Fee'!EL73&gt;0,2,&quot;-&quot;)95% is divided by 12첈ἀ老IF('Design Fee'!GZ73&gt;0,2,&quot;-&quot;)95% is divided by 12첹⃣老IF('Design Fee'!DJ73&gt;0,2,&quot;-&quot;)95% is divided by 12瑣摉첮℀老IF('Design Fee'!EJ73&gt;0,2,&quot;-&quot;)95% is divided by 1256e-45f3-adac-be6829c80874쳟∀老IF('Design Fee'!DD73&gt;0,2,&quot;-&quot;)95% is divided by 12-4c42-a951-14bb20890f34쳌⌀老IF('Design Fee'!FT73&gt;0,2,&quot;-&quot;)95% is divided by 12쳽␀老IF('Design Fee'!CD73&gt;0,2,&quot;-&quot;)95% is divided by 1256e-45f3-adac-be6829c80874찒─老IF('Design Fee'!DM73&gt;0,2,&quot;-&quot;)95% is divided by 12찃☀老IF('Design Fee'!DK73&gt;0,2,&quot;-&quot;)95% is divided by 12ꢀꌹﳞࣙ찰✀老IF('Design Fee'!FQ73&gt;0,2,&quot;-&quot;)95% is divided by 12찡⠀老IF('Design Fee'!DG73&gt;0,2,&quot;-&quot;)95% is divided by 12:3pt;width:100.8pt;height:60pt;z-index:19;&#10;  visibility:hidden''en'챖⤀老IF('Design Fee'!DN73&gt;0,2,&quot;-&quot;)95% is divided by 12챇⨀老IF('Design Fee'!FW73&gt;0,2,&quot;-&quot;)7EBF1F7A30}[:[:[g챴⬀老IF('Design Fee'!DL73&gt;0,2,&quot;-&quot;)95% is divided by 12챥Ⰰ老IF('Design Fee'!GW73&gt;0,2,&quot;-&quot;)ued till dec'22 had got deleted. Hence the values were not appearingﮫ쮚ⴀ老IF('Design Fee'!HG73&gt;0,2,&quot;-&quot;)7E352E8FB3};margin-top:413.4pt;width:99pt;height:60pt;z-index:2;&#10;  visibility:hidden'en'﮸쮋⸀老IF('Design Fee'!IC73&gt;0,2,&quot;-&quot;)ost Construction is not planned in CY23ﮉ쮸⼀老IF('Design Fee'!IH73&gt;0,2,&quot;-&quot;)sued, Check and confirm-45f3-adac-be6829c80874ﮞ쮩　老IF('Design Fee'!IJ73&gt;0,2,&quot;-&quot;)絰舁ȴ‐舃ȴ泐臱ȴ믐妧ȴ糈ȴ㑰䟢ȴ夼ȴ㮐ㆿȴ倠糁ȴڻȴ퀐蘶ȴ†妯ȴﯯ쯞㄀老IF('Design Fee'!EP73&gt;0,2,&quot;-&quot;)009CBD48D2}¦ĐĒŮƿǒ̷;΀ψǡǼǔǟƽƽϊћǾəﯼ쯏㈀老IF(_{r24}&gt;0,2,&quot;-&quot;)潦浲缀椀㍮2﯍쯼㌀老IF('Design Fee'!CB73&gt;0,2,&quot;-&quot;)ued, Check and confirmﬢ쯭㐀老IF('Design Fee'!EO73&gt;0,2,&quot;-&quot;)דּ쬂㔀老IF('Design Fee'!HE73&gt;0,2,&quot;-&quot;)　〮ﬀ쬳㘀老IF('Design Fee'!IK73&gt;0,2,&quot;-&quot;)this is not loaded ???﬑쬠㜀老IF('Design Fee'!CE73&gt;0,2,&quot;-&quot;)&#10;ﭦ쭑㠀老IF('Design Fee'!FR73&gt;0,2,&quot;-&quot;)ost Construction is not planned in CY23ﭷ쭆㧿老IF('Design Fee'!EQ73&gt;0,2,&quot;-&quot;)ost Construction is not planned in CY239c80874פּ쭷㨀老IF('Design Fee'!IL73&gt;0,2,&quot;-&quot;)ued, Check and confirmc42-a951-14bb20890f3474ﭕ쭤㬇老IF('Design Fee'!JG73&gt;0,2,&quot;-&quot;)comꃈ㶆翿꠰㶆翿黈㶆翿龈㶆翿着쪕㰀老IF('Design Fee'!JI73&gt;0,2,&quot;-&quot;)this is not loaded ???c42-a951-14bb20890f3474請쪊㴇老IF('Design Fee'!FO73&gt;0,2,&quot;-&quot;)舀伧ȴ愈쪻㸀老IF('Design Fee'!HF73&gt;0,2,&quot;-&quot;)㈀㈶1滋쪨㼇老IF('Design Fee'!JJ73&gt;0,2,&quot;-&quot;)this is not loaded ???[Ā४[Ā४[Ā४[Ā४[Ā४Ā४Ā४Ā४Ā४Ā४६﫮쫙䀀老IF('Design Fee'!KR73&gt;0,2,&quot;-&quot;)櫋䴤惻㬻헢弡畬档瀺⎇糵봌뿾뭅瑛൛⦯묣ℙ귨館苚笫昈᭤ꎾЅ鏋씴鴤훧뽶礫呸軼딲腂ዾ诖奧샭暒䂖Ꞙᮨ䄦Ἷખ㎐傶떧籪폦餜壥䥅ⶴ℉勞ᧄ䃗⟾㉣䓧ꎴ槪尤䒼氌㮀ぁ즭룜ꑹᩃ妶첢㥪蚲ᗖ쑕抯碥゛L.T﫿쫎䇷老℡笁ȴ䄂å℡笁ȴ䄂å‡笁ȴ䄂åᎡ笁ȴ䄂åὡ笁ȴ䄂å₡笁ȴ䄂åᏡ笁ȴ䄂å᭡笁ȴ䄂åᐡ笁ȴ䄂å䏠笁ȴ䄂ȴ⊟ȴĂ翾鸞笂ȴ䄂笂ȴ䄂쁰ںȴ䄂ȴ쌐ںȴ䄂翾怒笂ȴ䄂翾頻쫿䈀老㿡笁ȴ䄂㿡笁ȴ䄂㹡笁ȴ䄂㍡笁ȴ䄂㪡笁ȴ䄂㚡笁ȴ䄂㝡笁ȴ䄂㜡笁ȴ䄂㣡笁ȴ䄂㸡笁ȴ䄂96A0C-F192-11D4-A65F-0040963251E5}\InprocServer32﫝쫬䍬老ꯡ笂ȴ䄂ꯡ笂ȴ䄂ꌡ笂ȴ䄂ꞡ笂ȴ䄂ꡡ笂ȴ䄂ꧡ笂ȴ䄂軁ںȴ䄂褡ںȴ䄂꺡笂ȴ䄂겡笂ȴ䄂免쨝䐀老꫏䥩ఀꁘ鼴ꮮ；㝅葊徏ɉ癄聻聵䟙䡂䖤瓨챠᫻쀀‬鼜ꮮ；㝅葊徏ɉ癄ͻ_쀀鼛ꮮ；㝅葊徏ɉ癄ͻͷ甀ώς쉷ȃ眀ǧô撰偟͋਄ࠀ℀Ȁༀ砀⽬潷歲潢歯砮汭ꂰ 鼜ꮮ；㝅葊徏ɉ癄{ﱷࠀ⤫鵔츧罔嘆飳荿䤫䬬ูᄐ/⭸逩䈾꜍쌘ڰ밹෡掫ḃ線չ糖쨲䔀老뭪輧ᆢ텂돽鿱淪葘壌὚澙賧贋簄톕턞䣔봟쉫貢弄탿溰䪾鼱ﮩට띒峨녅ꣿ⩓埏阷껸嵓藶ʊ׳魳绻鑊⒑贇턘᭔ꘅ᪢⁍䁢ꭨ╁쪧𛯬닧脴幏ꞔὺ艟Ρ朝量⒙䞗憝촚ᎂ轭돜頩膫㚤଎쯭㇙ද襷␠劓띇勉璎䶳᛬붢᝾錔儝첅ⱔ⥿₉▝Ṙ詽彎廖ꔋ틻蹺└ᚦꬩ蝡䪵吳뾓寤ﬢ♗塚쨣䘀老È翾Ѐȋ.ǡ&lt;翿翿::㾀㾀⓿ሃֲᖘ莄Ǡ䄀企⋂-ȴ䄀翾視쩐䜀老潡笁ȴ䄂潡笁ȴ䄂污笁ȴ䄂烡笁ȴ䄂搡笁ȴ䄂浡笁ȴ䄂翿㹑ںȴ䄂朡笁ȴ䄂翿䆁ںȴ䄂柠笁ȴ䄂棠笁ȴ䄂抠笁ȴ䄂㹐ںȴ䄂涠笁ȴ䄂淠笁ȴ䄂拠笁ȴ䄂2勇쩁䠀老ﰀ臌ȴᅼ翾 ٞڳ12ﱀ臌ȴ鎐臠ȴٞڳ-0ﱀ臌ȴ蔀䟬ȴ 왐翾﷠穭ȴ薠䟬ȴ漢쩶䤀老IF('Design Fee'!KT73&gt;0,2,&quot;-&quot;)捜ꌴ䣙夒齲༕創鞞쓿苹䚕橶頞䙦鬺혷퀃喼駺㘷㯤㤦晑긹枣氨땂럝뇑濝홧勡뢶Σﰪ葿䊌癖䍪䯉煄ߜ㣻ഛ䕐⾴瑇ঙ벘⽛臶糒㕀ꪰ⁫嫶ﰠ퀔剷Ӝ莤坄᫔޶䀧䁄좚솪訕釗唪㎭韘⸸측H.T穀쩧䨀老笂ȴ䄂笂ȴ䄂笂ȴ䄂笂ȴ䄂笂ȴ䄂笂ȴ䄂笂ȴ䄂笂ȴ䄂笂ȴ䄂笂ȴ䄂96A0C-F192-11D4-A65F-0040963251E5}\InprocHandler얥즔䬀老IF('Design Fee'!KV73&gt;0,2,&quot;-&quot;)弩㹰쿒崱需Ⴁ悥넄콷藜ꆨ⧴巋꼢㧤긵棣쯧鲰砇に⏡놤ミዊ硷췦髵외׆伺鍬ᑲ딏徳部⴫騎㡖ꦙ悎䡰쎊ᅓ⎣㸳舍柧瑄㎩左䬟儶䈸ᕭ랈谤篪ﲕͧ뢨᪜ḙ㛾ⴎ胅턿鼖௱ﶌ뵅ꍗໄ꽞ା味鍁朘逃礓炃襬ᨼ뼁얙Ѩȴ2얺즅䰀老Authorᆀ穮ȴ» v䠽ȴ污呬灹e얋즺䴀老獡笁ȴ䄂獡笁ȴ䄂羡笁ȴ䄂粡笁ȴ䄂绡笁ȴ䄂繡笁ȴ䄂翿䡱ںȴ䄂聡笁ȴ䄂翿䣑ںȴ䄂珠笁ȴ䄂缠笁ȴ䄂穠笁ȴ䄂䡰ںȴ䄂狠笁ȴ䄂璠笁ȴ䄂甠笁ȴ䄂얘즫一老ɐ⛜ȴåΠⅱȴℐ⛌ȴܠʀW䗻ᘯ䘪ᘯA媇엩짘伀老런臠ȴ말臠ȴ배臠ȴ벐臠ȴ뤰臠ȴ뺰臠ȴ롐臠ȴ뼐臠ȴ륐臠ȴ쀰臠ȴ숰臠ȴ슐臠ȴ臠ȴ臠ȴ臠ȴ臠ȴ臠ȴ臠ȴ엾짉倀老쌑ںȴ䄂쌑ںȴ䄂笂ȴ䄂笂ȴ䄂率笂ȴ䄂뻱ںȴ䄂笂ȴ䄂笂ȴ䄂笂ȴ䄂엏짾儀老엜짯刀送⊾ȴଠ䟦ȴਠ䟦ȴዠ䟦ȴ௠䟦ȴ๠䟦ȴ࿠䟦ȴᐠ䟦ȴጠ䟦ȴᆠ䟦ȴࠠ䟦ȴྠ䟦ȴૠ䟦ȴ۠䟦ȴᏠ䟦ȴ۠䟦ȴૠ䟦ȴྠ䟦ȴࠠ䟦ȴᆠ䟦ȴጠ䟦ȴᐠ䟦ȴ࿠䟦ȴ๠䟦ȴ௠䟦ȴዠ䟦ȴਠ䟦ȴଠ䟦ȴ헐翾꛰⊳ȴ홨翾翾2씭줜匀老黡笁ȴ䄂黡笁ȴ䄂饡笁ȴ䄂ꃡ笁ȴ䄂鍡笁ȴ䄂釡笁ȴ䄂鱡笁ȴ䄂翿呱ںȴ䄂陡笁ȴ䄂翿嘡ںȴ䄂211B6-3650-4F75-8334-FA359598E1C5}\InprocServer32씂줍吀老ⓡ笁ȴ䄂ⓡ笁ȴ䄂╡笁ȴ䄂⠡笁ȴ䄂◡笁ȴ䄂⦡笁ȴ䄂⤡笁ȴ䄂ⱡ笁ȴ䄂♡笁ȴ䄂⚡笁ȴ䄂〡笁ȴ䄂씓줢唀老魡笁ȴ䄂魡笁ȴ䄂鮡笁ȴ䄂ꝡ笁ȴ䄂겡笁ȴ䄂ꐡ笁ȴ䄂翿卑ںȴ䄂ꑡ笁ȴ䄂翿叡ںȴ䄂ꊠ笁ȴ䄂ꅠ笁ȴ䄂ꤠ笁ȴ䄂卐ںȴ䄂뀠笁ȴ䄂ꓠ笁ȴ䄂ꔠ笁ȴ䄂애쥓嘀老牵潩ీ穮ȴీ穮ȴ嵐妯ȴౘ穮ȴౘ穮ȴ顈⋡翿ƻ앱쥀圀老앆쥱堀老쏑ںȴ䄂쏑ںȴ䄂李笂ȴ䄂﨡笂ȴ䄂笀ȴ䄂笀ȴ䄂뽑ںȴ䄂á笁ȴ䄂￡笀ȴ䄂笀ȴ䄂96A0C-F192-11D4-A65F-0040963251E5}\InprocHandler32앗쥦夀老ᣡ笁ȴ䄂ᣡ笁ȴ䄂᳡笁ȴ䄂ῡ笁ȴ䄂ጡ笁ȴ䄂ỡ笁ȴ䄂ᢡ笁ȴ䄂ሡ笁ȴ䄂ᛡ笁ȴ䄂쒤좗娀老翾㽀ںȴ绐翾ಸ仴ȴ㜰翾鱸翾㝨翾⿰貢ȴ㟨翾ꯐ⊳ȴ㨀翾ꯐ⊳ȴ㨸翾⤀貢ȴ愸翾㪐ںȴ鱸翾⨠貢ȴ턀翾김⊳ȴ퓈翾쪨翾픀翾쪨翾홨翾翾홨翾翾홨翾翾cServer32쒵좄嬀老IF('Design Fee'!KP73&gt;0,2,&quot;-&quot;)l\Microsoft\Office\16.0\OfficeFileCache\0\0\A4HAAAANBSFNEMFCCDESFUEGDJBVG6BY\P7D4OLJDQV66Q.T66Q.T쒊좵峿老臌ȴᅼ翾挀ఋȴٞڳ/0臌ȴ鯐臠ȴٞڳå臌ȴ吀僜ȴ๙翾왐翾ጠ穮ȴ咐僜ȴ2쒛좪崀送귫⊝ȴ盘翾꺒⊝ȴ쪨翾껛⊝ȴ쪨翾꽻⊝ȴ쪨翾뀘⊝ȴ紐ȴ끵⊝ȴ邐਎ȴ냉⊝ȴ邐਎ȴ늸⊝ȴ쪨翾㜰翾鱸翾㝨翾ꮀ等ȴ㟨翾檠ਧȴ㣘翾ꮀ等ȴꂐ翾灀伧ȴ翾紐ȴ萠翾㨘䢋ȴ쓨죛帇送藈⊾ȴ֠䟦ȴà䟦ȴﮠ䟥ȴ＠䟥ȴŠ䟦ȴ﫠䟥ȴ猪䟥ȴʠ䟦ȴѠ䟦ȴ褐䟥ȴ怒䟥ȴ鸞䟥ȴ裂䟥ȴﵠ䟥ȴ裂䟥ȴ鸞䟥ȴ怒䟥ȴ褐䟥ȴѠ䟦ȴʠ䟦ȴ猪䟥ȴ﫠䟥ȴŠ䟦ȴ＠䟥ȴﮠ䟥ȴà䟦ȴ֠䟦ȴ8=쓹죈开老莡笁ȴ䄂莡笁ȴ䄂薡笁ȴ䄂赡笁ȴ䄂財笁ȴ䄂躡笁ȴ䄂翿僡ںȴ䄂蒡笁ȴ䄂翿凑ںȴ䄂SID\{54E211B6-3650-4F75-8334-FA359598E1C5}\InprocServer32쓎죹怇老魸㲹翿Ԡⅱȴℐ⛌ȴࠠ@W䎻ᚎ䑗ᚎA皼쓟죮愀老https://totalenvmt.sharepoint.com/sites/pmo/Shared Documents/02 Design/Projects/Contracts/0059_PoaRR/Design Fee 23/03 Yearly/T08/쐬젟戇老E&lt;resolutionId provider=&quot;None&quot;&gt;&lt;localId name=&quot;Author&quot;/&gt;&lt;/resolutionId&gt;쐽젌挀老턡笂ȴ䄂턡笂ȴ䄂쒡笂ȴ䄂욡笂ȴ䄂읡笂ȴ䄂졡笂ȴ䄂쪡笂ȴ䄂챡笂ȴ䄂鷱ںȴ䄂쐒젽擷老笂ȴ䄂翾笂ȴ䄂翾笂ȴ䄂笂ȴ䄂笂ȴ䄂視笂ȴ䄂笂ȴ䄂瑱笂ȴ䄂ﬡ笂ȴ䄂ﴡ笂ȴ䄂Ａ笂ȴ䄂ﰡ笂ȴ䄂笂ȴ䄂笂ȴ䄂笂ȴ䄂笂ȴ䄂쑣졒攀老ers쑰졃暎老ㅷࠟ힗鬒퉣攑ꘈ时뢹鋺쬃纡죡谍됾鄛ʾ师妟筱ﴑ샠迣흙加킡呋䣒䢖矯⧩쬆၃⾠ᘼⶎỾ㱕쏬ഘⶳꯄ獗匛﮺﨟貽凓⁑幇翯ꮘ䈗藊齜㜢䔴幃鸀茢톯쟦ᜓꓩ摩职꒶轿祝鞞⹩邳Ფ정쮬⥏竬嵜誟풸묌볐뗋ấ켈䇄ഃڽꃃ죴唷䉹ꬵ顁ﳯ㤓믃揯聼좜䙉歰芠㹐Ӑ쪶씥ׁ录糲圯꿑澕涬歹쑁조最老ڹȴ胈ڹȴ胈ڹȴ臚ᐑ৛ȴ耐⟱৚ȴ聀橁翾聀䜠夰ȴĀ翾䡀夰ȴĀ翾䢀夰ȴĀ翾䥠夰ȴĀ翾䥠夰ȴĀ翾눸膬ȴĀ﷠ㆰȴĀ翾ÀㆱȴĀ翾ÀㆱȴĀ翾쬐如ȴ䄂翿៫쑖졡栀老잧잖椀老잴잇樀老Author遰臠ȴā臠ȴlags翿ȁād㕿å㕿å&#10;臍ȴ笁ȴs翿鄑㕿å㕿å&#10;ime翿뷧揀Ǚ㕿å㕿å입잴欀老\REGISTRY\USER\S-1-5-21-2616738511-4190267537-3980908136-2754\Software\Microsoft\Office\16.0\Common\TargetedMessagingService잚장氀老핡笂ȴ䄂핡笂ȴ䄂笂ȴ䄂혡笂ȴ䄂笂ȴ䄂笂ȴ䄂햡笂ȴ䄂笂ȴ䄂홡笂ȴ䄂휡笂ȴ䄂넑ںȴ䄂녁ںȴ䄂笂ȴ䄂笂ȴ䄂5}\InprocServer32쟫쟚洀老笂ȴ䄂翾笂ȴ䄂翾﷡笂ȴ䄂翾說笂ȴ䄂翾ﭡ笂ȴ䄂翾︡笂ȴ䄂翾笂ȴ䄂翾｡笂ȴ䄂翾ﾡ笂ȴ䄂翾笂ȴ䄂翾쟸쟋渀老ɐ⛜ȴå龰㶆翿黠㶆翿ꀨ㶆翿齠㶆翿鼀㶆翿鼠㶆翿齀㶆翿ꃈ㶆翿꠰㶆翿黈㶆翿龈㶆翿쟉쟸漀老濸伂ȴ捈伂ȴ瘘伂ȴ皈伂ȴ筘伂ȴ橈伂ȴ罈伂ȴ踨伂ȴ羸伂ȴ靘伂ȴ쟞쟩瀀老윯윞焀老⤀穮ȴ⧠穮ȴlenvhttp://schemas.openxmlformats.org/package/2006/relationshipsoje륔㪚翿nt⤀穮ȴ&lt;00윀ⱜȴ윀ⱜȴ⧀穮ȴ03%20Yearly/으윏爀老IF('Design Fee'!JQ73&gt;0,2,&quot;-&quot;)l\Microsoft\Office\16.0\OfficeFileCache\0\0\A4HAAAANBSFNEMFCCDESFUEGDJBVG6BY\OHPHPCCAL27XK.T撯㲯K.T윍으猀老悀窅ȴ00zx'q'ă0ă0⬀穮ȴ읢윭琀老魸㲹翿චⅱȴℐ⛌ȴࠠ̀Wꗰᘿ똹ᙆA崯읳읂甀老牵潩ⴰ穮ȴⴰ穮ȴ捐妯ȴⵈ穮ȴⵈ穮ȴ顈⋡翿ƻ은읳瘀老IF('Design Fee'!KQ73&gt;0,2,&quot;-&quot;)䞞契ꃆ쁴鰋憈嬻׍䣦鬽㝺㵅왧뤙쟂䴣隧솒뭿랸鷏嘵祡꼪셷ᩍ픏䘩铓ﾧ潃㧓䌵앪娇竗族烣騗릙ꔘㅂ꒧⁥뿝튅ᙓὄ扄ê᳞ࢂ繇䏡抝䆓鳍犯ꠝ디㦝ꔴ錝䲱ﾜ䚡㸺僟䄲僡픐嬞칻䮩щ寺ǵꞕﮀ徒Ꙫވ㐴O.T응읠眀老꫏䥩ఁ䁚ྜྷⷾ髊農䱉붫릩䁕覀똦愩ꄱꁎ붘ᐬ଀ì⻀赀️쨭늚䦏ꭌꦽ޹嗞̀ͷ쀀쀮ྑⷾ髊農䱉붫릩䁕崃칵숀ȃᔀς뀀΢釀️쨭늚䦏ꭌꦽ޹嗞@ﱷࠀ⤫虼鷳뫋ﶽ돹抆᥉狇ᄐ.⭸䈩⎮␵⁚쀈踰롪ద摩஁紈抰偝͋ᐄ؀ࠀ℀븀嚆ࡧı숀߂က砀⽬慣捬桃楡⹮浸祬욦욑砀老IF('Design Fee'!KS73&gt;0,2,&quot;-&quot;)铠ᾱӦ넥뵕岧ḫ䊪归粈ᙁ齐⏢ꙭ籎寍ģ鸐Ӿ尮存칋蚅ḹ攋䢁嚝Შ꺶烥習៾鄤액䣪ɩ侖ꏋ㬃雷큍渴腾⩵⚂か栅贺ﾊ쳳즙챉⏀珗샶厯Ꮍꌷ낤덈솞䣠䴍渌෦憦싌褋ﲔ৛麉惊㤜뼁딌赝葫ꬃꨨ흲隁饝霿욷욆礀老魰ख़ȴå裰⣴翿裰⣴翿裰⣴翿裰⣴翿裰⣴翿裰⣴翿裰⣴翿裰⣴翿裰⣴翿裰⣴翿裰⣴翿裰⣴翿裰⣴翿裰⣴翿裰⣴翿裰⣴翿裰⣴翿裰⣴翿裰⣴翿裰⣴翿裰⣴翿裰⣴翿裰⣴翿裰⣴翿裰⣴翿裰⣴翿裰⣴翿裰⣴翿裰⣴翿裰⣴翿욄욷稀老욕욤笀老쒈訝Ẅ|嬈塭翷(ྠ웪웕簀老쒈訝Ẅ|嬈塭翷ྠ웻웊紀老椡笂ȴ䄂翾椡笂ȴ䄂翾採笂ȴ䄂翾梡笂ȴ䄂翾昡笂ȴ䄂翾泡笂ȴ䄂翾擡笂ȴ䄂翾桡笂ȴ䄂翾没笂ȴ䄂翾次笂ȴ䄂翾憡笂ȴ䄂翾棡笂ȴ䄂翾㮠笁ȴ䄂翾㮠笁ȴ䄂翾㵠笁ȴ䄂翾퓀⊟ȴĂ翾웈웻縀老쳡笂ȴ䄂쳡笂ȴ䄂췡笂ȴ䄂칡笂ȴ䄂캡笂ȴ䄂콡笂ȴ䄂킡笂ȴ䄂쇡笂ȴ䄂퉡笂ȴ䄂푡笂ȴ䄂ꛁںȴ䄂ꔑںȴ䄂笂ȴ䄂笂ȴ䄂웙웨翿老翐䟣ȴ翐䟣ȴ葐䟣ȴ磐䟣ȴ窐䟣ȴ縐䟣ȴ耐䟣ȴ蛐䟣ȴ舐䟣ȴ蘐䟣ȴ碐䟣ȴ籐䟣ȴ罐䟣ȴ艐䟣ȴ結䟣ȴ聐䟣ȴ竐䟣ȴ蠐䟣ȴ繐䟣ȴ礐䟣ȴ糐䟣ȴ肐䟣ȴ芐䟣ȴ綐䟣ȴ胐䟣ȴĂ翾퀐苣ȴ䄂翾ퟰ苣ȴ䄂翾튰苣ȴ䄂翿옮옙耀老IF(_{r0}&gt;0,2,&quot;-&quot;)\-#,##0.0_ ;_ * &quot;-&quot;??_ ;_ @_ @_ 옿옎脇送!vinod.soudi@total-environment.com㈀㈶1옌옿舀老IF('Design Fee'!KY73&gt;0,2,&quot;-&quot;)_ * &quot;-&quot;??_ ;_ @_  옝올茇老IF(_{r6}&gt;0,2,&quot;-&quot;)#,##0_ ;_ * &quot;-&quot;??_ ;_ @_ 　〮왲왝萀老IF(_{r5}&gt;0,2,&quot;-&quot;)* \-#,##0.000_ ;_ * &quot;-&quot;??_ ;_ @_ 왃왲蔇老IF(_{r14}&gt;0,2,&quot;-&quot;),##0\);_(* &quot;-&quot;??_);_(@_)왐왣蘀老IF(_{r19}&gt;0,2,&quot;-&quot;)\(#,##0.00\);_(* &quot;-&quot;??_);_(@_)騤칋Ოୁ椗ⴥ᰺鈨㦨茎삒泝Ѯ㴠㓱㉎뺢돟ꜫꇿ␶솜괁됢跧鱒⵳返훎࿦뗆Ữꋥ郁ଐₓ㕆혻扔㰡覩ۀ蘖붚鎬线헰讖毪釶楧盗㻱琼嶻ᖘቱ䤖薒᝹ཷ亮涾횿빯＀Ͽ송얐蟷老COUNT(_{r0})(* \(#,##0\);_(* &quot;-&quot;??_);_(@_)砀散l솶얁蠀老IF(_{r22}&gt;0,2,&quot;-&quot;)\-#,##0.00_ ;_ * &quot;-&quot;??_ ;_ @_ @_ 솇얶褣老IF(_{r23}&gt;0,2,&quot;-&quot;)汆条s?솔얧言老È翾Ѐȵ.$翿$$$㾀㾀⣿∛޲Ԁ莄徠傱ȴ㏠傱ȴ㫠傱ȴ㌀傱ȴ因傱ȴ쇥엔謀老IF(_{r7}&gt;0,2,&quot;-&quot;)\-#,##0.0_ ;_ * &quot;-&quot;??_ ;_ @_ 쇺업谀老IF('Design Fee'!CE51&gt;0,2,&quot;-&quot;)쇋엺贀老뤀苟ȴᅼ翾/ٞہ/0륰苟ȴ퀰৚ȴٞہnt륰苟ȴ吀苤ȴ棁ıå왐翾䜰穮ȴ哐苤ȴ쇘엫踀老IF(_{r2}&gt;0,2,&quot;-&quot;)* \-#,##0.000_ ;_ * &quot;-&quot;??_ ;_ @_ kage/2006/relationships륔㪚翿䟐穮ȴ&lt;ᕠ聽ȴᕠ聽ȴ䢐穮ȴ섩씘輀老IF(_{r15}&gt;0,2,&quot;-&quot;),##0_ ;_ * &quot;-&quot;??_ ;_ @_ ꅋ섾씉退老IF(_{r20}&gt;0,2,&quot;-&quot;)섏씾鄀老IF(_{r12}&gt;0,2,&quot;-&quot;),##0\);_(* &quot;-&quot;??_);_(@_)㌀㄰䨭湡서씯鈀老IF(_{r21}&gt;0,2,&quot;-&quot;)\-#,##0.00_ ;_ * &quot;-&quot;??_ ;_ @_ 셭앜錀老IF(_{r24}&gt;0,2,&quot;-&quot;)\-#,##0.00_ ;_ * &quot;-&quot;??_ ;_ @_ @_ 셂앍鐀老IF('Design Fee'!CC51&gt;0,2,&quot;-&quot;)栀牡灥楯瑮挮浯셓앢销老Ꞑ⊓ȴ쪨翾睠翾盘翾翾⩰⊳ȴ厸翾쌀僔ȴ睰翾翾禀翾鸰翾秈翾엀苣ȴ稀翾址翾箰翾쬰苣ȴ緐翾翾䒰翾翾愸翾⊙ȴ赸翾ﴠ⊙ȴ翾翾翾鮰翾삠쒓阀老IF('Design Fee'!KW73&gt;0,2,&quot;-&quot;) ;_ * &quot;-&quot;??_ ;_ @_  삱쒀需老IF(_{r0}&gt;0,2,&quot;-&quot;)#,##0_ ;_ * &quot;-&quot;??_ ;_ @_ _(@_)ꢀꌹﳞࣙ삆쒱頀老È翾Ѐȑ.D&amp;DD㾀㾀⣿∛䆱ᖘ茄,輐翾삗쒦餀老COUNT(_{r0}) * \-#,##0_ ;_ * &quot;-&quot;??_ ;_ @_ @_  @_ 샤쓗騀老쒈訝Ẅ 299==AAEEGG &#10;&#10;&#10;Q&#10;&#10;299==AAEEGG샵쓄鬀老IF('Design Fee'!CD51&gt;0,2,&quot;-&quot;)0_ ;_ * &quot;-&quot;??_ ;_ @_  샊쓵鰀老COUNT(_{r0}) ;_ * \-#,##0.00_ ;_ * &quot;-&quot;??_ ;_ @_ 샛쓪鴀老COUNT(_{r0}) ;_ * \-#,##0.00_ ;_ * &quot;-&quot;??_ ;_ @_ 쀨쐛鸀老띠翾쁀翾❠Ċ鏠ĀǴ렀翾茈奨ȴ茈奨ȴЄB쀹쐈鼀老IF(_{r3}&gt;0,2,&quot;-&quot;)#,##0\);_(* &quot;-&quot;??_);_(@_)_ @_  쀎쐹ꀀ老IF(_{r9}&gt;0,2,&quot;-&quot;) \(#,##0.00\);_(* &quot;-&quot;??_);_(@_)쀟쐮ꄀ老IF('Design Fee'!KX73&gt;0,2,&quot;-&quot;)&quot;-&quot;??_ ;_ @_ _ @_ 쁬쑟ꋿ老IF('Design Fee'!CB51&gt;0,2,&quot;-&quot;)&quot;-&quot;??_);_(@_)쁽쑌ꌀ老COUNT(_{r0});_ * \-#,##0.0_ ;_ * &quot;-&quot;??_ ;_ @_ ㈶1쁒쑽ꐇ老_{r0}##0_);_(* \(#,##0\);_(* &quot;-&quot;??_);_(@_)愓폃攫㽩쎣쎒ꔀ老IF(_{r10}&gt;0,2,&quot;-&quot;)-#,##0.0_ ;_ * &quot;-&quot;??_ ;_ @_  ackage/2006/relationships륔㪚翿恀穮ȴ&lt;彐聽ȴ彐聽ȴ愀穮ȴ쎰쎃ꘇ老瓠翾愰穮ȴЀ吮湥 㟀穮ȴ䄸翾䃈翾䄀翾㨰翾)&#10;쎁쎰꜀老IF(_{r13}&gt;0,2,&quot;-&quot;),##0_ ;_ * &quot;-&quot;??_ ;_ @_ 椀㍮2쎖쎡ꠇ老COUNT(_{r0});_ * \-#,##0.0_ ;_ * &quot;-&quot;??_ ;_ @_ 苤ȴ쏧쏖꤀老쏴쏇꫷老촀苟ȴᅼ翾鞘翾ٞڳ/0춰苟ȴ컰৚ȴٞڳnt춰苟ȴ넀䟣ȴ왐翾昀穮ȴ뇐䟣ȴ쏅쏴꬀老IF(_{r0}&gt;0,2,&quot;-&quot;) \(#,##0.00\);_(* &quot;-&quot;??_);_(@_)쏚쏥갠老È翾Ѐ#簮Π⊥ȴ㾀㾀⣿ယ঱茄翾缀⊥ȴ輐翾ȴ翾쌫쌚관老IF(_{r11}&gt;0,2,&quot;-&quot;),##0\);_(* &quot;-&quot;??_);_(@_)_ @_ 쌸쌋글老癸翾쪨翾盈翾쪨翾ꑠ翾纈翾䖈翾⊤ȴ俈翾翾㏨翾圐⊳ȴ䊈翾⛀貢ȴ䋀翾鷠翾䎈翾ڹȴ䏀翾쪨翾䏸翾쪨翾ະ翾쪨翾䣠翾꿰⊳ȴ㏈翾⊙ȴ㐀翾쪨翾㐀翾쪨翾쌉쌸꼀老ꗑ如ȴ䄂翾ꗑ如ȴ䄂翾ꁑ如ȴ䄂翾ꬑ如ȴ䄂翾ꢑ如ȴ䄂翾ꓑ如ȴ䄂翾깑如ȴ䄂翾꼑如ȴ䄂翾Ā翾金䟣ȴ䄂褑䟣ȴ䄂鎑䟣ȴ䄂阑䟣ȴ䄂∀⊠ȴĀ翾쌞쌩뀀老COUNT(_{r0});_ * \-#,##0.0_ ;_ * &quot;-&quot;??_ ;_ @_    썯썞넀老苟ȴᅼ翾빠䏊翿ٞڳ苟ȴ톐৚ȴٞڳ苟ȴ开絴ȴp왐翾浰穮ȴ忀絴ȴ썼썏눀老볐如ȴ볐如ȴ땐如ȴ닐如ȴ밐如ȴ랐如ȴ뗐如ȴ묐如ȴ뢐如ȴ댐如ȴ느如ȴ紐䟣ȴ腐䟣ȴ菐䟣ȴ脐䟣ȴ菐䟣ȴ腐䟣ȴ紐䟣ȴ썍썼대老IF(_{r0}&gt;0,2,&quot;-&quot;)耀==AAEEGG &#10;&#10;&#10;Q&#10;&#10;299==AAEEGG슢썭됀老COUNT(_{r0});_ * \-#,##0.0_ ;_ * &quot;-&quot;??_ ;_ @_   &#10;슳슂딀老IF(_{r16}&gt;0,2,&quot;-&quot;)준翾슀슳똀老IF(_{r1}&gt;0,2,&quot;-&quot;)d翾슑슠뜀老IF(_{r17}&gt;0,2,&quot;-&quot;)䌮畯瑮싦싑렀老싷싆뤀老IF(_{r8}&gt;0,2,&quot;-&quot;)#,##0\);_(* &quot;-&quot;??_);_(@_)_ @_ 싄싷먀老IF(_{r18}&gt;0,2,&quot;-&quot;)档缀싕실묀送$suchita.sharma@total-environment.com숪숕밀老竨苟ȴ묠笂ȴ뜠笂ȴ놠笂ȴ顀絵ȴ멠笂ȴ룠笂ȴ률笂ȴ릠笂ȴ몠笂ȴ髀絵ȴ뭠笂ȴ銠絵ȴ둠笂ȴ蹀絵ȴ눠笂ȴ뮠笂ȴ뉠笂ȴ钀絵ȴ뙠笂ȴ앀僌ȴ쓰僌ȴ퓠僌ȴ쥐僌ȴ쒠僌ȴ찠僌ȴ挐僠ȴ提僠ȴ搐僠ȴ꼰備ȴ栐僠ȴ桐僠ȴ숻숊봀老꒑如ȴ䄂翾꒑如ȴ䄂翾ꖑ如ȴ䄂翾광如ȴ䄂翾Ā翾跑䟣ȴ䄂翾闑䟣ȴ䄂翾躑䟣ȴ䄂翾軑䟣ȴ䄂ڠ⊠ȴĀ翾숈숻븀老_{r0}##0_);_(* \(#,##0\);_(* &quot;-&quot;??_);_(@_)숙숨뼀老IF(_{r4}&gt;0,2,&quot;-&quot;) \-#,##0.00_ ;_ * &quot;-&quot;??_ ;_ @_ 쉮쉙쀀老IF('Design Fee'!FT63&gt;0,2,&quot;-&quot;)最苣ȴ쉿쉎섀老COUNT(_{r2})nv怀苤ȴ䕳癮缀䰀䉏䱁쉌쉿숀老IF(_{r22}&gt;0,2,&quot;-&quot;)瑮慲瑣欀苤ȴ쉝쉬쌀老IF('Design Fee'!FU63&gt;0,2,&quot;-&quot;)&quot;-&quot;??_);_(@_)퐀䟣ȴ춲솝쐀老IF('Design Fee'!FV63&gt;0,2,&quot;-&quot;)猀牥扏敪瑣摉춃솲엿老IF('Design Fee'!FR63&gt;0,2,&quot;-&quot;)猀牥扏敪瑣摉춐솣였老IF(_{r17}&gt;0,2,&quot;-&quot;)敒潣摲s췡쇐윇老IF('Design Fee'!FW63&gt;0,2,&quot;-&quot;)唀䥐췶쇁저老IF(_{r14}&gt;0,2,&quot;-&quot;)㏏å一倱偅う〰㄰い2췇쇶줇老IF('Design Fee'!EK63&gt;0,2,&quot;-&quot;)췔쇧쨀老IF('Design Fee'!CE63&gt;0,2,&quot;-&quot;)쨀䟣ȴ촥섔쬇老IF(_{r1}&gt;0,2,&quot;-&quot;)湡䥴d䰀䉏䱁촺섅찀老IF(_{r2}&gt;0,2,&quot;-&quot;)敓畱湥散敱촋섺췷老IF('Design Fee'!CB63&gt;0,2,&quot;-&quot;)猀o촘섫츀老IF('Design Fee'!DK63&gt;0,2,&quot;-&quot;)준䟣ȴ쵩션켠老IF(_{r10}&gt;0,2,&quot;-&quot;)䘮摱n䰀䉏䱁쵾셉퀀老IF(_{r6}&gt;0,2,&quot;-&quot;)䌮畯瑮攀苤ȴ쵏셾턀老COUNT(_{r0})ȴ栀苤ȴ齠㶆翿최셯툀老IF(_{r15}&gt;0,2,&quot;-&quot;)ƈ笣ȴȕ청삜팀老IF(_{r0}&gt;0,2,&quot;-&quot;)hare봀䟣ȴ첂삍퐀老IF(_{r8}&gt;0,2,&quot;-&quot;)#,##0_ ;_ * &quot;-&quot;??_ ;_ @_ 䰀䉏䱁첓삢픀老IF('Design Fee'!CD63&gt;0,2,&quot;-&quot;)漀浭牥楣污쳠샓혀老IF(_{r16}&gt;0,2,&quot;-&quot;)污呬灹e쳱샀휀老IF('Design Fee'!DJ63&gt;0,2,&quot;-&quot;)氀硳쳆샱老IF(_{r18}&gt;0,2,&quot;-&quot;)ƈ笣ȴ伀䥐쳗샦老IF('Design Fee'!DD63&gt;0,2,&quot;-&quot;)찤쀗老COUNT(_{r4})翿瘀湥⹴摉攀翾촀䟣ȴ찵쀄老IF(_{r7}&gt;0,2,&quot;-&quot;)普⹯敌敶l찊쀵老IF(_{r13}&gt;0,2,&quot;-&quot;)⹯敌敶l찛쀪老IF('Design Fee'!EJ63&gt;0,2,&quot;-&quot;)챨쁛老IF('Design Fee'!DH63&gt;0,2,&quot;-&quot;)最絴ȴ챹쁈老IF('Design Fee'!DN63&gt;0,2,&quot;-&quot;)챎쁹老IF('Design Fee'!EM63&gt;0,2,&quot;-&quot;)敭챟쁮老COUNT(_{r0})最苤ȴ湡䥴d툀䟣ȴ쾬ﾟ老IF(_{r3}&gt;0,2,&quot;-&quot;)摉攀翾팀䟣ȴ쾽ﾌ老IF('Design Fee'!EQ63&gt;0,2,&quot;-&quot;) ;_ * &quot;-&quot;??_ ;_ @_ 뼁ān쾒ﾽ老IF(_{r21}&gt;0,2,&quot;-&quot;)\-#,##0.00_ ;_ * &quot;-&quot;??_ ;_ @_ 쿣ￒ老COUNT(_{r3})翿挀苤ȴ湡䥴d쿰ￃ老IF(_{r11}&gt;0,2,&quot;-&quot;)atch쿁￰老IF('Design Fee'!ER63&gt;0,2,&quot;-&quot;)欀苤ȴ쿖￡老IF('Design Fee'!EI63&gt;0,2,&quot;-&quot;)켧６老COUNT(_{r1})nv渀苤ȴ条sȴ樀苤ȴ켴＇老IF('Design Fee'!CC63&gt;0,2,&quot;-&quot;)켅Ｔ老IF(_{r23}&gt;0,2,&quot;-&quot;)湡䥴d켚Ｅ老IF('Design Fee'!DG63&gt;0,2,&quot;-&quot;)敲콫ｚ老IF('Design Fee'!EL63&gt;0,2,&quot;-&quot;)苟ȴ콸ｋ老IF(_{r24}&gt;0,2,&quot;-&quot;),##0_ ;_ * &quot;-&quot;??_ ;_ @_ ㌀㈰ち浹は㍢㌰콉ｸ老IF('Design Fee'!DF63&gt;0,2,&quot;-&quot;)콞ｩ老IF('Design Fee'!ES63&gt;0,2,&quot;-&quot;)㿰캯ﺞ老IF('Design Fee'!FN63&gt;0,2,&quot;-&quot;)ໄ㇘ࣛ캼ﺏ老IF('Design Fee'!DM63&gt;0,2,&quot;-&quot;)준䟣ȴ캍ﺼ老IF(_{r5}&gt;0,2,&quot;-&quot;)敳呲灹e컢ﺭ老IF(_{r9}&gt;0,2,&quot;-&quot;)⹯敌敶l漀浭牥楣污컳ﻂ老IF(_{r12}&gt;0,2,&quot;-&quot;)hare컀ﻳ老IF(_{r19}&gt;0,2,&quot;-&quot;)湡䥴d컑ﻠ老IF(_{r20}&gt;0,2,&quot;-&quot;)\-#,##0.00_ ;_ * &quot;-&quot;??_ ;_ @_ -츦︑老IF('Design Fee'!DL63&gt;0,2,&quot;-&quot;)&quot;-&quot;??_);_(@_)츷︆豈老IF('Design Fee'!FO63&gt;0,2,&quot;-&quot;)준䟣ȴ츄︷切老IF('Design Fee'!FP63&gt;0,2,&quot;-&quot;)츕︤ﬀ老IF('Design Fee'!FQ63&gt;0,2,&quot;-&quot;)&quot;-&quot;??_);_(@_)_ @_ 칪﹕ﰀ老IF('Design Fee'!EO63&gt;0,2,&quot;-&quot;)칻﹊ﴀ老IF(_{r4}&gt;0,2,&quot;-&quot;)殗춯랁칈ﹻ︀老IF('Design Fee'!EP63&gt;0,2,&quot;-&quot;)칙﹨＀老IF('Design Fee'!DE63&gt;0,2,&quot;-&quot;)즮ﶙ耂IF('Design Fee'!ND63&gt;0,2,&quot;-&quot;)즿ﶎĀ耂IF('Design Fee'!NH63&gt;0,2,&quot;-&quot;)ᑻ䞮竡㾔즌ﶿȀ耂IF('Design Fee'!GY63&gt;0,2,&quot;-&quot;)증ﶬ̀耂IF('Design Fee'!NG63&gt;0,2,&quot;-&quot;)猀o짲﷝Ѐ耂IF('Design Fee'!JK63&gt;0,2,&quot;-&quot;)뤀䟣ȴ짃ﷲԀ耂IF('Design Fee'!NJ63&gt;0,2,&quot;-&quot;)弮෰㇘ࣛ짐﷣؀耂IF('Design Fee'!JQ63&gt;0,2,&quot;-&quot;)븀䟣ȴ줡ﴐ܀耂COUNT(_{r0}) ;_ * \-#,##0.00_ ;_ * &quot;-&quot;??_ ;_ @_ 8줶ﴁࠀ耂IF('Design Fee'!GZ63&gt;0,2,&quot;-&quot;)줇ﴶऀ耂IF('Design Fee'!NC63&gt;0,2,&quot;-&quot;)搀苣ȴ줔ﴧ਀耂COUNT(_{r2}) ;_ * \-#,##0.00_ ;_ * &quot;-&quot;??_ ;_ @_ ǽ쥥ﵔ௿耂IF('Design Fee'!ID63&gt;0,2,&quot;-&quot;)뼁ān쥺﵅ఀ耂IF('Design Fee'!HG63&gt;0,2,&quot;-&quot;)쥋ﵺഇ耂IF('Design Fee'!MA63&gt;0,2,&quot;-&quot;)뎀揀Ǚ쥘ﵫ฀耂IF('Design Fee'!HC63&gt;0,2,&quot;-&quot;)Ĭ좩ﲘ༇耂IF('Design Fee'!JG63&gt;0,2,&quot;-&quot;)섀䟣ȴ좾ﲉက耂IF('Design Fee'!ME63&gt;0,2,&quot;-&quot;)좏ﲾᄇ耂IF('Design Fee'!FX63&gt;0,2,&quot;-&quot;)묀䟣ȴ좜ﲯሀ耂COUNT(_{r1})(* \(#,##0\);_(* &quot;-&quot;??_);_(@_)ꅶ죭ﳜ᏷耂IF('Design Fee'!MD63&gt;0,2,&quot;-&quot;)宐揀Ǚ죂ﳍ᐀耂IF('Design Fee'!JH63&gt;0,2,&quot;-&quot;)j죓ﳢᔠ耂IF('Design Fee'!JN63&gt;0,2,&quot;-&quot;)뎀揀Ǚ젠ﰓᘀ耂IF('Design Fee'!LW63&gt;0,2,&quot;-&quot;)樀苣ȴ젱ﰀᜀ耂IF('Design Fee'!MZ63&gt;0,2,&quot;-&quot;)쐀䟣ȴ젆ﰱ᠀耂IF('Design Fee'!KS63&gt;0,2,&quot;-&quot;)젗ﰦᤀ耂IF('Design Fee'!KV63&gt;0,2,&quot;-&quot;)敥졤ﱗᨀ耂IF('Design Fee'!KR63&gt;0,2,&quot;-&quot;)졵ﱄᬀ耂IF('Design Fee'!IB63&gt;0,2,&quot;-&quot;)唀䥐졊ﱵᰀ耂IF('Design Fee'!NF63&gt;0,2,&quot;-&quot;)䤀I졛ﱪᴀ耂IF('Design Fee'!KZ63&gt;0,2,&quot;-&quot;)摭쮨ﮛḀ耂IF('Design Fee'!NI63&gt;0,2,&quot;-&quot;)쮹ﮈἀ耂IF('Design Fee'!IC63&gt;0,2,&quot;-&quot;)⩨쮎﮹ 耂IF('Design Fee'!LV63&gt;0,2,&quot;-&quot;)쮟ﮮ℀耂IF('Design Fee'!LY63&gt;0,2,&quot;-&quot;)쯬ﯟ∀耂IF('Design Fee'!IE63&gt;0,2,&quot;-&quot;)쯽﯌⌀耂IF('Design Fee'!JJ63&gt;0,2,&quot;-&quot;)쯒ﯽ␀耂IF('Design Fee'!GX63&gt;0,2,&quot;-&quot;)退䟬ȴ쬣﬒─耂IF('Design Fee'!GW63&gt;0,2,&quot;-&quot;)ᴀ䟮ȴ쬰ﬃ☀耂IF('Design Fee'!IF63&gt;0,2,&quot;-&quot;)禝쬁אּ✀耂IF('Design Fee'!JM63&gt;0,2,&quot;-&quot;)문쬖ﬡ⠀耂IF('Design Fee'!IK63&gt;0,2,&quot;-&quot;)䐀僜ȴ쭧ﭖ⤀耂IF('Design Fee'!JO63&gt;0,2,&quot;-&quot;)쭴קּ⨀耂IF('Design Fee'!JI63&gt;0,2,&quot;-&quot;)쭅ﭴ⬀耂IF('Design Fee'!JP63&gt;0,2,&quot;-&quot;)坸쭚ﭥⰀ耂IF('Design Fee'!KX63&gt;0,2,&quot;-&quot;)樀苤ȴ쪫漢ⴀ耂IF('Design Fee'!LX63&gt;0,2,&quot;-&quot;)쪸懲⻿耂IF('Design Fee'!LU63&gt;0,2,&quot;-&quot;)禝쪉視⼀耂IF('Design Fee'!KT63&gt;0,2,&quot;-&quot;)쪞睊〇耂IF('Design Fee'!IJ63&gt;0,2,&quot;-&quot;)문쫯﫞㄀耂IF('Design Fee'!II63&gt;0,2,&quot;-&quot;)쫼𢡊㈇耂IF('Design Fee'!HE63&gt;0,2,&quot;-&quot;)㿰쫍﫼㌀耂IF('Design Fee'!HF63&gt;0,2,&quot;-&quot;)뎀揀Ǚ쨢﫭㐇耂IF('Design Fee'!IH63&gt;0,2,&quot;-&quot;)쨳拓㔀耂IF('Design Fee'!KP63&gt;0,2,&quot;-&quot;)猀牥扏敪瑣摉쨀勉㛷耂IF('Design Fee'!KW63&gt;0,2,&quot;-&quot;)쨑蘒㜀耂IF('Design Fee'!HA63&gt;0,2,&quot;-&quot;)먀䟣ȴ쩦祝㠽耂IF('Design Fee'!IL63&gt;0,2,&quot;-&quot;)䰀䉏䱁쩷渚㤀耂IF('Design Fee'!KY63&gt;0,2,&quot;-&quot;)뎀揀Ǚ쩄勺㨀耂IF('Design Fee'!KQ63&gt;0,2,&quot;-&quot;)쩕賓㬀耂IF('Design Fee'!MB63&gt;0,2,&quot;-&quot;)ǽ햪秊㰀耂IF('Design Fee'!HD63&gt;0,2,&quot;-&quot;)漀浭牥楣污햻力㴀耂IF('Design Fee'!MC63&gt;0,2,&quot;-&quot;)했僚㸀耂IF('Design Fee'!NA63&gt;0,2,&quot;-&quot;)䜀䠽ȴ햙令㼀耂IF('Design Fee'!NB63&gt;0,2,&quot;-&quot;)猀o헮慄䀀耂IF('Design Fee'!GX63&gt;0,2,&quot;-&quot;)齀㶆翿ꃈ㶆翿꠰㶆翿黈㶆翿龈㶆翿헿硫䄀耂IF(_{r10}&gt;0,2,&quot;-&quot;)齠㶆翿鼀㶆翿鼠㶆翿齀㶆翿ꃈ㶆翿꠰㶆翿黈㶆翿龈㶆翿헌刺䈀耂IF('Design Fee'!EJ63&gt;0,2,&quot;-&quot;)齀㶆翿ꃈ㶆翿꠰㶆翿黈㶆翿龈㶆翿헝溺䌀耂IF('Design Fee'!GZ63&gt;0,2,&quot;-&quot;)齀㶆翿ꃈ㶆翿꠰㶆翿黈㶆翿龈㶆翿픲欄䐀耂IF('Design Fee'!HA63&gt;0,2,&quot;-&quot;)齀㶆翿ꃈ㶆翿꠰㶆翿黈㶆翿龈㶆翿픃爐䔀耂IF('Design Fee'!HC63&gt;0,2,&quot;-&quot;)齀㶆翿ꃈ㶆翿꠰㶆翿黈㶆翿龈㶆翿픐藍䘀耂IF(_{r7}&gt;0,2,&quot;-&quot;)齠㶆翿鼀㶆翿鼠㶆翿齀㶆翿ꃈ㶆翿꠰㶆翿黈㶆翿龈㶆翿핡縷䜀耂IF('Design Fee'!DG63&gt;0,2,&quot;-&quot;)齀㶆翿ꃈ㶆翿꠰㶆翿黈㶆翿龈㶆翿핶論䠀耂IF('Design Fee'!FQ63&gt;0,2,&quot;-&quot;)齀㶆翿ꃈ㶆翿꠰㶆翿黈㶆翿龈㶆翿핇略䤀耂IF('Design Fee'!FU63&gt;0,2,&quot;-&quot;)齀㶆翿ꃈ㶆翿꠰㶆翿黈㶆翿龈㶆翿핔不䨀耂IF('Design Fee'!GY63&gt;0,2,&quot;-&quot;)齀㶆翿ꃈ㶆翿꠰㶆翿黈㶆翿龈㶆翿풥䬀耂IF('Design Fee'!HD63&gt;0,2,&quot;-&quot;)齀㶆翿ꃈ㶆翿꠰㶆翿黈㶆翿龈㶆翿풺䰀耂IF('Design Fee'!HE63&gt;0,2,&quot;-&quot;)齀㶆翿ꃈ㶆翿꠰㶆翿黈㶆翿龈㶆翿풋䴀耂IF(_{r22}&gt;0,2,&quot;-&quot;)齠㶆翿鼀㶆翿鼠㶆翿齀㶆翿ꃈ㶆翿꠰㶆翿黈㶆翿龈㶆翿풘一耂IF(_{r9}&gt;0,2,&quot;-&quot;)齠㶆翿鼀㶆翿鼠㶆翿齀㶆翿ꃈ㶆翿꠰㶆翿黈㶆翿龈㶆翿퓩伀耂IF('Design Fee'!ES63&gt;0,2,&quot;-&quot;)齀㶆翿ꃈ㶆翿꠰㶆翿黈㶆翿龈㶆翿퓾倀耂IF(_{r20}&gt;0,2,&quot;-&quot;)齠㶆翿鼀㶆翿鼠㶆翿齀㶆翿ꃈ㶆翿꠰㶆翿黈㶆翿龈㶆翿퓏凿耂IF('Design Fee'!EO63&gt;0,2,&quot;-&quot;)齀㶆翿ꃈ㶆翿꠰㶆翿黈㶆翿龈㶆翿퓜刀耂COUNT(_{r4})翿ꀨ㶆翿齠㶆翿鼀㶆翿鼠㶆翿齀㶆翿ꃈ㶆翿꠰㶆翿黈㶆翿龈㶆翿퐭匇耂IF('Design Fee'!FR63&gt;0,2,&quot;-&quot;)齀㶆翿ꃈ㶆翿꠰㶆翿黈㶆翿龈㶆翿퐂吀耂IF('Design Fee'!CB63&gt;0,2,&quot;-&quot;)齀㶆翿ꃈ㶆翿꠰㶆翿黈㶆翿龈㶆翿퐓唇耂IF(_{r6}&gt;0,2,&quot;-&quot;)齠㶆翿鼀㶆翿鼠㶆翿齀㶆翿ꃈ㶆翿꠰㶆翿黈㶆翿龈㶆翿푠嘀耂IF(_{r24}&gt;0,2,&quot;-&quot;)齠㶆翿鼀㶆翿鼠㶆翿齀㶆翿ꃈ㶆翿꠰㶆翿黈㶆翿龈㶆翿푱圇耂IF('Design Fee'!EQ63&gt;0,2,&quot;-&quot;)齀㶆翿ꃈ㶆翿꠰㶆翿黈㶆翿龈㶆翿푆堀耂COUNT(_{r3})翿ꀨ㶆翿齠㶆翿鼀㶆翿鼠㶆翿齀㶆翿ꃈ㶆翿꠰㶆翿黈㶆翿龈㶆翿푗姷耂IF('Design Fee'!DL63&gt;0,2,&quot;-&quot;)齀㶆翿ꃈ㶆翿꠰㶆翿黈㶆翿龈㶆翿힤娀耂IF('Design Fee'!DK63&gt;0,2,&quot;-&quot;)齀㶆翿ꃈ㶆翿꠰㶆翿黈㶆翿龈㶆翿ힵ實耂IF('Design Fee'!DN63&gt;0,2,&quot;-&quot;)齀㶆翿ꃈ㶆翿꠰㶆翿黈㶆翿龈㶆翿힊尀耂IF('Design Fee'!EL63&gt;0,2,&quot;-&quot;)齀㶆翿ꃈ㶆翿꠰㶆翿黈㶆翿龈㶆翿힛崀耂IF(_{r14}&gt;0,2,&quot;-&quot;)齠㶆翿鼀㶆翿鼠㶆翿齀㶆翿ꃈ㶆翿꠰㶆翿黈㶆翿龈㶆翿ퟨ帀耂IF(_{r23}&gt;0,2,&quot;-&quot;)齠㶆翿鼀㶆翿鼠㶆翿齀㶆翿ꃈ㶆翿꠰㶆翿黈㶆翿龈㶆翿ퟹ开耂IF('Design Fee'!CE63&gt;0,2,&quot;-&quot;)齀㶆翿ꃈ㶆翿꠰㶆翿黈㶆翿龈㶆翿"/>
        <Anchor>
          <Comment id="{9AF8C13D-7E99-4D73-B14B-8A5FF33F8869}"/>
        </Anchor>
        <Assign userId="COUNT(_{r0})" userName="IF(_{r11}&gt;0,2,&quot;-&quot;)" userProvider="IF(_{r17}&gt;0,2,&quot;-&quot;)"/>
      </Event>
      <Event time="2023-03-12T10:46:06.01" id="{5E5C5BE8-1FB7-4311-8BDB-7CE43215BDF1}">
        <Attribution userId="IF(_{r20}&gt;0,2,&quot;-&quot;)" userName="IF(_{r2}&gt;0,2,&quot;-&quot;)" userProvider="訝Ẅ 299==AAEEGG &#10;&#10;&#10;Q&#10;&#10;299==AAEEGGXLSﱉ큸耀IF(_{r1}&gt;0,2,&quot;-&quot;)튰竪ȴ脀⡐⛉ȴ脀⥀⛉ȴ脀⿐⛉ȴ膀僐⛝ȴ膀戠翾絸ȴ茘翾ꡐ䟰ȴ葘翾ꡐ䟰ȴﱞ큩耀IF(_{r2}&gt;0,2,&quot;-&quot;)2_88E4_00104B2D4E50_.wvu.PrintTitles怀虐穭ȴ惈塭翷怀蝠穭ȴ惈塭翷怀貰穭ȴ惈塭翷怀骀穭ȴ惈塭翷怀⬸鶰穭ȴ惈塭翷怀뇠穭ȴ惈塭翷怀ﾯ쾞耀IF(_{r9}&gt;0,2,&quot;-&quot;)ƀﾼ쾏耀IF(_{r10}&gt;0,2,&quot;-&quot;)䄂ȴ㝀絹ȴ䄂å㕠絹ȴ䄂å㕠絹ȴ䄂å㝀絹ȴ䄂å㏠絹ȴ䄂å㗀絹ȴ䄂å㗀絹ȴ䄂å㏠絹ȴ䄂å㐐絹ȴ䄂å䘠臎ȴ䄂ȴ亠臎ȴ䄂ȴ䙠臎ȴ䄂ȴ錐奦ȴ䄂ȴﾍ쾼耀IF(_{r12}&gt;0,2,&quot;-&quot;)鮰翾睰翾翾秈翾°絹ȴ稀翾址翾箰翾＀絸ȴ䍀翾쪨翾䒰翾翾䕀翾翾䚐翾盘翾愸翾攐絸ȴ翾翾翾鮰翾翾鮰翾￢쾭耀IF(_{r13}&gt;0,2,&quot;-&quot;)Ѱ絹ȴ㝨翾棐絸ȴ㣘翾棐絸ȴ㮘翾萠絥ȴ㱐翾쪨翾ꀈ翾翾ꁀ翾萠絥ȴꂐ翾挀絸ȴ翾鳰翾翾鳰翾戠翾￀絸ȴ茘翾슐䟰ȴ葘翾슐䟰ȴ０翾쪨翾￳쿂耀IF(_{r5}&gt;0,2,&quot;-&quot;)裰⣴翿裰⣴翿裰⣴翿裰⣴翿裰⣴翿裰⣴翿裰⣴翿裰⣴翿裰⣴翿裰⣴翿裰⣴翿裰⣴翿裰⣴翿裰⣴翿裰⣴翿裰⣴翿裰⣴翿裰⣴翿裰⣴翿裰⣴翿裰⣴翿裰⣴翿裰⣴翿裰⣴翿裰⣴翿裰⣴翿裰⣴翿裰⣴翿￀쿳耀IF(_{r6}&gt;0,2,&quot;-&quot;).2776436Z [message     ] processing message: {&quot;C&quot;:&quot;d-650429B0-B,0!T16a,0!T16b,0!T16c,0!T16d,B0&quot;,&quot;M&quot;:[]}&#10;줉ﶾ뵈ƀ￑쿠耀IF(_{r16}&gt;0,2,&quot;-&quot;)숀胜ȴᅼ翾挀ఋȴٞڳh,슐胜ȴ㩀俈ȴٞڳnt슐胜ȴ錀伧ȴ๙翾왐翾Ꟑ穭ȴ鍐伧ȴＦ켑耀IF(_{r21}&gt;0,2,&quot;-&quot;)nvironment.com3064_.wvu.FilterData/Dropbox/00 BAG/Goals Y19 I 15-16/[TEMP.XLS]grp 灯쬀ਘ褁圏湩潤獷䐠獥瑫灯ⲩＷ켆龜耀IF(_{r18}&gt;0,2,&quot;-&quot;)ὀ絹ȴ㝨翾栐絸ȴ㣘翾栐絸ȴ㮘翾﬐絤ȴ愸翾榐絸ȴꀈ翾翾ꁀ翾﬐絤ȴꂐ翾ↀ絹ȴ翾鳰翾翾鳰翾戠翾ῐ絹ȴ茘翾௰絥ȴ葘翾௰絥ȴ＄켷切耀IF(_{r19}&gt;0,2,&quot;-&quot;)䳠臎ȴ䗠臎ȴ䱠臎ȴ䖠臎ȴ䖠臎ȴ䱠臎ȴ䗠臎ȴ䳠臎ȴ䘠臎ȴ亠臎ȴ䙠臎ȴ錐奦ȴ긠䟰ȴ緐翾翾⩐翾翾ະ翾쪨翾翾⊣ȴ翾鳰翾㕈翾翾㖀翾＀⊙ȴ５켤ﯷ耀IF(_{r20}&gt;0,2,&quot;-&quot;)鮰翾睰翾翾秈翾絸ȴ稀翾址翾箰翾絸ȴ㿨翾㽐翾䍀翾쪨翾䒰翾翾䕀翾翾䚐翾盘翾愸翾嬐絹ȴ翾翾翾鮰翾翾鮰翾ｪ콕ﰀ耀IF(_{r21}&gt;0,2,&quot;-&quot;)2776436Z [message     ] processing message: {&quot;C&quot;:&quot;d-650429B0-B,0!T16a,0!T16b,0!T16c,0!T16d,B0&quot;,&quot;M&quot;:[]}&#10;桃楡⹮浸祬ｻ콊ﶋ耀IF(_{r22}&gt;0,2,&quot;-&quot;)Āʀ糁ȴĀी糁ȴĀ훀她ȴĀ퉀她ȴĀ她ȴĀ她ȴĀ她ȴĀ她ȴĀ죠㇧ȴĀ유㇧ȴĀ쾠㇧ȴĀ퀠㇧ȴĀ欠㇨ȴĀｈ콻︀退჈侧ȴៈ侧ȴᠸ侧ȴᖘ侧ȴỈ侧ȴ✘侧ȴ␈侧ȴᵸ侧ȴᢨ侧ȴศ侧ȴᤘ侧ȴᾨ侧ȴ⇘侧ȴｙ콨＀耀IF(_{r24}&gt;0,2,&quot;-&quot;)鮰翾睰翾翾秈翾ՠ絹ȴ稀翾址翾箰翾ɠ絹ȴ䍀翾쪨翾䒰翾翾䕀翾翾䚐翾盘翾愸翾枰絸ȴ翾翾翾鮰翾翾鮰翾ﺮ캙老IF('Design Fee'!ID73&gt;0,2,&quot;-&quot;)ost Construction is not planned in CY23ﺿ캎Ā老IF('Design Fee'!IE73&gt;0,2,&quot;-&quot;)this is not loaded ???ﺌ캿Ȁ老IF('Design Fee'!JH73&gt;0,2,&quot;-&quot;)95% is divided by 12ﺝ캬̀老IF('Design Fee'!ES73&gt;0,2,&quot;-&quot;)95% is divided by 12ﻲ컝Ѐ老IF('Design Fee'!JK73&gt;0,2,&quot;-&quot;)95% is divided by 120Documents/02%20Design/Projects/Contracts/0059_PoaRR/Design%20Fee%2023ﻃ컲Ԁ老IF('Design Fee'!JM73&gt;0,2,&quot;-&quot;)this is not loaded ???c42-a951-14bb20890f34ﻐ컣؀老IF('Design Fee'!JN73&gt;0,2,&quot;-&quot;)ued till dec'22 had got deleted. Hence the values were not appearing︡츐܀老IF('Design Fee'!JO73&gt;0,2,&quot;-&quot;)comites/pmo/Shared%20Documents/02%20Design/Projects/Contracts/0059_PoaRR/Design%20Fee%2023︶츁ࠀ老IF('Design Fee'!JP73&gt;0,2,&quot;-&quot;)95% is divided by 12︇츶ऀ老IF('Design Fee'!EK73&gt;0,2,&quot;-&quot;)sued, Check and confirm︔츧਀老IF('Design Fee'!ER73&gt;0,2,&quot;-&quot;)this is not loaded ???﹥칔଀老IF('Design Fee'!DF73&gt;0,2,&quot;-&quot;)ﹺ칅ఀ老IF('Design Fee'!FN73&gt;0,2,&quot;-&quot;)95% is divided by 12﹋칺ഀ老IF('Design Fee'!FV73&gt;0,2,&quot;-&quot;)95% is divided by 12﹘칫฀老IF('Design Fee'!GX73&gt;0,2,&quot;-&quot;)95% is divided by 12囹춘ༀ老IF('Design Fee'!GY73&gt;0,2,&quot;-&quot;)ost Construction is not planned in CY23俟ȴ保ȴ０保ȴ保ȴ保ȴ縷保ȴ﬐保ȴ保ȴﾐ保ȴ保ȴ保ȴ戀保ȴ保ȴ保ȴ料춉က老IF('Design Fee'!HA73&gt;0,2,&quot;-&quot;)95% is divided by 12憐춾ᄀ老IF('Design Fee'!DE73&gt;0,2,&quot;-&quot;)this is not loaded ???c42-a951-14bb20890f34列춯ሀ老IF('Design Fee'!EI73&gt;0,2,&quot;-&quot;)this is not loaded ???[Ā४[Ā४[Ā४[Ā४[Ā४Ā४Ā४Ā४Ā४Ā४६७吝췜ጀ老IF('Design Fee'!FU73&gt;0,2,&quot;-&quot;)95% is divided by 120Documents/02%20Design/Projects/Contracts/0059_PoaRR/Design%20Fee%2023蓼췍᐀老IF('Design Fee'!HD73&gt;0,2,&quot;-&quot;)齀㶆翿ꃈ㶆翿꠰㶆翿黈㶆翿龈㶆翿陸췢ᔀ老IF('Design Fee'!IF73&gt;0,2,&quot;-&quot;)95% is divided by 12鸞촓᛿老IF('Design Fee'!FX73&gt;0,2,&quot;-&quot;)ost Construction is not planned in CY23櫓촀ᜀ老IF('Design Fee'!HC73&gt;0,2,&quot;-&quot;)爀摯捵楴湯句촱᠇老IF('Design Fee'!IB73&gt;0,2,&quot;-&quot;)this is not loaded ???c42-a951-14bb20890f3474珞촦ᤀ老IF('Design Fee'!II73&gt;0,2,&quot;-&quot;)ost Construction is not planned in CY23磻쵗ᨇ老IF('Design Fee'!EM73&gt;0,2,&quot;-&quot;)this is not loaded ???c42-a951-14bb20890f34掠쵄ᬀ老IF('Design Fee'!CC73&gt;0,2,&quot;-&quot;)爀摯捵楴湯壘쵵ᰇ老IF('Design Fee'!DH73&gt;0,2,&quot;-&quot;)95% is divided by 12拏쵪ᴀ老IF('Design Fee'!FP73&gt;0,2,&quot;-&quot;)ost Construction is not planned in CY230f34첛ỷ老IF('Design Fee'!EL73&gt;0,2,&quot;-&quot;)95% is divided by 12첈ἀ老IF('Design Fee'!GZ73&gt;0,2,&quot;-&quot;)95% is divided by 12첹⃣老IF('Design Fee'!DJ73&gt;0,2,&quot;-&quot;)95% is divided by 12瑣摉첮℀老IF('Design Fee'!EJ73&gt;0,2,&quot;-&quot;)95% is divided by 1256e-45f3-adac-be6829c80874쳟∀老IF('Design Fee'!DD73&gt;0,2,&quot;-&quot;)95% is divided by 12-4c42-a951-14bb20890f34쳌⌀老IF('Design Fee'!FT73&gt;0,2,&quot;-&quot;)95% is divided by 12쳽␀老IF('Design Fee'!CD73&gt;0,2,&quot;-&quot;)95% is divided by 1256e-45f3-adac-be6829c80874찒─老IF('Design Fee'!DM73&gt;0,2,&quot;-&quot;)95% is divided by 12찃☀老IF('Design Fee'!DK73&gt;0,2,&quot;-&quot;)95% is divided by 12ꢀꌹﳞࣙ찰✀老IF('Design Fee'!FQ73&gt;0,2,&quot;-&quot;)95% is divided by 12찡⠀老IF('Design Fee'!DG73&gt;0,2,&quot;-&quot;)95% is divided by 12:3pt;width:100.8pt;height:60pt;z-index:19;&#10;  visibility:hidden''en'챖⤀老IF('Design Fee'!DN73&gt;0,2,&quot;-&quot;)95% is divided by 12챇⨀老IF('Design Fee'!FW73&gt;0,2,&quot;-&quot;)7EBF1F7A30}[:[:[g챴⬀老IF('Design Fee'!DL73&gt;0,2,&quot;-&quot;)95% is divided by 12챥Ⰰ老IF('Design Fee'!GW73&gt;0,2,&quot;-&quot;)ued till dec'22 had got deleted. Hence the values were not appearingﮫ쮚ⴀ老IF('Design Fee'!HG73&gt;0,2,&quot;-&quot;)7E352E8FB3};margin-top:413.4pt;width:99pt;height:60pt;z-index:2;&#10;  visibility:hidden'en'﮸쮋⸀老IF('Design Fee'!IC73&gt;0,2,&quot;-&quot;)ost Construction is not planned in CY23ﮉ쮸⼀老IF('Design Fee'!IH73&gt;0,2,&quot;-&quot;)sued, Check and confirm-45f3-adac-be6829c80874ﮞ쮩　老IF('Design Fee'!IJ73&gt;0,2,&quot;-&quot;)絰舁ȴ‐舃ȴ泐臱ȴ믐妧ȴ糈ȴ㑰䟢ȴ夼ȴ㮐ㆿȴ倠糁ȴڻȴ퀐蘶ȴ†妯ȴﯯ쯞㄀老IF('Design Fee'!EP73&gt;0,2,&quot;-&quot;)009CBD48D2}¦ĐĒŮƿǒ̷;΀ψǡǼǔǟƽƽϊћǾəﯼ쯏㈀老IF(_{r24}&gt;0,2,&quot;-&quot;)潦浲缀椀㍮2﯍쯼㌀老IF('Design Fee'!CB73&gt;0,2,&quot;-&quot;)ued, Check and confirmﬢ쯭㐀老IF('Design Fee'!EO73&gt;0,2,&quot;-&quot;)דּ쬂㔀老IF('Design Fee'!HE73&gt;0,2,&quot;-&quot;)　〮ﬀ쬳㘀老IF('Design Fee'!IK73&gt;0,2,&quot;-&quot;)this is not loaded ???﬑쬠㜀老IF('Design Fee'!CE73&gt;0,2,&quot;-&quot;)&#10;ﭦ쭑㠀老IF('Design Fee'!FR73&gt;0,2,&quot;-&quot;)ost Construction is not planned in CY23ﭷ쭆㧿老IF('Design Fee'!EQ73&gt;0,2,&quot;-&quot;)ost Construction is not planned in CY239c80874פּ쭷㨀老IF('Design Fee'!IL73&gt;0,2,&quot;-&quot;)ued, Check and confirmc42-a951-14bb20890f3474ﭕ쭤㬇老IF('Design Fee'!JG73&gt;0,2,&quot;-&quot;)comꃈ㶆翿꠰㶆翿黈㶆翿龈㶆翿着쪕㰀老IF('Design Fee'!JI73&gt;0,2,&quot;-&quot;)this is not loaded ???c42-a951-14bb20890f3474請쪊㴇老IF('Design Fee'!FO73&gt;0,2,&quot;-&quot;)舀伧ȴ愈쪻㸀老IF('Design Fee'!HF73&gt;0,2,&quot;-&quot;)㈀㈶1滋쪨㼇老IF('Design Fee'!JJ73&gt;0,2,&quot;-&quot;)this is not loaded ???[Ā४[Ā४[Ā४[Ā४[Ā४Ā४Ā४Ā४Ā४Ā४६﫮쫙䀀老IF('Design Fee'!KR73&gt;0,2,&quot;-&quot;)櫋䴤惻㬻헢弡畬档瀺⎇糵봌뿾뭅瑛൛⦯묣ℙ귨館苚笫昈᭤ꎾЅ鏋씴鴤훧뽶礫呸軼딲腂ዾ诖奧샭暒䂖Ꞙᮨ䄦Ἷખ㎐傶떧籪폦餜壥䥅ⶴ℉勞ᧄ䃗⟾㉣䓧ꎴ槪尤䒼氌㮀ぁ즭룜ꑹᩃ妶첢㥪蚲ᗖ쑕抯碥゛L.T﫿쫎䇷老℡笁ȴ䄂å℡笁ȴ䄂å‡笁ȴ䄂åᎡ笁ȴ䄂åὡ笁ȴ䄂å₡笁ȴ䄂åᏡ笁ȴ䄂å᭡笁ȴ䄂åᐡ笁ȴ䄂å䏠笁ȴ䄂ȴ⊟ȴĂ翾鸞笂ȴ䄂笂ȴ䄂쁰ںȴ䄂ȴ쌐ںȴ䄂翾怒笂ȴ䄂翾頻쫿䈀老㿡笁ȴ䄂㿡笁ȴ䄂㹡笁ȴ䄂㍡笁ȴ䄂㪡笁ȴ䄂㚡笁ȴ䄂㝡笁ȴ䄂㜡笁ȴ䄂㣡笁ȴ䄂㸡笁ȴ䄂96A0C-F192-11D4-A65F-0040963251E5}\InprocServer32﫝쫬䍬老ꯡ笂ȴ䄂ꯡ笂ȴ䄂ꌡ笂ȴ䄂ꞡ笂ȴ䄂ꡡ笂ȴ䄂ꧡ笂ȴ䄂軁ںȴ䄂褡ںȴ䄂꺡笂ȴ䄂겡笂ȴ䄂免쨝䐀老꫏䥩ఀꁘ鼴ꮮ；㝅葊徏ɉ癄聻聵䟙䡂䖤瓨챠᫻쀀‬鼜ꮮ；㝅葊徏ɉ癄ͻ_쀀鼛ꮮ；㝅葊徏ɉ癄ͻͷ甀ώς쉷ȃ眀ǧô撰偟͋਄ࠀ℀Ȁༀ砀⽬潷歲潢歯砮汭ꂰ 鼜ꮮ；㝅葊徏ɉ癄{ﱷࠀ⤫鵔츧罔嘆飳荿䤫䬬ูᄐ/⭸逩䈾꜍쌘ڰ밹෡掫ḃ線չ糖쨲䔀老뭪輧ᆢ텂돽鿱淪葘壌὚澙賧贋簄톕턞䣔봟쉫貢弄탿溰䪾鼱ﮩට띒峨녅ꣿ⩓埏阷껸嵓藶ʊ׳魳绻鑊⒑贇턘᭔ꘅ᪢⁍䁢ꭨ╁쪧𛯬닧脴幏ꞔὺ艟Ρ朝量⒙䞗憝촚ᎂ轭돜頩膫㚤଎쯭㇙ද襷␠劓띇勉璎䶳᛬붢᝾錔儝첅ⱔ⥿₉▝Ṙ詽彎廖ꔋ틻蹺└ᚦꬩ蝡䪵吳뾓寤ﬢ♗塚쨣䘀老È翾Ѐȋ.ǡ&lt;翿翿::㾀㾀⓿ሃֲᖘ莄Ǡ䄀企⋂-ȴ䄀翾視쩐䜀老潡笁ȴ䄂潡笁ȴ䄂污笁ȴ䄂烡笁ȴ䄂搡笁ȴ䄂浡笁ȴ䄂翿㹑ںȴ䄂朡笁ȴ䄂翿䆁ںȴ䄂柠笁ȴ䄂棠笁ȴ䄂抠笁ȴ䄂㹐ںȴ䄂涠笁ȴ䄂淠笁ȴ䄂拠笁ȴ䄂2勇쩁䠀老ﰀ臌ȴᅼ翾 ٞڳ12ﱀ臌ȴ鎐臠ȴٞڳ-0ﱀ臌ȴ蔀䟬ȴ 왐翾﷠穭ȴ薠䟬ȴ漢쩶䤀老IF('Design Fee'!KT73&gt;0,2,&quot;-&quot;)捜ꌴ䣙夒齲༕創鞞쓿苹䚕橶頞䙦鬺혷퀃喼駺㘷㯤㤦晑긹枣氨땂럝뇑濝홧勡뢶Σﰪ葿䊌癖䍪䯉煄ߜ㣻ഛ䕐⾴瑇ঙ벘⽛臶糒㕀ꪰ⁫嫶ﰠ퀔剷Ӝ莤坄᫔޶䀧䁄좚솪訕釗唪㎭韘⸸측H.T穀쩧䨀老笂ȴ䄂笂ȴ䄂笂ȴ䄂笂ȴ䄂笂ȴ䄂笂ȴ䄂笂ȴ䄂笂ȴ䄂笂ȴ䄂笂ȴ䄂96A0C-F192-11D4-A65F-0040963251E5}\InprocHandler얥즔䬀老IF('Design Fee'!KV73&gt;0,2,&quot;-&quot;)弩㹰쿒崱需Ⴁ悥넄콷藜ꆨ⧴巋꼢㧤긵棣쯧鲰砇に⏡놤ミዊ硷췦髵외׆伺鍬ᑲ딏徳部⴫騎㡖ꦙ悎䡰쎊ᅓ⎣㸳舍柧瑄㎩左䬟儶䈸ᕭ랈谤篪ﲕͧ뢨᪜ḙ㛾ⴎ胅턿鼖௱ﶌ뵅ꍗໄ꽞ା味鍁朘逃礓炃襬ᨼ뼁얙Ѩȴ2얺즅䰀老Authorᆀ穮ȴ» v䠽ȴ污呬灹e얋즺䴀老獡笁ȴ䄂獡笁ȴ䄂羡笁ȴ䄂粡笁ȴ䄂绡笁ȴ䄂繡笁ȴ䄂翿䡱ںȴ䄂聡笁ȴ䄂翿䣑ںȴ䄂珠笁ȴ䄂缠笁ȴ䄂穠笁ȴ䄂䡰ںȴ䄂狠笁ȴ䄂璠笁ȴ䄂甠笁ȴ䄂얘즫一老ɐ⛜ȴåΠⅱȴℐ⛌ȴܠʀW䗻ᘯ䘪ᘯA媇엩짘伀老런臠ȴ말臠ȴ배臠ȴ벐臠ȴ뤰臠ȴ뺰臠ȴ롐臠ȴ뼐臠ȴ륐臠ȴ쀰臠ȴ숰臠ȴ슐臠ȴ臠ȴ臠ȴ臠ȴ臠ȴ臠ȴ臠ȴ엾짉倀老쌑ںȴ䄂쌑ںȴ䄂笂ȴ䄂笂ȴ䄂率笂ȴ䄂뻱ںȴ䄂笂ȴ䄂笂ȴ䄂笂ȴ䄂엏짾儀老엜짯刀送⊾ȴଠ䟦ȴਠ䟦ȴዠ䟦ȴ௠䟦ȴ๠䟦ȴ࿠䟦ȴᐠ䟦ȴጠ䟦ȴᆠ䟦ȴࠠ䟦ȴྠ䟦ȴૠ䟦ȴ۠䟦ȴᏠ䟦ȴ۠䟦ȴૠ䟦ȴྠ䟦ȴࠠ䟦ȴᆠ䟦ȴጠ䟦ȴᐠ䟦ȴ࿠䟦ȴ๠䟦ȴ௠䟦ȴዠ䟦ȴਠ䟦ȴଠ䟦ȴ헐翾꛰⊳ȴ홨翾翾2씭줜匀老黡笁ȴ䄂黡笁ȴ䄂饡笁ȴ䄂ꃡ笁ȴ䄂鍡笁ȴ䄂釡笁ȴ䄂鱡笁ȴ䄂翿呱ںȴ䄂陡笁ȴ䄂翿嘡ںȴ䄂211B6-3650-4F75-8334-FA359598E1C5}\InprocServer32씂줍吀老ⓡ笁ȴ䄂ⓡ笁ȴ䄂╡笁ȴ䄂⠡笁ȴ䄂◡笁ȴ䄂⦡笁ȴ䄂⤡笁ȴ䄂ⱡ笁ȴ䄂♡笁ȴ䄂⚡笁ȴ䄂〡笁ȴ䄂씓줢唀老魡笁ȴ䄂魡笁ȴ䄂鮡笁ȴ䄂ꝡ笁ȴ䄂겡笁ȴ䄂ꐡ笁ȴ䄂翿卑ںȴ䄂ꑡ笁ȴ䄂翿叡ںȴ䄂ꊠ笁ȴ䄂ꅠ笁ȴ䄂ꤠ笁ȴ䄂卐ںȴ䄂뀠笁ȴ䄂ꓠ笁ȴ䄂ꔠ笁ȴ䄂애쥓嘀老牵潩ీ穮ȴీ穮ȴ嵐妯ȴౘ穮ȴౘ穮ȴ顈⋡翿ƻ앱쥀圀老앆쥱堀老쏑ںȴ䄂쏑ںȴ䄂李笂ȴ䄂﨡笂ȴ䄂笀ȴ䄂笀ȴ䄂뽑ںȴ䄂á笁ȴ䄂￡笀ȴ䄂笀ȴ䄂96A0C-F192-11D4-A65F-0040963251E5}\InprocHandler32앗쥦夀老ᣡ笁ȴ䄂ᣡ笁ȴ䄂᳡笁ȴ䄂ῡ笁ȴ䄂ጡ笁ȴ䄂ỡ笁ȴ䄂ᢡ笁ȴ䄂ሡ笁ȴ䄂ᛡ笁ȴ䄂쒤좗娀老翾㽀ںȴ绐翾ಸ仴ȴ㜰翾鱸翾㝨翾⿰貢ȴ㟨翾ꯐ⊳ȴ㨀翾ꯐ⊳ȴ㨸翾⤀貢ȴ愸翾㪐ںȴ鱸翾⨠貢ȴ턀翾김⊳ȴ퓈翾쪨翾픀翾쪨翾홨翾翾홨翾翾홨翾翾cServer32쒵좄嬀老IF('Design Fee'!KP73&gt;0,2,&quot;-&quot;)l\Microsoft\Office\16.0\OfficeFileCache\0\0\A4HAAAANBSFNEMFCCDESFUEGDJBVG6BY\P7D4OLJDQV66Q.T66Q.T쒊좵峿老臌ȴᅼ翾挀ఋȴٞڳ/0臌ȴ鯐臠ȴٞڳå臌ȴ吀僜ȴ๙翾왐翾ጠ穮ȴ咐僜ȴ2쒛좪崀送귫⊝ȴ盘翾꺒⊝ȴ쪨翾껛⊝ȴ쪨翾꽻⊝ȴ쪨翾뀘⊝ȴ紐ȴ끵⊝ȴ邐਎ȴ냉⊝ȴ邐਎ȴ늸⊝ȴ쪨翾㜰翾鱸翾㝨翾ꮀ等ȴ㟨翾檠ਧȴ㣘翾ꮀ等ȴꂐ翾灀伧ȴ翾紐ȴ萠翾㨘䢋ȴ쓨죛帇送藈⊾ȴ֠䟦ȴà䟦ȴﮠ䟥ȴ＠䟥ȴŠ䟦ȴ﫠䟥ȴ猪䟥ȴʠ䟦ȴѠ䟦ȴ褐䟥ȴ怒䟥ȴ鸞䟥ȴ裂䟥ȴﵠ䟥ȴ裂䟥ȴ鸞䟥ȴ怒䟥ȴ褐䟥ȴѠ䟦ȴʠ䟦ȴ猪䟥ȴ﫠䟥ȴŠ䟦ȴ＠䟥ȴﮠ䟥ȴà䟦ȴ֠䟦ȴ8=쓹죈开老莡笁ȴ䄂莡笁ȴ䄂薡笁ȴ䄂赡笁ȴ䄂財笁ȴ䄂躡笁ȴ䄂翿僡ںȴ䄂蒡笁ȴ䄂翿凑ںȴ䄂SID\{54E211B6-3650-4F75-8334-FA359598E1C5}\InprocServer32쓎죹怇老魸㲹翿Ԡⅱȴℐ⛌ȴࠠ@W䎻ᚎ䑗ᚎA皼쓟죮愀老https://totalenvmt.sharepoint.com/sites/pmo/Shared Documents/02 Design/Projects/Contracts/0059_PoaRR/Design Fee 23/03 Yearly/T08/쐬젟戇老E&lt;resolutionId provider=&quot;None&quot;&gt;&lt;localId name=&quot;Author&quot;/&gt;&lt;/resolutionId&gt;쐽젌挀老턡笂ȴ䄂턡笂ȴ䄂쒡笂ȴ䄂욡笂ȴ䄂읡笂ȴ䄂졡笂ȴ䄂쪡笂ȴ䄂챡笂ȴ䄂鷱ںȴ䄂쐒젽擷老笂ȴ䄂翾笂ȴ䄂翾笂ȴ䄂笂ȴ䄂笂ȴ䄂視笂ȴ䄂笂ȴ䄂瑱笂ȴ䄂ﬡ笂ȴ䄂ﴡ笂ȴ䄂Ａ笂ȴ䄂ﰡ笂ȴ䄂笂ȴ䄂笂ȴ䄂笂ȴ䄂笂ȴ䄂쑣졒攀老ers쑰졃暎老ㅷࠟ힗鬒퉣攑ꘈ时뢹鋺쬃纡죡谍됾鄛ʾ师妟筱ﴑ샠迣흙加킡呋䣒䢖矯⧩쬆၃⾠ᘼⶎỾ㱕쏬ഘⶳꯄ獗匛﮺﨟貽凓⁑幇翯ꮘ䈗藊齜㜢䔴幃鸀茢톯쟦ᜓꓩ摩职꒶轿祝鞞⹩邳Ფ정쮬⥏竬嵜誟풸묌볐뗋ấ켈䇄ഃڽꃃ죴唷䉹ꬵ顁ﳯ㤓믃揯聼좜䙉歰芠㹐Ӑ쪶씥ׁ录糲圯꿑澕涬歹쑁조最老ڹȴ胈ڹȴ胈ڹȴ臚ᐑ৛ȴ耐⟱৚ȴ聀橁翾聀䜠夰ȴĀ翾䡀夰ȴĀ翾䢀夰ȴĀ翾䥠夰ȴĀ翾䥠夰ȴĀ翾눸膬ȴĀ﷠ㆰȴĀ翾ÀㆱȴĀ翾ÀㆱȴĀ翾쬐如ȴ䄂翿៫쑖졡栀老잧잖椀老잴잇樀老Author遰臠ȴā臠ȴlags翿ȁād㕿å㕿å&#10;臍ȴ笁ȴs翿鄑㕿å㕿å&#10;ime翿뷧揀Ǚ㕿å㕿å입잴欀老\REGISTRY\USER\S-1-5-21-2616738511-4190267537-3980908136-2754\Software\Microsoft\Office\16.0\Common\TargetedMessagingService잚장氀老핡笂ȴ䄂핡笂ȴ䄂笂ȴ䄂혡笂ȴ䄂笂ȴ䄂笂ȴ䄂햡笂ȴ䄂笂ȴ䄂홡笂ȴ䄂휡笂ȴ䄂넑ںȴ䄂녁ںȴ䄂笂ȴ䄂笂ȴ䄂5}\InprocServer32쟫쟚洀老笂ȴ䄂翾笂ȴ䄂翾﷡笂ȴ䄂翾說笂ȴ䄂翾ﭡ笂ȴ䄂翾︡笂ȴ䄂翾笂ȴ䄂翾｡笂ȴ䄂翾ﾡ笂ȴ䄂翾笂ȴ䄂翾쟸쟋渀老ɐ⛜ȴå龰㶆翿黠㶆翿ꀨ㶆翿齠㶆翿鼀㶆翿鼠㶆翿齀㶆翿ꃈ㶆翿꠰㶆翿黈㶆翿龈㶆翿쟉쟸漀老濸伂ȴ捈伂ȴ瘘伂ȴ皈伂ȴ筘伂ȴ橈伂ȴ罈伂ȴ踨伂ȴ羸伂ȴ靘伂ȴ쟞쟩瀀老윯윞焀老⤀穮ȴ⧠穮ȴlenvhttp://schemas.openxmlformats.org/package/2006/relationshipsoje륔㪚翿nt⤀穮ȴ&lt;00윀ⱜȴ윀ⱜȴ⧀穮ȴ03%20Yearly/으윏爀老IF('Design Fee'!JQ73&gt;0,2,&quot;-&quot;)l\Microsoft\Office\16.0\OfficeFileCache\0\0\A4HAAAANBSFNEMFCCDESFUEGDJBVG6BY\OHPHPCCAL27XK.T撯㲯K.T윍으猀老悀窅ȴ00zx'q'ă0ă0⬀穮ȴ읢윭琀老魸㲹翿චⅱȴℐ⛌ȴࠠ̀Wꗰᘿ똹ᙆA崯읳읂甀老牵潩ⴰ穮ȴⴰ穮ȴ捐妯ȴⵈ穮ȴⵈ穮ȴ顈⋡翿ƻ은읳瘀老IF('Design Fee'!KQ73&gt;0,2,&quot;-&quot;)䞞契ꃆ쁴鰋憈嬻׍䣦鬽㝺㵅왧뤙쟂䴣隧솒뭿랸鷏嘵祡꼪셷ᩍ픏䘩铓ﾧ潃㧓䌵앪娇竗族烣騗릙ꔘㅂ꒧⁥뿝튅ᙓὄ扄ê᳞ࢂ繇䏡抝䆓鳍犯ꠝ디㦝ꔴ錝䲱ﾜ䚡㸺僟䄲僡픐嬞칻䮩щ寺ǵꞕﮀ徒Ꙫވ㐴O.T응읠眀老꫏䥩ఁ䁚ྜྷⷾ髊農䱉붫릩䁕覀똦愩ꄱꁎ붘ᐬ଀ì⻀赀️쨭늚䦏ꭌꦽ޹嗞̀ͷ쀀쀮ྑⷾ髊農䱉붫릩䁕崃칵숀ȃᔀς뀀΢釀️쨭늚䦏ꭌꦽ޹嗞@ﱷࠀ⤫虼鷳뫋ﶽ돹抆᥉狇ᄐ.⭸䈩⎮␵⁚쀈踰롪ద摩஁紈抰偝͋ᐄ؀ࠀ℀븀嚆ࡧı숀߂က砀⽬慣捬桃楡⹮浸祬욦욑砀老IF('Design Fee'!KS73&gt;0,2,&quot;-&quot;)铠ᾱӦ넥뵕岧ḫ䊪归粈ᙁ齐⏢ꙭ籎寍ģ鸐Ӿ尮存칋蚅ḹ攋䢁嚝Შ꺶烥習៾鄤액䣪ɩ侖ꏋ㬃雷큍渴腾⩵⚂か栅贺ﾊ쳳즙챉⏀珗샶厯Ꮍꌷ낤덈솞䣠䴍渌෦憦싌褋ﲔ৛麉惊㤜뼁딌赝葫ꬃꨨ흲隁饝霿욷욆礀老魰ख़ȴå裰⣴翿裰⣴翿裰⣴翿裰⣴翿裰⣴翿裰⣴翿裰⣴翿裰⣴翿裰⣴翿裰⣴翿裰⣴翿裰⣴翿裰⣴翿裰⣴翿裰⣴翿裰⣴翿裰⣴翿裰⣴翿裰⣴翿裰⣴翿裰⣴翿裰⣴翿裰⣴翿裰⣴翿裰⣴翿裰⣴翿裰⣴翿裰⣴翿裰⣴翿裰⣴翿욄욷稀老욕욤笀老쒈訝Ẅ|嬈塭翷(ྠ웪웕簀老쒈訝Ẅ|嬈塭翷ྠ웻웊紀老椡笂ȴ䄂翾椡笂ȴ䄂翾採笂ȴ䄂翾梡笂ȴ䄂翾昡笂ȴ䄂翾泡笂ȴ䄂翾擡笂ȴ䄂翾桡笂ȴ䄂翾没笂ȴ䄂翾次笂ȴ䄂翾憡笂ȴ䄂翾棡笂ȴ䄂翾㮠笁ȴ䄂翾㮠笁ȴ䄂翾㵠笁ȴ䄂翾퓀⊟ȴĂ翾웈웻縀老쳡笂ȴ䄂쳡笂ȴ䄂췡笂ȴ䄂칡笂ȴ䄂캡笂ȴ䄂콡笂ȴ䄂킡笂ȴ䄂쇡笂ȴ䄂퉡笂ȴ䄂푡笂ȴ䄂ꛁںȴ䄂ꔑںȴ䄂笂ȴ䄂笂ȴ䄂웙웨翿老翐䟣ȴ翐䟣ȴ葐䟣ȴ磐䟣ȴ窐䟣ȴ縐䟣ȴ耐䟣ȴ蛐䟣ȴ舐䟣ȴ蘐䟣ȴ碐䟣ȴ籐䟣ȴ罐䟣ȴ艐䟣ȴ結䟣ȴ聐䟣ȴ竐䟣ȴ蠐䟣ȴ繐䟣ȴ礐䟣ȴ糐䟣ȴ肐䟣ȴ芐䟣ȴ綐䟣ȴ胐䟣ȴĂ翾퀐苣ȴ䄂翾ퟰ苣ȴ䄂翾튰苣ȴ䄂翿옮옙耀老IF(_{r0}&gt;0,2,&quot;-&quot;)\-#,##0.0_ ;_ * &quot;-&quot;??_ ;_ @_ @_ 옿옎脇送!vinod.soudi@total-environment.com㈀㈶1옌옿舀老IF('Design Fee'!KY73&gt;0,2,&quot;-&quot;)_ * &quot;-&quot;??_ ;_ @_  옝올茇老IF(_{r6}&gt;0,2,&quot;-&quot;)#,##0_ ;_ * &quot;-&quot;??_ ;_ @_ 　〮왲왝萀老IF(_{r5}&gt;0,2,&quot;-&quot;)* \-#,##0.000_ ;_ * &quot;-&quot;??_ ;_ @_ 왃왲蔇老IF(_{r14}&gt;0,2,&quot;-&quot;),##0\);_(* &quot;-&quot;??_);_(@_)왐왣蘀老IF(_{r19}&gt;0,2,&quot;-&quot;)\(#,##0.00\);_(* &quot;-&quot;??_);_(@_)騤칋Ოୁ椗ⴥ᰺鈨㦨茎삒泝Ѯ㴠㓱㉎뺢돟ꜫꇿ␶솜괁됢跧鱒⵳返훎࿦뗆Ữꋥ郁ଐₓ㕆혻扔㰡覩ۀ蘖붚鎬线헰讖毪釶楧盗㻱琼嶻ᖘቱ䤖薒᝹ཷ亮涾횿빯＀Ͽ송얐蟷老COUNT(_{r0})(* \(#,##0\);_(* &quot;-&quot;??_);_(@_)砀散l솶얁蠀老IF(_{r22}&gt;0,2,&quot;-&quot;)\-#,##0.00_ ;_ * &quot;-&quot;??_ ;_ @_ @_ 솇얶褣老IF(_{r23}&gt;0,2,&quot;-&quot;)汆条s?솔얧言老È翾Ѐȵ.$翿$$$㾀㾀⣿∛޲Ԁ莄徠傱ȴ㏠傱ȴ㫠傱ȴ㌀傱ȴ因傱ȴ쇥엔謀老IF(_{r7}&gt;0,2,&quot;-&quot;)\-#,##0.0_ ;_ * &quot;-&quot;??_ ;_ @_ 쇺업谀老IF('Design Fee'!CE51&gt;0,2,&quot;-&quot;)쇋엺贀老뤀苟ȴᅼ翾/ٞہ/0륰苟ȴ퀰৚ȴٞہnt륰苟ȴ吀苤ȴ棁ıå왐翾䜰穮ȴ哐苤ȴ쇘엫踀老IF(_{r2}&gt;0,2,&quot;-&quot;)* \-#,##0.000_ ;_ * &quot;-&quot;??_ ;_ @_ kage/2006/relationships륔㪚翿䟐穮ȴ&lt;ᕠ聽ȴᕠ聽ȴ䢐穮ȴ섩씘輀老IF(_{r15}&gt;0,2,&quot;-&quot;),##0_ ;_ * &quot;-&quot;??_ ;_ @_ ꅋ섾씉退老IF(_{r20}&gt;0,2,&quot;-&quot;)섏씾鄀老IF(_{r12}&gt;0,2,&quot;-&quot;),##0\);_(* &quot;-&quot;??_);_(@_)㌀㄰䨭湡서씯鈀老IF(_{r21}&gt;0,2,&quot;-&quot;)\-#,##0.00_ ;_ * &quot;-&quot;??_ ;_ @_ 셭앜錀老IF(_{r24}&gt;0,2,&quot;-&quot;)\-#,##0.00_ ;_ * &quot;-&quot;??_ ;_ @_ @_ 셂앍鐀老IF('Design Fee'!CC51&gt;0,2,&quot;-&quot;)栀牡灥楯瑮挮浯셓앢销老Ꞑ⊓ȴ쪨翾睠翾盘翾翾⩰⊳ȴ厸翾쌀僔ȴ睰翾翾禀翾鸰翾秈翾엀苣ȴ稀翾址翾箰翾쬰苣ȴ緐翾翾䒰翾翾愸翾⊙ȴ赸翾ﴠ⊙ȴ翾翾翾鮰翾삠쒓阀老IF('Design Fee'!KW73&gt;0,2,&quot;-&quot;) ;_ * &quot;-&quot;??_ ;_ @_  삱쒀需老IF(_{r0}&gt;0,2,&quot;-&quot;)#,##0_ ;_ * &quot;-&quot;??_ ;_ @_ _(@_)ꢀꌹﳞࣙ삆쒱頀老È翾Ѐȑ.D&amp;DD㾀㾀⣿∛䆱ᖘ茄,輐翾삗쒦餀老COUNT(_{r0}) * \-#,##0_ ;_ * &quot;-&quot;??_ ;_ @_ @_  @_ 샤쓗騀老쒈訝Ẅ 299==AAEEGG &#10;&#10;&#10;Q&#10;&#10;299==AAEEGG샵쓄鬀老IF('Design Fee'!CD51&gt;0,2,&quot;-&quot;)0_ ;_ * &quot;-&quot;??_ ;_ @_  샊쓵鰀老COUNT(_{r0}) ;_ * \-#,##0.00_ ;_ * &quot;-&quot;??_ ;_ @_ 샛쓪鴀老COUNT(_{r0}) ;_ * \-#,##0.00_ ;_ * &quot;-&quot;??_ ;_ @_ 쀨쐛鸀老띠翾쁀翾❠Ċ鏠ĀǴ렀翾茈奨ȴ茈奨ȴЄB쀹쐈鼀老IF(_{r3}&gt;0,2,&quot;-&quot;)#,##0\);_(* &quot;-&quot;??_);_(@_)_ @_  쀎쐹ꀀ老IF(_{r9}&gt;0,2,&quot;-&quot;) \(#,##0.00\);_(* &quot;-&quot;??_);_(@_)쀟쐮ꄀ老IF('Design Fee'!KX73&gt;0,2,&quot;-&quot;)&quot;-&quot;??_ ;_ @_ _ @_ 쁬쑟ꋿ老IF('Design Fee'!CB51&gt;0,2,&quot;-&quot;)&quot;-&quot;??_);_(@_)쁽쑌ꌀ老COUNT(_{r0});_ * \-#,##0.0_ ;_ * &quot;-&quot;??_ ;_ @_ ㈶1쁒쑽ꐇ老_{r0}##0_);_(* \(#,##0\);_(* &quot;-&quot;??_);_(@_)愓폃攫㽩쎣쎒ꔀ老IF(_{r10}&gt;0,2,&quot;-&quot;)-#,##0.0_ ;_ * &quot;-&quot;??_ ;_ @_  ackage/2006/relationships륔㪚翿恀穮ȴ&lt;彐聽ȴ彐聽ȴ愀穮ȴ쎰쎃ꘇ老瓠翾愰穮ȴЀ吮湥 㟀穮ȴ䄸翾䃈翾䄀翾㨰翾)&#10;쎁쎰꜀老IF(_{r13}&gt;0,2,&quot;-&quot;),##0_ ;_ * &quot;-&quot;??_ ;_ @_ 椀㍮2쎖쎡ꠇ老COUNT(_{r0});_ * \-#,##0.0_ ;_ * &quot;-&quot;??_ ;_ @_ 苤ȴ쏧쏖꤀老쏴쏇꫷老촀苟ȴᅼ翾鞘翾ٞڳ/0춰苟ȴ컰৚ȴٞڳnt춰苟ȴ넀䟣ȴ왐翾昀穮ȴ뇐䟣ȴ쏅쏴꬀老IF(_{r0}&gt;0,2,&quot;-&quot;) \(#,##0.00\);_(* &quot;-&quot;??_);_(@_)쏚쏥갠老È翾Ѐ#簮Π⊥ȴ㾀㾀⣿ယ঱茄翾缀⊥ȴ輐翾ȴ翾쌫쌚관老IF(_{r11}&gt;0,2,&quot;-&quot;),##0\);_(* &quot;-&quot;??_);_(@_)_ @_ 쌸쌋글老癸翾쪨翾盈翾쪨翾ꑠ翾纈翾䖈翾⊤ȴ俈翾翾㏨翾圐⊳ȴ䊈翾⛀貢ȴ䋀翾鷠翾䎈翾ڹȴ䏀翾쪨翾䏸翾쪨翾ະ翾쪨翾䣠翾꿰⊳ȴ㏈翾⊙ȴ㐀翾쪨翾㐀翾쪨翾쌉쌸꼀老ꗑ如ȴ䄂翾ꗑ如ȴ䄂翾ꁑ如ȴ䄂翾ꬑ如ȴ䄂翾ꢑ如ȴ䄂翾ꓑ如ȴ䄂翾깑如ȴ䄂翾꼑如ȴ䄂翾Ā翾金䟣ȴ䄂褑䟣ȴ䄂鎑䟣ȴ䄂阑䟣ȴ䄂∀⊠ȴĀ翾쌞쌩뀀老COUNT(_{r0});_ * \-#,##0.0_ ;_ * &quot;-&quot;??_ ;_ @_    썯썞넀老苟ȴᅼ翾빠䏊翿ٞڳ苟ȴ톐৚ȴٞڳ苟ȴ开絴ȴp왐翾浰穮ȴ忀絴ȴ썼썏눀老볐如ȴ볐如ȴ땐如ȴ닐如ȴ밐如ȴ랐如ȴ뗐如ȴ묐如ȴ뢐如ȴ댐如ȴ느如ȴ紐䟣ȴ腐䟣ȴ菐䟣ȴ脐䟣ȴ菐䟣ȴ腐䟣ȴ紐䟣ȴ썍썼대老IF(_{r0}&gt;0,2,&quot;-&quot;)耀==AAEEGG &#10;&#10;&#10;Q&#10;&#10;299==AAEEGG슢썭됀老COUNT(_{r0});_ * \-#,##0.0_ ;_ * &quot;-&quot;??_ ;_ @_   &#10;슳슂딀老IF(_{r16}&gt;0,2,&quot;-&quot;)준翾슀슳똀老IF(_{r1}&gt;0,2,&quot;-&quot;)d翾슑슠뜀老IF(_{r17}&gt;0,2,&quot;-&quot;)䌮畯瑮싦싑렀老싷싆뤀老IF(_{r8}&gt;0,2,&quot;-&quot;)#,##0\);_(* &quot;-&quot;??_);_(@_)_ @_ 싄싷먀老IF(_{r18}&gt;0,2,&quot;-&quot;)档缀싕실묀送$suchita.sharma@total-environment.com숪숕밀老竨苟ȴ묠笂ȴ뜠笂ȴ놠笂ȴ顀絵ȴ멠笂ȴ룠笂ȴ률笂ȴ릠笂ȴ몠笂ȴ髀絵ȴ뭠笂ȴ銠絵ȴ둠笂ȴ蹀絵ȴ눠笂ȴ뮠笂ȴ뉠笂ȴ钀絵ȴ뙠笂ȴ앀僌ȴ쓰僌ȴ퓠僌ȴ쥐僌ȴ쒠僌ȴ찠僌ȴ挐僠ȴ提僠ȴ搐僠ȴ꼰備ȴ栐僠ȴ桐僠ȴ숻숊봀老꒑如ȴ䄂翾꒑如ȴ䄂翾ꖑ如ȴ䄂翾광如ȴ䄂翾Ā翾跑䟣ȴ䄂翾闑䟣ȴ䄂翾躑䟣ȴ䄂翾軑䟣ȴ䄂ڠ⊠ȴĀ翾숈숻븀老_{r0}##0_);_(* \(#,##0\);_(* &quot;-&quot;??_);_(@_)숙숨뼀老IF(_{r4}&gt;0,2,&quot;-&quot;) \-#,##0.00_ ;_ * &quot;-&quot;??_ ;_ @_ 쉮쉙쀀老IF('Design Fee'!FT63&gt;0,2,&quot;-&quot;)最苣ȴ쉿쉎섀老COUNT(_{r2})nv怀苤ȴ䕳癮缀䰀䉏䱁쉌쉿숀老IF(_{r22}&gt;0,2,&quot;-&quot;)瑮慲瑣欀苤ȴ쉝쉬쌀老IF('Design Fee'!FU63&gt;0,2,&quot;-&quot;)&quot;-&quot;??_);_(@_)퐀䟣ȴ춲솝쐀老IF('Design Fee'!FV63&gt;0,2,&quot;-&quot;)猀牥扏敪瑣摉춃솲엿老IF('Design Fee'!FR63&gt;0,2,&quot;-&quot;)猀牥扏敪瑣摉춐솣였老IF(_{r17}&gt;0,2,&quot;-&quot;)敒潣摲s췡쇐윇老IF('Design Fee'!FW63&gt;0,2,&quot;-&quot;)唀䥐췶쇁저老IF(_{r14}&gt;0,2,&quot;-&quot;)㏏å一倱偅う〰㄰い2췇쇶줇老IF('Design Fee'!EK63&gt;0,2,&quot;-&quot;)췔쇧쨀老IF('Design Fee'!CE63&gt;0,2,&quot;-&quot;)쨀䟣ȴ촥섔쬇老IF(_{r1}&gt;0,2,&quot;-&quot;)湡䥴d䰀䉏䱁촺섅찀老IF(_{r2}&gt;0,2,&quot;-&quot;)敓畱湥散敱촋섺췷老IF('Design Fee'!CB63&gt;0,2,&quot;-&quot;)猀o촘섫츀老IF('Design Fee'!DK63&gt;0,2,&quot;-&quot;)준䟣ȴ쵩션켠老IF(_{r10}&gt;0,2,&quot;-&quot;)䘮摱n䰀䉏䱁쵾셉퀀老IF(_{r6}&gt;0,2,&quot;-&quot;)䌮畯瑮攀苤ȴ쵏셾턀老COUNT(_{r0})ȴ栀苤ȴ齠㶆翿최셯툀老IF(_{r15}&gt;0,2,&quot;-&quot;)ƈ笣ȴȕ청삜팀老IF(_{r0}&gt;0,2,&quot;-&quot;)hare봀䟣ȴ첂삍퐀老IF(_{r8}&gt;0,2,&quot;-&quot;)#,##0_ ;_ * &quot;-&quot;??_ ;_ @_ 䰀䉏䱁첓삢픀老IF('Design Fee'!CD63&gt;0,2,&quot;-&quot;)漀浭牥楣污쳠샓혀老IF(_{r16}&gt;0,2,&quot;-&quot;)污呬灹e쳱샀휀老IF('Design Fee'!DJ63&gt;0,2,&quot;-&quot;)氀硳쳆샱老IF(_{r18}&gt;0,2,&quot;-&quot;)ƈ笣ȴ伀䥐쳗샦老IF('Design Fee'!DD63&gt;0,2,&quot;-&quot;)찤쀗老COUNT(_{r4})翿瘀湥⹴摉攀翾촀䟣ȴ찵쀄老IF(_{r7}&gt;0,2,&quot;-&quot;)普⹯敌敶l찊쀵老IF(_{r13}&gt;0,2,&quot;-&quot;)⹯敌敶l찛쀪老IF('Design Fee'!EJ63&gt;0,2,&quot;-&quot;)챨쁛老IF('Design Fee'!DH63&gt;0,2,&quot;-&quot;)最絴ȴ챹쁈老IF('Design Fee'!DN63&gt;0,2,&quot;-&quot;)챎쁹老IF('Design Fee'!EM63&gt;0,2,&quot;-&quot;)敭챟쁮老COUNT(_{r0})最苤ȴ湡䥴d툀䟣ȴ쾬ﾟ老IF(_{r3}&gt;0,2,&quot;-&quot;)摉攀翾팀䟣ȴ쾽ﾌ老IF('Design Fee'!EQ63&gt;0,2,&quot;-&quot;) ;_ * &quot;-&quot;??_ ;_ @_ 뼁ān쾒ﾽ老IF(_{r21}&gt;0,2,&quot;-&quot;)\-#,##0.00_ ;_ * &quot;-&quot;??_ ;_ @_ 쿣ￒ老COUNT(_{r3})翿挀苤ȴ湡䥴d쿰ￃ老IF(_{r11}&gt;0,2,&quot;-&quot;)atch쿁￰老IF('Design Fee'!ER63&gt;0,2,&quot;-&quot;)欀苤ȴ쿖￡老IF('Design Fee'!EI63&gt;0,2,&quot;-&quot;)켧６老COUNT(_{r1})nv渀苤ȴ条sȴ樀苤ȴ켴＇老IF('Design Fee'!CC63&gt;0,2,&quot;-&quot;)켅Ｔ老IF(_{r23}&gt;0,2,&quot;-&quot;)湡䥴d켚Ｅ老IF('Design Fee'!DG63&gt;0,2,&quot;-&quot;)敲콫ｚ老IF('Design Fee'!EL63&gt;0,2,&quot;-&quot;)苟ȴ콸ｋ老IF(_{r24}&gt;0,2,&quot;-&quot;),##0_ ;_ * &quot;-&quot;??_ ;_ @_ ㌀㈰ち浹は㍢㌰콉ｸ老IF('Design Fee'!DF63&gt;0,2,&quot;-&quot;)콞ｩ老IF('Design Fee'!ES63&gt;0,2,&quot;-&quot;)㿰캯ﺞ老IF('Design Fee'!FN63&gt;0,2,&quot;-&quot;)ໄ㇘ࣛ캼ﺏ老IF('Design Fee'!DM63&gt;0,2,&quot;-&quot;)준䟣ȴ캍ﺼ老IF(_{r5}&gt;0,2,&quot;-&quot;)敳呲灹e컢ﺭ老IF(_{r9}&gt;0,2,&quot;-&quot;)⹯敌敶l漀浭牥楣污컳ﻂ老IF(_{r12}&gt;0,2,&quot;-&quot;)hare컀ﻳ老IF(_{r19}&gt;0,2,&quot;-&quot;)湡䥴d컑ﻠ老IF(_{r20}&gt;0,2,&quot;-&quot;)\-#,##0.00_ ;_ * &quot;-&quot;??_ ;_ @_ -츦︑老IF('Design Fee'!DL63&gt;0,2,&quot;-&quot;)&quot;-&quot;??_);_(@_)츷︆豈老IF('Design Fee'!FO63&gt;0,2,&quot;-&quot;)준䟣ȴ츄︷切老IF('Design Fee'!FP63&gt;0,2,&quot;-&quot;)츕︤ﬀ老IF('Design Fee'!FQ63&gt;0,2,&quot;-&quot;)&quot;-&quot;??_);_(@_)_ @_ 칪﹕ﰀ老IF('Design Fee'!EO63&gt;0,2,&quot;-&quot;)칻﹊ﴀ老IF(_{r4}&gt;0,2,&quot;-&quot;)殗춯랁칈ﹻ︀老IF('Design Fee'!EP63&gt;0,2,&quot;-&quot;)칙﹨＀老IF('Design Fee'!DE63&gt;0,2,&quot;-&quot;)즮ﶙ耂IF('Design Fee'!ND63&gt;0,2,&quot;-&quot;)즿ﶎĀ耂IF('Design Fee'!NH63&gt;0,2,&quot;-&quot;)ᑻ䞮竡㾔즌ﶿȀ耂IF('Design Fee'!GY63&gt;0,2,&quot;-&quot;)증ﶬ̀耂IF('Design Fee'!NG63&gt;0,2,&quot;-&quot;)猀o짲﷝Ѐ耂IF('Design Fee'!JK63&gt;0,2,&quot;-&quot;)뤀䟣ȴ짃ﷲԀ耂IF('Design Fee'!NJ63&gt;0,2,&quot;-&quot;)弮෰㇘ࣛ짐﷣؀耂IF('Design Fee'!JQ63&gt;0,2,&quot;-&quot;)븀䟣ȴ줡ﴐ܀耂COUNT(_{r0}) ;_ * \-#,##0.00_ ;_ * &quot;-&quot;??_ ;_ @_ 8줶ﴁࠀ耂IF('Design Fee'!GZ63&gt;0,2,&quot;-&quot;)줇ﴶऀ耂IF('Design Fee'!NC63&gt;0,2,&quot;-&quot;)搀苣ȴ줔ﴧ਀耂COUNT(_{r2}) ;_ * \-#,##0.00_ ;_ * &quot;-&quot;??_ ;_ @_ ǽ쥥ﵔ௿耂IF('Design Fee'!ID63&gt;0,2,&quot;-&quot;)뼁ān쥺﵅ఀ耂IF('Design Fee'!HG63&gt;0,2,&quot;-&quot;)쥋ﵺഇ耂IF('Design Fee'!MA63&gt;0,2,&quot;-&quot;)뎀揀Ǚ쥘ﵫ฀耂IF('Design Fee'!HC63&gt;0,2,&quot;-&quot;)Ĭ좩ﲘ༇耂IF('Design Fee'!JG63&gt;0,2,&quot;-&quot;)섀䟣ȴ좾ﲉက耂IF('Design Fee'!ME63&gt;0,2,&quot;-&quot;)좏ﲾᄇ耂IF('Design Fee'!FX63&gt;0,2,&quot;-&quot;)묀䟣ȴ좜ﲯሀ耂COUNT(_{r1})(* \(#,##0\);_(* &quot;-&quot;??_);_(@_)ꅶ죭ﳜ᏷耂IF('Design Fee'!MD63&gt;0,2,&quot;-&quot;)宐揀Ǚ죂ﳍ᐀耂IF('Design Fee'!JH63&gt;0,2,&quot;-&quot;)j죓ﳢᔠ耂IF('Design Fee'!JN63&gt;0,2,&quot;-&quot;)뎀揀Ǚ젠ﰓᘀ耂IF('Design Fee'!LW63&gt;0,2,&quot;-&quot;)樀苣ȴ젱ﰀᜀ耂IF('Design Fee'!MZ63&gt;0,2,&quot;-&quot;)쐀䟣ȴ젆ﰱ᠀耂IF('Design Fee'!KS63&gt;0,2,&quot;-&quot;)젗ﰦᤀ耂IF('Design Fee'!KV63&gt;0,2,&quot;-&quot;)敥졤ﱗᨀ耂IF('Design Fee'!KR63&gt;0,2,&quot;-&quot;)졵ﱄᬀ耂IF('Design Fee'!IB63&gt;0,2,&quot;-&quot;)唀䥐졊ﱵᰀ耂IF('Design Fee'!NF63&gt;0,2,&quot;-&quot;)䤀I졛ﱪᴀ耂IF('Design Fee'!KZ63&gt;0,2,&quot;-&quot;)摭쮨ﮛḀ耂IF('Design Fee'!NI63&gt;0,2,&quot;-&quot;)쮹ﮈἀ耂IF('Design Fee'!IC63&gt;0,2,&quot;-&quot;)⩨쮎﮹ 耂IF('Design Fee'!LV63&gt;0,2,&quot;-&quot;)쮟ﮮ℀耂IF('Design Fee'!LY63&gt;0,2,&quot;-&quot;)쯬ﯟ∀耂IF('Design Fee'!IE63&gt;0,2,&quot;-&quot;)쯽﯌⌀耂IF('Design Fee'!JJ63&gt;0,2,&quot;-&quot;)쯒ﯽ␀耂IF('Design Fee'!GX63&gt;0,2,&quot;-&quot;)退䟬ȴ쬣﬒─耂IF('Design Fee'!GW63&gt;0,2,&quot;-&quot;)ᴀ䟮ȴ쬰ﬃ☀耂IF('Design Fee'!IF63&gt;0,2,&quot;-&quot;)禝쬁אּ✀耂IF('Design Fee'!JM63&gt;0,2,&quot;-&quot;)문쬖ﬡ⠀耂IF('Design Fee'!IK63&gt;0,2,&quot;-&quot;)䐀僜ȴ쭧ﭖ⤀耂IF('Design Fee'!JO63&gt;0,2,&quot;-&quot;)쭴קּ⨀耂IF('Design Fee'!JI63&gt;0,2,&quot;-&quot;)쭅ﭴ⬀耂IF('Design Fee'!JP63&gt;0,2,&quot;-&quot;)坸쭚ﭥⰀ耂IF('Design Fee'!KX63&gt;0,2,&quot;-&quot;)樀苤ȴ쪫漢ⴀ耂IF('Design Fee'!LX63&gt;0,2,&quot;-&quot;)쪸懲⻿耂IF('Design Fee'!LU63&gt;0,2,&quot;-&quot;)禝쪉視⼀耂IF('Design Fee'!KT63&gt;0,2,&quot;-&quot;)쪞睊〇耂IF('Design Fee'!IJ63&gt;0,2,&quot;-&quot;)문쫯﫞㄀耂IF('Design Fee'!II63&gt;0,2,&quot;-&quot;)쫼𢡊㈇耂IF('Design Fee'!HE63&gt;0,2,&quot;-&quot;)㿰쫍﫼㌀耂IF('Design Fee'!HF63&gt;0,2,&quot;-&quot;)뎀揀Ǚ쨢﫭㐇耂IF('Design Fee'!IH63&gt;0,2,&quot;-&quot;)쨳拓㔀耂IF('Design Fee'!KP63&gt;0,2,&quot;-&quot;)猀牥扏敪瑣摉쨀勉㛷耂IF('Design Fee'!KW63&gt;0,2,&quot;-&quot;)쨑蘒㜀耂IF('Design Fee'!HA63&gt;0,2,&quot;-&quot;)먀䟣ȴ쩦祝㠽耂IF('Design Fee'!IL63&gt;0,2,&quot;-&quot;)䰀䉏䱁쩷渚㤀耂IF('Design Fee'!KY63&gt;0,2,&quot;-&quot;)뎀揀Ǚ쩄勺㨀耂IF('Design Fee'!KQ63&gt;0,2,&quot;-&quot;)쩕賓㬀耂IF('Design Fee'!MB63&gt;0,2,&quot;-&quot;)ǽ햪秊㰀耂IF('Design Fee'!HD63&gt;0,2,&quot;-&quot;)漀浭牥楣污햻力㴀耂IF('Design Fee'!MC63&gt;0,2,&quot;-&quot;)했僚㸀耂IF('Design Fee'!NA63&gt;0,2,&quot;-&quot;)䜀䠽ȴ햙令㼀耂IF('Design Fee'!NB63&gt;0,2,&quot;-&quot;)猀o헮慄䀀耂IF('Design Fee'!GX63&gt;0,2,&quot;-&quot;)齀㶆翿ꃈ㶆翿꠰㶆翿黈㶆翿龈㶆翿헿硫䄀耂IF(_{r10}&gt;0,2,&quot;-&quot;)齠㶆翿鼀㶆翿鼠㶆翿齀㶆翿ꃈ㶆翿꠰㶆翿黈㶆翿龈㶆翿헌刺䈀耂IF('Design Fee'!EJ63&gt;0,2,&quot;-&quot;)齀㶆翿ꃈ㶆翿꠰㶆翿黈㶆翿龈㶆翿헝溺䌀耂IF('Design Fee'!GZ63&gt;0,2,&quot;-&quot;)齀㶆翿ꃈ㶆翿꠰㶆翿黈㶆翿龈㶆翿픲欄䐀耂IF('Design Fee'!HA63&gt;0,2,&quot;-&quot;)齀㶆翿ꃈ㶆翿꠰㶆翿黈㶆翿龈㶆翿픃爐䔀耂IF('Design Fee'!HC63&gt;0,2,&quot;-&quot;)齀㶆翿ꃈ㶆翿꠰㶆翿黈㶆翿龈㶆翿픐藍䘀耂IF(_{r7}&gt;0,2,&quot;-&quot;)齠㶆翿鼀㶆翿鼠㶆翿齀㶆翿ꃈ㶆翿꠰㶆翿黈㶆翿龈㶆翿핡縷䜀耂IF('Design Fee'!DG63&gt;0,2,&quot;-&quot;)齀㶆翿ꃈ㶆翿꠰㶆翿黈㶆翿龈㶆翿핶論䠀耂IF('Design Fee'!FQ63&gt;0,2,&quot;-&quot;)齀㶆翿ꃈ㶆翿꠰㶆翿黈㶆翿龈㶆翿핇略䤀耂IF('Design Fee'!FU63&gt;0,2,&quot;-&quot;)齀㶆翿ꃈ㶆翿꠰㶆翿黈㶆翿龈㶆翿핔不䨀耂IF('Design Fee'!GY63&gt;0,2,&quot;-&quot;)齀㶆翿ꃈ㶆翿꠰㶆翿黈㶆翿龈㶆翿풥䬀耂IF('Design Fee'!HD63&gt;0,2,&quot;-&quot;)齀㶆翿ꃈ㶆翿꠰㶆翿黈㶆翿龈㶆翿풺䰀耂IF('Design Fee'!HE63&gt;0,2,&quot;-&quot;)齀㶆翿ꃈ㶆翿꠰㶆翿黈㶆翿龈㶆翿풋䴀耂IF(_{r22}&gt;0,2,&quot;-&quot;)齠㶆翿鼀㶆翿鼠㶆翿齀㶆翿ꃈ㶆翿꠰㶆翿黈㶆翿龈㶆翿풘一耂IF(_{r9}&gt;0,2,&quot;-&quot;)齠㶆翿鼀㶆翿鼠㶆翿齀㶆翿ꃈ㶆翿꠰㶆翿黈㶆翿龈㶆翿퓩伀耂IF('Design Fee'!ES63&gt;0,2,&quot;-&quot;)齀㶆翿ꃈ㶆翿꠰㶆翿黈㶆翿龈㶆翿퓾倀耂IF(_{r20}&gt;0,2,&quot;-&quot;)齠㶆翿鼀㶆翿鼠㶆翿齀㶆翿ꃈ㶆翿꠰㶆翿黈㶆翿龈㶆翿퓏凿耂IF('Design Fee'!EO63&gt;0,2,&quot;-&quot;)齀㶆翿ꃈ㶆翿꠰㶆翿黈㶆翿龈㶆翿퓜刀耂COUNT(_{r4})翿ꀨ㶆翿齠㶆翿鼀㶆翿鼠㶆翿齀㶆翿ꃈ㶆翿꠰㶆翿黈㶆翿龈㶆翿퐭匇耂IF('Design Fee'!FR63&gt;0,2,&quot;-&quot;)齀㶆翿ꃈ㶆翿꠰㶆翿黈㶆翿龈㶆翿퐂吀耂IF('Design Fee'!CB63&gt;0,2,&quot;-&quot;)齀㶆翿ꃈ㶆翿꠰㶆翿黈㶆翿龈㶆翿퐓唇耂IF(_{r6}&gt;0,2,&quot;-&quot;)齠㶆翿鼀㶆翿鼠㶆翿齀㶆翿ꃈ㶆翿꠰㶆翿黈㶆翿龈㶆翿푠嘀耂IF(_{r24}&gt;0,2,&quot;-&quot;)齠㶆翿鼀㶆翿鼠㶆翿齀㶆翿ꃈ㶆翿꠰㶆翿黈㶆翿龈㶆翿푱圇耂IF('Design Fee'!EQ63&gt;0,2,&quot;-&quot;)齀㶆翿ꃈ㶆翿꠰㶆翿黈㶆翿龈㶆翿푆堀耂COUNT(_{r3})翿ꀨ㶆翿齠㶆翿鼀㶆翿鼠㶆翿齀㶆翿ꃈ㶆翿꠰㶆翿黈㶆翿龈㶆翿푗姷耂IF('Design Fee'!DL63&gt;0,2,&quot;-&quot;)齀㶆翿ꃈ㶆翿꠰㶆翿黈㶆翿龈㶆翿힤娀耂IF('Design Fee'!DK63&gt;0,2,&quot;-&quot;)齀㶆翿ꃈ㶆翿꠰㶆翿黈㶆翿龈㶆翿ힵ實耂IF('Design Fee'!DN63&gt;0,2,&quot;-&quot;)齀㶆翿ꃈ㶆翿꠰㶆翿黈㶆翿龈㶆翿힊尀耂IF('Design Fee'!EL63&gt;0,2,&quot;-&quot;)齀㶆翿ꃈ㶆翿꠰㶆翿黈㶆翿龈㶆翿힛崀耂IF(_{r14}&gt;0,2,&quot;-&quot;)齠㶆翿鼀㶆翿鼠㶆翿齀㶆翿ꃈ㶆翿꠰㶆翿黈㶆翿龈㶆翿ퟨ帀耂IF(_{r23}&gt;0,2,&quot;-&quot;)齠㶆翿鼀㶆翿鼠㶆翿齀㶆翿ꃈ㶆翿꠰㶆翿黈㶆翿龈㶆翿ퟹ开耂IF('Design Fee'!CE63&gt;0,2,&quot;-&quot;)齀㶆翿ꃈ㶆翿꠰㶆翿黈㶆翿龈㶆翿"/>
        <Anchor>
          <Comment id="{9AF8C13D-7E99-4D73-B14B-8A5FF33F8869}"/>
        </Anchor>
        <SetTitle title="@Vinod Soudi This has been issued, Check and confirm"/>
      </Event>
      <Event time="2023-03-13T04:29:08.85" id="{460D922F-AB8B-4881-8381-276A9BAF986C}">
        <Attribution userId="COUNT(_{r0})" userName="IF(_{r11}&gt;0,2,&quot;-&quot;)" userProvider="IF(_{r17}&gt;0,2,&quot;-&quot;)"/>
        <Progress percentComplete="100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03%20Interior%20Design/Plan%202026/ID%20Goals%20FY%202026-27/7%20July%202026/Archive/IHDDT%201%20Apr.xlsx" TargetMode="External"/><Relationship Id="rId1" Type="http://schemas.openxmlformats.org/officeDocument/2006/relationships/externalLinkPath" Target="/sites/pmo/PMO%20Collaboration/03%20Interior%20Design/Plan%202026/ID%20Goals%20FY%202026-27/7%20July%202026/Archive/IHDDT%201%20Ap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03%20Interior%20Design/Plan%202026/ID%20Goals%20FY%202026-27/7%20July%202026/ID%20Goals%20Q2%20FY%202026-2027.xlsb" TargetMode="External"/><Relationship Id="rId2" Type="http://schemas.openxmlformats.org/officeDocument/2006/relationships/externalLinkPath" Target="https://totalenvmt.sharepoint.com/sites/pmo/PMO%20Collaboration/03%20Interior%20Design/Plan%202026/ID%20Goals%20FY%202026-27/7%20July%202026/ID%20Goals%20Q2%20FY%202026-2027.xlsb" TargetMode="External"/><Relationship Id="rId1" Type="http://schemas.openxmlformats.org/officeDocument/2006/relationships/externalLinkPath" Target="/sites/pmo/PMO%20Collaboration/03%20Interior%20Design/Plan%202026/ID%20Goals%20FY%202026-27/7%20July%202026/ID%20Goals%20Q2%20FY%202026-2027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03%20Interior%20Design/Plan%202026/ID%20Goals%20FY%202026-27/7%20July%202026/ID%20Goals%202026%20CRM%20Remarks.xlsx" TargetMode="External"/><Relationship Id="rId1" Type="http://schemas.openxmlformats.org/officeDocument/2006/relationships/externalLinkPath" Target="/sites/pmo/PMO%20Collaboration/03%20Interior%20Design/Plan%202026/ID%20Goals%20FY%202026-27/7%20July%202026/ID%20Goals%202026%20CRM%20Remar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livery Repor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pFvJF6JeskCbJYhFdCDlzThhOxycObBIkkm4DTB3PgaqodOV4yCxTbTCjeLBX-PR" itemId="01XZTXQN576WMEDODDSFG2TI4MMTUE7DCG">
      <xxl21:absoluteUrl r:id="rId2"/>
      <xxl21:relativeUrl r:id="rId3"/>
    </xxl21:alternateUrls>
    <sheetNames>
      <sheetName val="Summary "/>
      <sheetName val="Sheet4"/>
      <sheetName val="ID Goals FY 2026Q2 - 2027Q1 "/>
      <sheetName val="Sheet2"/>
      <sheetName val="Fee Assumptions"/>
      <sheetName val="Sheet1"/>
    </sheetNames>
    <sheetDataSet>
      <sheetData sheetId="0"/>
      <sheetData sheetId="1"/>
      <sheetData sheetId="2"/>
      <sheetData sheetId="3"/>
      <sheetData sheetId="4">
        <row r="2">
          <cell r="D2">
            <v>1320</v>
          </cell>
        </row>
        <row r="4">
          <cell r="D4">
            <v>1000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D Goals 2026"/>
    </sheetNames>
    <sheetDataSet>
      <sheetData sheetId="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967F243-66F6-4B2D-B305-BCC40D60BDA9}"/>
  <namedSheetView name="View2" id="{ADFD15D4-AA13-44A7-8DC4-E957E3A23B0F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0CFE4A-B85C-4CA0-BADA-DB698835B704}">
    <nsvFilter filterId="{139B5702-29F0-46FC-9D50-6CA07105710E}" ref="A2:XFB180" tableId="0"/>
  </namedSheetView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AA41E21-86A4-4077-8AFD-4B05E5BFFC49}"/>
  <namedSheetView name="View2" id="{1FB6CD1D-6BA3-442E-92D6-7017C9C4B43C}"/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C0E4AE5-38AA-4926-8960-A258FA980B94}"/>
  <namedSheetView name="View2" id="{C10D47A2-463D-4511-B250-C50502041C9F}"/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3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Vinod Soudi" id="{489D820F-270F-41E7-9AC4-6CAE5EF45E10}" userId="vinod.soudi@total-environment.com" providerId="PeoplePicker"/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Suchita Sharma" id="{BD147FB2-8E3B-46D3-9492-67DAA6EE4FD4}" userId="S::suchita.sharma@total-environment.com::22e1a589-456e-45f3-adac-be6829c80874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Z139" sheet="Goals FY 26-27Q3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15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16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25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28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30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2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37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39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40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41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44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46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49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51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52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55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65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7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14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6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23FD989F-D125-4AE7-9C36-A19A74896DA4}">
    <text>Package is closed</text>
  </threadedComment>
  <threadedComment ref="H70" dT="2025-11-27T06:35:13.62" personId="{AA016EAC-4E38-46F6-8C64-E9600C4565EA}" id="{BB5C4309-CD26-4D5C-97C1-C9C64D492B59}">
    <text>Package is closed</text>
  </threadedComment>
  <threadedComment ref="V70" dT="2025-11-27T06:35:13.62" personId="{AA016EAC-4E38-46F6-8C64-E9600C4565EA}" id="{F017770D-C12D-4EE7-B05E-71716DF45E8E}">
    <text>Package is closed</text>
  </threadedComment>
  <threadedComment ref="W70" dT="2025-11-27T06:35:13.62" personId="{AA016EAC-4E38-46F6-8C64-E9600C4565EA}" id="{6542FC07-AEE2-4FBE-BF37-A28A5037FFE1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81" dT="2026-09-16T12:49:13.52" personId="{B58F46C1-A806-4907-99C0-A92A2BB89B48}" id="{9DAA7515-7242-45B7-A9F8-AFD4EE449799}">
    <text>Design Spectrum</text>
  </threadedComment>
  <threadedComment ref="Q81" dT="2026-09-16T12:49:13.52" personId="{B58F46C1-A806-4907-99C0-A92A2BB89B48}" id="{29F2716C-B893-437F-942F-63F5D48BFB0D}">
    <text>Design Spectrum</text>
  </threadedComment>
  <threadedComment ref="E84" dT="2026-09-16T12:49:13.52" personId="{B58F46C1-A806-4907-99C0-A92A2BB89B48}" id="{DCC8B91D-CA0F-49D8-B8A6-115A93627216}">
    <text>Design Spectrum</text>
  </threadedComment>
  <threadedComment ref="Q84" dT="2026-09-16T12:49:24.67" personId="{B58F46C1-A806-4907-99C0-A92A2BB89B48}" id="{D4BE2A47-51DB-4B7D-A211-51EAE41919D2}">
    <text>Design Spectrum</text>
  </threadedComment>
  <threadedComment ref="E87" dT="2026-09-16T12:49:13.52" personId="{B58F46C1-A806-4907-99C0-A92A2BB89B48}" id="{6EE93598-4FE2-41CD-A487-602230C19C7B}">
    <text>Design Spectrum</text>
  </threadedComment>
  <threadedComment ref="Q90" dT="2026-09-16T12:49:31.32" personId="{B58F46C1-A806-4907-99C0-A92A2BB89B48}" id="{AE7A0A72-31F7-4BD1-BE3E-771CB5114783}">
    <text>Design Spectrum</text>
  </threadedComment>
  <threadedComment ref="D133" dT="2026-09-16T12:37:34.79" personId="{B58F46C1-A806-4907-99C0-A92A2BB89B48}" id="{8DC5D5FE-B038-4D8D-A643-BB8E11CD7B14}">
    <text>Subject to Receipt of Renew Consultant’s Input.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89" dT="2023-03-12T10:46:06.01" personId="{BD147FB2-8E3B-46D3-9492-67DAA6EE4FD4}" id="{9AF8C13D-7E99-4D73-B14B-8A5FF33F8869}" done="1">
    <text>@Vinod Soudi  This has been issued, Check and confirm</text>
    <mentions>
      <mention mentionpersonId="{489D820F-270F-41E7-9AC4-6CAE5EF45E10}" mentionId="{E990D574-FBFA-426A-944B-645FDAFB838E}" startIndex="0" length="12"/>
    </mentions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G9" dT="2025-11-27T06:35:13.62" personId="{AA016EAC-4E38-46F6-8C64-E9600C4565EA}" id="{B8F45636-8DE6-4D10-9916-82069014D8BF}">
    <text>Package is closed</text>
  </threadedComment>
  <threadedComment ref="H9" dT="2025-11-27T06:35:13.62" personId="{AA016EAC-4E38-46F6-8C64-E9600C4565EA}" id="{73BB845B-6DC7-43ED-8793-6BCAB8D46E52}">
    <text>Package is closed</text>
  </threadedComment>
  <threadedComment ref="V9" dT="2025-11-27T06:35:13.62" personId="{AA016EAC-4E38-46F6-8C64-E9600C4565EA}" id="{FBD56096-3476-4156-9742-6C28530776F7}">
    <text>Package is closed</text>
  </threadedComment>
  <threadedComment ref="W9" dT="2025-11-27T06:35:13.62" personId="{AA016EAC-4E38-46F6-8C64-E9600C4565EA}" id="{8B05FFD3-CF1B-4944-A5EA-4D2DB90847F3}">
    <text>Package is closed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5" Type="http://schemas.microsoft.com/office/2019/04/relationships/namedSheetView" Target="../namedSheetViews/namedSheetView3.xml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5" Type="http://schemas.microsoft.com/office/2019/04/relationships/namedSheetView" Target="../namedSheetViews/namedSheetView4.xml"/><Relationship Id="rId4" Type="http://schemas.microsoft.com/office/2017/10/relationships/threadedComment" Target="../threadedComments/threadedComment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6.xml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9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Relationship Id="rId5" Type="http://schemas.microsoft.com/office/2019/04/relationships/namedSheetView" Target="../namedSheetViews/namedSheetView11.xml"/><Relationship Id="rId4" Type="http://schemas.microsoft.com/office/2017/10/relationships/threadedComment" Target="../threadedComments/threadedComment7.xml"/></Relationships>
</file>

<file path=xl/worksheets/_rels/sheet2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2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8.xml"/></Relationships>
</file>

<file path=xl/worksheets/_rels/sheet2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5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1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9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2.bin"/><Relationship Id="rId5" Type="http://schemas.microsoft.com/office/2019/04/relationships/namedSheetView" Target="../namedSheetViews/namedSheetView17.xml"/><Relationship Id="rId4" Type="http://schemas.microsoft.com/office/2017/10/relationships/threadedComment" Target="../threadedComments/threadedComment1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3.bin"/><Relationship Id="rId5" Type="http://schemas.microsoft.com/office/2019/04/relationships/namedSheetView" Target="../namedSheetViews/namedSheetView18.xml"/><Relationship Id="rId4" Type="http://schemas.microsoft.com/office/2017/10/relationships/threadedComment" Target="../threadedComments/threadedComment11.xml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6.bin"/><Relationship Id="rId5" Type="http://schemas.microsoft.com/office/2019/04/relationships/namedSheetView" Target="../namedSheetViews/namedSheetView21.xml"/><Relationship Id="rId4" Type="http://schemas.microsoft.com/office/2017/10/relationships/threadedComment" Target="../threadedComments/threadedComment12.xml"/></Relationships>
</file>

<file path=xl/worksheets/_rels/sheet3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5.xml"/><Relationship Id="rId5" Type="http://schemas.openxmlformats.org/officeDocument/2006/relationships/printerSettings" Target="../printerSettings/printerSettings30.bin"/><Relationship Id="rId4" Type="http://schemas.openxmlformats.org/officeDocument/2006/relationships/hyperlink" Target="mailto:TEHPL@various%20locations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7.xml"/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8.xml"/><Relationship Id="rId1" Type="http://schemas.openxmlformats.org/officeDocument/2006/relationships/printerSettings" Target="../printerSettings/printerSettings33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4.bin"/><Relationship Id="rId5" Type="http://schemas.microsoft.com/office/2019/04/relationships/namedSheetView" Target="../namedSheetViews/namedSheetView29.xml"/><Relationship Id="rId4" Type="http://schemas.microsoft.com/office/2017/10/relationships/threadedComment" Target="../threadedComments/threadedComment13.xml"/></Relationships>
</file>

<file path=xl/worksheets/_rels/sheet4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0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7109375" defaultRowHeight="13.9" outlineLevelRow="2"/>
  <cols>
    <col min="1" max="1" width="1.7109375" style="506" customWidth="1"/>
    <col min="2" max="2" width="14.7109375" style="506" customWidth="1"/>
    <col min="3" max="3" width="78.42578125" style="506" customWidth="1"/>
    <col min="4" max="4" width="10.5703125" style="521" customWidth="1"/>
    <col min="5" max="5" width="12.5703125" style="521" customWidth="1"/>
    <col min="6" max="6" width="12.5703125" style="521" bestFit="1" customWidth="1"/>
    <col min="7" max="7" width="113.42578125" style="506" customWidth="1"/>
    <col min="8" max="16384" width="8.7109375" style="506"/>
  </cols>
  <sheetData>
    <row r="1" spans="2:7" s="500" customFormat="1" ht="39" customHeight="1">
      <c r="B1" s="499" t="s">
        <v>0</v>
      </c>
      <c r="C1" s="499" t="s">
        <v>1</v>
      </c>
      <c r="D1" s="499" t="s">
        <v>2</v>
      </c>
      <c r="E1" s="499" t="s">
        <v>3</v>
      </c>
      <c r="F1" s="499" t="s">
        <v>4</v>
      </c>
      <c r="G1" s="499" t="s">
        <v>5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6</v>
      </c>
      <c r="C3" s="554" t="s">
        <v>7</v>
      </c>
      <c r="D3" s="503">
        <v>10.4</v>
      </c>
      <c r="E3" s="504"/>
      <c r="F3" s="505"/>
      <c r="G3" s="536"/>
    </row>
    <row r="4" spans="2:7">
      <c r="B4" s="554" t="s">
        <v>6</v>
      </c>
      <c r="C4" s="554" t="s">
        <v>8</v>
      </c>
      <c r="D4" s="507">
        <v>2.2000000000000002</v>
      </c>
      <c r="E4" s="508"/>
      <c r="F4" s="505"/>
      <c r="G4" s="536" t="s">
        <v>9</v>
      </c>
    </row>
    <row r="5" spans="2:7" ht="41.45">
      <c r="B5" s="554" t="s">
        <v>10</v>
      </c>
      <c r="C5" s="554" t="s">
        <v>11</v>
      </c>
      <c r="D5" s="503">
        <v>11.71</v>
      </c>
      <c r="E5" s="509"/>
      <c r="F5" s="510"/>
      <c r="G5" s="554" t="s">
        <v>12</v>
      </c>
    </row>
    <row r="6" spans="2:7" ht="27.6">
      <c r="B6" s="554" t="s">
        <v>10</v>
      </c>
      <c r="C6" s="554" t="s">
        <v>13</v>
      </c>
      <c r="D6" s="511">
        <v>1.4</v>
      </c>
      <c r="E6" s="509"/>
      <c r="F6" s="505"/>
      <c r="G6" s="554" t="s">
        <v>14</v>
      </c>
    </row>
    <row r="7" spans="2:7">
      <c r="B7" s="554" t="s">
        <v>10</v>
      </c>
      <c r="C7" s="554" t="s">
        <v>15</v>
      </c>
      <c r="D7" s="503">
        <v>0.78</v>
      </c>
      <c r="E7" s="504"/>
      <c r="F7" s="505"/>
      <c r="G7" s="536"/>
    </row>
    <row r="8" spans="2:7">
      <c r="B8" s="554" t="s">
        <v>10</v>
      </c>
      <c r="C8" s="554" t="s">
        <v>16</v>
      </c>
      <c r="D8" s="503">
        <v>13.81</v>
      </c>
      <c r="E8" s="504"/>
      <c r="F8" s="505"/>
      <c r="G8" s="428" t="s">
        <v>17</v>
      </c>
    </row>
    <row r="9" spans="2:7">
      <c r="B9" s="554" t="s">
        <v>10</v>
      </c>
      <c r="C9" s="554" t="s">
        <v>18</v>
      </c>
      <c r="D9" s="503">
        <v>0.11</v>
      </c>
      <c r="E9" s="504"/>
      <c r="F9" s="505"/>
      <c r="G9" s="536"/>
    </row>
    <row r="10" spans="2:7">
      <c r="B10" s="554" t="s">
        <v>10</v>
      </c>
      <c r="C10" s="554" t="s">
        <v>19</v>
      </c>
      <c r="D10" s="503">
        <v>1.18</v>
      </c>
      <c r="E10" s="504"/>
      <c r="F10" s="505"/>
      <c r="G10" s="554" t="s">
        <v>17</v>
      </c>
    </row>
    <row r="11" spans="2:7">
      <c r="B11" s="554" t="s">
        <v>20</v>
      </c>
      <c r="C11" s="554" t="s">
        <v>21</v>
      </c>
      <c r="D11" s="503">
        <v>0.36</v>
      </c>
      <c r="E11" s="504"/>
      <c r="F11" s="505"/>
      <c r="G11" s="536"/>
    </row>
    <row r="12" spans="2:7">
      <c r="B12" s="554" t="s">
        <v>20</v>
      </c>
      <c r="C12" s="554" t="s">
        <v>22</v>
      </c>
      <c r="D12" s="503">
        <v>0.62</v>
      </c>
      <c r="E12" s="504"/>
      <c r="F12" s="505"/>
      <c r="G12" s="536"/>
    </row>
    <row r="13" spans="2:7">
      <c r="B13" s="554" t="s">
        <v>20</v>
      </c>
      <c r="C13" s="554" t="s">
        <v>23</v>
      </c>
      <c r="D13" s="503">
        <v>14.74</v>
      </c>
      <c r="E13" s="504"/>
      <c r="F13" s="505"/>
      <c r="G13" s="428" t="s">
        <v>17</v>
      </c>
    </row>
    <row r="14" spans="2:7">
      <c r="B14" s="554" t="s">
        <v>20</v>
      </c>
      <c r="C14" s="554" t="s">
        <v>24</v>
      </c>
      <c r="D14" s="503">
        <v>2.75</v>
      </c>
      <c r="E14" s="504"/>
      <c r="F14" s="505"/>
      <c r="G14" s="422" t="s">
        <v>25</v>
      </c>
    </row>
    <row r="15" spans="2:7">
      <c r="B15" s="554" t="s">
        <v>20</v>
      </c>
      <c r="C15" s="554" t="s">
        <v>26</v>
      </c>
      <c r="D15" s="503">
        <v>1.61</v>
      </c>
      <c r="E15" s="504"/>
      <c r="F15" s="505"/>
      <c r="G15" s="536"/>
    </row>
    <row r="16" spans="2:7" s="524" customFormat="1">
      <c r="B16" s="555" t="s">
        <v>27</v>
      </c>
      <c r="C16" s="555" t="s">
        <v>28</v>
      </c>
      <c r="D16" s="505">
        <v>5.88</v>
      </c>
      <c r="E16" s="523"/>
      <c r="F16" s="522"/>
      <c r="G16" s="630" t="s">
        <v>29</v>
      </c>
    </row>
    <row r="17" spans="2:7">
      <c r="B17" s="554" t="s">
        <v>27</v>
      </c>
      <c r="C17" s="554" t="s">
        <v>30</v>
      </c>
      <c r="D17" s="503">
        <v>0.85</v>
      </c>
      <c r="E17" s="504"/>
      <c r="F17" s="505"/>
      <c r="G17" s="536"/>
    </row>
    <row r="18" spans="2:7">
      <c r="B18" s="554" t="s">
        <v>27</v>
      </c>
      <c r="C18" s="554" t="s">
        <v>31</v>
      </c>
      <c r="D18" s="503">
        <v>0.33</v>
      </c>
      <c r="E18" s="504"/>
      <c r="F18" s="505"/>
      <c r="G18" s="536" t="s">
        <v>32</v>
      </c>
    </row>
    <row r="19" spans="2:7">
      <c r="B19" s="554" t="s">
        <v>27</v>
      </c>
      <c r="C19" s="554" t="s">
        <v>33</v>
      </c>
      <c r="D19" s="503">
        <v>0.38</v>
      </c>
      <c r="E19" s="504"/>
      <c r="F19" s="505"/>
      <c r="G19" s="536"/>
    </row>
    <row r="20" spans="2:7">
      <c r="B20" s="554" t="s">
        <v>27</v>
      </c>
      <c r="C20" s="554" t="s">
        <v>34</v>
      </c>
      <c r="D20" s="503">
        <v>0.17</v>
      </c>
      <c r="E20" s="504"/>
      <c r="F20" s="505"/>
      <c r="G20" s="536"/>
    </row>
    <row r="21" spans="2:7">
      <c r="B21" s="554" t="s">
        <v>27</v>
      </c>
      <c r="C21" s="554" t="s">
        <v>35</v>
      </c>
      <c r="D21" s="503">
        <v>0.06</v>
      </c>
      <c r="E21" s="504"/>
      <c r="F21" s="505"/>
      <c r="G21" s="559" t="s">
        <v>36</v>
      </c>
    </row>
    <row r="22" spans="2:7">
      <c r="B22" s="554" t="s">
        <v>27</v>
      </c>
      <c r="C22" s="554" t="s">
        <v>37</v>
      </c>
      <c r="D22" s="503">
        <v>0.28999999999999998</v>
      </c>
      <c r="E22" s="504"/>
      <c r="F22" s="505"/>
      <c r="G22" s="406" t="s">
        <v>38</v>
      </c>
    </row>
    <row r="23" spans="2:7">
      <c r="B23" s="554" t="s">
        <v>27</v>
      </c>
      <c r="C23" s="554" t="s">
        <v>39</v>
      </c>
      <c r="D23" s="503">
        <v>0.51</v>
      </c>
      <c r="E23" s="504"/>
      <c r="F23" s="505"/>
      <c r="G23" s="536"/>
    </row>
    <row r="24" spans="2:7">
      <c r="B24" s="554" t="s">
        <v>40</v>
      </c>
      <c r="C24" s="554" t="s">
        <v>41</v>
      </c>
      <c r="D24" s="503">
        <v>4.0000000000000001E-3</v>
      </c>
      <c r="E24" s="504"/>
      <c r="F24" s="505"/>
      <c r="G24" s="536"/>
    </row>
    <row r="25" spans="2:7">
      <c r="B25" s="554" t="s">
        <v>40</v>
      </c>
      <c r="C25" s="554" t="s">
        <v>42</v>
      </c>
      <c r="D25" s="503">
        <v>0.7</v>
      </c>
      <c r="E25" s="504"/>
      <c r="F25" s="505"/>
      <c r="G25" s="536"/>
    </row>
    <row r="26" spans="2:7">
      <c r="B26" s="554" t="s">
        <v>40</v>
      </c>
      <c r="C26" s="512" t="s">
        <v>43</v>
      </c>
      <c r="D26" s="503"/>
      <c r="E26" s="504"/>
      <c r="F26" s="505"/>
      <c r="G26" s="536"/>
    </row>
    <row r="27" spans="2:7">
      <c r="B27" s="554" t="s">
        <v>40</v>
      </c>
      <c r="C27" s="554" t="s">
        <v>44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45</v>
      </c>
      <c r="C29" s="513" t="s">
        <v>46</v>
      </c>
      <c r="D29" s="514">
        <f>SUM(D30:D34)</f>
        <v>0</v>
      </c>
      <c r="E29" s="504"/>
      <c r="F29" s="505"/>
      <c r="G29" s="536"/>
    </row>
    <row r="30" spans="2:7" s="518" customFormat="1" ht="14.45" outlineLevel="2">
      <c r="B30" s="536" t="s">
        <v>47</v>
      </c>
      <c r="C30" s="557" t="s">
        <v>48</v>
      </c>
      <c r="D30" s="503"/>
      <c r="E30" s="504"/>
      <c r="F30" s="516"/>
      <c r="G30" s="557" t="s">
        <v>49</v>
      </c>
    </row>
    <row r="31" spans="2:7" s="518" customFormat="1" ht="14.45" outlineLevel="2">
      <c r="B31" s="536" t="s">
        <v>47</v>
      </c>
      <c r="C31" s="557" t="s">
        <v>50</v>
      </c>
      <c r="D31" s="503"/>
      <c r="E31" s="504"/>
      <c r="F31" s="516"/>
      <c r="G31" s="557" t="s">
        <v>51</v>
      </c>
    </row>
    <row r="32" spans="2:7" s="518" customFormat="1" ht="14.45" outlineLevel="2">
      <c r="B32" s="536" t="s">
        <v>47</v>
      </c>
      <c r="C32" s="557" t="s">
        <v>52</v>
      </c>
      <c r="D32" s="503"/>
      <c r="E32" s="504"/>
      <c r="F32" s="516"/>
      <c r="G32" s="557" t="s">
        <v>53</v>
      </c>
    </row>
    <row r="33" spans="2:7" s="518" customFormat="1" ht="14.45" outlineLevel="2">
      <c r="B33" s="536" t="s">
        <v>47</v>
      </c>
      <c r="C33" s="557" t="s">
        <v>54</v>
      </c>
      <c r="D33" s="503"/>
      <c r="E33" s="504"/>
      <c r="F33" s="516"/>
      <c r="G33" s="517"/>
    </row>
    <row r="34" spans="2:7" s="518" customFormat="1" ht="14.45" outlineLevel="2">
      <c r="B34" s="536" t="s">
        <v>47</v>
      </c>
      <c r="C34" s="557" t="s">
        <v>55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4.45" outlineLevel="2">
      <c r="B36" s="536" t="s">
        <v>56</v>
      </c>
      <c r="C36" s="557" t="s">
        <v>57</v>
      </c>
      <c r="D36" s="519">
        <v>0.01</v>
      </c>
      <c r="E36" s="504"/>
      <c r="F36" s="505"/>
      <c r="G36" s="517"/>
    </row>
    <row r="37" spans="2:7" s="518" customFormat="1" ht="14.45" outlineLevel="2">
      <c r="B37" s="536" t="s">
        <v>56</v>
      </c>
      <c r="C37" s="557" t="s">
        <v>58</v>
      </c>
      <c r="D37" s="519">
        <v>0.02</v>
      </c>
      <c r="E37" s="504"/>
      <c r="F37" s="505"/>
      <c r="G37" s="517"/>
    </row>
    <row r="38" spans="2:7" s="518" customFormat="1" ht="14.45" outlineLevel="2">
      <c r="B38" s="536" t="s">
        <v>56</v>
      </c>
      <c r="C38" s="557" t="s">
        <v>59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4.45" outlineLevel="2">
      <c r="B39" s="536" t="s">
        <v>56</v>
      </c>
      <c r="C39" s="557" t="s">
        <v>60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4.45" outlineLevel="2">
      <c r="B40" s="536" t="s">
        <v>56</v>
      </c>
      <c r="C40" s="557" t="s">
        <v>61</v>
      </c>
      <c r="D40" s="519">
        <v>0.36</v>
      </c>
      <c r="E40" s="504"/>
      <c r="F40" s="505"/>
      <c r="G40" s="517"/>
    </row>
    <row r="41" spans="2:7" s="518" customFormat="1" ht="14.45" outlineLevel="2">
      <c r="B41" s="536" t="s">
        <v>56</v>
      </c>
      <c r="C41" s="557" t="s">
        <v>62</v>
      </c>
      <c r="D41" s="519">
        <v>2.1</v>
      </c>
      <c r="E41" s="504"/>
      <c r="F41" s="505"/>
      <c r="G41" s="517"/>
    </row>
    <row r="42" spans="2:7" s="518" customFormat="1" ht="14.45" outlineLevel="2">
      <c r="B42" s="536" t="s">
        <v>56</v>
      </c>
      <c r="C42" s="557" t="s">
        <v>63</v>
      </c>
      <c r="D42" s="519">
        <v>0.08</v>
      </c>
      <c r="E42" s="504"/>
      <c r="F42" s="505"/>
      <c r="G42" s="554" t="s">
        <v>64</v>
      </c>
    </row>
    <row r="43" spans="2:7" s="518" customFormat="1" ht="27.6" outlineLevel="2">
      <c r="B43" s="536" t="s">
        <v>56</v>
      </c>
      <c r="C43" s="557" t="s">
        <v>65</v>
      </c>
      <c r="D43" s="519">
        <v>0.17</v>
      </c>
      <c r="E43" s="504"/>
      <c r="F43" s="505"/>
      <c r="G43" s="554" t="s">
        <v>66</v>
      </c>
    </row>
    <row r="44" spans="2:7" s="518" customFormat="1" ht="41.45" outlineLevel="2">
      <c r="B44" s="536" t="s">
        <v>56</v>
      </c>
      <c r="C44" s="557" t="s">
        <v>67</v>
      </c>
      <c r="D44" s="519">
        <v>1.1200000000000001</v>
      </c>
      <c r="E44" s="509">
        <v>2</v>
      </c>
      <c r="F44" s="510">
        <v>0.14000000000000001</v>
      </c>
      <c r="G44" s="554" t="s">
        <v>68</v>
      </c>
    </row>
    <row r="45" spans="2:7" s="518" customFormat="1" ht="14.45" outlineLevel="2">
      <c r="B45" s="536" t="s">
        <v>56</v>
      </c>
      <c r="C45" s="557" t="s">
        <v>69</v>
      </c>
      <c r="D45" s="519">
        <v>0.28000000000000003</v>
      </c>
      <c r="E45" s="504"/>
      <c r="F45" s="505"/>
      <c r="G45" s="517"/>
    </row>
    <row r="46" spans="2:7" s="518" customFormat="1" ht="14.45" outlineLevel="2">
      <c r="B46" s="536" t="s">
        <v>56</v>
      </c>
      <c r="C46" s="557" t="s">
        <v>70</v>
      </c>
      <c r="D46" s="519">
        <v>3.26</v>
      </c>
      <c r="E46" s="504"/>
      <c r="F46" s="505"/>
      <c r="G46" s="517"/>
    </row>
    <row r="47" spans="2:7" s="518" customFormat="1" ht="14.45" outlineLevel="2">
      <c r="B47" s="536" t="s">
        <v>56</v>
      </c>
      <c r="C47" s="557" t="s">
        <v>71</v>
      </c>
      <c r="D47" s="519">
        <v>0.38</v>
      </c>
      <c r="E47" s="504"/>
      <c r="F47" s="505"/>
      <c r="G47" s="554" t="s">
        <v>72</v>
      </c>
    </row>
    <row r="48" spans="2:7" s="518" customFormat="1" ht="14.45" outlineLevel="2">
      <c r="B48" s="536" t="s">
        <v>56</v>
      </c>
      <c r="C48" s="557" t="s">
        <v>73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4.45" outlineLevel="2">
      <c r="B49" s="536" t="s">
        <v>56</v>
      </c>
      <c r="C49" s="557" t="s">
        <v>74</v>
      </c>
      <c r="D49" s="519">
        <v>0.03</v>
      </c>
      <c r="E49" s="504"/>
      <c r="F49" s="505"/>
      <c r="G49" s="557" t="s">
        <v>75</v>
      </c>
    </row>
    <row r="50" spans="2:7" s="518" customFormat="1" ht="28.15" outlineLevel="2">
      <c r="B50" s="536" t="s">
        <v>56</v>
      </c>
      <c r="C50" s="557" t="s">
        <v>76</v>
      </c>
      <c r="D50" s="519">
        <v>3.64</v>
      </c>
      <c r="E50" s="504">
        <v>1</v>
      </c>
      <c r="F50" s="505">
        <v>2.25</v>
      </c>
      <c r="G50" s="285" t="s">
        <v>77</v>
      </c>
    </row>
    <row r="51" spans="2:7" s="518" customFormat="1" ht="14.45" outlineLevel="2">
      <c r="B51" s="536" t="s">
        <v>56</v>
      </c>
      <c r="C51" s="557" t="s">
        <v>78</v>
      </c>
      <c r="D51" s="519">
        <v>0.35</v>
      </c>
      <c r="E51" s="504"/>
      <c r="F51" s="505"/>
      <c r="G51" s="517"/>
    </row>
    <row r="52" spans="2:7" s="518" customFormat="1" ht="14.45" outlineLevel="2">
      <c r="B52" s="536" t="s">
        <v>56</v>
      </c>
      <c r="C52" s="557" t="s">
        <v>79</v>
      </c>
      <c r="D52" s="519">
        <v>0</v>
      </c>
      <c r="E52" s="504"/>
      <c r="F52" s="505"/>
      <c r="G52" s="517"/>
    </row>
    <row r="53" spans="2:7" s="518" customFormat="1" ht="14.45" outlineLevel="2">
      <c r="B53" s="536" t="s">
        <v>56</v>
      </c>
      <c r="C53" s="520" t="s">
        <v>80</v>
      </c>
      <c r="D53" s="519">
        <v>0</v>
      </c>
      <c r="E53" s="504"/>
      <c r="F53" s="505"/>
      <c r="G53" s="517"/>
    </row>
    <row r="54" spans="2:7" s="518" customFormat="1" ht="14.45" outlineLevel="2">
      <c r="B54" s="536" t="s">
        <v>56</v>
      </c>
      <c r="C54" s="557" t="s">
        <v>81</v>
      </c>
      <c r="D54" s="519">
        <v>0.02</v>
      </c>
      <c r="E54" s="504"/>
      <c r="F54" s="505"/>
      <c r="G54" s="517"/>
    </row>
    <row r="55" spans="2:7" s="518" customFormat="1" ht="14.45" outlineLevel="2">
      <c r="B55" s="536" t="s">
        <v>56</v>
      </c>
      <c r="C55" s="557" t="s">
        <v>82</v>
      </c>
      <c r="D55" s="519">
        <v>0.22</v>
      </c>
      <c r="E55" s="504"/>
      <c r="F55" s="505"/>
      <c r="G55" s="517"/>
    </row>
    <row r="56" spans="2:7" s="518" customFormat="1" ht="14.45" outlineLevel="2">
      <c r="B56" s="536" t="s">
        <v>56</v>
      </c>
      <c r="C56" s="557" t="s">
        <v>83</v>
      </c>
      <c r="D56" s="519">
        <v>0</v>
      </c>
      <c r="E56" s="504"/>
      <c r="F56" s="505"/>
      <c r="G56" s="517"/>
    </row>
    <row r="57" spans="2:7" s="518" customFormat="1" ht="14.45" outlineLevel="2">
      <c r="B57" s="536" t="s">
        <v>56</v>
      </c>
      <c r="C57" s="557" t="s">
        <v>84</v>
      </c>
      <c r="D57" s="519">
        <v>0</v>
      </c>
      <c r="E57" s="504"/>
      <c r="F57" s="505"/>
      <c r="G57" s="517"/>
    </row>
    <row r="58" spans="2:7" s="518" customFormat="1" ht="14.45" outlineLevel="2">
      <c r="B58" s="536" t="s">
        <v>56</v>
      </c>
      <c r="C58" s="557" t="s">
        <v>85</v>
      </c>
      <c r="D58" s="519">
        <v>0.19</v>
      </c>
      <c r="E58" s="504"/>
      <c r="F58" s="505"/>
      <c r="G58" s="517"/>
    </row>
    <row r="59" spans="2:7" s="518" customFormat="1" ht="14.45" outlineLevel="2">
      <c r="B59" s="536" t="s">
        <v>56</v>
      </c>
      <c r="C59" s="557" t="s">
        <v>86</v>
      </c>
      <c r="D59" s="519">
        <v>0.17</v>
      </c>
      <c r="E59" s="504"/>
      <c r="F59" s="505"/>
      <c r="G59" s="517"/>
    </row>
    <row r="60" spans="2:7" s="518" customFormat="1" ht="14.45" outlineLevel="2">
      <c r="B60" s="536" t="s">
        <v>56</v>
      </c>
      <c r="C60" s="557" t="s">
        <v>87</v>
      </c>
      <c r="D60" s="519">
        <v>0.08</v>
      </c>
      <c r="E60" s="504"/>
      <c r="F60" s="505"/>
      <c r="G60" s="517"/>
    </row>
    <row r="61" spans="2:7" s="518" customFormat="1" ht="14.45" outlineLevel="2">
      <c r="B61" s="536" t="s">
        <v>56</v>
      </c>
      <c r="C61" s="557" t="s">
        <v>88</v>
      </c>
      <c r="D61" s="519">
        <v>2.02</v>
      </c>
      <c r="E61" s="504"/>
      <c r="F61" s="505"/>
      <c r="G61" s="517"/>
    </row>
    <row r="62" spans="2:7" s="518" customFormat="1" ht="14.45" outlineLevel="2">
      <c r="B62" s="536" t="s">
        <v>56</v>
      </c>
      <c r="C62" s="557" t="s">
        <v>89</v>
      </c>
      <c r="D62" s="519">
        <v>1.56</v>
      </c>
      <c r="E62" s="504"/>
      <c r="F62" s="505"/>
      <c r="G62" s="517"/>
    </row>
    <row r="63" spans="2:7" s="518" customFormat="1" ht="14.45" outlineLevel="2">
      <c r="B63" s="536" t="s">
        <v>56</v>
      </c>
      <c r="C63" s="557" t="s">
        <v>90</v>
      </c>
      <c r="D63" s="519">
        <v>0.52</v>
      </c>
      <c r="E63" s="504"/>
      <c r="F63" s="505"/>
      <c r="G63" s="517"/>
    </row>
    <row r="64" spans="2:7" s="518" customFormat="1" ht="14.45" outlineLevel="2">
      <c r="B64" s="536" t="s">
        <v>56</v>
      </c>
      <c r="C64" s="557" t="s">
        <v>91</v>
      </c>
      <c r="D64" s="519">
        <v>0.56999999999999995</v>
      </c>
      <c r="E64" s="504"/>
      <c r="F64" s="505"/>
      <c r="G64" s="517"/>
    </row>
    <row r="65" spans="2:7" s="518" customFormat="1" ht="14.45" outlineLevel="2">
      <c r="B65" s="536" t="s">
        <v>56</v>
      </c>
      <c r="C65" s="557" t="s">
        <v>92</v>
      </c>
      <c r="D65" s="519">
        <v>0.73</v>
      </c>
      <c r="E65" s="504"/>
      <c r="F65" s="505"/>
      <c r="G65" s="517"/>
    </row>
    <row r="66" spans="2:7" s="518" customFormat="1" ht="14.45" outlineLevel="2">
      <c r="B66" s="536" t="s">
        <v>56</v>
      </c>
      <c r="C66" s="557" t="s">
        <v>93</v>
      </c>
      <c r="D66" s="519">
        <v>0.2</v>
      </c>
      <c r="E66" s="504"/>
      <c r="F66" s="505"/>
      <c r="G66" s="517"/>
    </row>
    <row r="67" spans="2:7" s="518" customFormat="1" ht="42" outlineLevel="2">
      <c r="B67" s="536" t="s">
        <v>56</v>
      </c>
      <c r="C67" s="557" t="s">
        <v>94</v>
      </c>
      <c r="D67" s="519">
        <v>0.56999999999999995</v>
      </c>
      <c r="E67" s="504"/>
      <c r="F67" s="505"/>
      <c r="G67" s="588" t="s">
        <v>95</v>
      </c>
    </row>
    <row r="68" spans="2:7" s="518" customFormat="1" ht="14.45" outlineLevel="2">
      <c r="B68" s="536" t="s">
        <v>56</v>
      </c>
      <c r="C68" s="557" t="s">
        <v>96</v>
      </c>
      <c r="D68" s="519">
        <v>0</v>
      </c>
      <c r="E68" s="504"/>
      <c r="F68" s="505"/>
      <c r="G68" s="517"/>
    </row>
    <row r="69" spans="2:7" s="518" customFormat="1" ht="14.45" outlineLevel="2">
      <c r="B69" s="536" t="s">
        <v>56</v>
      </c>
      <c r="C69" s="557" t="s">
        <v>97</v>
      </c>
      <c r="D69" s="519">
        <v>0</v>
      </c>
      <c r="E69" s="504"/>
      <c r="F69" s="505"/>
      <c r="G69" s="517"/>
    </row>
    <row r="70" spans="2:7" s="518" customFormat="1" ht="14.45" outlineLevel="2">
      <c r="B70" s="536" t="s">
        <v>56</v>
      </c>
      <c r="C70" s="557" t="s">
        <v>98</v>
      </c>
      <c r="D70" s="519">
        <v>0</v>
      </c>
      <c r="E70" s="504"/>
      <c r="F70" s="505"/>
      <c r="G70" s="517"/>
    </row>
    <row r="71" spans="2:7" s="518" customFormat="1" ht="14.45" outlineLevel="2">
      <c r="B71" s="536" t="s">
        <v>56</v>
      </c>
      <c r="C71" s="557" t="s">
        <v>99</v>
      </c>
      <c r="D71" s="519">
        <v>0</v>
      </c>
      <c r="E71" s="504"/>
      <c r="F71" s="505"/>
      <c r="G71" s="631" t="s">
        <v>100</v>
      </c>
    </row>
    <row r="72" spans="2:7" s="518" customFormat="1" ht="14.45" outlineLevel="2">
      <c r="B72" s="536" t="s">
        <v>56</v>
      </c>
      <c r="C72" s="557" t="s">
        <v>101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4.45" outlineLevel="1">
      <c r="B74" s="536" t="s">
        <v>102</v>
      </c>
      <c r="C74" s="557" t="s">
        <v>103</v>
      </c>
      <c r="D74" s="505">
        <v>1.4336873100000001E-2</v>
      </c>
      <c r="E74" s="504"/>
      <c r="F74" s="505"/>
      <c r="G74" s="554" t="s">
        <v>104</v>
      </c>
    </row>
    <row r="75" spans="2:7" s="518" customFormat="1" ht="14.45" outlineLevel="1">
      <c r="B75" s="536" t="s">
        <v>102</v>
      </c>
      <c r="C75" s="557" t="s">
        <v>105</v>
      </c>
      <c r="D75" s="505">
        <v>0.36573175713220468</v>
      </c>
      <c r="E75" s="504"/>
      <c r="F75" s="505"/>
      <c r="G75" s="554" t="s">
        <v>106</v>
      </c>
    </row>
    <row r="76" spans="2:7" s="518" customFormat="1" ht="14.45" outlineLevel="1">
      <c r="B76" s="536" t="s">
        <v>102</v>
      </c>
      <c r="C76" s="557" t="s">
        <v>107</v>
      </c>
      <c r="D76" s="505">
        <v>0.16750548359999998</v>
      </c>
      <c r="E76" s="504"/>
      <c r="F76" s="505"/>
      <c r="G76" s="515"/>
    </row>
    <row r="77" spans="2:7" s="518" customFormat="1" ht="14.45" outlineLevel="1">
      <c r="B77" s="536" t="s">
        <v>102</v>
      </c>
      <c r="C77" s="557" t="s">
        <v>108</v>
      </c>
      <c r="D77" s="505">
        <v>0.40327449999999998</v>
      </c>
      <c r="E77" s="504"/>
      <c r="F77" s="505"/>
      <c r="G77" s="515"/>
    </row>
    <row r="78" spans="2:7" s="518" customFormat="1" ht="14.45" outlineLevel="1">
      <c r="B78" s="536" t="s">
        <v>102</v>
      </c>
      <c r="C78" s="557" t="s">
        <v>109</v>
      </c>
      <c r="D78" s="505">
        <v>0.14000000000000001</v>
      </c>
      <c r="E78" s="504"/>
      <c r="F78" s="505"/>
      <c r="G78" s="515"/>
    </row>
    <row r="79" spans="2:7" s="518" customFormat="1" ht="14.45" outlineLevel="1">
      <c r="B79" s="536" t="s">
        <v>102</v>
      </c>
      <c r="C79" s="557" t="s">
        <v>110</v>
      </c>
      <c r="D79" s="505">
        <v>3.1655887211519997E-2</v>
      </c>
      <c r="E79" s="504"/>
      <c r="F79" s="505"/>
      <c r="G79" s="554" t="s">
        <v>111</v>
      </c>
    </row>
    <row r="80" spans="2:7" s="518" customFormat="1" ht="14.45" outlineLevel="1">
      <c r="B80" s="536" t="s">
        <v>102</v>
      </c>
      <c r="C80" s="557" t="s">
        <v>112</v>
      </c>
      <c r="D80" s="505">
        <v>4.7122779914999996E-2</v>
      </c>
      <c r="E80" s="504"/>
      <c r="F80" s="505"/>
      <c r="G80" s="515"/>
    </row>
    <row r="81" spans="2:7" s="518" customFormat="1" ht="14.45" outlineLevel="1">
      <c r="B81" s="536" t="s">
        <v>102</v>
      </c>
      <c r="C81" s="557" t="s">
        <v>113</v>
      </c>
      <c r="D81" s="505">
        <v>2.1646138109098385</v>
      </c>
      <c r="E81" s="504"/>
      <c r="F81" s="505"/>
      <c r="G81" s="515"/>
    </row>
    <row r="82" spans="2:7" s="518" customFormat="1" ht="14.45" outlineLevel="1">
      <c r="B82" s="536" t="s">
        <v>102</v>
      </c>
      <c r="C82" s="557" t="s">
        <v>114</v>
      </c>
      <c r="D82" s="505">
        <v>0.04</v>
      </c>
      <c r="E82" s="504"/>
      <c r="F82" s="505"/>
      <c r="G82" s="515"/>
    </row>
    <row r="83" spans="2:7" s="518" customFormat="1" ht="14.45" outlineLevel="1">
      <c r="B83" s="536" t="s">
        <v>102</v>
      </c>
      <c r="C83" s="557" t="s">
        <v>115</v>
      </c>
      <c r="D83" s="505">
        <v>0.32</v>
      </c>
      <c r="E83" s="504">
        <v>1</v>
      </c>
      <c r="F83" s="505">
        <v>0.02</v>
      </c>
      <c r="G83" s="447" t="s">
        <v>116</v>
      </c>
    </row>
    <row r="84" spans="2:7" s="518" customFormat="1" ht="14.45" outlineLevel="1">
      <c r="B84" s="536" t="s">
        <v>102</v>
      </c>
      <c r="C84" s="557" t="s">
        <v>117</v>
      </c>
      <c r="D84" s="505">
        <v>3.6853334887931043E-2</v>
      </c>
      <c r="E84" s="504"/>
      <c r="F84" s="505"/>
      <c r="G84" s="515"/>
    </row>
    <row r="85" spans="2:7" s="518" customFormat="1" ht="14.45" outlineLevel="1">
      <c r="B85" s="536" t="s">
        <v>102</v>
      </c>
      <c r="C85" s="557" t="s">
        <v>118</v>
      </c>
      <c r="D85" s="505">
        <v>2.1397857699999998E-2</v>
      </c>
      <c r="E85" s="504"/>
      <c r="F85" s="505"/>
      <c r="G85" s="515"/>
    </row>
    <row r="86" spans="2:7" s="518" customFormat="1" ht="14.45" outlineLevel="1">
      <c r="B86" s="536" t="s">
        <v>102</v>
      </c>
      <c r="C86" s="557" t="s">
        <v>119</v>
      </c>
      <c r="D86" s="505">
        <v>0</v>
      </c>
      <c r="E86" s="504"/>
      <c r="F86" s="505"/>
      <c r="G86" s="515"/>
    </row>
    <row r="87" spans="2:7" s="518" customFormat="1" ht="14.45" outlineLevel="1">
      <c r="B87" s="536" t="s">
        <v>102</v>
      </c>
      <c r="C87" s="512" t="s">
        <v>120</v>
      </c>
      <c r="D87" s="505">
        <v>3.3E-3</v>
      </c>
      <c r="E87" s="504"/>
      <c r="F87" s="505"/>
      <c r="G87" s="515"/>
    </row>
    <row r="88" spans="2:7" s="518" customFormat="1" ht="14.45" outlineLevel="1">
      <c r="B88" s="536" t="s">
        <v>102</v>
      </c>
      <c r="C88" s="557" t="s">
        <v>121</v>
      </c>
      <c r="D88" s="505">
        <v>1.6800000000000002E-2</v>
      </c>
      <c r="E88" s="504"/>
      <c r="F88" s="505"/>
      <c r="G88" s="515"/>
    </row>
    <row r="89" spans="2:7" s="518" customFormat="1" ht="14.45" outlineLevel="1">
      <c r="B89" s="536" t="s">
        <v>102</v>
      </c>
      <c r="C89" s="557" t="s">
        <v>122</v>
      </c>
      <c r="D89" s="505">
        <v>0.23026800000000003</v>
      </c>
      <c r="E89" s="504">
        <v>1</v>
      </c>
      <c r="F89" s="505">
        <v>0.02</v>
      </c>
      <c r="G89" s="557" t="s">
        <v>123</v>
      </c>
    </row>
    <row r="90" spans="2:7" s="518" customFormat="1" ht="14.45" outlineLevel="1">
      <c r="B90" s="536" t="s">
        <v>102</v>
      </c>
      <c r="C90" s="557" t="s">
        <v>124</v>
      </c>
      <c r="D90" s="505">
        <v>1.13E-4</v>
      </c>
      <c r="E90" s="504"/>
      <c r="F90" s="505"/>
      <c r="G90" s="631" t="s">
        <v>125</v>
      </c>
    </row>
    <row r="91" spans="2:7" s="518" customFormat="1" ht="14.45" outlineLevel="1">
      <c r="B91" s="536" t="s">
        <v>102</v>
      </c>
      <c r="C91" s="557" t="s">
        <v>126</v>
      </c>
      <c r="D91" s="505">
        <v>0</v>
      </c>
      <c r="E91" s="504"/>
      <c r="F91" s="505"/>
      <c r="G91" s="515"/>
    </row>
    <row r="92" spans="2:7" s="518" customFormat="1" ht="14.45" outlineLevel="1">
      <c r="B92" s="536" t="s">
        <v>102</v>
      </c>
      <c r="C92" s="557" t="s">
        <v>127</v>
      </c>
      <c r="D92" s="505">
        <v>0</v>
      </c>
      <c r="E92" s="504"/>
      <c r="F92" s="505"/>
      <c r="G92" s="631" t="s">
        <v>128</v>
      </c>
    </row>
    <row r="93" spans="2:7" s="518" customFormat="1" ht="14.45" outlineLevel="1">
      <c r="B93" s="536" t="s">
        <v>102</v>
      </c>
      <c r="C93" s="557" t="s">
        <v>129</v>
      </c>
      <c r="D93" s="505">
        <v>0.15000000000000002</v>
      </c>
      <c r="E93" s="504"/>
      <c r="F93" s="505"/>
      <c r="G93" s="515"/>
    </row>
    <row r="94" spans="2:7" s="518" customFormat="1" ht="14.45" outlineLevel="1">
      <c r="B94" s="536" t="s">
        <v>102</v>
      </c>
      <c r="C94" s="557" t="s">
        <v>130</v>
      </c>
      <c r="D94" s="505">
        <v>0.16686000000000001</v>
      </c>
      <c r="E94" s="504"/>
      <c r="F94" s="505"/>
      <c r="G94" s="515"/>
    </row>
    <row r="95" spans="2:7" s="518" customFormat="1" ht="14.45" outlineLevel="1">
      <c r="B95" s="536" t="s">
        <v>102</v>
      </c>
      <c r="C95" s="557" t="s">
        <v>131</v>
      </c>
      <c r="D95" s="505">
        <v>7.6409520000000009E-2</v>
      </c>
      <c r="E95" s="504"/>
      <c r="F95" s="505"/>
      <c r="G95" s="515"/>
    </row>
    <row r="96" spans="2:7" s="518" customFormat="1" ht="14.45" outlineLevel="1">
      <c r="B96" s="536" t="s">
        <v>102</v>
      </c>
      <c r="C96" s="557" t="s">
        <v>132</v>
      </c>
      <c r="D96" s="516">
        <v>1.7570528000000003</v>
      </c>
      <c r="E96" s="508"/>
      <c r="F96" s="505"/>
      <c r="G96" s="515"/>
    </row>
    <row r="97" spans="2:7" s="518" customFormat="1" ht="14.45" outlineLevel="1">
      <c r="B97" s="536" t="s">
        <v>102</v>
      </c>
      <c r="C97" s="557" t="s">
        <v>133</v>
      </c>
      <c r="D97" s="516">
        <v>0.86951285400000011</v>
      </c>
      <c r="E97" s="508"/>
      <c r="F97" s="505"/>
      <c r="G97" s="515"/>
    </row>
    <row r="98" spans="2:7" s="518" customFormat="1" ht="14.45" outlineLevel="1">
      <c r="B98" s="536" t="s">
        <v>102</v>
      </c>
      <c r="C98" s="557" t="s">
        <v>134</v>
      </c>
      <c r="D98" s="516">
        <v>0.28983761800000002</v>
      </c>
      <c r="E98" s="508"/>
      <c r="F98" s="505"/>
      <c r="G98" s="515"/>
    </row>
    <row r="99" spans="2:7" s="518" customFormat="1" ht="14.45" outlineLevel="1">
      <c r="B99" s="536" t="s">
        <v>102</v>
      </c>
      <c r="C99" s="557" t="s">
        <v>135</v>
      </c>
      <c r="D99" s="505">
        <v>0.32804999999999995</v>
      </c>
      <c r="E99" s="504"/>
      <c r="F99" s="505"/>
      <c r="G99" s="515"/>
    </row>
    <row r="100" spans="2:7" s="518" customFormat="1" ht="14.45" outlineLevel="1">
      <c r="B100" s="536" t="s">
        <v>102</v>
      </c>
      <c r="C100" s="557" t="s">
        <v>136</v>
      </c>
      <c r="D100" s="505">
        <v>5.2621400000000005</v>
      </c>
      <c r="E100" s="504"/>
      <c r="F100" s="505"/>
      <c r="G100" s="631" t="s">
        <v>128</v>
      </c>
    </row>
    <row r="101" spans="2:7" s="518" customFormat="1" ht="14.45" outlineLevel="1">
      <c r="B101" s="536" t="s">
        <v>102</v>
      </c>
      <c r="C101" s="557" t="s">
        <v>137</v>
      </c>
      <c r="D101" s="505">
        <v>2.5074143979111465</v>
      </c>
      <c r="E101" s="504"/>
      <c r="F101" s="505"/>
      <c r="G101" s="515"/>
    </row>
    <row r="102" spans="2:7" s="518" customFormat="1" ht="28.15" outlineLevel="1">
      <c r="B102" s="536" t="s">
        <v>102</v>
      </c>
      <c r="C102" s="557" t="s">
        <v>138</v>
      </c>
      <c r="D102" s="505">
        <v>2.7927693686277002</v>
      </c>
      <c r="E102" s="504"/>
      <c r="F102" s="505"/>
      <c r="G102" s="588" t="s">
        <v>139</v>
      </c>
    </row>
    <row r="103" spans="2:7" s="518" customFormat="1" ht="28.15" outlineLevel="1">
      <c r="B103" s="536" t="s">
        <v>102</v>
      </c>
      <c r="C103" s="557" t="s">
        <v>140</v>
      </c>
      <c r="D103" s="505">
        <v>0</v>
      </c>
      <c r="E103" s="504"/>
      <c r="F103" s="505"/>
      <c r="G103" s="588" t="s">
        <v>139</v>
      </c>
    </row>
    <row r="104" spans="2:7" s="518" customFormat="1" ht="14.45" outlineLevel="1">
      <c r="B104" s="536" t="s">
        <v>102</v>
      </c>
      <c r="C104" s="557" t="s">
        <v>141</v>
      </c>
      <c r="D104" s="505">
        <v>0</v>
      </c>
      <c r="E104" s="504"/>
      <c r="F104" s="505"/>
      <c r="G104" s="515"/>
    </row>
    <row r="105" spans="2:7" s="518" customFormat="1" ht="14.45" outlineLevel="1">
      <c r="B105" s="536" t="s">
        <v>102</v>
      </c>
      <c r="C105" s="557" t="s">
        <v>142</v>
      </c>
      <c r="D105" s="505">
        <v>0</v>
      </c>
      <c r="E105" s="504"/>
      <c r="F105" s="505"/>
      <c r="G105" s="515"/>
    </row>
    <row r="106" spans="2:7" s="518" customFormat="1" ht="14.45" outlineLevel="1">
      <c r="B106" s="536" t="s">
        <v>102</v>
      </c>
      <c r="C106" s="557" t="s">
        <v>143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0</v>
      </c>
      <c r="C109" s="499" t="s">
        <v>1</v>
      </c>
      <c r="D109" s="499" t="s">
        <v>2</v>
      </c>
      <c r="E109" s="499" t="s">
        <v>3</v>
      </c>
      <c r="F109" s="499" t="s">
        <v>4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144</v>
      </c>
      <c r="C111" s="536" t="s">
        <v>145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144</v>
      </c>
      <c r="C112" s="536" t="s">
        <v>146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144</v>
      </c>
      <c r="C113" s="536" t="s">
        <v>147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144</v>
      </c>
      <c r="C114" s="536" t="s">
        <v>148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144</v>
      </c>
      <c r="C115" s="536" t="s">
        <v>149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bottomRight"/>
      <selection pane="bottomLeft" activeCell="A6" sqref="A6"/>
      <selection pane="topRight" activeCell="H1" sqref="H1"/>
    </sheetView>
  </sheetViews>
  <sheetFormatPr defaultColWidth="11.5703125" defaultRowHeight="13.9" outlineLevelRow="3" outlineLevelCol="1"/>
  <cols>
    <col min="1" max="1" width="3" style="189" customWidth="1"/>
    <col min="2" max="2" width="11.5703125" style="190" customWidth="1"/>
    <col min="3" max="3" width="26.42578125" style="189" customWidth="1"/>
    <col min="4" max="4" width="13.42578125" style="189" customWidth="1"/>
    <col min="5" max="5" width="0.42578125" style="191" customWidth="1"/>
    <col min="6" max="6" width="0.42578125" style="243" customWidth="1"/>
    <col min="7" max="7" width="0.42578125" style="191" customWidth="1"/>
    <col min="8" max="8" width="77.42578125" style="193" customWidth="1" outlineLevel="1"/>
    <col min="9" max="11" width="30.5703125" style="193" customWidth="1" outlineLevel="1"/>
    <col min="12" max="12" width="0.42578125" style="191" customWidth="1"/>
    <col min="13" max="13" width="0.42578125" style="243" customWidth="1"/>
    <col min="14" max="14" width="0.42578125" style="191" customWidth="1"/>
    <col min="15" max="18" width="10.5703125" style="313" customWidth="1" outlineLevel="1"/>
    <col min="19" max="19" width="0.42578125" style="191" customWidth="1" outlineLevel="1"/>
    <col min="20" max="20" width="0.42578125" style="243" customWidth="1"/>
    <col min="21" max="16384" width="11.570312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7.45">
      <c r="B2" s="195" t="s">
        <v>150</v>
      </c>
      <c r="C2" s="195"/>
      <c r="D2" s="195"/>
      <c r="E2" s="196"/>
      <c r="F2" s="197"/>
      <c r="G2" s="196"/>
      <c r="H2" s="1" t="s">
        <v>1</v>
      </c>
      <c r="I2" s="1" t="s">
        <v>1</v>
      </c>
      <c r="J2" s="1" t="s">
        <v>1</v>
      </c>
      <c r="K2" s="1" t="s">
        <v>1</v>
      </c>
      <c r="L2" s="196"/>
      <c r="M2" s="197"/>
      <c r="N2" s="196"/>
      <c r="O2" s="336" t="s">
        <v>151</v>
      </c>
      <c r="P2" s="336" t="s">
        <v>151</v>
      </c>
      <c r="Q2" s="336" t="s">
        <v>151</v>
      </c>
      <c r="R2" s="336" t="s">
        <v>151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6">
      <c r="B4" s="202" t="s">
        <v>152</v>
      </c>
      <c r="C4" s="203"/>
      <c r="D4" s="203"/>
      <c r="E4" s="204"/>
      <c r="F4" s="205"/>
      <c r="G4" s="204"/>
      <c r="H4" s="206" t="s">
        <v>153</v>
      </c>
      <c r="I4" s="206" t="s">
        <v>154</v>
      </c>
      <c r="J4" s="206" t="s">
        <v>155</v>
      </c>
      <c r="K4" s="206" t="s">
        <v>156</v>
      </c>
      <c r="L4" s="204"/>
      <c r="M4" s="205"/>
      <c r="N4" s="204"/>
      <c r="O4" s="206" t="s">
        <v>153</v>
      </c>
      <c r="P4" s="206" t="s">
        <v>154</v>
      </c>
      <c r="Q4" s="206" t="s">
        <v>155</v>
      </c>
      <c r="R4" s="206" t="s">
        <v>156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6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6">
      <c r="B10" s="222" t="s">
        <v>157</v>
      </c>
      <c r="C10" s="223" t="s">
        <v>158</v>
      </c>
      <c r="D10" s="224" t="s">
        <v>159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160</v>
      </c>
      <c r="C12" s="315" t="s">
        <v>161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6</v>
      </c>
      <c r="C13" s="242" t="s">
        <v>162</v>
      </c>
      <c r="D13" s="249" t="s">
        <v>159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6</v>
      </c>
      <c r="C14" s="242" t="s">
        <v>163</v>
      </c>
      <c r="D14" s="249" t="s">
        <v>159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164</v>
      </c>
      <c r="D15" s="249" t="s">
        <v>159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165</v>
      </c>
      <c r="D16" s="249" t="s">
        <v>159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166</v>
      </c>
      <c r="D17" s="249" t="s">
        <v>159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167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168</v>
      </c>
      <c r="D20" s="566" t="s">
        <v>159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6">
      <c r="B22" s="222" t="s">
        <v>10</v>
      </c>
      <c r="C22" s="223" t="s">
        <v>169</v>
      </c>
      <c r="D22" s="224" t="s">
        <v>159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170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171</v>
      </c>
      <c r="D25" s="566" t="s">
        <v>159</v>
      </c>
      <c r="E25" s="239"/>
      <c r="F25" s="192"/>
      <c r="G25" s="239"/>
      <c r="H25" s="568" t="s">
        <v>172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173</v>
      </c>
      <c r="D26" s="565" t="s">
        <v>159</v>
      </c>
      <c r="E26" s="243"/>
      <c r="F26" s="192"/>
      <c r="G26" s="243"/>
      <c r="H26" s="568" t="s">
        <v>174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173</v>
      </c>
      <c r="D27" s="565" t="s">
        <v>159</v>
      </c>
      <c r="E27" s="243"/>
      <c r="F27" s="192"/>
      <c r="G27" s="243"/>
      <c r="H27" s="568" t="s">
        <v>175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176</v>
      </c>
      <c r="D28" s="565" t="s">
        <v>159</v>
      </c>
      <c r="E28" s="243"/>
      <c r="F28" s="192"/>
      <c r="G28" s="243"/>
      <c r="H28" s="568" t="s">
        <v>177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176</v>
      </c>
      <c r="D29" s="565" t="s">
        <v>159</v>
      </c>
      <c r="E29" s="243"/>
      <c r="F29" s="192"/>
      <c r="G29" s="243"/>
      <c r="H29" s="568" t="s">
        <v>178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176</v>
      </c>
      <c r="D30" s="565" t="s">
        <v>159</v>
      </c>
      <c r="E30" s="243"/>
      <c r="F30" s="192"/>
      <c r="G30" s="243"/>
      <c r="H30" s="568" t="s">
        <v>179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176</v>
      </c>
      <c r="D31" s="565" t="s">
        <v>159</v>
      </c>
      <c r="E31" s="243"/>
      <c r="F31" s="192"/>
      <c r="G31" s="243"/>
      <c r="H31" s="568" t="s">
        <v>180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176</v>
      </c>
      <c r="D32" s="565" t="s">
        <v>159</v>
      </c>
      <c r="E32" s="243"/>
      <c r="F32" s="192"/>
      <c r="G32" s="243"/>
      <c r="H32" s="568" t="s">
        <v>181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176</v>
      </c>
      <c r="D33" s="565" t="s">
        <v>159</v>
      </c>
      <c r="E33" s="243"/>
      <c r="F33" s="192"/>
      <c r="G33" s="243"/>
      <c r="H33" s="568" t="s">
        <v>182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176</v>
      </c>
      <c r="D34" s="565" t="s">
        <v>159</v>
      </c>
      <c r="E34" s="243"/>
      <c r="F34" s="192"/>
      <c r="G34" s="243"/>
      <c r="H34" s="568" t="s">
        <v>183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176</v>
      </c>
      <c r="D35" s="565" t="s">
        <v>159</v>
      </c>
      <c r="E35" s="243"/>
      <c r="F35" s="192"/>
      <c r="G35" s="243"/>
      <c r="H35" s="568" t="s">
        <v>184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176</v>
      </c>
      <c r="D36" s="565" t="s">
        <v>159</v>
      </c>
      <c r="E36" s="243"/>
      <c r="F36" s="192"/>
      <c r="G36" s="243"/>
      <c r="H36" s="568" t="s">
        <v>185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176</v>
      </c>
      <c r="D37" s="565" t="s">
        <v>159</v>
      </c>
      <c r="E37" s="243"/>
      <c r="F37" s="192"/>
      <c r="G37" s="243"/>
      <c r="H37" s="568" t="s">
        <v>186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176</v>
      </c>
      <c r="D38" s="565" t="s">
        <v>159</v>
      </c>
      <c r="E38" s="243"/>
      <c r="F38" s="192"/>
      <c r="G38" s="243"/>
      <c r="H38" s="568" t="s">
        <v>187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176</v>
      </c>
      <c r="D39" s="565" t="s">
        <v>159</v>
      </c>
      <c r="E39" s="243"/>
      <c r="F39" s="192"/>
      <c r="G39" s="243"/>
      <c r="H39" s="568" t="s">
        <v>188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176</v>
      </c>
      <c r="D40" s="565" t="s">
        <v>159</v>
      </c>
      <c r="E40" s="243"/>
      <c r="F40" s="192"/>
      <c r="G40" s="243"/>
      <c r="H40" s="568" t="s">
        <v>189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176</v>
      </c>
      <c r="D41" s="565" t="s">
        <v>159</v>
      </c>
      <c r="E41" s="243"/>
      <c r="F41" s="192"/>
      <c r="G41" s="243"/>
      <c r="H41" s="568" t="s">
        <v>190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176</v>
      </c>
      <c r="D42" s="565" t="s">
        <v>159</v>
      </c>
      <c r="E42" s="243"/>
      <c r="F42" s="192"/>
      <c r="G42" s="243"/>
      <c r="H42" s="568" t="s">
        <v>191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176</v>
      </c>
      <c r="D43" s="565" t="s">
        <v>159</v>
      </c>
      <c r="E43" s="243"/>
      <c r="F43" s="192"/>
      <c r="G43" s="243"/>
      <c r="H43" s="568" t="s">
        <v>192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176</v>
      </c>
      <c r="D44" s="565" t="s">
        <v>159</v>
      </c>
      <c r="E44" s="243"/>
      <c r="F44" s="192"/>
      <c r="G44" s="243"/>
      <c r="H44" s="568" t="s">
        <v>193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176</v>
      </c>
      <c r="D45" s="565" t="s">
        <v>159</v>
      </c>
      <c r="E45" s="243"/>
      <c r="F45" s="192"/>
      <c r="G45" s="243"/>
      <c r="H45" s="568" t="s">
        <v>194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176</v>
      </c>
      <c r="D46" s="565" t="s">
        <v>159</v>
      </c>
      <c r="E46" s="243"/>
      <c r="F46" s="192"/>
      <c r="G46" s="243"/>
      <c r="H46" s="568" t="s">
        <v>174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176</v>
      </c>
      <c r="D47" s="565" t="s">
        <v>159</v>
      </c>
      <c r="E47" s="243"/>
      <c r="F47" s="192"/>
      <c r="G47" s="243"/>
      <c r="H47" s="568" t="s">
        <v>195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176</v>
      </c>
      <c r="D48" s="565" t="s">
        <v>159</v>
      </c>
      <c r="E48" s="243"/>
      <c r="F48" s="192"/>
      <c r="G48" s="243"/>
      <c r="H48" s="568" t="s">
        <v>196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197</v>
      </c>
      <c r="D49" s="565" t="s">
        <v>159</v>
      </c>
      <c r="E49" s="243"/>
      <c r="F49" s="192"/>
      <c r="G49" s="243"/>
      <c r="H49" s="568" t="s">
        <v>198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197</v>
      </c>
      <c r="D50" s="565" t="s">
        <v>159</v>
      </c>
      <c r="E50" s="239"/>
      <c r="F50" s="192"/>
      <c r="G50" s="239"/>
      <c r="H50" s="245" t="s">
        <v>199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197</v>
      </c>
      <c r="D51" s="565" t="s">
        <v>159</v>
      </c>
      <c r="E51" s="239"/>
      <c r="F51" s="192"/>
      <c r="G51" s="239"/>
      <c r="H51" s="245" t="s">
        <v>200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197</v>
      </c>
      <c r="D52" s="565" t="s">
        <v>159</v>
      </c>
      <c r="E52" s="243"/>
      <c r="F52" s="192"/>
      <c r="G52" s="243"/>
      <c r="H52" s="245" t="s">
        <v>201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197</v>
      </c>
      <c r="D53" s="565" t="s">
        <v>159</v>
      </c>
      <c r="E53" s="239"/>
      <c r="F53" s="192"/>
      <c r="G53" s="239"/>
      <c r="H53" s="245" t="s">
        <v>202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203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204</v>
      </c>
      <c r="D56" s="566" t="s">
        <v>159</v>
      </c>
      <c r="E56" s="232"/>
      <c r="F56" s="250"/>
      <c r="G56" s="232"/>
      <c r="H56" s="571" t="s">
        <v>205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204</v>
      </c>
      <c r="D57" s="566" t="s">
        <v>159</v>
      </c>
      <c r="E57" s="232"/>
      <c r="F57" s="250"/>
      <c r="G57" s="232"/>
      <c r="H57" s="252" t="s">
        <v>206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204</v>
      </c>
      <c r="D58" s="566" t="s">
        <v>159</v>
      </c>
      <c r="E58" s="232"/>
      <c r="F58" s="250"/>
      <c r="G58" s="232"/>
      <c r="H58" s="252" t="s">
        <v>207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204</v>
      </c>
      <c r="D59" s="566" t="s">
        <v>159</v>
      </c>
      <c r="E59" s="232"/>
      <c r="F59" s="250"/>
      <c r="G59" s="232"/>
      <c r="H59" s="252" t="s">
        <v>208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204</v>
      </c>
      <c r="D60" s="566" t="s">
        <v>159</v>
      </c>
      <c r="E60" s="232"/>
      <c r="F60" s="250"/>
      <c r="G60" s="232"/>
      <c r="H60" s="571" t="s">
        <v>209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204</v>
      </c>
      <c r="D61" s="566" t="s">
        <v>159</v>
      </c>
      <c r="E61" s="232"/>
      <c r="F61" s="250"/>
      <c r="G61" s="232"/>
      <c r="H61" s="571" t="s">
        <v>198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210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211</v>
      </c>
      <c r="D64" s="566" t="s">
        <v>159</v>
      </c>
      <c r="E64" s="232"/>
      <c r="F64" s="250"/>
      <c r="G64" s="232"/>
      <c r="H64" s="568" t="s">
        <v>205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212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213</v>
      </c>
      <c r="D67" s="566" t="s">
        <v>159</v>
      </c>
      <c r="E67" s="232"/>
      <c r="F67" s="250"/>
      <c r="G67" s="232"/>
      <c r="H67" s="568" t="s">
        <v>205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213</v>
      </c>
      <c r="D68" s="566" t="s">
        <v>159</v>
      </c>
      <c r="E68" s="232"/>
      <c r="F68" s="250"/>
      <c r="G68" s="232"/>
      <c r="H68" s="252" t="s">
        <v>206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214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215</v>
      </c>
      <c r="D71" s="566" t="s">
        <v>159</v>
      </c>
      <c r="E71" s="232"/>
      <c r="F71" s="250"/>
      <c r="G71" s="232"/>
      <c r="H71" s="568" t="s">
        <v>199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215</v>
      </c>
      <c r="D72" s="566" t="s">
        <v>159</v>
      </c>
      <c r="E72" s="232"/>
      <c r="F72" s="250"/>
      <c r="G72" s="232"/>
      <c r="H72" s="574" t="s">
        <v>216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215</v>
      </c>
      <c r="D73" s="566" t="s">
        <v>159</v>
      </c>
      <c r="E73" s="232"/>
      <c r="F73" s="250"/>
      <c r="G73" s="232"/>
      <c r="H73" s="574" t="s">
        <v>217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215</v>
      </c>
      <c r="D74" s="566" t="s">
        <v>159</v>
      </c>
      <c r="E74" s="232"/>
      <c r="F74" s="250"/>
      <c r="G74" s="232"/>
      <c r="H74" s="574" t="s">
        <v>218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215</v>
      </c>
      <c r="D75" s="566" t="s">
        <v>159</v>
      </c>
      <c r="E75" s="232"/>
      <c r="F75" s="250"/>
      <c r="G75" s="232"/>
      <c r="H75" s="574" t="s">
        <v>219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215</v>
      </c>
      <c r="D76" s="566" t="s">
        <v>159</v>
      </c>
      <c r="E76" s="232"/>
      <c r="F76" s="250"/>
      <c r="G76" s="232"/>
      <c r="H76" s="574" t="s">
        <v>220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215</v>
      </c>
      <c r="D77" s="566" t="s">
        <v>159</v>
      </c>
      <c r="E77" s="232"/>
      <c r="F77" s="250"/>
      <c r="G77" s="232"/>
      <c r="H77" s="574" t="s">
        <v>221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215</v>
      </c>
      <c r="D78" s="566" t="s">
        <v>159</v>
      </c>
      <c r="E78" s="232"/>
      <c r="F78" s="250"/>
      <c r="G78" s="232"/>
      <c r="H78" s="574" t="s">
        <v>222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223</v>
      </c>
      <c r="D79" s="566" t="s">
        <v>159</v>
      </c>
      <c r="E79" s="232"/>
      <c r="F79" s="250"/>
      <c r="G79" s="232"/>
      <c r="H79" s="576" t="s">
        <v>205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223</v>
      </c>
      <c r="D80" s="566" t="s">
        <v>159</v>
      </c>
      <c r="E80" s="232"/>
      <c r="F80" s="250"/>
      <c r="G80" s="232"/>
      <c r="H80" s="576" t="s">
        <v>206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223</v>
      </c>
      <c r="D81" s="566" t="s">
        <v>159</v>
      </c>
      <c r="E81" s="232"/>
      <c r="F81" s="250"/>
      <c r="G81" s="232"/>
      <c r="H81" s="576" t="s">
        <v>208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223</v>
      </c>
      <c r="D82" s="566" t="s">
        <v>159</v>
      </c>
      <c r="E82" s="232"/>
      <c r="F82" s="250"/>
      <c r="G82" s="232"/>
      <c r="H82" s="576" t="s">
        <v>198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224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225</v>
      </c>
      <c r="D85" s="566" t="s">
        <v>159</v>
      </c>
      <c r="E85" s="232"/>
      <c r="F85" s="250"/>
      <c r="G85" s="232"/>
      <c r="H85" s="576" t="s">
        <v>226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225</v>
      </c>
      <c r="D86" s="566" t="s">
        <v>159</v>
      </c>
      <c r="E86" s="232"/>
      <c r="F86" s="250"/>
      <c r="G86" s="232"/>
      <c r="H86" s="576" t="s">
        <v>206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225</v>
      </c>
      <c r="D87" s="566" t="s">
        <v>159</v>
      </c>
      <c r="E87" s="232"/>
      <c r="F87" s="250"/>
      <c r="G87" s="232"/>
      <c r="H87" s="576" t="s">
        <v>199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225</v>
      </c>
      <c r="D88" s="566" t="s">
        <v>159</v>
      </c>
      <c r="E88" s="232"/>
      <c r="F88" s="250"/>
      <c r="G88" s="232"/>
      <c r="H88" s="577" t="s">
        <v>208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227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228</v>
      </c>
      <c r="D91" s="566" t="s">
        <v>159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229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229</v>
      </c>
      <c r="D95" s="566" t="s">
        <v>159</v>
      </c>
      <c r="E95" s="232"/>
      <c r="F95" s="250"/>
      <c r="G95" s="232"/>
      <c r="H95" s="577" t="s">
        <v>206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229</v>
      </c>
      <c r="D96" s="566" t="s">
        <v>159</v>
      </c>
      <c r="E96" s="232"/>
      <c r="F96" s="250"/>
      <c r="G96" s="232"/>
      <c r="H96" s="577" t="s">
        <v>230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229</v>
      </c>
      <c r="D97" s="566" t="s">
        <v>159</v>
      </c>
      <c r="E97" s="232"/>
      <c r="F97" s="250"/>
      <c r="G97" s="232"/>
      <c r="H97" s="577" t="s">
        <v>231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229</v>
      </c>
      <c r="D98" s="566" t="s">
        <v>159</v>
      </c>
      <c r="E98" s="232"/>
      <c r="F98" s="250"/>
      <c r="G98" s="232"/>
      <c r="H98" s="577" t="s">
        <v>232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229</v>
      </c>
      <c r="D99" s="566" t="s">
        <v>159</v>
      </c>
      <c r="E99" s="232"/>
      <c r="F99" s="250"/>
      <c r="G99" s="232"/>
      <c r="H99" s="577" t="s">
        <v>233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234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234</v>
      </c>
      <c r="D102" s="566" t="s">
        <v>159</v>
      </c>
      <c r="E102" s="232"/>
      <c r="F102" s="250"/>
      <c r="G102" s="232"/>
      <c r="H102" s="577" t="s">
        <v>205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234</v>
      </c>
      <c r="D103" s="566" t="s">
        <v>159</v>
      </c>
      <c r="E103" s="232"/>
      <c r="F103" s="250"/>
      <c r="G103" s="232"/>
      <c r="H103" s="577" t="s">
        <v>206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235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236</v>
      </c>
      <c r="D106" s="566" t="s">
        <v>159</v>
      </c>
      <c r="E106" s="232"/>
      <c r="F106" s="250"/>
      <c r="G106" s="232"/>
      <c r="H106" s="571" t="s">
        <v>205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236</v>
      </c>
      <c r="D107" s="566" t="s">
        <v>159</v>
      </c>
      <c r="E107" s="232"/>
      <c r="F107" s="250"/>
      <c r="G107" s="232"/>
      <c r="H107" s="571" t="s">
        <v>206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236</v>
      </c>
      <c r="D108" s="566" t="s">
        <v>159</v>
      </c>
      <c r="E108" s="232"/>
      <c r="F108" s="250"/>
      <c r="G108" s="232"/>
      <c r="H108" s="571" t="s">
        <v>208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167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237</v>
      </c>
      <c r="D111" s="566" t="s">
        <v>159</v>
      </c>
      <c r="E111" s="232"/>
      <c r="F111" s="250"/>
      <c r="G111" s="232"/>
      <c r="H111" s="566" t="s">
        <v>238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6">
      <c r="B113" s="222" t="s">
        <v>27</v>
      </c>
      <c r="C113" s="223" t="s">
        <v>239</v>
      </c>
      <c r="D113" s="224" t="s">
        <v>159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240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27</v>
      </c>
      <c r="C116" s="242" t="s">
        <v>240</v>
      </c>
      <c r="D116" s="242" t="s">
        <v>159</v>
      </c>
      <c r="E116" s="239"/>
      <c r="F116" s="192"/>
      <c r="G116" s="239"/>
      <c r="H116" s="254" t="s">
        <v>205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27</v>
      </c>
      <c r="C117" s="242" t="s">
        <v>240</v>
      </c>
      <c r="D117" s="242" t="s">
        <v>159</v>
      </c>
      <c r="E117" s="239"/>
      <c r="F117" s="192"/>
      <c r="G117" s="239"/>
      <c r="H117" s="254" t="s">
        <v>206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241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27</v>
      </c>
      <c r="C120" s="242" t="s">
        <v>241</v>
      </c>
      <c r="D120" s="242" t="s">
        <v>159</v>
      </c>
      <c r="E120" s="239"/>
      <c r="F120" s="192"/>
      <c r="G120" s="239"/>
      <c r="H120" s="266" t="s">
        <v>242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27</v>
      </c>
      <c r="C121" s="242" t="s">
        <v>241</v>
      </c>
      <c r="D121" s="242" t="s">
        <v>159</v>
      </c>
      <c r="E121" s="239"/>
      <c r="F121" s="192"/>
      <c r="G121" s="239"/>
      <c r="H121" s="266" t="s">
        <v>243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27</v>
      </c>
      <c r="C122" s="263" t="s">
        <v>241</v>
      </c>
      <c r="D122" s="263" t="s">
        <v>159</v>
      </c>
      <c r="E122" s="264"/>
      <c r="F122" s="265"/>
      <c r="G122" s="264"/>
      <c r="H122" s="245" t="s">
        <v>244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241</v>
      </c>
      <c r="D123" s="242" t="s">
        <v>159</v>
      </c>
      <c r="E123" s="239"/>
      <c r="F123" s="192"/>
      <c r="G123" s="239"/>
      <c r="H123" s="266" t="s">
        <v>245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241</v>
      </c>
      <c r="D124" s="263" t="s">
        <v>159</v>
      </c>
      <c r="E124" s="264"/>
      <c r="F124" s="265"/>
      <c r="G124" s="264"/>
      <c r="H124" s="245" t="s">
        <v>246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241</v>
      </c>
      <c r="D125" s="242" t="s">
        <v>159</v>
      </c>
      <c r="E125" s="239"/>
      <c r="F125" s="192"/>
      <c r="G125" s="239"/>
      <c r="H125" s="266" t="s">
        <v>247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241</v>
      </c>
      <c r="D126" s="263" t="s">
        <v>159</v>
      </c>
      <c r="E126" s="264"/>
      <c r="F126" s="265"/>
      <c r="G126" s="264"/>
      <c r="H126" s="245" t="s">
        <v>248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241</v>
      </c>
      <c r="D127" s="242" t="s">
        <v>159</v>
      </c>
      <c r="E127" s="264"/>
      <c r="F127" s="265"/>
      <c r="G127" s="264"/>
      <c r="H127" s="266" t="s">
        <v>249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241</v>
      </c>
      <c r="D128" s="242" t="s">
        <v>159</v>
      </c>
      <c r="E128" s="264"/>
      <c r="F128" s="265"/>
      <c r="G128" s="264"/>
      <c r="H128" s="245" t="s">
        <v>250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241</v>
      </c>
      <c r="D129" s="242" t="s">
        <v>159</v>
      </c>
      <c r="E129" s="264"/>
      <c r="F129" s="265"/>
      <c r="G129" s="264"/>
      <c r="H129" s="266" t="s">
        <v>251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252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27</v>
      </c>
      <c r="C132" s="242" t="s">
        <v>252</v>
      </c>
      <c r="D132" s="242" t="s">
        <v>159</v>
      </c>
      <c r="E132" s="232"/>
      <c r="F132" s="250"/>
      <c r="G132" s="232"/>
      <c r="H132" s="266" t="s">
        <v>247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27</v>
      </c>
      <c r="C133" s="242" t="s">
        <v>252</v>
      </c>
      <c r="D133" s="242" t="s">
        <v>159</v>
      </c>
      <c r="E133" s="232"/>
      <c r="F133" s="250"/>
      <c r="G133" s="232"/>
      <c r="H133" s="266" t="s">
        <v>248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27</v>
      </c>
      <c r="C134" s="242" t="s">
        <v>252</v>
      </c>
      <c r="D134" s="242" t="s">
        <v>159</v>
      </c>
      <c r="E134" s="232"/>
      <c r="F134" s="250"/>
      <c r="G134" s="232"/>
      <c r="H134" s="266" t="s">
        <v>249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252</v>
      </c>
      <c r="D135" s="242" t="s">
        <v>159</v>
      </c>
      <c r="E135" s="232"/>
      <c r="F135" s="250"/>
      <c r="G135" s="232"/>
      <c r="H135" s="578" t="s">
        <v>253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252</v>
      </c>
      <c r="D136" s="242" t="s">
        <v>159</v>
      </c>
      <c r="E136" s="232"/>
      <c r="F136" s="250"/>
      <c r="G136" s="232"/>
      <c r="H136" s="580" t="s">
        <v>254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252</v>
      </c>
      <c r="D137" s="242" t="s">
        <v>159</v>
      </c>
      <c r="E137" s="232"/>
      <c r="F137" s="250"/>
      <c r="G137" s="232"/>
      <c r="H137" s="266" t="s">
        <v>255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252</v>
      </c>
      <c r="D138" s="242" t="s">
        <v>159</v>
      </c>
      <c r="E138" s="232"/>
      <c r="F138" s="250"/>
      <c r="G138" s="232"/>
      <c r="H138" s="266" t="s">
        <v>256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252</v>
      </c>
      <c r="D139" s="242" t="s">
        <v>159</v>
      </c>
      <c r="E139" s="232"/>
      <c r="F139" s="250"/>
      <c r="G139" s="232"/>
      <c r="H139" s="266" t="s">
        <v>257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27</v>
      </c>
      <c r="C140" s="242" t="s">
        <v>252</v>
      </c>
      <c r="D140" s="242" t="s">
        <v>159</v>
      </c>
      <c r="E140" s="232"/>
      <c r="F140" s="250"/>
      <c r="G140" s="232"/>
      <c r="H140" s="266" t="s">
        <v>258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252</v>
      </c>
      <c r="D141" s="242" t="s">
        <v>159</v>
      </c>
      <c r="E141" s="232"/>
      <c r="F141" s="250"/>
      <c r="G141" s="232"/>
      <c r="H141" s="266" t="s">
        <v>259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252</v>
      </c>
      <c r="D142" s="242" t="s">
        <v>159</v>
      </c>
      <c r="E142" s="232"/>
      <c r="F142" s="250"/>
      <c r="G142" s="232"/>
      <c r="H142" s="266" t="s">
        <v>260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252</v>
      </c>
      <c r="D143" s="242" t="s">
        <v>159</v>
      </c>
      <c r="E143" s="232"/>
      <c r="F143" s="250"/>
      <c r="G143" s="232"/>
      <c r="H143" s="266" t="s">
        <v>261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252</v>
      </c>
      <c r="D144" s="242" t="s">
        <v>159</v>
      </c>
      <c r="E144" s="232"/>
      <c r="F144" s="250"/>
      <c r="G144" s="232"/>
      <c r="H144" s="266" t="s">
        <v>262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252</v>
      </c>
      <c r="D145" s="242" t="s">
        <v>159</v>
      </c>
      <c r="E145" s="232"/>
      <c r="F145" s="250"/>
      <c r="G145" s="232"/>
      <c r="H145" s="266" t="s">
        <v>263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252</v>
      </c>
      <c r="D146" s="242" t="s">
        <v>159</v>
      </c>
      <c r="E146" s="232"/>
      <c r="F146" s="250"/>
      <c r="G146" s="232"/>
      <c r="H146" s="266" t="s">
        <v>264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252</v>
      </c>
      <c r="D147" s="242" t="s">
        <v>159</v>
      </c>
      <c r="E147" s="232"/>
      <c r="F147" s="250"/>
      <c r="G147" s="232"/>
      <c r="H147" s="266" t="s">
        <v>265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252</v>
      </c>
      <c r="D148" s="242" t="s">
        <v>159</v>
      </c>
      <c r="E148" s="232"/>
      <c r="F148" s="250"/>
      <c r="G148" s="232"/>
      <c r="H148" s="245" t="s">
        <v>242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252</v>
      </c>
      <c r="D149" s="242" t="s">
        <v>159</v>
      </c>
      <c r="E149" s="232"/>
      <c r="F149" s="250"/>
      <c r="G149" s="232"/>
      <c r="H149" s="245" t="s">
        <v>266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252</v>
      </c>
      <c r="D150" s="242" t="s">
        <v>159</v>
      </c>
      <c r="E150" s="232"/>
      <c r="F150" s="250"/>
      <c r="G150" s="232"/>
      <c r="H150" s="245" t="s">
        <v>267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252</v>
      </c>
      <c r="D151" s="242" t="s">
        <v>159</v>
      </c>
      <c r="E151" s="232"/>
      <c r="F151" s="250"/>
      <c r="G151" s="232"/>
      <c r="H151" s="245" t="s">
        <v>268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252</v>
      </c>
      <c r="D152" s="242" t="s">
        <v>159</v>
      </c>
      <c r="E152" s="232"/>
      <c r="F152" s="250"/>
      <c r="G152" s="232"/>
      <c r="H152" s="245" t="s">
        <v>269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252</v>
      </c>
      <c r="D153" s="242" t="s">
        <v>159</v>
      </c>
      <c r="E153" s="232"/>
      <c r="F153" s="250"/>
      <c r="G153" s="232"/>
      <c r="H153" s="245" t="s">
        <v>270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252</v>
      </c>
      <c r="D154" s="242" t="s">
        <v>159</v>
      </c>
      <c r="E154" s="232"/>
      <c r="F154" s="250"/>
      <c r="G154" s="232"/>
      <c r="H154" s="266" t="s">
        <v>271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252</v>
      </c>
      <c r="D155" s="242" t="s">
        <v>159</v>
      </c>
      <c r="E155" s="232"/>
      <c r="F155" s="250"/>
      <c r="G155" s="232"/>
      <c r="H155" s="266" t="s">
        <v>272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252</v>
      </c>
      <c r="D156" s="242" t="s">
        <v>159</v>
      </c>
      <c r="E156" s="232"/>
      <c r="F156" s="250"/>
      <c r="G156" s="232"/>
      <c r="H156" s="266" t="s">
        <v>273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252</v>
      </c>
      <c r="D157" s="242" t="s">
        <v>159</v>
      </c>
      <c r="E157" s="232"/>
      <c r="F157" s="250"/>
      <c r="G157" s="232"/>
      <c r="H157" s="266" t="s">
        <v>274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252</v>
      </c>
      <c r="D158" s="242" t="s">
        <v>159</v>
      </c>
      <c r="E158" s="232"/>
      <c r="F158" s="250"/>
      <c r="G158" s="232"/>
      <c r="H158" s="266" t="s">
        <v>275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252</v>
      </c>
      <c r="D159" s="242" t="s">
        <v>159</v>
      </c>
      <c r="E159" s="232"/>
      <c r="F159" s="250"/>
      <c r="G159" s="232"/>
      <c r="H159" s="266" t="s">
        <v>276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252</v>
      </c>
      <c r="D160" s="242" t="s">
        <v>159</v>
      </c>
      <c r="E160" s="232"/>
      <c r="F160" s="250"/>
      <c r="G160" s="232"/>
      <c r="H160" s="266" t="s">
        <v>277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252</v>
      </c>
      <c r="D161" s="242" t="s">
        <v>159</v>
      </c>
      <c r="E161" s="232"/>
      <c r="F161" s="250"/>
      <c r="G161" s="232"/>
      <c r="H161" s="266" t="s">
        <v>278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252</v>
      </c>
      <c r="D162" s="242" t="s">
        <v>159</v>
      </c>
      <c r="E162" s="232"/>
      <c r="F162" s="250"/>
      <c r="G162" s="232"/>
      <c r="H162" s="245" t="s">
        <v>279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252</v>
      </c>
      <c r="D163" s="242" t="s">
        <v>159</v>
      </c>
      <c r="E163" s="232"/>
      <c r="F163" s="250"/>
      <c r="G163" s="232"/>
      <c r="H163" s="245" t="s">
        <v>280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252</v>
      </c>
      <c r="D164" s="242" t="s">
        <v>159</v>
      </c>
      <c r="E164" s="232"/>
      <c r="F164" s="250"/>
      <c r="G164" s="232"/>
      <c r="H164" s="245" t="s">
        <v>246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252</v>
      </c>
      <c r="D165" s="242" t="s">
        <v>159</v>
      </c>
      <c r="E165" s="232"/>
      <c r="F165" s="250"/>
      <c r="G165" s="232"/>
      <c r="H165" s="245" t="s">
        <v>243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252</v>
      </c>
      <c r="D166" s="242" t="s">
        <v>159</v>
      </c>
      <c r="E166" s="232"/>
      <c r="F166" s="250"/>
      <c r="G166" s="232"/>
      <c r="H166" s="559" t="s">
        <v>245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281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281</v>
      </c>
      <c r="D169" s="566" t="s">
        <v>159</v>
      </c>
      <c r="E169" s="232"/>
      <c r="F169" s="250"/>
      <c r="G169" s="232"/>
      <c r="H169" s="568" t="s">
        <v>282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281</v>
      </c>
      <c r="D170" s="566" t="s">
        <v>159</v>
      </c>
      <c r="E170" s="232"/>
      <c r="F170" s="250"/>
      <c r="G170" s="232"/>
      <c r="H170" s="559" t="s">
        <v>208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281</v>
      </c>
      <c r="D171" s="566" t="s">
        <v>159</v>
      </c>
      <c r="E171" s="232"/>
      <c r="F171" s="250"/>
      <c r="G171" s="232"/>
      <c r="H171" s="568" t="s">
        <v>243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281</v>
      </c>
      <c r="D172" s="566" t="s">
        <v>159</v>
      </c>
      <c r="E172" s="232"/>
      <c r="F172" s="250"/>
      <c r="G172" s="232"/>
      <c r="H172" s="568" t="s">
        <v>249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281</v>
      </c>
      <c r="D173" s="566" t="s">
        <v>159</v>
      </c>
      <c r="E173" s="232"/>
      <c r="F173" s="250"/>
      <c r="G173" s="232"/>
      <c r="H173" s="568" t="s">
        <v>283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281</v>
      </c>
      <c r="D174" s="566" t="s">
        <v>159</v>
      </c>
      <c r="E174" s="232"/>
      <c r="F174" s="250"/>
      <c r="G174" s="232"/>
      <c r="H174" s="568" t="s">
        <v>254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281</v>
      </c>
      <c r="D175" s="566" t="s">
        <v>159</v>
      </c>
      <c r="E175" s="232"/>
      <c r="F175" s="250"/>
      <c r="G175" s="232"/>
      <c r="H175" s="568" t="s">
        <v>245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284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285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286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163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163</v>
      </c>
      <c r="D184" s="566" t="s">
        <v>159</v>
      </c>
      <c r="E184" s="232"/>
      <c r="F184" s="250"/>
      <c r="G184" s="232"/>
      <c r="H184" s="568" t="s">
        <v>287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163</v>
      </c>
      <c r="D185" s="566" t="s">
        <v>159</v>
      </c>
      <c r="E185" s="232"/>
      <c r="F185" s="250"/>
      <c r="G185" s="232"/>
      <c r="H185" s="568" t="s">
        <v>288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289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203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204</v>
      </c>
      <c r="D190" s="566" t="s">
        <v>159</v>
      </c>
      <c r="E190" s="232"/>
      <c r="F190" s="250"/>
      <c r="G190" s="232"/>
      <c r="H190" s="252" t="s">
        <v>290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204</v>
      </c>
      <c r="D191" s="566" t="s">
        <v>159</v>
      </c>
      <c r="E191" s="232"/>
      <c r="F191" s="250"/>
      <c r="G191" s="232"/>
      <c r="H191" s="568" t="s">
        <v>291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212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213</v>
      </c>
      <c r="D194" s="566" t="s">
        <v>159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165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165</v>
      </c>
      <c r="D198" s="249" t="s">
        <v>159</v>
      </c>
      <c r="E198" s="269"/>
      <c r="F198" s="270"/>
      <c r="G198" s="269"/>
      <c r="H198" s="256" t="s">
        <v>290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164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164</v>
      </c>
      <c r="D200" s="249" t="s">
        <v>159</v>
      </c>
      <c r="E200" s="232"/>
      <c r="F200" s="250"/>
      <c r="G200" s="232"/>
      <c r="H200" s="256" t="s">
        <v>290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164</v>
      </c>
      <c r="D201" s="249" t="s">
        <v>159</v>
      </c>
      <c r="E201" s="232"/>
      <c r="F201" s="250"/>
      <c r="G201" s="232"/>
      <c r="H201" s="367" t="s">
        <v>208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292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292</v>
      </c>
      <c r="D204" s="249" t="s">
        <v>159</v>
      </c>
      <c r="E204" s="232"/>
      <c r="F204" s="250"/>
      <c r="G204" s="232"/>
      <c r="H204" s="256" t="s">
        <v>290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293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293</v>
      </c>
      <c r="D207" s="249" t="s">
        <v>159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293</v>
      </c>
      <c r="D208" s="249" t="s">
        <v>159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293</v>
      </c>
      <c r="D209" s="249" t="s">
        <v>159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293</v>
      </c>
      <c r="D210" s="249" t="s">
        <v>159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235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236</v>
      </c>
      <c r="D213" s="566" t="s">
        <v>159</v>
      </c>
      <c r="E213" s="232"/>
      <c r="F213" s="250"/>
      <c r="G213" s="232"/>
      <c r="H213" s="256" t="s">
        <v>294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236</v>
      </c>
      <c r="D214" s="566" t="s">
        <v>159</v>
      </c>
      <c r="E214" s="232"/>
      <c r="F214" s="250"/>
      <c r="G214" s="232"/>
      <c r="H214" s="256" t="s">
        <v>290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295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228</v>
      </c>
      <c r="D217" s="566" t="s">
        <v>159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228</v>
      </c>
      <c r="D218" s="566" t="s">
        <v>159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296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296</v>
      </c>
      <c r="D221" s="566" t="s">
        <v>159</v>
      </c>
      <c r="E221" s="232"/>
      <c r="F221" s="250"/>
      <c r="G221" s="232"/>
      <c r="H221" s="256" t="s">
        <v>297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296</v>
      </c>
      <c r="D222" s="566" t="s">
        <v>159</v>
      </c>
      <c r="E222" s="232"/>
      <c r="F222" s="250"/>
      <c r="G222" s="232"/>
      <c r="H222" s="256" t="s">
        <v>298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296</v>
      </c>
      <c r="D223" s="566" t="s">
        <v>159</v>
      </c>
      <c r="E223" s="232"/>
      <c r="F223" s="250"/>
      <c r="G223" s="232"/>
      <c r="H223" s="256" t="s">
        <v>299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296</v>
      </c>
      <c r="D224" s="566" t="s">
        <v>159</v>
      </c>
      <c r="E224" s="232"/>
      <c r="F224" s="250"/>
      <c r="G224" s="232"/>
      <c r="H224" s="256" t="s">
        <v>208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300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301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302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167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237</v>
      </c>
      <c r="D233" s="566" t="s">
        <v>159</v>
      </c>
      <c r="E233" s="232"/>
      <c r="F233" s="250"/>
      <c r="G233" s="232"/>
      <c r="H233" s="584" t="s">
        <v>303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6">
      <c r="B235" s="222" t="s">
        <v>6</v>
      </c>
      <c r="C235" s="223" t="s">
        <v>304</v>
      </c>
      <c r="D235" s="224" t="s">
        <v>159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305</v>
      </c>
      <c r="C237" s="315" t="s">
        <v>306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6</v>
      </c>
      <c r="C238" s="242" t="s">
        <v>307</v>
      </c>
      <c r="D238" s="249" t="s">
        <v>159</v>
      </c>
      <c r="E238" s="239"/>
      <c r="F238" s="192"/>
      <c r="G238" s="239"/>
      <c r="H238" s="249" t="s">
        <v>308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307</v>
      </c>
      <c r="D239" s="249" t="s">
        <v>159</v>
      </c>
      <c r="E239" s="239"/>
      <c r="F239" s="192"/>
      <c r="G239" s="239"/>
      <c r="H239" s="249" t="s">
        <v>309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outlineLevel="2">
      <c r="B240" s="238"/>
      <c r="C240" s="242" t="s">
        <v>307</v>
      </c>
      <c r="D240" s="249" t="s">
        <v>159</v>
      </c>
      <c r="E240" s="239"/>
      <c r="F240" s="192"/>
      <c r="G240" s="239"/>
      <c r="H240" s="249" t="s">
        <v>310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311</v>
      </c>
      <c r="D241" s="249" t="s">
        <v>159</v>
      </c>
      <c r="E241" s="239"/>
      <c r="F241" s="192"/>
      <c r="G241" s="239"/>
      <c r="H241" s="249" t="s">
        <v>312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311</v>
      </c>
      <c r="D242" s="249" t="s">
        <v>159</v>
      </c>
      <c r="F242" s="192"/>
      <c r="H242" s="249" t="s">
        <v>313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314</v>
      </c>
      <c r="C244" s="315" t="s">
        <v>315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316</v>
      </c>
      <c r="D245" s="274" t="s">
        <v>159</v>
      </c>
      <c r="E245" s="232"/>
      <c r="F245" s="250"/>
      <c r="G245" s="232"/>
      <c r="H245" s="256" t="s">
        <v>297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316</v>
      </c>
      <c r="D246" s="274" t="s">
        <v>159</v>
      </c>
      <c r="E246" s="232"/>
      <c r="F246" s="250"/>
      <c r="G246" s="232"/>
      <c r="H246" s="256" t="s">
        <v>317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316</v>
      </c>
      <c r="D247" s="274" t="s">
        <v>159</v>
      </c>
      <c r="E247" s="232"/>
      <c r="F247" s="250"/>
      <c r="G247" s="232"/>
      <c r="H247" s="256" t="s">
        <v>208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316</v>
      </c>
      <c r="D248" s="274" t="s">
        <v>159</v>
      </c>
      <c r="E248" s="232"/>
      <c r="F248" s="250"/>
      <c r="G248" s="232"/>
      <c r="H248" s="256" t="s">
        <v>318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316</v>
      </c>
      <c r="D249" s="274" t="s">
        <v>159</v>
      </c>
      <c r="E249" s="232"/>
      <c r="F249" s="250"/>
      <c r="G249" s="232"/>
      <c r="H249" s="256" t="s">
        <v>319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316</v>
      </c>
      <c r="D250" s="274" t="s">
        <v>159</v>
      </c>
      <c r="E250" s="232"/>
      <c r="F250" s="250"/>
      <c r="G250" s="232"/>
      <c r="H250" s="256" t="s">
        <v>320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316</v>
      </c>
      <c r="D251" s="274" t="s">
        <v>159</v>
      </c>
      <c r="E251" s="232"/>
      <c r="F251" s="250"/>
      <c r="G251" s="232"/>
      <c r="H251" s="256" t="s">
        <v>321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316</v>
      </c>
      <c r="D252" s="274" t="s">
        <v>159</v>
      </c>
      <c r="E252" s="232"/>
      <c r="F252" s="250"/>
      <c r="G252" s="232"/>
      <c r="H252" s="256" t="s">
        <v>322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316</v>
      </c>
      <c r="D253" s="274" t="s">
        <v>159</v>
      </c>
      <c r="E253" s="232"/>
      <c r="F253" s="250"/>
      <c r="G253" s="232"/>
      <c r="H253" s="256" t="s">
        <v>323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316</v>
      </c>
      <c r="D254" s="274" t="s">
        <v>159</v>
      </c>
      <c r="E254" s="232"/>
      <c r="F254" s="250"/>
      <c r="G254" s="232"/>
      <c r="H254" s="256" t="s">
        <v>324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316</v>
      </c>
      <c r="D255" s="274" t="s">
        <v>159</v>
      </c>
      <c r="E255" s="232"/>
      <c r="F255" s="250"/>
      <c r="G255" s="232"/>
      <c r="H255" s="256" t="s">
        <v>325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316</v>
      </c>
      <c r="D256" s="274" t="s">
        <v>159</v>
      </c>
      <c r="E256" s="232"/>
      <c r="F256" s="250"/>
      <c r="G256" s="232"/>
      <c r="H256" s="256" t="s">
        <v>326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316</v>
      </c>
      <c r="D257" s="274" t="s">
        <v>159</v>
      </c>
      <c r="E257" s="232"/>
      <c r="F257" s="250"/>
      <c r="G257" s="232"/>
      <c r="H257" s="256" t="s">
        <v>327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316</v>
      </c>
      <c r="D258" s="274" t="s">
        <v>159</v>
      </c>
      <c r="E258" s="232"/>
      <c r="F258" s="250"/>
      <c r="G258" s="232"/>
      <c r="H258" s="256" t="s">
        <v>328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316</v>
      </c>
      <c r="D259" s="274" t="s">
        <v>159</v>
      </c>
      <c r="E259" s="232"/>
      <c r="F259" s="250"/>
      <c r="G259" s="232"/>
      <c r="H259" s="256" t="s">
        <v>329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316</v>
      </c>
      <c r="D260" s="274" t="s">
        <v>159</v>
      </c>
      <c r="E260" s="232"/>
      <c r="F260" s="250"/>
      <c r="G260" s="232"/>
      <c r="H260" s="256" t="s">
        <v>330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316</v>
      </c>
      <c r="D261" s="274" t="s">
        <v>159</v>
      </c>
      <c r="E261" s="232"/>
      <c r="F261" s="250"/>
      <c r="G261" s="232"/>
      <c r="H261" s="256" t="s">
        <v>246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316</v>
      </c>
      <c r="D262" s="274" t="s">
        <v>159</v>
      </c>
      <c r="E262" s="232"/>
      <c r="F262" s="250"/>
      <c r="G262" s="232"/>
      <c r="H262" s="256" t="s">
        <v>247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316</v>
      </c>
      <c r="D263" s="274" t="s">
        <v>159</v>
      </c>
      <c r="E263" s="232"/>
      <c r="F263" s="250"/>
      <c r="G263" s="232"/>
      <c r="H263" s="256" t="s">
        <v>248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331</v>
      </c>
      <c r="C265" s="315" t="s">
        <v>332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6</v>
      </c>
      <c r="C266" s="242" t="s">
        <v>333</v>
      </c>
      <c r="D266" s="249" t="s">
        <v>159</v>
      </c>
      <c r="E266" s="239"/>
      <c r="F266" s="192"/>
      <c r="G266" s="239"/>
      <c r="H266" s="256" t="s">
        <v>334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6</v>
      </c>
      <c r="C267" s="242" t="s">
        <v>333</v>
      </c>
      <c r="D267" s="249" t="s">
        <v>159</v>
      </c>
      <c r="E267" s="239"/>
      <c r="F267" s="192"/>
      <c r="G267" s="239"/>
      <c r="H267" s="256" t="s">
        <v>335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6</v>
      </c>
      <c r="C268" s="242" t="s">
        <v>333</v>
      </c>
      <c r="D268" s="249" t="s">
        <v>159</v>
      </c>
      <c r="E268" s="239"/>
      <c r="F268" s="192"/>
      <c r="G268" s="239"/>
      <c r="H268" s="256" t="s">
        <v>336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6</v>
      </c>
      <c r="C269" s="242" t="s">
        <v>333</v>
      </c>
      <c r="D269" s="249" t="s">
        <v>159</v>
      </c>
      <c r="E269" s="239"/>
      <c r="F269" s="192"/>
      <c r="G269" s="239"/>
      <c r="H269" s="256" t="s">
        <v>337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6</v>
      </c>
      <c r="C270" s="242" t="s">
        <v>333</v>
      </c>
      <c r="D270" s="249" t="s">
        <v>159</v>
      </c>
      <c r="E270" s="239"/>
      <c r="F270" s="192"/>
      <c r="G270" s="239"/>
      <c r="H270" s="256" t="s">
        <v>338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6</v>
      </c>
      <c r="C271" s="242" t="s">
        <v>333</v>
      </c>
      <c r="D271" s="249" t="s">
        <v>159</v>
      </c>
      <c r="E271" s="239"/>
      <c r="F271" s="192"/>
      <c r="G271" s="239"/>
      <c r="H271" s="256" t="s">
        <v>339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6</v>
      </c>
      <c r="C272" s="242" t="s">
        <v>333</v>
      </c>
      <c r="D272" s="249" t="s">
        <v>159</v>
      </c>
      <c r="E272" s="239"/>
      <c r="F272" s="192"/>
      <c r="G272" s="239"/>
      <c r="H272" s="256" t="s">
        <v>340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341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6</v>
      </c>
      <c r="C275" s="242" t="s">
        <v>341</v>
      </c>
      <c r="D275" s="249" t="s">
        <v>159</v>
      </c>
      <c r="E275" s="239"/>
      <c r="F275" s="192"/>
      <c r="G275" s="239"/>
      <c r="H275" s="256" t="s">
        <v>342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6</v>
      </c>
      <c r="C276" s="242" t="s">
        <v>341</v>
      </c>
      <c r="D276" s="249" t="s">
        <v>159</v>
      </c>
      <c r="E276" s="239"/>
      <c r="F276" s="192"/>
      <c r="G276" s="239"/>
      <c r="H276" s="256" t="s">
        <v>343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6</v>
      </c>
      <c r="C277" s="242" t="s">
        <v>341</v>
      </c>
      <c r="D277" s="249" t="s">
        <v>159</v>
      </c>
      <c r="E277" s="239"/>
      <c r="F277" s="192"/>
      <c r="G277" s="239"/>
      <c r="H277" s="256" t="s">
        <v>344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6</v>
      </c>
      <c r="C278" s="242" t="s">
        <v>341</v>
      </c>
      <c r="D278" s="249" t="s">
        <v>159</v>
      </c>
      <c r="E278" s="239"/>
      <c r="F278" s="192"/>
      <c r="G278" s="239"/>
      <c r="H278" s="256" t="s">
        <v>345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6</v>
      </c>
      <c r="C279" s="242" t="s">
        <v>341</v>
      </c>
      <c r="D279" s="249" t="s">
        <v>159</v>
      </c>
      <c r="E279" s="239"/>
      <c r="F279" s="192"/>
      <c r="G279" s="239"/>
      <c r="H279" s="256" t="s">
        <v>346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6</v>
      </c>
      <c r="C280" s="242" t="s">
        <v>341</v>
      </c>
      <c r="D280" s="249" t="s">
        <v>159</v>
      </c>
      <c r="E280" s="239"/>
      <c r="F280" s="192"/>
      <c r="G280" s="239"/>
      <c r="H280" s="256" t="s">
        <v>347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6</v>
      </c>
      <c r="C281" s="242" t="s">
        <v>341</v>
      </c>
      <c r="D281" s="249" t="s">
        <v>159</v>
      </c>
      <c r="E281" s="239"/>
      <c r="F281" s="192"/>
      <c r="G281" s="239"/>
      <c r="H281" s="256" t="s">
        <v>348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6</v>
      </c>
      <c r="C282" s="242" t="s">
        <v>341</v>
      </c>
      <c r="D282" s="249" t="s">
        <v>159</v>
      </c>
      <c r="E282" s="239"/>
      <c r="F282" s="192"/>
      <c r="G282" s="239"/>
      <c r="H282" s="256" t="s">
        <v>349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6</v>
      </c>
      <c r="C283" s="242" t="s">
        <v>341</v>
      </c>
      <c r="D283" s="249" t="s">
        <v>159</v>
      </c>
      <c r="E283" s="239"/>
      <c r="F283" s="192"/>
      <c r="G283" s="239"/>
      <c r="H283" s="256" t="s">
        <v>350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6</v>
      </c>
      <c r="C284" s="242" t="s">
        <v>341</v>
      </c>
      <c r="D284" s="249" t="s">
        <v>159</v>
      </c>
      <c r="E284" s="239"/>
      <c r="F284" s="192"/>
      <c r="G284" s="239"/>
      <c r="H284" s="256" t="s">
        <v>351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6</v>
      </c>
      <c r="C285" s="242" t="s">
        <v>341</v>
      </c>
      <c r="D285" s="249" t="s">
        <v>159</v>
      </c>
      <c r="E285" s="239"/>
      <c r="F285" s="192"/>
      <c r="G285" s="239"/>
      <c r="H285" s="256" t="s">
        <v>352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6</v>
      </c>
      <c r="C286" s="242" t="s">
        <v>341</v>
      </c>
      <c r="D286" s="249" t="s">
        <v>159</v>
      </c>
      <c r="E286" s="239"/>
      <c r="F286" s="192"/>
      <c r="G286" s="239"/>
      <c r="H286" s="256" t="s">
        <v>353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outlineLevel="2">
      <c r="B287" s="238"/>
      <c r="C287" s="242" t="s">
        <v>341</v>
      </c>
      <c r="D287" s="249" t="s">
        <v>159</v>
      </c>
      <c r="E287" s="239"/>
      <c r="F287" s="192"/>
      <c r="G287" s="239"/>
      <c r="H287" s="256" t="s">
        <v>354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6</v>
      </c>
      <c r="C288" s="242" t="s">
        <v>341</v>
      </c>
      <c r="D288" s="249" t="s">
        <v>159</v>
      </c>
      <c r="E288" s="239"/>
      <c r="F288" s="192"/>
      <c r="G288" s="239"/>
      <c r="H288" s="256" t="s">
        <v>355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6</v>
      </c>
      <c r="C289" s="242" t="s">
        <v>341</v>
      </c>
      <c r="D289" s="249" t="s">
        <v>159</v>
      </c>
      <c r="E289" s="239"/>
      <c r="F289" s="192"/>
      <c r="G289" s="239"/>
      <c r="H289" s="256" t="s">
        <v>356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6</v>
      </c>
      <c r="C290" s="242" t="s">
        <v>341</v>
      </c>
      <c r="D290" s="249" t="s">
        <v>159</v>
      </c>
      <c r="E290" s="239"/>
      <c r="F290" s="192"/>
      <c r="G290" s="239"/>
      <c r="H290" s="256" t="s">
        <v>357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6</v>
      </c>
      <c r="C291" s="242" t="s">
        <v>341</v>
      </c>
      <c r="D291" s="249" t="s">
        <v>159</v>
      </c>
      <c r="E291" s="239"/>
      <c r="F291" s="192"/>
      <c r="G291" s="239"/>
      <c r="H291" s="256" t="s">
        <v>358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6</v>
      </c>
      <c r="C292" s="242" t="s">
        <v>341</v>
      </c>
      <c r="D292" s="249" t="s">
        <v>159</v>
      </c>
      <c r="E292" s="239"/>
      <c r="F292" s="192"/>
      <c r="G292" s="239"/>
      <c r="H292" s="256" t="s">
        <v>359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6</v>
      </c>
      <c r="C293" s="242" t="s">
        <v>341</v>
      </c>
      <c r="D293" s="249" t="s">
        <v>159</v>
      </c>
      <c r="E293" s="239"/>
      <c r="F293" s="192"/>
      <c r="G293" s="239"/>
      <c r="H293" s="256" t="s">
        <v>360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361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361</v>
      </c>
      <c r="D296" s="566" t="s">
        <v>159</v>
      </c>
      <c r="E296" s="239"/>
      <c r="F296" s="192"/>
      <c r="G296" s="239"/>
      <c r="H296" s="256" t="s">
        <v>362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361</v>
      </c>
      <c r="D297" s="566" t="s">
        <v>159</v>
      </c>
      <c r="E297" s="239"/>
      <c r="F297" s="192"/>
      <c r="G297" s="239"/>
      <c r="H297" s="256" t="s">
        <v>363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364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365</v>
      </c>
      <c r="D300" s="566" t="s">
        <v>159</v>
      </c>
      <c r="E300" s="239"/>
      <c r="F300" s="192"/>
      <c r="G300" s="239"/>
      <c r="H300" s="256" t="s">
        <v>226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365</v>
      </c>
      <c r="D301" s="566" t="s">
        <v>159</v>
      </c>
      <c r="E301" s="239"/>
      <c r="F301" s="192"/>
      <c r="G301" s="239"/>
      <c r="H301" s="256" t="s">
        <v>206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365</v>
      </c>
      <c r="D302" s="566" t="s">
        <v>159</v>
      </c>
      <c r="E302" s="239"/>
      <c r="F302" s="192"/>
      <c r="G302" s="239"/>
      <c r="H302" s="256" t="s">
        <v>299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365</v>
      </c>
      <c r="D303" s="566" t="s">
        <v>159</v>
      </c>
      <c r="E303" s="239"/>
      <c r="F303" s="192"/>
      <c r="G303" s="239"/>
      <c r="H303" s="256" t="s">
        <v>366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167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237</v>
      </c>
      <c r="D306" s="566" t="s">
        <v>159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6">
      <c r="B308" s="222" t="s">
        <v>20</v>
      </c>
      <c r="C308" s="223" t="s">
        <v>367</v>
      </c>
      <c r="D308" s="224" t="s">
        <v>159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368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20</v>
      </c>
      <c r="C311" s="242" t="s">
        <v>368</v>
      </c>
      <c r="D311" s="249" t="s">
        <v>159</v>
      </c>
      <c r="E311" s="239"/>
      <c r="F311" s="192"/>
      <c r="G311" s="239"/>
      <c r="H311" s="249" t="s">
        <v>246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20</v>
      </c>
      <c r="C312" s="242" t="s">
        <v>368</v>
      </c>
      <c r="D312" s="249" t="s">
        <v>159</v>
      </c>
      <c r="E312" s="239"/>
      <c r="F312" s="192"/>
      <c r="G312" s="239"/>
      <c r="H312" s="249" t="s">
        <v>247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20</v>
      </c>
      <c r="C313" s="242" t="s">
        <v>368</v>
      </c>
      <c r="D313" s="249" t="s">
        <v>159</v>
      </c>
      <c r="E313" s="239"/>
      <c r="F313" s="192"/>
      <c r="G313" s="239"/>
      <c r="H313" s="249" t="s">
        <v>248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369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369</v>
      </c>
      <c r="D316" s="231" t="s">
        <v>159</v>
      </c>
      <c r="E316" s="232"/>
      <c r="F316" s="250"/>
      <c r="G316" s="232"/>
      <c r="H316" s="256" t="s">
        <v>370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369</v>
      </c>
      <c r="D317" s="231" t="s">
        <v>159</v>
      </c>
      <c r="E317" s="232"/>
      <c r="F317" s="250"/>
      <c r="G317" s="232"/>
      <c r="H317" s="256" t="s">
        <v>230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369</v>
      </c>
      <c r="D318" s="231" t="s">
        <v>159</v>
      </c>
      <c r="E318" s="232"/>
      <c r="F318" s="250"/>
      <c r="G318" s="232"/>
      <c r="H318" s="256" t="s">
        <v>371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369</v>
      </c>
      <c r="D319" s="231" t="s">
        <v>159</v>
      </c>
      <c r="E319" s="232"/>
      <c r="F319" s="250"/>
      <c r="G319" s="232"/>
      <c r="H319" s="278" t="s">
        <v>372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373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373</v>
      </c>
      <c r="D322" s="231" t="s">
        <v>159</v>
      </c>
      <c r="E322" s="232"/>
      <c r="F322" s="250"/>
      <c r="G322" s="232"/>
      <c r="H322" s="278" t="s">
        <v>374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373</v>
      </c>
      <c r="D323" s="231" t="s">
        <v>159</v>
      </c>
      <c r="E323" s="232"/>
      <c r="F323" s="250"/>
      <c r="G323" s="232"/>
      <c r="H323" s="278" t="s">
        <v>208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373</v>
      </c>
      <c r="D324" s="231" t="s">
        <v>159</v>
      </c>
      <c r="E324" s="232"/>
      <c r="F324" s="250"/>
      <c r="G324" s="232"/>
      <c r="H324" s="278" t="s">
        <v>199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373</v>
      </c>
      <c r="D325" s="231" t="s">
        <v>159</v>
      </c>
      <c r="E325" s="232"/>
      <c r="F325" s="250"/>
      <c r="G325" s="232"/>
      <c r="H325" s="278" t="s">
        <v>198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373</v>
      </c>
      <c r="D326" s="231" t="s">
        <v>159</v>
      </c>
      <c r="E326" s="232"/>
      <c r="F326" s="250"/>
      <c r="G326" s="232"/>
      <c r="H326" s="278" t="s">
        <v>209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373</v>
      </c>
      <c r="D327" s="231" t="s">
        <v>159</v>
      </c>
      <c r="E327" s="232"/>
      <c r="F327" s="250"/>
      <c r="G327" s="232"/>
      <c r="H327" s="278" t="s">
        <v>375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376</v>
      </c>
      <c r="B329" s="235" t="s">
        <v>377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361</v>
      </c>
      <c r="D330" s="566" t="s">
        <v>159</v>
      </c>
      <c r="E330" s="232"/>
      <c r="F330" s="250"/>
      <c r="G330" s="232"/>
      <c r="H330" s="586" t="s">
        <v>378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361</v>
      </c>
      <c r="D331" s="566" t="s">
        <v>159</v>
      </c>
      <c r="E331" s="232"/>
      <c r="F331" s="250"/>
      <c r="G331" s="232"/>
      <c r="H331" s="586" t="s">
        <v>379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361</v>
      </c>
      <c r="D332" s="566" t="s">
        <v>159</v>
      </c>
      <c r="E332" s="232"/>
      <c r="F332" s="250"/>
      <c r="G332" s="232"/>
      <c r="H332" s="256" t="s">
        <v>380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381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382</v>
      </c>
      <c r="D335" s="231" t="s">
        <v>159</v>
      </c>
      <c r="E335" s="232"/>
      <c r="F335" s="250"/>
      <c r="G335" s="232"/>
      <c r="H335" s="245" t="s">
        <v>205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382</v>
      </c>
      <c r="D336" s="231" t="s">
        <v>159</v>
      </c>
      <c r="E336" s="232"/>
      <c r="F336" s="250"/>
      <c r="G336" s="232"/>
      <c r="H336" s="245" t="s">
        <v>206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382</v>
      </c>
      <c r="D337" s="231" t="s">
        <v>159</v>
      </c>
      <c r="E337" s="232"/>
      <c r="F337" s="250"/>
      <c r="G337" s="232"/>
      <c r="H337" s="245" t="s">
        <v>208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376</v>
      </c>
      <c r="B339" s="235" t="s">
        <v>383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384</v>
      </c>
      <c r="D340" s="231" t="s">
        <v>159</v>
      </c>
      <c r="E340" s="232"/>
      <c r="F340" s="250"/>
      <c r="G340" s="232"/>
      <c r="H340" s="576" t="s">
        <v>205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384</v>
      </c>
      <c r="D341" s="231" t="s">
        <v>159</v>
      </c>
      <c r="E341" s="232"/>
      <c r="F341" s="250"/>
      <c r="G341" s="232"/>
      <c r="H341" s="588" t="s">
        <v>298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384</v>
      </c>
      <c r="D342" s="231" t="s">
        <v>159</v>
      </c>
      <c r="E342" s="232"/>
      <c r="F342" s="250"/>
      <c r="G342" s="232"/>
      <c r="H342" s="588" t="s">
        <v>208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376</v>
      </c>
      <c r="B344" s="235" t="s">
        <v>385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386</v>
      </c>
      <c r="D345" s="231" t="s">
        <v>159</v>
      </c>
      <c r="E345" s="232"/>
      <c r="F345" s="250"/>
      <c r="G345" s="232"/>
      <c r="H345" s="576" t="s">
        <v>205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386</v>
      </c>
      <c r="D346" s="231" t="s">
        <v>159</v>
      </c>
      <c r="E346" s="232"/>
      <c r="F346" s="250"/>
      <c r="G346" s="232"/>
      <c r="H346" s="588" t="s">
        <v>298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386</v>
      </c>
      <c r="D347" s="231" t="s">
        <v>159</v>
      </c>
      <c r="E347" s="232"/>
      <c r="F347" s="250"/>
      <c r="G347" s="232"/>
      <c r="H347" s="588" t="s">
        <v>208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386</v>
      </c>
      <c r="D348" s="231" t="s">
        <v>159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376</v>
      </c>
      <c r="B350" s="235" t="s">
        <v>387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236</v>
      </c>
      <c r="D351" s="566" t="s">
        <v>159</v>
      </c>
      <c r="E351" s="232"/>
      <c r="F351" s="250"/>
      <c r="G351" s="232"/>
      <c r="H351" s="589" t="s">
        <v>205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236</v>
      </c>
      <c r="D352" s="566" t="s">
        <v>159</v>
      </c>
      <c r="E352" s="232"/>
      <c r="F352" s="250"/>
      <c r="G352" s="232"/>
      <c r="H352" s="589" t="s">
        <v>388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6">
      <c r="B354" s="222" t="s">
        <v>40</v>
      </c>
      <c r="C354" s="223" t="s">
        <v>389</v>
      </c>
      <c r="D354" s="224" t="s">
        <v>159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6" outlineLevel="1">
      <c r="B356" s="235" t="s">
        <v>390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6" outlineLevel="2">
      <c r="B357" s="242"/>
      <c r="C357" s="242" t="s">
        <v>391</v>
      </c>
      <c r="D357" s="249" t="s">
        <v>159</v>
      </c>
      <c r="E357" s="257"/>
      <c r="F357" s="192"/>
      <c r="G357" s="257"/>
      <c r="H357" s="568" t="s">
        <v>392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6" outlineLevel="1">
      <c r="B359" s="235" t="s">
        <v>393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6" outlineLevel="2">
      <c r="B360" s="242"/>
      <c r="C360" s="242" t="s">
        <v>394</v>
      </c>
      <c r="D360" s="249" t="s">
        <v>159</v>
      </c>
      <c r="E360" s="257"/>
      <c r="F360" s="192"/>
      <c r="G360" s="257"/>
      <c r="H360" s="568" t="s">
        <v>395</v>
      </c>
      <c r="I360" s="568"/>
      <c r="J360" s="568"/>
      <c r="K360" s="568"/>
      <c r="L360" s="287"/>
      <c r="M360" s="288"/>
      <c r="N360" s="287"/>
      <c r="O360" s="572"/>
    </row>
    <row r="361" spans="2:15" ht="15.6" outlineLevel="2">
      <c r="B361" s="242"/>
      <c r="C361" s="242" t="s">
        <v>394</v>
      </c>
      <c r="D361" s="249" t="s">
        <v>159</v>
      </c>
      <c r="E361" s="257"/>
      <c r="F361" s="192"/>
      <c r="G361" s="257"/>
      <c r="H361" s="568" t="s">
        <v>396</v>
      </c>
      <c r="I361" s="568"/>
      <c r="J361" s="568"/>
      <c r="K361" s="568"/>
      <c r="L361" s="287"/>
      <c r="M361" s="288"/>
      <c r="N361" s="287"/>
      <c r="O361" s="572"/>
    </row>
    <row r="362" spans="2:15" ht="15.6" outlineLevel="2">
      <c r="B362" s="242"/>
      <c r="C362" s="242" t="s">
        <v>394</v>
      </c>
      <c r="D362" s="249" t="s">
        <v>159</v>
      </c>
      <c r="E362" s="257"/>
      <c r="F362" s="192"/>
      <c r="G362" s="257"/>
      <c r="H362" s="568" t="s">
        <v>397</v>
      </c>
      <c r="I362" s="568"/>
      <c r="J362" s="568"/>
      <c r="K362" s="568"/>
      <c r="L362" s="287"/>
      <c r="M362" s="288"/>
      <c r="N362" s="287"/>
      <c r="O362" s="572"/>
    </row>
    <row r="363" spans="2:15" ht="15.6" outlineLevel="2">
      <c r="B363" s="242"/>
      <c r="C363" s="242" t="s">
        <v>394</v>
      </c>
      <c r="D363" s="249" t="s">
        <v>159</v>
      </c>
      <c r="E363" s="257"/>
      <c r="F363" s="192"/>
      <c r="G363" s="257"/>
      <c r="H363" s="568" t="s">
        <v>398</v>
      </c>
      <c r="I363" s="568"/>
      <c r="J363" s="568"/>
      <c r="K363" s="568"/>
      <c r="L363" s="287"/>
      <c r="M363" s="288"/>
      <c r="N363" s="287"/>
      <c r="O363" s="572"/>
    </row>
    <row r="364" spans="2:15" ht="15.6" outlineLevel="2">
      <c r="B364" s="242"/>
      <c r="C364" s="242" t="s">
        <v>394</v>
      </c>
      <c r="D364" s="249" t="s">
        <v>159</v>
      </c>
      <c r="E364" s="257"/>
      <c r="F364" s="192"/>
      <c r="G364" s="257"/>
      <c r="H364" s="568" t="s">
        <v>399</v>
      </c>
      <c r="I364" s="568"/>
      <c r="J364" s="568"/>
      <c r="K364" s="568"/>
      <c r="L364" s="287"/>
      <c r="M364" s="288"/>
      <c r="N364" s="287"/>
      <c r="O364" s="572"/>
    </row>
    <row r="365" spans="2:15" ht="15.6" outlineLevel="2">
      <c r="B365" s="242"/>
      <c r="C365" s="242" t="s">
        <v>394</v>
      </c>
      <c r="D365" s="249" t="s">
        <v>159</v>
      </c>
      <c r="E365" s="257"/>
      <c r="F365" s="192"/>
      <c r="G365" s="257"/>
      <c r="H365" s="568" t="s">
        <v>400</v>
      </c>
      <c r="I365" s="568"/>
      <c r="J365" s="568"/>
      <c r="K365" s="568"/>
      <c r="L365" s="287"/>
      <c r="M365" s="288"/>
      <c r="N365" s="287"/>
      <c r="O365" s="572"/>
    </row>
    <row r="366" spans="2:15" ht="15.6" outlineLevel="2">
      <c r="B366" s="242"/>
      <c r="C366" s="242" t="s">
        <v>394</v>
      </c>
      <c r="D366" s="249" t="s">
        <v>159</v>
      </c>
      <c r="E366" s="257"/>
      <c r="F366" s="192"/>
      <c r="G366" s="257"/>
      <c r="H366" s="568" t="s">
        <v>401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6" outlineLevel="1">
      <c r="B368" s="235" t="s">
        <v>402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6" outlineLevel="2">
      <c r="B369" s="242"/>
      <c r="C369" s="242" t="s">
        <v>403</v>
      </c>
      <c r="D369" s="249" t="s">
        <v>159</v>
      </c>
      <c r="E369" s="257"/>
      <c r="F369" s="192"/>
      <c r="G369" s="257"/>
      <c r="H369" s="590" t="s">
        <v>233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6" outlineLevel="1">
      <c r="B371" s="235" t="s">
        <v>404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6" outlineLevel="2">
      <c r="B372" s="242"/>
      <c r="C372" s="242" t="s">
        <v>404</v>
      </c>
      <c r="D372" s="249" t="s">
        <v>159</v>
      </c>
      <c r="E372" s="257"/>
      <c r="F372" s="192"/>
      <c r="G372" s="257"/>
      <c r="H372" s="590" t="s">
        <v>405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6" outlineLevel="2">
      <c r="B373" s="242"/>
      <c r="C373" s="242" t="s">
        <v>404</v>
      </c>
      <c r="D373" s="249" t="s">
        <v>159</v>
      </c>
      <c r="E373" s="257"/>
      <c r="F373" s="192"/>
      <c r="G373" s="257"/>
      <c r="H373" s="590" t="s">
        <v>406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6" outlineLevel="1">
      <c r="B375" s="235" t="s">
        <v>407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6" outlineLevel="2">
      <c r="B376" s="242"/>
      <c r="C376" s="242" t="s">
        <v>408</v>
      </c>
      <c r="D376" s="249" t="s">
        <v>159</v>
      </c>
      <c r="E376" s="257"/>
      <c r="F376" s="192"/>
      <c r="G376" s="257"/>
      <c r="H376" s="590" t="s">
        <v>205</v>
      </c>
      <c r="I376" s="590"/>
      <c r="J376" s="590"/>
      <c r="K376" s="590"/>
      <c r="L376" s="287"/>
      <c r="M376" s="288"/>
      <c r="N376" s="287"/>
      <c r="O376" s="591"/>
    </row>
    <row r="377" spans="2:15" ht="15.6" outlineLevel="2">
      <c r="B377" s="242"/>
      <c r="C377" s="242" t="s">
        <v>408</v>
      </c>
      <c r="D377" s="249" t="s">
        <v>159</v>
      </c>
      <c r="E377" s="257"/>
      <c r="F377" s="192"/>
      <c r="G377" s="257"/>
      <c r="H377" s="590" t="s">
        <v>206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6" outlineLevel="1">
      <c r="B379" s="235" t="s">
        <v>409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6" outlineLevel="2">
      <c r="B380" s="242"/>
      <c r="C380" s="242" t="s">
        <v>409</v>
      </c>
      <c r="D380" s="249" t="s">
        <v>159</v>
      </c>
      <c r="E380" s="257"/>
      <c r="F380" s="192"/>
      <c r="G380" s="257"/>
      <c r="H380" s="590" t="s">
        <v>205</v>
      </c>
      <c r="I380" s="590"/>
      <c r="J380" s="590"/>
      <c r="K380" s="590"/>
      <c r="L380" s="287"/>
      <c r="M380" s="288"/>
      <c r="N380" s="287"/>
      <c r="O380" s="591"/>
    </row>
    <row r="381" spans="2:15" ht="15.6" outlineLevel="2">
      <c r="B381" s="242"/>
      <c r="C381" s="242" t="s">
        <v>409</v>
      </c>
      <c r="D381" s="249" t="s">
        <v>159</v>
      </c>
      <c r="E381" s="257"/>
      <c r="F381" s="192"/>
      <c r="G381" s="257"/>
      <c r="H381" s="590" t="s">
        <v>206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6" outlineLevel="1">
      <c r="B383" s="235" t="s">
        <v>410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6" outlineLevel="2">
      <c r="B384" s="242"/>
      <c r="C384" s="242" t="s">
        <v>411</v>
      </c>
      <c r="D384" s="249" t="s">
        <v>159</v>
      </c>
      <c r="E384" s="257"/>
      <c r="F384" s="192"/>
      <c r="G384" s="257"/>
      <c r="H384" s="568" t="s">
        <v>412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6" outlineLevel="1">
      <c r="B386" s="235" t="s">
        <v>413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6" outlineLevel="2">
      <c r="B387" s="238"/>
      <c r="C387" s="565" t="s">
        <v>414</v>
      </c>
      <c r="D387" s="249" t="s">
        <v>159</v>
      </c>
      <c r="E387" s="232"/>
      <c r="F387" s="250"/>
      <c r="G387" s="232"/>
      <c r="H387" s="576" t="s">
        <v>226</v>
      </c>
      <c r="I387" s="576"/>
      <c r="J387" s="576"/>
      <c r="K387" s="576"/>
      <c r="L387" s="287"/>
      <c r="M387" s="288"/>
      <c r="N387" s="287"/>
      <c r="O387" s="563"/>
    </row>
    <row r="388" spans="2:15" ht="15.6" outlineLevel="2">
      <c r="B388" s="238"/>
      <c r="C388" s="565" t="s">
        <v>414</v>
      </c>
      <c r="D388" s="249" t="s">
        <v>159</v>
      </c>
      <c r="E388" s="232"/>
      <c r="F388" s="250"/>
      <c r="G388" s="232"/>
      <c r="H388" s="576" t="s">
        <v>206</v>
      </c>
      <c r="I388" s="576"/>
      <c r="J388" s="576"/>
      <c r="K388" s="576"/>
      <c r="L388" s="287"/>
      <c r="M388" s="288"/>
      <c r="N388" s="287"/>
      <c r="O388" s="563"/>
    </row>
    <row r="389" spans="2:15" ht="15.6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6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6" outlineLevel="1">
      <c r="B392" s="235" t="s">
        <v>415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6" outlineLevel="2">
      <c r="B393" s="238"/>
      <c r="C393" s="565" t="s">
        <v>416</v>
      </c>
      <c r="D393" s="249" t="s">
        <v>159</v>
      </c>
      <c r="E393" s="232"/>
      <c r="F393" s="250"/>
      <c r="G393" s="232"/>
      <c r="H393" s="576" t="s">
        <v>417</v>
      </c>
      <c r="I393" s="576"/>
      <c r="J393" s="576"/>
      <c r="K393" s="576"/>
      <c r="L393" s="287"/>
      <c r="M393" s="288"/>
      <c r="N393" s="287"/>
      <c r="O393" s="563"/>
    </row>
    <row r="394" spans="2:15" ht="15.6" outlineLevel="2">
      <c r="B394" s="238"/>
      <c r="C394" s="565" t="s">
        <v>416</v>
      </c>
      <c r="D394" s="249" t="s">
        <v>159</v>
      </c>
      <c r="E394" s="232"/>
      <c r="F394" s="250"/>
      <c r="G394" s="232"/>
      <c r="H394" s="576" t="s">
        <v>418</v>
      </c>
      <c r="I394" s="576"/>
      <c r="J394" s="576"/>
      <c r="K394" s="576"/>
      <c r="L394" s="287"/>
      <c r="M394" s="288"/>
      <c r="N394" s="287"/>
      <c r="O394" s="563"/>
    </row>
    <row r="395" spans="2:15" ht="15.6" outlineLevel="2">
      <c r="B395" s="238"/>
      <c r="C395" s="565" t="s">
        <v>416</v>
      </c>
      <c r="D395" s="249" t="s">
        <v>159</v>
      </c>
      <c r="E395" s="232"/>
      <c r="F395" s="250"/>
      <c r="G395" s="232"/>
      <c r="H395" s="576" t="s">
        <v>419</v>
      </c>
      <c r="I395" s="576"/>
      <c r="J395" s="576"/>
      <c r="K395" s="576"/>
      <c r="L395" s="287"/>
      <c r="M395" s="288"/>
      <c r="N395" s="287"/>
      <c r="O395" s="563"/>
    </row>
    <row r="396" spans="2:15" ht="15.6" outlineLevel="2">
      <c r="B396" s="238"/>
      <c r="C396" s="565" t="s">
        <v>416</v>
      </c>
      <c r="D396" s="249" t="s">
        <v>159</v>
      </c>
      <c r="E396" s="232"/>
      <c r="F396" s="250"/>
      <c r="G396" s="232"/>
      <c r="H396" s="576" t="s">
        <v>420</v>
      </c>
      <c r="I396" s="576"/>
      <c r="J396" s="576"/>
      <c r="K396" s="576"/>
      <c r="L396" s="287"/>
      <c r="M396" s="288"/>
      <c r="N396" s="287"/>
      <c r="O396" s="563"/>
    </row>
    <row r="397" spans="2:15" ht="15.6" outlineLevel="2">
      <c r="B397" s="238"/>
      <c r="C397" s="565" t="s">
        <v>416</v>
      </c>
      <c r="D397" s="249" t="s">
        <v>159</v>
      </c>
      <c r="E397" s="232"/>
      <c r="F397" s="250"/>
      <c r="G397" s="232"/>
      <c r="H397" s="576" t="s">
        <v>421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6" outlineLevel="1">
      <c r="B399" s="235" t="s">
        <v>422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6" outlineLevel="2">
      <c r="B400" s="238"/>
      <c r="C400" s="565" t="s">
        <v>423</v>
      </c>
      <c r="D400" s="249" t="s">
        <v>159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6" outlineLevel="2">
      <c r="B401" s="238"/>
      <c r="C401" s="565" t="s">
        <v>424</v>
      </c>
      <c r="D401" s="249" t="s">
        <v>159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6" outlineLevel="2">
      <c r="B402" s="238"/>
      <c r="C402" s="565" t="s">
        <v>425</v>
      </c>
      <c r="D402" s="249" t="s">
        <v>159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6" outlineLevel="2">
      <c r="B403" s="238"/>
      <c r="C403" s="565" t="s">
        <v>426</v>
      </c>
      <c r="D403" s="249" t="s">
        <v>159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6" outlineLevel="2">
      <c r="B404" s="238"/>
      <c r="C404" s="565" t="s">
        <v>427</v>
      </c>
      <c r="D404" s="249" t="s">
        <v>159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6" outlineLevel="2">
      <c r="B405" s="238"/>
      <c r="C405" s="565" t="s">
        <v>428</v>
      </c>
      <c r="D405" s="249" t="s">
        <v>159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6" outlineLevel="2">
      <c r="B406" s="238"/>
      <c r="C406" s="565" t="s">
        <v>429</v>
      </c>
      <c r="D406" s="249" t="s">
        <v>159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6" outlineLevel="2">
      <c r="B407" s="238"/>
      <c r="C407" s="565" t="s">
        <v>430</v>
      </c>
      <c r="D407" s="249" t="s">
        <v>159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6" outlineLevel="2">
      <c r="B408" s="238"/>
      <c r="C408" s="565" t="s">
        <v>431</v>
      </c>
      <c r="D408" s="249" t="s">
        <v>159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6" outlineLevel="2">
      <c r="B409" s="238"/>
      <c r="C409" s="565" t="s">
        <v>432</v>
      </c>
      <c r="D409" s="249" t="s">
        <v>159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6" outlineLevel="2">
      <c r="B410" s="238"/>
      <c r="C410" s="565" t="s">
        <v>433</v>
      </c>
      <c r="D410" s="249" t="s">
        <v>159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6" outlineLevel="2">
      <c r="B411" s="238"/>
      <c r="C411" s="565" t="s">
        <v>434</v>
      </c>
      <c r="D411" s="249" t="s">
        <v>159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6" outlineLevel="2">
      <c r="B412" s="238"/>
      <c r="C412" s="565" t="s">
        <v>435</v>
      </c>
      <c r="D412" s="249" t="s">
        <v>159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6" outlineLevel="2">
      <c r="B413" s="238"/>
      <c r="C413" s="565" t="s">
        <v>436</v>
      </c>
      <c r="D413" s="249" t="s">
        <v>159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15">
      <c r="B415" s="222" t="s">
        <v>437</v>
      </c>
      <c r="C415" s="223" t="s">
        <v>438</v>
      </c>
      <c r="D415" s="224" t="s">
        <v>439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440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437</v>
      </c>
      <c r="C418" s="242" t="s">
        <v>311</v>
      </c>
      <c r="D418" s="272" t="s">
        <v>441</v>
      </c>
      <c r="E418" s="257"/>
      <c r="F418" s="192"/>
      <c r="H418" s="245" t="s">
        <v>442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316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443</v>
      </c>
      <c r="D421" s="249" t="s">
        <v>441</v>
      </c>
      <c r="E421" s="232"/>
      <c r="F421" s="250"/>
      <c r="G421" s="232"/>
      <c r="H421" s="286" t="s">
        <v>444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443</v>
      </c>
      <c r="D422" s="249" t="s">
        <v>441</v>
      </c>
      <c r="E422" s="232"/>
      <c r="F422" s="250"/>
      <c r="G422" s="232"/>
      <c r="H422" s="286" t="s">
        <v>445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443</v>
      </c>
      <c r="D423" s="249" t="s">
        <v>441</v>
      </c>
      <c r="E423" s="232"/>
      <c r="F423" s="250"/>
      <c r="G423" s="232"/>
      <c r="H423" s="286" t="s">
        <v>446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443</v>
      </c>
      <c r="D424" s="249" t="s">
        <v>441</v>
      </c>
      <c r="E424" s="232"/>
      <c r="F424" s="250"/>
      <c r="G424" s="232"/>
      <c r="H424" s="286" t="s">
        <v>447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443</v>
      </c>
      <c r="D425" s="249" t="s">
        <v>441</v>
      </c>
      <c r="E425" s="232"/>
      <c r="F425" s="250"/>
      <c r="G425" s="232"/>
      <c r="H425" s="286" t="s">
        <v>448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443</v>
      </c>
      <c r="D426" s="249" t="s">
        <v>441</v>
      </c>
      <c r="E426" s="232"/>
      <c r="F426" s="250"/>
      <c r="G426" s="232"/>
      <c r="H426" s="286" t="s">
        <v>449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443</v>
      </c>
      <c r="D427" s="249" t="s">
        <v>441</v>
      </c>
      <c r="E427" s="232"/>
      <c r="F427" s="250"/>
      <c r="G427" s="232"/>
      <c r="H427" s="286" t="s">
        <v>450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443</v>
      </c>
      <c r="D428" s="249" t="s">
        <v>441</v>
      </c>
      <c r="E428" s="232"/>
      <c r="F428" s="250"/>
      <c r="G428" s="232"/>
      <c r="H428" s="286" t="s">
        <v>451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443</v>
      </c>
      <c r="D429" s="249" t="s">
        <v>441</v>
      </c>
      <c r="E429" s="232"/>
      <c r="F429" s="250"/>
      <c r="G429" s="232"/>
      <c r="H429" s="286" t="s">
        <v>452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443</v>
      </c>
      <c r="D430" s="249" t="s">
        <v>441</v>
      </c>
      <c r="E430" s="232"/>
      <c r="F430" s="250"/>
      <c r="G430" s="232"/>
      <c r="H430" s="365" t="s">
        <v>442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443</v>
      </c>
      <c r="D432" s="249" t="s">
        <v>453</v>
      </c>
      <c r="E432" s="232"/>
      <c r="F432" s="250"/>
      <c r="G432" s="232"/>
      <c r="H432" s="286" t="s">
        <v>206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443</v>
      </c>
      <c r="D433" s="249" t="s">
        <v>453</v>
      </c>
      <c r="E433" s="232"/>
      <c r="F433" s="250"/>
      <c r="G433" s="232"/>
      <c r="H433" s="286" t="s">
        <v>454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443</v>
      </c>
      <c r="D434" s="249" t="s">
        <v>453</v>
      </c>
      <c r="E434" s="232"/>
      <c r="F434" s="250"/>
      <c r="G434" s="232"/>
      <c r="H434" s="286" t="s">
        <v>455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443</v>
      </c>
      <c r="D435" s="249" t="s">
        <v>453</v>
      </c>
      <c r="E435" s="232"/>
      <c r="F435" s="250"/>
      <c r="G435" s="232"/>
      <c r="H435" s="286" t="s">
        <v>456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443</v>
      </c>
      <c r="D436" s="249" t="s">
        <v>453</v>
      </c>
      <c r="E436" s="232"/>
      <c r="F436" s="250"/>
      <c r="G436" s="232"/>
      <c r="H436" s="286" t="s">
        <v>457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368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outlineLevel="2">
      <c r="B439" s="238" t="s">
        <v>437</v>
      </c>
      <c r="C439" s="242" t="s">
        <v>368</v>
      </c>
      <c r="D439" s="240" t="s">
        <v>441</v>
      </c>
      <c r="E439" s="257"/>
      <c r="F439" s="192"/>
      <c r="H439" s="245" t="s">
        <v>458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437</v>
      </c>
      <c r="C440" s="242" t="s">
        <v>368</v>
      </c>
      <c r="D440" s="240" t="s">
        <v>441</v>
      </c>
      <c r="E440" s="257"/>
      <c r="F440" s="192"/>
      <c r="H440" s="245" t="s">
        <v>459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437</v>
      </c>
      <c r="C441" s="242" t="s">
        <v>368</v>
      </c>
      <c r="D441" s="240" t="s">
        <v>441</v>
      </c>
      <c r="E441" s="257"/>
      <c r="F441" s="192"/>
      <c r="H441" s="245" t="s">
        <v>460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437</v>
      </c>
      <c r="C442" s="242" t="s">
        <v>368</v>
      </c>
      <c r="D442" s="240" t="s">
        <v>441</v>
      </c>
      <c r="E442" s="257"/>
      <c r="F442" s="192"/>
      <c r="H442" s="245" t="s">
        <v>452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437</v>
      </c>
      <c r="C443" s="242" t="s">
        <v>368</v>
      </c>
      <c r="D443" s="240" t="s">
        <v>441</v>
      </c>
      <c r="E443" s="257"/>
      <c r="F443" s="192"/>
      <c r="H443" s="245" t="s">
        <v>442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240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437</v>
      </c>
      <c r="C446" s="242" t="s">
        <v>240</v>
      </c>
      <c r="D446" s="240" t="s">
        <v>441</v>
      </c>
      <c r="E446" s="257"/>
      <c r="F446" s="192"/>
      <c r="H446" s="254" t="s">
        <v>206</v>
      </c>
      <c r="I446" s="254"/>
      <c r="J446" s="254"/>
      <c r="K446" s="254"/>
      <c r="M446" s="192"/>
      <c r="O446" s="563"/>
    </row>
    <row r="447" spans="2:15" outlineLevel="2">
      <c r="B447" s="238" t="s">
        <v>437</v>
      </c>
      <c r="C447" s="242" t="s">
        <v>240</v>
      </c>
      <c r="D447" s="240" t="s">
        <v>461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241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437</v>
      </c>
      <c r="C450" s="242" t="s">
        <v>241</v>
      </c>
      <c r="D450" s="251" t="s">
        <v>441</v>
      </c>
      <c r="E450" s="257"/>
      <c r="F450" s="192"/>
      <c r="H450" s="588" t="s">
        <v>442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437</v>
      </c>
      <c r="C451" s="242" t="s">
        <v>241</v>
      </c>
      <c r="D451" s="251" t="s">
        <v>441</v>
      </c>
      <c r="E451" s="257"/>
      <c r="F451" s="192"/>
      <c r="H451" s="588" t="s">
        <v>462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437</v>
      </c>
      <c r="C452" s="242" t="s">
        <v>241</v>
      </c>
      <c r="D452" s="240" t="s">
        <v>441</v>
      </c>
      <c r="E452" s="257"/>
      <c r="F452" s="192"/>
      <c r="H452" s="588" t="s">
        <v>463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331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437</v>
      </c>
      <c r="C457" s="242" t="s">
        <v>333</v>
      </c>
      <c r="D457" s="240" t="s">
        <v>441</v>
      </c>
      <c r="E457" s="257"/>
      <c r="F457" s="192"/>
      <c r="G457" s="257"/>
      <c r="H457" s="589" t="s">
        <v>464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437</v>
      </c>
      <c r="C458" s="242" t="s">
        <v>333</v>
      </c>
      <c r="D458" s="240" t="s">
        <v>441</v>
      </c>
      <c r="E458" s="257"/>
      <c r="F458" s="192"/>
      <c r="G458" s="257"/>
      <c r="H458" s="589" t="s">
        <v>254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437</v>
      </c>
      <c r="C461" s="242" t="s">
        <v>341</v>
      </c>
      <c r="D461" s="240" t="s">
        <v>441</v>
      </c>
      <c r="E461" s="257"/>
      <c r="F461" s="192"/>
      <c r="H461" s="560" t="s">
        <v>346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437</v>
      </c>
      <c r="C462" s="242" t="s">
        <v>341</v>
      </c>
      <c r="D462" s="240" t="s">
        <v>441</v>
      </c>
      <c r="E462" s="257"/>
      <c r="F462" s="192"/>
      <c r="H462" s="589" t="s">
        <v>347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437</v>
      </c>
      <c r="C463" s="242" t="s">
        <v>341</v>
      </c>
      <c r="D463" s="240" t="s">
        <v>441</v>
      </c>
      <c r="E463" s="257"/>
      <c r="F463" s="192"/>
      <c r="H463" s="366" t="s">
        <v>465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437</v>
      </c>
      <c r="C464" s="242" t="s">
        <v>341</v>
      </c>
      <c r="D464" s="240" t="s">
        <v>441</v>
      </c>
      <c r="E464" s="257"/>
      <c r="F464" s="192"/>
      <c r="H464" s="589" t="s">
        <v>466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437</v>
      </c>
      <c r="C465" s="242" t="s">
        <v>341</v>
      </c>
      <c r="D465" s="240" t="s">
        <v>441</v>
      </c>
      <c r="E465" s="257"/>
      <c r="F465" s="192"/>
      <c r="H465" s="589" t="s">
        <v>467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437</v>
      </c>
      <c r="C466" s="242" t="s">
        <v>341</v>
      </c>
      <c r="D466" s="251" t="s">
        <v>441</v>
      </c>
      <c r="E466" s="257"/>
      <c r="F466" s="192"/>
      <c r="H466" s="589" t="s">
        <v>355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437</v>
      </c>
      <c r="C467" s="242" t="s">
        <v>341</v>
      </c>
      <c r="D467" s="251" t="s">
        <v>441</v>
      </c>
      <c r="E467" s="257"/>
      <c r="F467" s="192"/>
      <c r="H467" s="589" t="s">
        <v>351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437</v>
      </c>
      <c r="C468" s="242" t="s">
        <v>341</v>
      </c>
      <c r="D468" s="240" t="s">
        <v>441</v>
      </c>
      <c r="E468" s="257"/>
      <c r="F468" s="192"/>
      <c r="H468" s="589" t="s">
        <v>358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437</v>
      </c>
      <c r="C469" s="242" t="s">
        <v>341</v>
      </c>
      <c r="D469" s="240" t="s">
        <v>441</v>
      </c>
      <c r="E469" s="257"/>
      <c r="F469" s="192"/>
      <c r="H469" s="589" t="s">
        <v>357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437</v>
      </c>
      <c r="C471" s="274" t="s">
        <v>331</v>
      </c>
      <c r="D471" s="240" t="s">
        <v>453</v>
      </c>
      <c r="E471" s="257"/>
      <c r="F471" s="192"/>
      <c r="G471" s="257"/>
      <c r="H471" s="589" t="s">
        <v>468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437</v>
      </c>
      <c r="C473" s="274" t="s">
        <v>469</v>
      </c>
      <c r="D473" s="240" t="s">
        <v>453</v>
      </c>
      <c r="E473" s="257"/>
      <c r="F473" s="192"/>
      <c r="G473" s="257"/>
      <c r="H473" s="589" t="s">
        <v>470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437</v>
      </c>
      <c r="C474" s="274" t="s">
        <v>469</v>
      </c>
      <c r="D474" s="240" t="s">
        <v>453</v>
      </c>
      <c r="E474" s="257"/>
      <c r="F474" s="192"/>
      <c r="G474" s="257"/>
      <c r="H474" s="589" t="s">
        <v>471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437</v>
      </c>
      <c r="C475" s="274" t="s">
        <v>469</v>
      </c>
      <c r="D475" s="240" t="s">
        <v>453</v>
      </c>
      <c r="E475" s="257"/>
      <c r="F475" s="192"/>
      <c r="G475" s="257"/>
      <c r="H475" s="589" t="s">
        <v>472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437</v>
      </c>
      <c r="C476" s="274" t="s">
        <v>469</v>
      </c>
      <c r="D476" s="240" t="s">
        <v>453</v>
      </c>
      <c r="E476" s="257"/>
      <c r="F476" s="192"/>
      <c r="G476" s="257"/>
      <c r="H476" s="589" t="s">
        <v>473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437</v>
      </c>
      <c r="C477" s="274" t="s">
        <v>469</v>
      </c>
      <c r="D477" s="240" t="s">
        <v>453</v>
      </c>
      <c r="E477" s="257"/>
      <c r="F477" s="192"/>
      <c r="G477" s="257"/>
      <c r="H477" s="589" t="s">
        <v>474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170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176</v>
      </c>
      <c r="D481" s="594" t="s">
        <v>441</v>
      </c>
      <c r="E481" s="257"/>
      <c r="F481" s="192"/>
      <c r="G481" s="257"/>
      <c r="H481" s="282" t="s">
        <v>475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176</v>
      </c>
      <c r="D482" s="594" t="s">
        <v>441</v>
      </c>
      <c r="E482" s="257"/>
      <c r="F482" s="192"/>
      <c r="G482" s="257"/>
      <c r="H482" s="282" t="s">
        <v>476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176</v>
      </c>
      <c r="D483" s="594" t="s">
        <v>441</v>
      </c>
      <c r="E483" s="257"/>
      <c r="F483" s="192"/>
      <c r="G483" s="257"/>
      <c r="H483" s="282" t="s">
        <v>180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176</v>
      </c>
      <c r="D484" s="594" t="s">
        <v>441</v>
      </c>
      <c r="E484" s="257"/>
      <c r="F484" s="192"/>
      <c r="G484" s="257"/>
      <c r="H484" s="282" t="s">
        <v>182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176</v>
      </c>
      <c r="D485" s="594" t="s">
        <v>441</v>
      </c>
      <c r="E485" s="257"/>
      <c r="F485" s="192"/>
      <c r="G485" s="257"/>
      <c r="H485" s="282" t="s">
        <v>184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176</v>
      </c>
      <c r="D486" s="594" t="s">
        <v>441</v>
      </c>
      <c r="E486" s="257"/>
      <c r="F486" s="192"/>
      <c r="G486" s="257"/>
      <c r="H486" s="282" t="s">
        <v>477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176</v>
      </c>
      <c r="D487" s="594" t="s">
        <v>441</v>
      </c>
      <c r="E487" s="257"/>
      <c r="F487" s="192"/>
      <c r="H487" s="282" t="s">
        <v>478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176</v>
      </c>
      <c r="D488" s="594" t="s">
        <v>441</v>
      </c>
      <c r="E488" s="257"/>
      <c r="F488" s="192"/>
      <c r="H488" s="282" t="s">
        <v>479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176</v>
      </c>
      <c r="D489" s="594" t="s">
        <v>441</v>
      </c>
      <c r="E489" s="257"/>
      <c r="F489" s="192"/>
      <c r="H489" s="282" t="s">
        <v>480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197</v>
      </c>
      <c r="D491" s="597" t="s">
        <v>441</v>
      </c>
      <c r="E491" s="257"/>
      <c r="F491" s="192"/>
      <c r="H491" s="326" t="s">
        <v>206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197</v>
      </c>
      <c r="D492" s="597" t="s">
        <v>441</v>
      </c>
      <c r="E492" s="257"/>
      <c r="F492" s="192"/>
      <c r="H492" s="244" t="s">
        <v>209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197</v>
      </c>
      <c r="D493" s="597" t="s">
        <v>441</v>
      </c>
      <c r="E493" s="257"/>
      <c r="F493" s="192"/>
      <c r="H493" s="284" t="s">
        <v>481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197</v>
      </c>
      <c r="D495" s="594" t="s">
        <v>453</v>
      </c>
      <c r="E495" s="257"/>
      <c r="F495" s="192"/>
      <c r="G495" s="257"/>
      <c r="H495" s="284" t="s">
        <v>206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197</v>
      </c>
      <c r="D496" s="597" t="s">
        <v>453</v>
      </c>
      <c r="E496" s="257"/>
      <c r="F496" s="192"/>
      <c r="G496" s="257"/>
      <c r="H496" s="284" t="s">
        <v>198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197</v>
      </c>
      <c r="D497" s="597" t="s">
        <v>453</v>
      </c>
      <c r="E497" s="257"/>
      <c r="F497" s="192"/>
      <c r="G497" s="257"/>
      <c r="H497" s="284" t="s">
        <v>481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482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391</v>
      </c>
      <c r="D501" s="251" t="s">
        <v>441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393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394</v>
      </c>
      <c r="D504" s="251" t="s">
        <v>441</v>
      </c>
      <c r="E504" s="257"/>
      <c r="F504" s="192"/>
      <c r="G504" s="257"/>
      <c r="H504" s="285" t="s">
        <v>483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394</v>
      </c>
      <c r="D505" s="251" t="s">
        <v>453</v>
      </c>
      <c r="E505" s="257"/>
      <c r="F505" s="192"/>
      <c r="G505" s="257"/>
      <c r="H505" s="285" t="s">
        <v>483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484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485</v>
      </c>
      <c r="D508" s="251" t="s">
        <v>441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485</v>
      </c>
      <c r="D509" s="251" t="s">
        <v>453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486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487</v>
      </c>
      <c r="D512" s="251" t="s">
        <v>441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487</v>
      </c>
      <c r="D513" s="251" t="s">
        <v>453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488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365</v>
      </c>
      <c r="D516" s="566" t="s">
        <v>441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252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252</v>
      </c>
      <c r="D519" s="251" t="s">
        <v>441</v>
      </c>
      <c r="E519" s="232"/>
      <c r="F519" s="250"/>
      <c r="G519" s="232"/>
      <c r="H519" s="249" t="s">
        <v>269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252</v>
      </c>
      <c r="D520" s="251" t="s">
        <v>441</v>
      </c>
      <c r="E520" s="232"/>
      <c r="F520" s="250"/>
      <c r="G520" s="232"/>
      <c r="H520" s="249" t="s">
        <v>270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252</v>
      </c>
      <c r="D521" s="251" t="s">
        <v>441</v>
      </c>
      <c r="E521" s="232"/>
      <c r="F521" s="250"/>
      <c r="G521" s="232"/>
      <c r="H521" s="249" t="s">
        <v>271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252</v>
      </c>
      <c r="D522" s="251" t="s">
        <v>441</v>
      </c>
      <c r="E522" s="232"/>
      <c r="F522" s="250"/>
      <c r="G522" s="232"/>
      <c r="H522" s="249" t="s">
        <v>273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252</v>
      </c>
      <c r="D523" s="251" t="s">
        <v>441</v>
      </c>
      <c r="E523" s="232"/>
      <c r="F523" s="250"/>
      <c r="G523" s="232"/>
      <c r="H523" s="249" t="s">
        <v>275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252</v>
      </c>
      <c r="D524" s="251" t="s">
        <v>441</v>
      </c>
      <c r="E524" s="232"/>
      <c r="F524" s="250"/>
      <c r="G524" s="232"/>
      <c r="H524" s="576" t="s">
        <v>277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252</v>
      </c>
      <c r="D525" s="251" t="s">
        <v>441</v>
      </c>
      <c r="E525" s="232"/>
      <c r="F525" s="250"/>
      <c r="G525" s="232"/>
      <c r="H525" s="249" t="s">
        <v>279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252</v>
      </c>
      <c r="D526" s="251" t="s">
        <v>441</v>
      </c>
      <c r="E526" s="232"/>
      <c r="F526" s="250"/>
      <c r="G526" s="232"/>
      <c r="H526" s="249" t="s">
        <v>489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252</v>
      </c>
      <c r="D527" s="251" t="s">
        <v>441</v>
      </c>
      <c r="E527" s="232"/>
      <c r="F527" s="250"/>
      <c r="G527" s="232"/>
      <c r="H527" s="249" t="s">
        <v>243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252</v>
      </c>
      <c r="D528" s="251" t="s">
        <v>441</v>
      </c>
      <c r="E528" s="232"/>
      <c r="F528" s="250"/>
      <c r="G528" s="232"/>
      <c r="H528" s="566" t="s">
        <v>245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252</v>
      </c>
      <c r="D529" s="251" t="s">
        <v>441</v>
      </c>
      <c r="E529" s="232"/>
      <c r="F529" s="250"/>
      <c r="G529" s="232"/>
      <c r="H529" s="249" t="s">
        <v>247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252</v>
      </c>
      <c r="D530" s="251" t="s">
        <v>441</v>
      </c>
      <c r="E530" s="232"/>
      <c r="F530" s="250"/>
      <c r="G530" s="232"/>
      <c r="H530" s="249" t="s">
        <v>249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252</v>
      </c>
      <c r="D531" s="251" t="s">
        <v>441</v>
      </c>
      <c r="E531" s="232"/>
      <c r="F531" s="250"/>
      <c r="G531" s="232"/>
      <c r="H531" s="249" t="s">
        <v>254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252</v>
      </c>
      <c r="D532" s="251" t="s">
        <v>441</v>
      </c>
      <c r="E532" s="232"/>
      <c r="F532" s="250"/>
      <c r="G532" s="232"/>
      <c r="H532" s="576" t="s">
        <v>262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252</v>
      </c>
      <c r="D535" s="251" t="s">
        <v>453</v>
      </c>
      <c r="E535" s="232"/>
      <c r="F535" s="250"/>
      <c r="G535" s="232"/>
      <c r="H535" s="583" t="s">
        <v>490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252</v>
      </c>
      <c r="D536" s="251" t="s">
        <v>453</v>
      </c>
      <c r="E536" s="232"/>
      <c r="F536" s="250"/>
      <c r="G536" s="232"/>
      <c r="H536" s="583" t="s">
        <v>248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252</v>
      </c>
      <c r="D537" s="251" t="s">
        <v>453</v>
      </c>
      <c r="E537" s="232"/>
      <c r="F537" s="250"/>
      <c r="G537" s="232"/>
      <c r="H537" s="249" t="s">
        <v>249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252</v>
      </c>
      <c r="D538" s="251" t="s">
        <v>453</v>
      </c>
      <c r="E538" s="232"/>
      <c r="F538" s="250"/>
      <c r="G538" s="232"/>
      <c r="H538" s="583" t="s">
        <v>245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252</v>
      </c>
      <c r="D539" s="251" t="s">
        <v>453</v>
      </c>
      <c r="E539" s="232"/>
      <c r="F539" s="250"/>
      <c r="G539" s="232"/>
      <c r="H539" s="566" t="s">
        <v>253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281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281</v>
      </c>
      <c r="D543" s="251" t="s">
        <v>441</v>
      </c>
      <c r="E543" s="232"/>
      <c r="F543" s="250"/>
      <c r="G543" s="232"/>
      <c r="H543" s="566" t="s">
        <v>491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281</v>
      </c>
      <c r="D544" s="251" t="s">
        <v>441</v>
      </c>
      <c r="E544" s="232"/>
      <c r="F544" s="250"/>
      <c r="G544" s="232"/>
      <c r="H544" s="566" t="s">
        <v>243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281</v>
      </c>
      <c r="D545" s="251" t="s">
        <v>441</v>
      </c>
      <c r="E545" s="232"/>
      <c r="F545" s="250"/>
      <c r="G545" s="232"/>
      <c r="H545" s="566" t="s">
        <v>245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281</v>
      </c>
      <c r="D546" s="251" t="s">
        <v>441</v>
      </c>
      <c r="E546" s="232"/>
      <c r="F546" s="250"/>
      <c r="G546" s="232"/>
      <c r="H546" s="566" t="s">
        <v>249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281</v>
      </c>
      <c r="D547" s="251" t="s">
        <v>441</v>
      </c>
      <c r="E547" s="232"/>
      <c r="F547" s="250"/>
      <c r="G547" s="232"/>
      <c r="H547" s="566" t="s">
        <v>254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281</v>
      </c>
      <c r="D550" s="257" t="s">
        <v>492</v>
      </c>
      <c r="E550" s="232"/>
      <c r="F550" s="250"/>
      <c r="G550" s="232"/>
      <c r="H550" s="566" t="s">
        <v>247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281</v>
      </c>
      <c r="D551" s="257" t="s">
        <v>492</v>
      </c>
      <c r="E551" s="232"/>
      <c r="F551" s="250"/>
      <c r="G551" s="232"/>
      <c r="H551" s="566" t="s">
        <v>246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281</v>
      </c>
      <c r="D553" s="257" t="s">
        <v>453</v>
      </c>
      <c r="E553" s="232"/>
      <c r="F553" s="250"/>
      <c r="G553" s="232"/>
      <c r="H553" s="566" t="s">
        <v>245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281</v>
      </c>
      <c r="D554" s="257" t="s">
        <v>453</v>
      </c>
      <c r="E554" s="232"/>
      <c r="F554" s="250"/>
      <c r="G554" s="232"/>
      <c r="H554" s="566" t="s">
        <v>249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281</v>
      </c>
      <c r="D555" s="257" t="s">
        <v>453</v>
      </c>
      <c r="E555" s="232"/>
      <c r="F555" s="250"/>
      <c r="G555" s="232"/>
      <c r="H555" s="566" t="s">
        <v>283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203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204</v>
      </c>
      <c r="D558" s="231" t="s">
        <v>441</v>
      </c>
      <c r="E558" s="232"/>
      <c r="F558" s="250"/>
      <c r="G558" s="232"/>
      <c r="H558" s="599" t="s">
        <v>206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204</v>
      </c>
      <c r="D559" s="231" t="s">
        <v>441</v>
      </c>
      <c r="E559" s="232"/>
      <c r="F559" s="250"/>
      <c r="G559" s="232"/>
      <c r="H559" s="599" t="s">
        <v>207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204</v>
      </c>
      <c r="D560" s="231" t="s">
        <v>441</v>
      </c>
      <c r="E560" s="232"/>
      <c r="F560" s="250"/>
      <c r="G560" s="232"/>
      <c r="H560" s="588" t="s">
        <v>208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204</v>
      </c>
      <c r="D561" s="231" t="s">
        <v>441</v>
      </c>
      <c r="E561" s="232"/>
      <c r="F561" s="250"/>
      <c r="G561" s="232"/>
      <c r="H561" s="280" t="s">
        <v>209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493</v>
      </c>
      <c r="D563" s="231" t="s">
        <v>441</v>
      </c>
      <c r="E563" s="232"/>
      <c r="F563" s="250"/>
      <c r="G563" s="232"/>
      <c r="H563" s="599" t="s">
        <v>206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493</v>
      </c>
      <c r="D564" s="231" t="s">
        <v>441</v>
      </c>
      <c r="E564" s="232"/>
      <c r="F564" s="250"/>
      <c r="G564" s="232"/>
      <c r="H564" s="588" t="s">
        <v>208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204</v>
      </c>
      <c r="D566" s="249" t="s">
        <v>453</v>
      </c>
      <c r="E566" s="232"/>
      <c r="F566" s="250"/>
      <c r="G566" s="232"/>
      <c r="H566" s="568" t="s">
        <v>206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204</v>
      </c>
      <c r="D567" s="249" t="s">
        <v>453</v>
      </c>
      <c r="E567" s="232"/>
      <c r="F567" s="250"/>
      <c r="G567" s="232"/>
      <c r="H567" s="589" t="s">
        <v>209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493</v>
      </c>
      <c r="D569" s="249" t="s">
        <v>453</v>
      </c>
      <c r="E569" s="232"/>
      <c r="F569" s="250"/>
      <c r="G569" s="232"/>
      <c r="H569" s="568" t="s">
        <v>206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494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284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285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285</v>
      </c>
      <c r="D576" s="249" t="s">
        <v>453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285</v>
      </c>
      <c r="D577" s="249" t="s">
        <v>453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285</v>
      </c>
      <c r="D579" s="249" t="s">
        <v>441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285</v>
      </c>
      <c r="D580" s="249" t="s">
        <v>441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285</v>
      </c>
      <c r="D582" s="249" t="s">
        <v>492</v>
      </c>
      <c r="E582" s="232"/>
      <c r="F582" s="250"/>
      <c r="G582" s="232"/>
      <c r="H582" s="559" t="s">
        <v>205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285</v>
      </c>
      <c r="D583" s="249" t="s">
        <v>492</v>
      </c>
      <c r="E583" s="232"/>
      <c r="F583" s="250"/>
      <c r="G583" s="232"/>
      <c r="H583" s="588" t="s">
        <v>206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285</v>
      </c>
      <c r="D584" s="249" t="s">
        <v>492</v>
      </c>
      <c r="E584" s="232"/>
      <c r="F584" s="250"/>
      <c r="G584" s="232"/>
      <c r="H584" s="559" t="s">
        <v>208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286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286</v>
      </c>
      <c r="D589" s="249" t="s">
        <v>492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163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163</v>
      </c>
      <c r="D592" s="249" t="s">
        <v>441</v>
      </c>
      <c r="E592" s="232"/>
      <c r="F592" s="250"/>
      <c r="G592" s="232"/>
      <c r="H592" s="568" t="s">
        <v>206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163</v>
      </c>
      <c r="D593" s="249" t="s">
        <v>441</v>
      </c>
      <c r="E593" s="232"/>
      <c r="F593" s="250"/>
      <c r="G593" s="232"/>
      <c r="H593" s="559" t="s">
        <v>208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163</v>
      </c>
      <c r="D594" s="249" t="s">
        <v>441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163</v>
      </c>
      <c r="D596" s="249" t="s">
        <v>453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163</v>
      </c>
      <c r="D597" s="249" t="s">
        <v>453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163</v>
      </c>
      <c r="D598" s="249" t="s">
        <v>453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163</v>
      </c>
      <c r="D600" s="321" t="s">
        <v>492</v>
      </c>
      <c r="E600" s="324"/>
      <c r="F600" s="325"/>
      <c r="G600" s="324"/>
      <c r="H600" s="601" t="s">
        <v>205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163</v>
      </c>
      <c r="D601" s="321" t="s">
        <v>492</v>
      </c>
      <c r="E601" s="324"/>
      <c r="F601" s="325"/>
      <c r="G601" s="324"/>
      <c r="H601" s="600" t="s">
        <v>206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163</v>
      </c>
      <c r="D602" s="321" t="s">
        <v>492</v>
      </c>
      <c r="E602" s="324"/>
      <c r="F602" s="325"/>
      <c r="G602" s="324"/>
      <c r="H602" s="590" t="s">
        <v>208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163</v>
      </c>
      <c r="D603" s="321" t="s">
        <v>492</v>
      </c>
      <c r="E603" s="322"/>
      <c r="F603" s="323"/>
      <c r="G603" s="322"/>
      <c r="H603" s="600" t="s">
        <v>495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496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295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228</v>
      </c>
      <c r="D610" s="249" t="s">
        <v>441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228</v>
      </c>
      <c r="D612" s="249" t="s">
        <v>453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369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369</v>
      </c>
      <c r="D616" s="231" t="s">
        <v>441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369</v>
      </c>
      <c r="D617" s="231" t="s">
        <v>441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369</v>
      </c>
      <c r="D619" s="231" t="s">
        <v>453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369</v>
      </c>
      <c r="D620" s="231" t="s">
        <v>453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292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292</v>
      </c>
      <c r="D625" s="231" t="s">
        <v>441</v>
      </c>
      <c r="E625" s="232"/>
      <c r="F625" s="250"/>
      <c r="G625" s="232"/>
      <c r="H625" s="278" t="s">
        <v>206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292</v>
      </c>
      <c r="D626" s="231" t="s">
        <v>441</v>
      </c>
      <c r="E626" s="232"/>
      <c r="F626" s="250"/>
      <c r="G626" s="232"/>
      <c r="H626" s="278" t="s">
        <v>208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292</v>
      </c>
      <c r="D627" s="231" t="s">
        <v>441</v>
      </c>
      <c r="E627" s="232"/>
      <c r="F627" s="250"/>
      <c r="G627" s="232"/>
      <c r="H627" s="278" t="s">
        <v>199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292</v>
      </c>
      <c r="D628" s="231" t="s">
        <v>441</v>
      </c>
      <c r="E628" s="232"/>
      <c r="F628" s="250"/>
      <c r="G628" s="232"/>
      <c r="H628" s="278" t="s">
        <v>209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292</v>
      </c>
      <c r="D630" s="231" t="s">
        <v>453</v>
      </c>
      <c r="E630" s="232"/>
      <c r="F630" s="250"/>
      <c r="G630" s="232"/>
      <c r="H630" s="278" t="s">
        <v>206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214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215</v>
      </c>
      <c r="D634" s="566" t="s">
        <v>441</v>
      </c>
      <c r="E634" s="232"/>
      <c r="F634" s="250"/>
      <c r="G634" s="232"/>
      <c r="H634" s="566" t="s">
        <v>221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223</v>
      </c>
      <c r="D635" s="566" t="s">
        <v>441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223</v>
      </c>
      <c r="D636" s="566" t="s">
        <v>441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223</v>
      </c>
      <c r="D638" s="566" t="s">
        <v>453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223</v>
      </c>
      <c r="D639" s="566" t="s">
        <v>453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223</v>
      </c>
      <c r="D640" s="566" t="s">
        <v>453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377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497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385</v>
      </c>
      <c r="D658" s="231" t="s">
        <v>441</v>
      </c>
      <c r="E658" s="232"/>
      <c r="F658" s="250"/>
      <c r="G658" s="232"/>
      <c r="H658" s="588" t="s">
        <v>206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385</v>
      </c>
      <c r="D659" s="231" t="s">
        <v>441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385</v>
      </c>
      <c r="D660" s="231" t="s">
        <v>441</v>
      </c>
      <c r="E660" s="232"/>
      <c r="F660" s="250"/>
      <c r="G660" s="232"/>
      <c r="H660" s="588" t="s">
        <v>208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385</v>
      </c>
      <c r="D662" s="231" t="s">
        <v>453</v>
      </c>
      <c r="E662" s="232"/>
      <c r="F662" s="250"/>
      <c r="G662" s="232"/>
      <c r="H662" s="588" t="s">
        <v>208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385</v>
      </c>
      <c r="D663" s="231" t="s">
        <v>453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383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384</v>
      </c>
      <c r="D666" s="231" t="s">
        <v>441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384</v>
      </c>
      <c r="D667" s="231" t="s">
        <v>441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384</v>
      </c>
      <c r="D669" s="231" t="s">
        <v>492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384</v>
      </c>
      <c r="D670" s="231" t="s">
        <v>492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384</v>
      </c>
      <c r="D672" s="231" t="s">
        <v>453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384</v>
      </c>
      <c r="D673" s="231" t="s">
        <v>453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224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225</v>
      </c>
      <c r="D676" s="566" t="s">
        <v>441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225</v>
      </c>
      <c r="D677" s="566" t="s">
        <v>441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225</v>
      </c>
      <c r="D678" s="566" t="s">
        <v>441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225</v>
      </c>
      <c r="D680" s="566" t="s">
        <v>453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225</v>
      </c>
      <c r="D681" s="566" t="s">
        <v>453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225</v>
      </c>
      <c r="D682" s="566" t="s">
        <v>453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413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414</v>
      </c>
      <c r="D685" s="566" t="s">
        <v>441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414</v>
      </c>
      <c r="D687" s="566" t="s">
        <v>453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498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498</v>
      </c>
      <c r="D690" s="566" t="s">
        <v>441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498</v>
      </c>
      <c r="D692" s="566" t="s">
        <v>453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499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499</v>
      </c>
      <c r="D695" s="566" t="s">
        <v>441</v>
      </c>
      <c r="E695" s="232"/>
      <c r="F695" s="250"/>
      <c r="G695" s="232"/>
      <c r="H695" s="577" t="s">
        <v>206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499</v>
      </c>
      <c r="D696" s="566" t="s">
        <v>441</v>
      </c>
      <c r="E696" s="232"/>
      <c r="F696" s="250"/>
      <c r="G696" s="232"/>
      <c r="H696" s="576" t="s">
        <v>208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499</v>
      </c>
      <c r="D697" s="566" t="s">
        <v>441</v>
      </c>
      <c r="E697" s="232"/>
      <c r="F697" s="250"/>
      <c r="G697" s="232"/>
      <c r="H697" s="577" t="s">
        <v>299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499</v>
      </c>
      <c r="D698" s="566" t="s">
        <v>441</v>
      </c>
      <c r="E698" s="232"/>
      <c r="F698" s="250"/>
      <c r="G698" s="232"/>
      <c r="H698" s="576" t="s">
        <v>500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499</v>
      </c>
      <c r="D700" s="566" t="s">
        <v>453</v>
      </c>
      <c r="E700" s="232"/>
      <c r="F700" s="250"/>
      <c r="G700" s="232"/>
      <c r="H700" s="577" t="s">
        <v>206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499</v>
      </c>
      <c r="D701" s="566" t="s">
        <v>453</v>
      </c>
      <c r="E701" s="232"/>
      <c r="F701" s="250"/>
      <c r="G701" s="232"/>
      <c r="H701" s="576" t="s">
        <v>208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499</v>
      </c>
      <c r="D702" s="566" t="s">
        <v>453</v>
      </c>
      <c r="E702" s="232"/>
      <c r="F702" s="250"/>
      <c r="G702" s="232"/>
      <c r="H702" s="577" t="s">
        <v>299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499</v>
      </c>
      <c r="D703" s="566" t="s">
        <v>453</v>
      </c>
      <c r="E703" s="232"/>
      <c r="F703" s="250"/>
      <c r="G703" s="232"/>
      <c r="H703" s="576" t="s">
        <v>500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501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416</v>
      </c>
      <c r="D706" s="566" t="s">
        <v>441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416</v>
      </c>
      <c r="D707" s="566" t="s">
        <v>441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416</v>
      </c>
      <c r="D708" s="566" t="s">
        <v>441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416</v>
      </c>
      <c r="D710" s="566" t="s">
        <v>453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416</v>
      </c>
      <c r="D711" s="566" t="s">
        <v>453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416</v>
      </c>
      <c r="D712" s="566" t="s">
        <v>453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502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502</v>
      </c>
      <c r="D715" s="566" t="s">
        <v>441</v>
      </c>
      <c r="E715" s="232"/>
      <c r="F715" s="250"/>
      <c r="G715" s="232"/>
      <c r="H715" s="576" t="s">
        <v>206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502</v>
      </c>
      <c r="D716" s="566" t="s">
        <v>441</v>
      </c>
      <c r="E716" s="232"/>
      <c r="F716" s="250"/>
      <c r="G716" s="232"/>
      <c r="H716" s="576" t="s">
        <v>208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502</v>
      </c>
      <c r="D717" s="566" t="s">
        <v>441</v>
      </c>
      <c r="E717" s="232"/>
      <c r="F717" s="250"/>
      <c r="G717" s="232"/>
      <c r="H717" s="576" t="s">
        <v>299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502</v>
      </c>
      <c r="D719" s="566" t="s">
        <v>453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502</v>
      </c>
      <c r="D720" s="566" t="s">
        <v>453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502</v>
      </c>
      <c r="D721" s="566" t="s">
        <v>453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165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165</v>
      </c>
      <c r="D724" s="249" t="s">
        <v>492</v>
      </c>
      <c r="E724" s="232"/>
      <c r="F724" s="250"/>
      <c r="G724" s="232"/>
      <c r="H724" s="256" t="s">
        <v>205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165</v>
      </c>
      <c r="D725" s="249" t="s">
        <v>492</v>
      </c>
      <c r="E725" s="232"/>
      <c r="F725" s="250"/>
      <c r="G725" s="232"/>
      <c r="H725" s="559" t="s">
        <v>206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165</v>
      </c>
      <c r="D726" s="249" t="s">
        <v>492</v>
      </c>
      <c r="E726" s="232"/>
      <c r="F726" s="250"/>
      <c r="G726" s="232"/>
      <c r="H726" s="559" t="s">
        <v>208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165</v>
      </c>
      <c r="D727" s="249" t="s">
        <v>492</v>
      </c>
      <c r="E727" s="232"/>
      <c r="F727" s="250"/>
      <c r="G727" s="232"/>
      <c r="H727" s="256" t="s">
        <v>495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165</v>
      </c>
      <c r="D729" s="249" t="s">
        <v>441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165</v>
      </c>
      <c r="D730" s="249" t="s">
        <v>441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165</v>
      </c>
      <c r="D731" s="249" t="s">
        <v>441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165</v>
      </c>
      <c r="D733" s="249" t="s">
        <v>453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165</v>
      </c>
      <c r="D734" s="249" t="s">
        <v>453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165</v>
      </c>
      <c r="D735" s="249" t="s">
        <v>453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164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164</v>
      </c>
      <c r="D738" s="249" t="s">
        <v>492</v>
      </c>
      <c r="E738" s="232"/>
      <c r="F738" s="250"/>
      <c r="G738" s="232"/>
      <c r="H738" s="256" t="s">
        <v>503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164</v>
      </c>
      <c r="D739" s="249" t="s">
        <v>492</v>
      </c>
      <c r="E739" s="232"/>
      <c r="F739" s="250"/>
      <c r="G739" s="232"/>
      <c r="H739" s="559" t="s">
        <v>504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164</v>
      </c>
      <c r="D741" s="249" t="s">
        <v>441</v>
      </c>
      <c r="E741" s="232"/>
      <c r="F741" s="250"/>
      <c r="G741" s="232"/>
      <c r="H741" s="559" t="s">
        <v>504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164</v>
      </c>
      <c r="D743" s="249" t="s">
        <v>453</v>
      </c>
      <c r="E743" s="232"/>
      <c r="F743" s="250"/>
      <c r="G743" s="232"/>
      <c r="H743" s="559" t="s">
        <v>504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301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301</v>
      </c>
      <c r="D746" s="249" t="s">
        <v>492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301</v>
      </c>
      <c r="D747" s="332" t="s">
        <v>492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301</v>
      </c>
      <c r="D748" s="332" t="s">
        <v>492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301</v>
      </c>
      <c r="D750" s="332" t="s">
        <v>441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301</v>
      </c>
      <c r="D751" s="332" t="s">
        <v>441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301</v>
      </c>
      <c r="D752" s="332" t="s">
        <v>441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301</v>
      </c>
      <c r="D754" s="332" t="s">
        <v>453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301</v>
      </c>
      <c r="D755" s="332" t="s">
        <v>453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301</v>
      </c>
      <c r="D756" s="332" t="s">
        <v>453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301</v>
      </c>
      <c r="D757" s="332" t="s">
        <v>453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293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293</v>
      </c>
      <c r="D760" s="249" t="s">
        <v>492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505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505</v>
      </c>
      <c r="D764" s="249" t="s">
        <v>492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505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505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506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506</v>
      </c>
      <c r="D772" s="249" t="s">
        <v>492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507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507</v>
      </c>
      <c r="D775" s="249" t="s">
        <v>492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508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508</v>
      </c>
      <c r="D778" s="249" t="s">
        <v>492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300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300</v>
      </c>
      <c r="D781" s="249" t="s">
        <v>492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300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300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509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509</v>
      </c>
      <c r="D788" s="249" t="s">
        <v>492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236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236</v>
      </c>
      <c r="D791" s="249" t="s">
        <v>492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236</v>
      </c>
      <c r="D793" s="249" t="s">
        <v>441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236</v>
      </c>
      <c r="D794" s="249" t="s">
        <v>441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236</v>
      </c>
      <c r="D796" s="249" t="s">
        <v>453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236</v>
      </c>
      <c r="D797" s="249" t="s">
        <v>453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510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15.6" outlineLevel="2">
      <c r="B801" s="242" t="s">
        <v>170</v>
      </c>
      <c r="C801" s="242" t="s">
        <v>511</v>
      </c>
      <c r="D801" s="249" t="s">
        <v>512</v>
      </c>
      <c r="E801" s="257"/>
      <c r="F801" s="192"/>
      <c r="G801" s="257"/>
      <c r="H801" s="249" t="s">
        <v>511</v>
      </c>
      <c r="I801" s="249"/>
      <c r="J801" s="249"/>
      <c r="K801" s="249"/>
      <c r="L801" s="287"/>
      <c r="M801" s="288"/>
      <c r="N801" s="287"/>
      <c r="O801" s="572"/>
    </row>
    <row r="802" spans="2:15" ht="15.6" outlineLevel="2">
      <c r="B802" s="242" t="s">
        <v>331</v>
      </c>
      <c r="C802" s="242" t="s">
        <v>513</v>
      </c>
      <c r="D802" s="249" t="s">
        <v>512</v>
      </c>
      <c r="E802" s="257"/>
      <c r="F802" s="192"/>
      <c r="G802" s="257"/>
      <c r="H802" s="249" t="s">
        <v>513</v>
      </c>
      <c r="I802" s="249"/>
      <c r="J802" s="249"/>
      <c r="K802" s="249"/>
      <c r="L802" s="287"/>
      <c r="M802" s="288"/>
      <c r="N802" s="287"/>
      <c r="O802" s="572"/>
    </row>
    <row r="803" spans="2:15" ht="15.6" outlineLevel="2">
      <c r="B803" s="242" t="s">
        <v>514</v>
      </c>
      <c r="C803" s="242" t="s">
        <v>515</v>
      </c>
      <c r="D803" s="249" t="s">
        <v>512</v>
      </c>
      <c r="E803" s="257"/>
      <c r="F803" s="192"/>
      <c r="G803" s="257"/>
      <c r="H803" s="568" t="s">
        <v>515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167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237</v>
      </c>
      <c r="D806" s="566" t="s">
        <v>441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237</v>
      </c>
      <c r="D807" s="566" t="s">
        <v>453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6">
      <c r="B809" s="222" t="s">
        <v>516</v>
      </c>
      <c r="C809" s="223" t="s">
        <v>517</v>
      </c>
      <c r="D809" s="224" t="s">
        <v>518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440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outlineLevel="2">
      <c r="B812" s="242"/>
      <c r="C812" s="242" t="s">
        <v>307</v>
      </c>
      <c r="D812" s="249" t="s">
        <v>518</v>
      </c>
      <c r="E812" s="232"/>
      <c r="F812" s="192"/>
      <c r="G812" s="232"/>
      <c r="H812" s="249" t="s">
        <v>519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311</v>
      </c>
      <c r="D813" s="249" t="s">
        <v>518</v>
      </c>
      <c r="E813" s="232"/>
      <c r="F813" s="192"/>
      <c r="G813" s="232"/>
      <c r="H813" s="249" t="s">
        <v>520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311</v>
      </c>
      <c r="D814" s="249" t="s">
        <v>518</v>
      </c>
      <c r="E814" s="232"/>
      <c r="F814" s="192"/>
      <c r="G814" s="232"/>
      <c r="H814" s="249" t="s">
        <v>521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316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316</v>
      </c>
      <c r="D817" s="249" t="s">
        <v>518</v>
      </c>
      <c r="E817" s="232"/>
      <c r="F817" s="250"/>
      <c r="G817" s="232"/>
      <c r="H817" s="256" t="s">
        <v>522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316</v>
      </c>
      <c r="D818" s="249" t="s">
        <v>518</v>
      </c>
      <c r="E818" s="232"/>
      <c r="F818" s="250"/>
      <c r="G818" s="232"/>
      <c r="H818" s="256" t="s">
        <v>523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316</v>
      </c>
      <c r="D819" s="249" t="s">
        <v>518</v>
      </c>
      <c r="E819" s="232"/>
      <c r="F819" s="250"/>
      <c r="G819" s="232"/>
      <c r="H819" s="256" t="s">
        <v>524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316</v>
      </c>
      <c r="D820" s="249" t="s">
        <v>518</v>
      </c>
      <c r="E820" s="232"/>
      <c r="F820" s="250"/>
      <c r="G820" s="232"/>
      <c r="H820" s="256" t="s">
        <v>525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316</v>
      </c>
      <c r="D821" s="249" t="s">
        <v>518</v>
      </c>
      <c r="E821" s="232"/>
      <c r="F821" s="250"/>
      <c r="G821" s="232"/>
      <c r="H821" s="256" t="s">
        <v>526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316</v>
      </c>
      <c r="D822" s="249" t="s">
        <v>518</v>
      </c>
      <c r="E822" s="232"/>
      <c r="F822" s="250"/>
      <c r="G822" s="232"/>
      <c r="H822" s="256" t="s">
        <v>527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316</v>
      </c>
      <c r="D823" s="249" t="s">
        <v>518</v>
      </c>
      <c r="E823" s="232"/>
      <c r="F823" s="250"/>
      <c r="G823" s="232"/>
      <c r="H823" s="256" t="s">
        <v>528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316</v>
      </c>
      <c r="D824" s="249" t="s">
        <v>518</v>
      </c>
      <c r="E824" s="232"/>
      <c r="F824" s="250"/>
      <c r="G824" s="232"/>
      <c r="H824" s="256" t="s">
        <v>529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316</v>
      </c>
      <c r="D825" s="249" t="s">
        <v>518</v>
      </c>
      <c r="E825" s="232"/>
      <c r="F825" s="250"/>
      <c r="G825" s="232"/>
      <c r="H825" s="256" t="s">
        <v>530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316</v>
      </c>
      <c r="D826" s="249" t="s">
        <v>518</v>
      </c>
      <c r="E826" s="232"/>
      <c r="F826" s="250"/>
      <c r="G826" s="232"/>
      <c r="H826" s="256" t="s">
        <v>531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316</v>
      </c>
      <c r="D827" s="249" t="s">
        <v>518</v>
      </c>
      <c r="E827" s="232"/>
      <c r="F827" s="250"/>
      <c r="G827" s="232"/>
      <c r="H827" s="256" t="s">
        <v>532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316</v>
      </c>
      <c r="D828" s="249" t="s">
        <v>518</v>
      </c>
      <c r="E828" s="232"/>
      <c r="F828" s="250"/>
      <c r="G828" s="232"/>
      <c r="H828" s="256" t="s">
        <v>533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316</v>
      </c>
      <c r="D829" s="249" t="s">
        <v>518</v>
      </c>
      <c r="E829" s="232"/>
      <c r="F829" s="250"/>
      <c r="G829" s="232"/>
      <c r="H829" s="256" t="s">
        <v>534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316</v>
      </c>
      <c r="D830" s="249" t="s">
        <v>518</v>
      </c>
      <c r="E830" s="232"/>
      <c r="F830" s="250"/>
      <c r="G830" s="232"/>
      <c r="H830" s="256" t="s">
        <v>535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316</v>
      </c>
      <c r="D831" s="249" t="s">
        <v>518</v>
      </c>
      <c r="E831" s="232"/>
      <c r="F831" s="250"/>
      <c r="G831" s="232"/>
      <c r="H831" s="256" t="s">
        <v>536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316</v>
      </c>
      <c r="D832" s="249" t="s">
        <v>518</v>
      </c>
      <c r="E832" s="232"/>
      <c r="F832" s="250"/>
      <c r="G832" s="232"/>
      <c r="H832" s="256" t="s">
        <v>537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316</v>
      </c>
      <c r="D833" s="249" t="s">
        <v>518</v>
      </c>
      <c r="E833" s="232"/>
      <c r="F833" s="250"/>
      <c r="G833" s="232"/>
      <c r="H833" s="256" t="s">
        <v>538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316</v>
      </c>
      <c r="D834" s="249" t="s">
        <v>518</v>
      </c>
      <c r="E834" s="232"/>
      <c r="F834" s="250"/>
      <c r="G834" s="232"/>
      <c r="H834" s="256" t="s">
        <v>539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316</v>
      </c>
      <c r="D835" s="559" t="s">
        <v>518</v>
      </c>
      <c r="F835" s="239"/>
      <c r="H835" s="562" t="s">
        <v>520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368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368</v>
      </c>
      <c r="D838" s="249" t="s">
        <v>518</v>
      </c>
      <c r="E838" s="232"/>
      <c r="F838" s="192"/>
      <c r="G838" s="232"/>
      <c r="H838" s="589" t="s">
        <v>540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368</v>
      </c>
      <c r="D839" s="249" t="s">
        <v>518</v>
      </c>
      <c r="E839" s="232"/>
      <c r="F839" s="192"/>
      <c r="G839" s="232"/>
      <c r="H839" s="589" t="s">
        <v>541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368</v>
      </c>
      <c r="D840" s="249" t="s">
        <v>518</v>
      </c>
      <c r="E840" s="232"/>
      <c r="F840" s="192"/>
      <c r="G840" s="232"/>
      <c r="H840" s="589" t="s">
        <v>542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368</v>
      </c>
      <c r="D841" s="249" t="s">
        <v>518</v>
      </c>
      <c r="E841" s="232"/>
      <c r="F841" s="192"/>
      <c r="G841" s="232"/>
      <c r="H841" s="589" t="s">
        <v>539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368</v>
      </c>
      <c r="D842" s="249" t="s">
        <v>518</v>
      </c>
      <c r="E842" s="232"/>
      <c r="F842" s="192"/>
      <c r="G842" s="232"/>
      <c r="H842" s="589" t="s">
        <v>520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331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331</v>
      </c>
      <c r="D845" s="249" t="s">
        <v>518</v>
      </c>
      <c r="E845" s="232"/>
      <c r="F845" s="192"/>
      <c r="G845" s="232"/>
      <c r="H845" s="245" t="s">
        <v>543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331</v>
      </c>
      <c r="D846" s="249" t="s">
        <v>518</v>
      </c>
      <c r="E846" s="232"/>
      <c r="F846" s="192"/>
      <c r="G846" s="232"/>
      <c r="H846" s="245" t="s">
        <v>221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331</v>
      </c>
      <c r="D847" s="249" t="s">
        <v>518</v>
      </c>
      <c r="E847" s="232"/>
      <c r="F847" s="192"/>
      <c r="G847" s="232"/>
      <c r="H847" s="245" t="s">
        <v>254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341</v>
      </c>
      <c r="D848" s="249" t="s">
        <v>518</v>
      </c>
      <c r="E848" s="232"/>
      <c r="F848" s="192"/>
      <c r="G848" s="232"/>
      <c r="H848" s="245" t="s">
        <v>544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341</v>
      </c>
      <c r="D849" s="249" t="s">
        <v>518</v>
      </c>
      <c r="E849" s="232"/>
      <c r="F849" s="192"/>
      <c r="G849" s="232"/>
      <c r="H849" s="245" t="s">
        <v>545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341</v>
      </c>
      <c r="D850" s="249" t="s">
        <v>518</v>
      </c>
      <c r="E850" s="232"/>
      <c r="F850" s="192"/>
      <c r="G850" s="232"/>
      <c r="H850" s="245" t="s">
        <v>342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341</v>
      </c>
      <c r="D851" s="249" t="s">
        <v>518</v>
      </c>
      <c r="E851" s="232"/>
      <c r="F851" s="192"/>
      <c r="G851" s="232"/>
      <c r="H851" s="245" t="s">
        <v>546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341</v>
      </c>
      <c r="D852" s="249" t="s">
        <v>518</v>
      </c>
      <c r="E852" s="232"/>
      <c r="F852" s="192"/>
      <c r="G852" s="232"/>
      <c r="H852" s="245" t="s">
        <v>547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341</v>
      </c>
      <c r="D853" s="249" t="s">
        <v>518</v>
      </c>
      <c r="E853" s="232"/>
      <c r="F853" s="192"/>
      <c r="G853" s="232"/>
      <c r="H853" s="245" t="s">
        <v>543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341</v>
      </c>
      <c r="D854" s="249" t="s">
        <v>518</v>
      </c>
      <c r="E854" s="232"/>
      <c r="F854" s="192"/>
      <c r="G854" s="232"/>
      <c r="H854" s="245" t="s">
        <v>221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548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549</v>
      </c>
      <c r="D857" s="249" t="s">
        <v>518</v>
      </c>
      <c r="E857" s="232"/>
      <c r="F857" s="192"/>
      <c r="G857" s="232"/>
      <c r="H857" s="245" t="s">
        <v>246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240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240</v>
      </c>
      <c r="D860" s="249" t="s">
        <v>518</v>
      </c>
      <c r="E860" s="232"/>
      <c r="F860" s="192"/>
      <c r="G860" s="232"/>
      <c r="H860" s="252" t="s">
        <v>206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241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241</v>
      </c>
      <c r="D863" s="249" t="s">
        <v>518</v>
      </c>
      <c r="E863" s="232"/>
      <c r="F863" s="192"/>
      <c r="G863" s="232"/>
      <c r="H863" s="245" t="s">
        <v>273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241</v>
      </c>
      <c r="D864" s="249" t="s">
        <v>518</v>
      </c>
      <c r="E864" s="232"/>
      <c r="F864" s="192"/>
      <c r="G864" s="232"/>
      <c r="H864" s="245" t="s">
        <v>246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241</v>
      </c>
      <c r="D865" s="249" t="s">
        <v>518</v>
      </c>
      <c r="E865" s="232"/>
      <c r="F865" s="192"/>
      <c r="G865" s="232"/>
      <c r="H865" s="245" t="s">
        <v>247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241</v>
      </c>
      <c r="D866" s="249" t="s">
        <v>518</v>
      </c>
      <c r="E866" s="232"/>
      <c r="F866" s="192"/>
      <c r="G866" s="232"/>
      <c r="H866" s="245" t="s">
        <v>243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241</v>
      </c>
      <c r="D867" s="249" t="s">
        <v>518</v>
      </c>
      <c r="E867" s="232"/>
      <c r="F867" s="192"/>
      <c r="G867" s="232"/>
      <c r="H867" s="245" t="s">
        <v>245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241</v>
      </c>
      <c r="D868" s="249" t="s">
        <v>518</v>
      </c>
      <c r="E868" s="232"/>
      <c r="F868" s="192"/>
      <c r="G868" s="232"/>
      <c r="H868" s="245" t="s">
        <v>550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241</v>
      </c>
      <c r="D869" s="249" t="s">
        <v>518</v>
      </c>
      <c r="E869" s="232"/>
      <c r="F869" s="192"/>
      <c r="G869" s="232"/>
      <c r="H869" s="245" t="s">
        <v>551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170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171</v>
      </c>
      <c r="D872" s="249" t="s">
        <v>518</v>
      </c>
      <c r="E872" s="232"/>
      <c r="F872" s="192"/>
      <c r="G872" s="232"/>
      <c r="H872" s="282" t="s">
        <v>174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171</v>
      </c>
      <c r="D873" s="249" t="s">
        <v>518</v>
      </c>
      <c r="E873" s="232"/>
      <c r="F873" s="192"/>
      <c r="G873" s="232"/>
      <c r="H873" s="282" t="s">
        <v>552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171</v>
      </c>
      <c r="D874" s="249" t="s">
        <v>518</v>
      </c>
      <c r="E874" s="232"/>
      <c r="F874" s="192"/>
      <c r="G874" s="232"/>
      <c r="H874" s="282" t="s">
        <v>553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173</v>
      </c>
      <c r="D875" s="249" t="s">
        <v>518</v>
      </c>
      <c r="E875" s="232"/>
      <c r="F875" s="192"/>
      <c r="G875" s="232"/>
      <c r="H875" s="282" t="s">
        <v>174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173</v>
      </c>
      <c r="D876" s="249" t="s">
        <v>518</v>
      </c>
      <c r="E876" s="232"/>
      <c r="F876" s="192"/>
      <c r="G876" s="232"/>
      <c r="H876" s="282" t="s">
        <v>195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173</v>
      </c>
      <c r="D877" s="249" t="s">
        <v>518</v>
      </c>
      <c r="E877" s="232"/>
      <c r="F877" s="192"/>
      <c r="G877" s="232"/>
      <c r="H877" s="282" t="s">
        <v>175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176</v>
      </c>
      <c r="D878" s="249" t="s">
        <v>518</v>
      </c>
      <c r="E878" s="232"/>
      <c r="F878" s="192"/>
      <c r="G878" s="232"/>
      <c r="H878" s="282" t="s">
        <v>554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176</v>
      </c>
      <c r="D879" s="249" t="s">
        <v>518</v>
      </c>
      <c r="E879" s="232"/>
      <c r="F879" s="192"/>
      <c r="G879" s="232"/>
      <c r="H879" s="282" t="s">
        <v>555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176</v>
      </c>
      <c r="D880" s="249" t="s">
        <v>518</v>
      </c>
      <c r="E880" s="232"/>
      <c r="F880" s="192"/>
      <c r="G880" s="232"/>
      <c r="H880" s="282" t="s">
        <v>259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176</v>
      </c>
      <c r="D881" s="249" t="s">
        <v>518</v>
      </c>
      <c r="E881" s="232"/>
      <c r="F881" s="192"/>
      <c r="G881" s="232"/>
      <c r="H881" s="282" t="s">
        <v>556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176</v>
      </c>
      <c r="D882" s="249" t="s">
        <v>518</v>
      </c>
      <c r="E882" s="232"/>
      <c r="F882" s="192"/>
      <c r="G882" s="232"/>
      <c r="H882" s="282" t="s">
        <v>557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176</v>
      </c>
      <c r="D883" s="249" t="s">
        <v>518</v>
      </c>
      <c r="E883" s="232"/>
      <c r="F883" s="192"/>
      <c r="G883" s="232"/>
      <c r="H883" s="282" t="s">
        <v>558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176</v>
      </c>
      <c r="D884" s="249" t="s">
        <v>518</v>
      </c>
      <c r="E884" s="232"/>
      <c r="F884" s="192"/>
      <c r="G884" s="232"/>
      <c r="H884" s="282" t="s">
        <v>559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176</v>
      </c>
      <c r="D885" s="249" t="s">
        <v>518</v>
      </c>
      <c r="E885" s="232"/>
      <c r="F885" s="192"/>
      <c r="G885" s="232"/>
      <c r="H885" s="282" t="s">
        <v>560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176</v>
      </c>
      <c r="D886" s="249" t="s">
        <v>518</v>
      </c>
      <c r="E886" s="232"/>
      <c r="F886" s="192"/>
      <c r="G886" s="232"/>
      <c r="H886" s="282" t="s">
        <v>561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176</v>
      </c>
      <c r="D887" s="249" t="s">
        <v>518</v>
      </c>
      <c r="E887" s="232"/>
      <c r="F887" s="192"/>
      <c r="G887" s="232"/>
      <c r="H887" s="282" t="s">
        <v>562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176</v>
      </c>
      <c r="D888" s="249" t="s">
        <v>518</v>
      </c>
      <c r="E888" s="232"/>
      <c r="F888" s="192"/>
      <c r="G888" s="232"/>
      <c r="H888" s="282" t="s">
        <v>563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176</v>
      </c>
      <c r="D889" s="249" t="s">
        <v>518</v>
      </c>
      <c r="E889" s="232"/>
      <c r="F889" s="192"/>
      <c r="G889" s="232"/>
      <c r="H889" s="282" t="s">
        <v>564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176</v>
      </c>
      <c r="D890" s="249" t="s">
        <v>518</v>
      </c>
      <c r="E890" s="232"/>
      <c r="F890" s="192"/>
      <c r="G890" s="232"/>
      <c r="H890" s="282" t="s">
        <v>565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176</v>
      </c>
      <c r="D891" s="249" t="s">
        <v>518</v>
      </c>
      <c r="E891" s="232"/>
      <c r="F891" s="192"/>
      <c r="G891" s="232"/>
      <c r="H891" s="282" t="s">
        <v>566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176</v>
      </c>
      <c r="D892" s="249" t="s">
        <v>518</v>
      </c>
      <c r="E892" s="232"/>
      <c r="F892" s="192"/>
      <c r="G892" s="232"/>
      <c r="H892" s="282" t="s">
        <v>174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176</v>
      </c>
      <c r="D893" s="249" t="s">
        <v>518</v>
      </c>
      <c r="E893" s="232"/>
      <c r="F893" s="192"/>
      <c r="G893" s="232"/>
      <c r="H893" s="282" t="s">
        <v>195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197</v>
      </c>
      <c r="D894" s="249" t="s">
        <v>518</v>
      </c>
      <c r="E894" s="232"/>
      <c r="F894" s="192"/>
      <c r="G894" s="232"/>
      <c r="H894" s="565" t="s">
        <v>206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197</v>
      </c>
      <c r="D895" s="249" t="s">
        <v>518</v>
      </c>
      <c r="E895" s="232"/>
      <c r="F895" s="192"/>
      <c r="G895" s="232"/>
      <c r="H895" s="565" t="s">
        <v>481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197</v>
      </c>
      <c r="D896" s="249" t="s">
        <v>518</v>
      </c>
      <c r="E896" s="232"/>
      <c r="F896" s="192"/>
      <c r="G896" s="232"/>
      <c r="H896" s="565" t="s">
        <v>567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197</v>
      </c>
      <c r="D897" s="249" t="s">
        <v>518</v>
      </c>
      <c r="E897" s="232"/>
      <c r="F897" s="192"/>
      <c r="G897" s="232"/>
      <c r="H897" s="565" t="s">
        <v>568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197</v>
      </c>
      <c r="D898" s="249" t="s">
        <v>518</v>
      </c>
      <c r="E898" s="232"/>
      <c r="F898" s="192"/>
      <c r="G898" s="232"/>
      <c r="H898" s="565" t="s">
        <v>569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197</v>
      </c>
      <c r="D899" s="249" t="s">
        <v>518</v>
      </c>
      <c r="E899" s="232"/>
      <c r="F899" s="192"/>
      <c r="G899" s="232"/>
      <c r="H899" s="565" t="s">
        <v>202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390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391</v>
      </c>
      <c r="D902" s="249" t="s">
        <v>518</v>
      </c>
      <c r="E902" s="276"/>
      <c r="F902" s="192"/>
      <c r="G902" s="276"/>
      <c r="H902" s="589" t="s">
        <v>570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393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394</v>
      </c>
      <c r="D905" s="249" t="s">
        <v>518</v>
      </c>
      <c r="E905" s="257"/>
      <c r="F905" s="192"/>
      <c r="G905" s="257"/>
      <c r="H905" s="285" t="s">
        <v>571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572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573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365</v>
      </c>
      <c r="D910" s="249" t="s">
        <v>518</v>
      </c>
      <c r="E910" s="257"/>
      <c r="F910" s="192"/>
      <c r="G910" s="257"/>
      <c r="H910" s="568" t="s">
        <v>366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252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252</v>
      </c>
      <c r="D914" s="266" t="s">
        <v>518</v>
      </c>
      <c r="E914" s="291"/>
      <c r="F914" s="292"/>
      <c r="G914" s="291"/>
      <c r="H914" s="286" t="s">
        <v>574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252</v>
      </c>
      <c r="D915" s="266" t="s">
        <v>518</v>
      </c>
      <c r="E915" s="291"/>
      <c r="F915" s="292"/>
      <c r="G915" s="291"/>
      <c r="H915" s="286" t="s">
        <v>575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252</v>
      </c>
      <c r="D916" s="266" t="s">
        <v>518</v>
      </c>
      <c r="E916" s="291"/>
      <c r="F916" s="292"/>
      <c r="G916" s="291"/>
      <c r="H916" s="286" t="s">
        <v>576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252</v>
      </c>
      <c r="D917" s="266" t="s">
        <v>518</v>
      </c>
      <c r="E917" s="291"/>
      <c r="F917" s="292"/>
      <c r="G917" s="291"/>
      <c r="H917" s="286" t="s">
        <v>577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252</v>
      </c>
      <c r="D918" s="266" t="s">
        <v>518</v>
      </c>
      <c r="E918" s="291"/>
      <c r="F918" s="292"/>
      <c r="G918" s="291"/>
      <c r="H918" s="286" t="s">
        <v>575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252</v>
      </c>
      <c r="D919" s="249" t="s">
        <v>518</v>
      </c>
      <c r="E919" s="232"/>
      <c r="F919" s="250"/>
      <c r="G919" s="232"/>
      <c r="H919" s="286" t="s">
        <v>576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252</v>
      </c>
      <c r="D920" s="266" t="s">
        <v>518</v>
      </c>
      <c r="E920" s="232"/>
      <c r="F920" s="250"/>
      <c r="G920" s="232"/>
      <c r="H920" s="286" t="s">
        <v>577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252</v>
      </c>
      <c r="D921" s="266" t="s">
        <v>518</v>
      </c>
      <c r="E921" s="232"/>
      <c r="F921" s="250"/>
      <c r="G921" s="232"/>
      <c r="H921" s="286" t="s">
        <v>578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252</v>
      </c>
      <c r="D922" s="266" t="s">
        <v>518</v>
      </c>
      <c r="E922" s="232"/>
      <c r="F922" s="250"/>
      <c r="G922" s="232"/>
      <c r="H922" s="286" t="s">
        <v>579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252</v>
      </c>
      <c r="D923" s="266" t="s">
        <v>518</v>
      </c>
      <c r="E923" s="232"/>
      <c r="F923" s="250"/>
      <c r="G923" s="232"/>
      <c r="H923" s="286" t="s">
        <v>579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252</v>
      </c>
      <c r="D924" s="266" t="s">
        <v>518</v>
      </c>
      <c r="E924" s="232"/>
      <c r="F924" s="250"/>
      <c r="G924" s="232"/>
      <c r="H924" s="286" t="s">
        <v>580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252</v>
      </c>
      <c r="D925" s="266" t="s">
        <v>518</v>
      </c>
      <c r="E925" s="232"/>
      <c r="F925" s="250"/>
      <c r="G925" s="232"/>
      <c r="H925" s="286" t="s">
        <v>581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252</v>
      </c>
      <c r="D926" s="266" t="s">
        <v>518</v>
      </c>
      <c r="E926" s="232"/>
      <c r="F926" s="250"/>
      <c r="G926" s="232"/>
      <c r="H926" s="256" t="s">
        <v>582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252</v>
      </c>
      <c r="D927" s="266" t="s">
        <v>518</v>
      </c>
      <c r="E927" s="232"/>
      <c r="F927" s="250"/>
      <c r="G927" s="232"/>
      <c r="H927" s="256" t="s">
        <v>583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252</v>
      </c>
      <c r="D928" s="266" t="s">
        <v>518</v>
      </c>
      <c r="E928" s="232"/>
      <c r="F928" s="250"/>
      <c r="G928" s="232"/>
      <c r="H928" s="256" t="s">
        <v>584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252</v>
      </c>
      <c r="D929" s="266" t="s">
        <v>518</v>
      </c>
      <c r="E929" s="232"/>
      <c r="F929" s="250"/>
      <c r="G929" s="232"/>
      <c r="H929" s="256" t="s">
        <v>585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252</v>
      </c>
      <c r="D930" s="266" t="s">
        <v>518</v>
      </c>
      <c r="E930" s="232"/>
      <c r="F930" s="250"/>
      <c r="G930" s="232"/>
      <c r="H930" s="256" t="s">
        <v>586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252</v>
      </c>
      <c r="D931" s="266" t="s">
        <v>518</v>
      </c>
      <c r="E931" s="232"/>
      <c r="F931" s="250"/>
      <c r="G931" s="232"/>
      <c r="H931" s="256" t="s">
        <v>587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252</v>
      </c>
      <c r="D932" s="266" t="s">
        <v>518</v>
      </c>
      <c r="E932" s="232"/>
      <c r="F932" s="250"/>
      <c r="G932" s="232"/>
      <c r="H932" s="256" t="s">
        <v>588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252</v>
      </c>
      <c r="D933" s="266" t="s">
        <v>518</v>
      </c>
      <c r="E933" s="232"/>
      <c r="F933" s="250"/>
      <c r="G933" s="232"/>
      <c r="H933" s="256" t="s">
        <v>589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252</v>
      </c>
      <c r="D934" s="266" t="s">
        <v>518</v>
      </c>
      <c r="E934" s="232"/>
      <c r="F934" s="250"/>
      <c r="G934" s="232"/>
      <c r="H934" s="256" t="s">
        <v>590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252</v>
      </c>
      <c r="D935" s="266" t="s">
        <v>518</v>
      </c>
      <c r="E935" s="232"/>
      <c r="F935" s="250"/>
      <c r="G935" s="232"/>
      <c r="H935" s="256" t="s">
        <v>591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252</v>
      </c>
      <c r="D936" s="266" t="s">
        <v>518</v>
      </c>
      <c r="E936" s="291"/>
      <c r="F936" s="292"/>
      <c r="G936" s="291"/>
      <c r="H936" s="256" t="s">
        <v>592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252</v>
      </c>
      <c r="D937" s="249" t="s">
        <v>518</v>
      </c>
      <c r="E937" s="232"/>
      <c r="F937" s="250"/>
      <c r="G937" s="232"/>
      <c r="H937" s="256" t="s">
        <v>593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252</v>
      </c>
      <c r="D938" s="249" t="s">
        <v>518</v>
      </c>
      <c r="E938" s="232"/>
      <c r="F938" s="250"/>
      <c r="G938" s="232"/>
      <c r="H938" s="256" t="s">
        <v>594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252</v>
      </c>
      <c r="D939" s="249" t="s">
        <v>518</v>
      </c>
      <c r="E939" s="232"/>
      <c r="F939" s="250"/>
      <c r="G939" s="232"/>
      <c r="H939" s="256" t="s">
        <v>595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252</v>
      </c>
      <c r="D940" s="249" t="s">
        <v>518</v>
      </c>
      <c r="E940" s="232"/>
      <c r="F940" s="250"/>
      <c r="G940" s="232"/>
      <c r="H940" s="256" t="s">
        <v>596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252</v>
      </c>
      <c r="D941" s="249" t="s">
        <v>518</v>
      </c>
      <c r="E941" s="232"/>
      <c r="F941" s="250"/>
      <c r="G941" s="232"/>
      <c r="H941" s="256" t="s">
        <v>597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252</v>
      </c>
      <c r="D942" s="249" t="s">
        <v>518</v>
      </c>
      <c r="E942" s="232"/>
      <c r="F942" s="250"/>
      <c r="G942" s="232"/>
      <c r="H942" s="256" t="s">
        <v>598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252</v>
      </c>
      <c r="D943" s="249" t="s">
        <v>518</v>
      </c>
      <c r="E943" s="232"/>
      <c r="F943" s="250"/>
      <c r="G943" s="232"/>
      <c r="H943" s="256" t="s">
        <v>599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252</v>
      </c>
      <c r="D944" s="249" t="s">
        <v>518</v>
      </c>
      <c r="E944" s="232"/>
      <c r="F944" s="250"/>
      <c r="G944" s="232"/>
      <c r="H944" s="256" t="s">
        <v>600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252</v>
      </c>
      <c r="D945" s="249" t="s">
        <v>518</v>
      </c>
      <c r="E945" s="232"/>
      <c r="F945" s="250"/>
      <c r="G945" s="232"/>
      <c r="H945" s="256" t="s">
        <v>601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252</v>
      </c>
      <c r="D946" s="266" t="s">
        <v>518</v>
      </c>
      <c r="E946" s="291"/>
      <c r="F946" s="292"/>
      <c r="G946" s="291"/>
      <c r="H946" s="256" t="s">
        <v>543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252</v>
      </c>
      <c r="D947" s="266" t="s">
        <v>518</v>
      </c>
      <c r="E947" s="291"/>
      <c r="F947" s="292"/>
      <c r="G947" s="291"/>
      <c r="H947" s="256" t="s">
        <v>221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252</v>
      </c>
      <c r="D948" s="249" t="s">
        <v>518</v>
      </c>
      <c r="E948" s="232"/>
      <c r="F948" s="250"/>
      <c r="G948" s="232"/>
      <c r="H948" s="256" t="s">
        <v>243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252</v>
      </c>
      <c r="D949" s="266" t="s">
        <v>518</v>
      </c>
      <c r="E949" s="291"/>
      <c r="F949" s="292"/>
      <c r="G949" s="291"/>
      <c r="H949" s="256" t="s">
        <v>245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252</v>
      </c>
      <c r="D950" s="266" t="s">
        <v>518</v>
      </c>
      <c r="E950" s="291"/>
      <c r="F950" s="292"/>
      <c r="G950" s="291"/>
      <c r="H950" s="256" t="s">
        <v>253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252</v>
      </c>
      <c r="D951" s="266" t="s">
        <v>518</v>
      </c>
      <c r="E951" s="291"/>
      <c r="F951" s="292"/>
      <c r="G951" s="291"/>
      <c r="H951" s="256" t="s">
        <v>254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281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281</v>
      </c>
      <c r="D954" s="249" t="s">
        <v>518</v>
      </c>
      <c r="E954" s="232"/>
      <c r="F954" s="250"/>
      <c r="G954" s="232"/>
      <c r="H954" s="588" t="s">
        <v>221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281</v>
      </c>
      <c r="D955" s="249" t="s">
        <v>518</v>
      </c>
      <c r="E955" s="232"/>
      <c r="F955" s="250"/>
      <c r="G955" s="232"/>
      <c r="H955" s="286" t="s">
        <v>543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281</v>
      </c>
      <c r="D956" s="249" t="s">
        <v>518</v>
      </c>
      <c r="E956" s="232"/>
      <c r="F956" s="250"/>
      <c r="G956" s="232"/>
      <c r="H956" s="286" t="s">
        <v>243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281</v>
      </c>
      <c r="D957" s="249" t="s">
        <v>518</v>
      </c>
      <c r="E957" s="232"/>
      <c r="F957" s="250"/>
      <c r="G957" s="232"/>
      <c r="H957" s="286" t="s">
        <v>245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281</v>
      </c>
      <c r="D958" s="249" t="s">
        <v>518</v>
      </c>
      <c r="E958" s="232"/>
      <c r="F958" s="250"/>
      <c r="G958" s="232"/>
      <c r="H958" s="286" t="s">
        <v>283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281</v>
      </c>
      <c r="D959" s="249" t="s">
        <v>518</v>
      </c>
      <c r="E959" s="232"/>
      <c r="F959" s="250"/>
      <c r="G959" s="232"/>
      <c r="H959" s="286" t="s">
        <v>254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203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602</v>
      </c>
      <c r="D962" s="249" t="s">
        <v>518</v>
      </c>
      <c r="E962" s="232"/>
      <c r="F962" s="250"/>
      <c r="G962" s="232"/>
      <c r="H962" s="568" t="s">
        <v>206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602</v>
      </c>
      <c r="D963" s="249" t="s">
        <v>518</v>
      </c>
      <c r="E963" s="232"/>
      <c r="F963" s="250"/>
      <c r="G963" s="232"/>
      <c r="H963" s="568" t="s">
        <v>207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602</v>
      </c>
      <c r="D964" s="249" t="s">
        <v>518</v>
      </c>
      <c r="E964" s="232"/>
      <c r="F964" s="250"/>
      <c r="G964" s="232"/>
      <c r="H964" s="568" t="s">
        <v>209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602</v>
      </c>
      <c r="D965" s="249" t="s">
        <v>518</v>
      </c>
      <c r="E965" s="232"/>
      <c r="F965" s="250"/>
      <c r="G965" s="232"/>
      <c r="H965" s="568" t="s">
        <v>603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604</v>
      </c>
      <c r="D966" s="249" t="s">
        <v>518</v>
      </c>
      <c r="E966" s="232"/>
      <c r="F966" s="250"/>
      <c r="G966" s="232"/>
      <c r="H966" s="568" t="s">
        <v>206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605</v>
      </c>
      <c r="D967" s="249" t="s">
        <v>518</v>
      </c>
      <c r="E967" s="232"/>
      <c r="F967" s="250"/>
      <c r="G967" s="232"/>
      <c r="H967" s="568" t="s">
        <v>206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496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295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284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285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285</v>
      </c>
      <c r="D976" s="249" t="s">
        <v>518</v>
      </c>
      <c r="E976" s="232"/>
      <c r="F976" s="250"/>
      <c r="G976" s="232"/>
      <c r="H976" s="252" t="s">
        <v>206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286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163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163</v>
      </c>
      <c r="D981" s="249" t="s">
        <v>518</v>
      </c>
      <c r="E981" s="232"/>
      <c r="F981" s="250"/>
      <c r="G981" s="232"/>
      <c r="H981" s="252" t="s">
        <v>206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163</v>
      </c>
      <c r="D982" s="249" t="s">
        <v>518</v>
      </c>
      <c r="E982" s="232"/>
      <c r="F982" s="250"/>
      <c r="G982" s="232"/>
      <c r="H982" s="568" t="s">
        <v>209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606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213</v>
      </c>
      <c r="D985" s="249" t="s">
        <v>518</v>
      </c>
      <c r="E985" s="232"/>
      <c r="F985" s="250"/>
      <c r="G985" s="232"/>
      <c r="H985" s="252" t="s">
        <v>206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514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215</v>
      </c>
      <c r="D988" s="249" t="s">
        <v>518</v>
      </c>
      <c r="E988" s="232"/>
      <c r="F988" s="250"/>
      <c r="G988" s="232"/>
      <c r="H988" s="566" t="s">
        <v>209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215</v>
      </c>
      <c r="D989" s="249" t="s">
        <v>518</v>
      </c>
      <c r="E989" s="232"/>
      <c r="F989" s="250"/>
      <c r="G989" s="232"/>
      <c r="H989" s="566" t="s">
        <v>217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215</v>
      </c>
      <c r="D990" s="249" t="s">
        <v>518</v>
      </c>
      <c r="E990" s="232"/>
      <c r="F990" s="250"/>
      <c r="G990" s="232"/>
      <c r="H990" s="566" t="s">
        <v>220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215</v>
      </c>
      <c r="D991" s="249" t="s">
        <v>518</v>
      </c>
      <c r="E991" s="232"/>
      <c r="F991" s="250"/>
      <c r="G991" s="232"/>
      <c r="H991" s="566" t="s">
        <v>221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215</v>
      </c>
      <c r="D992" s="249" t="s">
        <v>518</v>
      </c>
      <c r="E992" s="232"/>
      <c r="F992" s="250"/>
      <c r="G992" s="232"/>
      <c r="H992" s="566" t="s">
        <v>283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223</v>
      </c>
      <c r="D993" s="249" t="s">
        <v>518</v>
      </c>
      <c r="E993" s="232"/>
      <c r="F993" s="250"/>
      <c r="G993" s="232"/>
      <c r="H993" s="566" t="s">
        <v>206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607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369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369</v>
      </c>
      <c r="D996" s="249" t="s">
        <v>518</v>
      </c>
      <c r="E996" s="232"/>
      <c r="F996" s="250"/>
      <c r="G996" s="232"/>
      <c r="H996" s="278" t="s">
        <v>206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292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292</v>
      </c>
      <c r="D999" s="249" t="s">
        <v>518</v>
      </c>
      <c r="E999" s="232"/>
      <c r="F999" s="250"/>
      <c r="G999" s="232"/>
      <c r="H999" s="278" t="s">
        <v>206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292</v>
      </c>
      <c r="D1000" s="249" t="s">
        <v>518</v>
      </c>
      <c r="E1000" s="232"/>
      <c r="F1000" s="250"/>
      <c r="G1000" s="232"/>
      <c r="H1000" s="278" t="s">
        <v>199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383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224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225</v>
      </c>
      <c r="D1005" s="249" t="s">
        <v>518</v>
      </c>
      <c r="E1005" s="232"/>
      <c r="F1005" s="250"/>
      <c r="G1005" s="232"/>
      <c r="H1005" s="577" t="s">
        <v>206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225</v>
      </c>
      <c r="D1006" s="249" t="s">
        <v>518</v>
      </c>
      <c r="E1006" s="232"/>
      <c r="F1006" s="250"/>
      <c r="G1006" s="232"/>
      <c r="H1006" s="576" t="s">
        <v>299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165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165</v>
      </c>
      <c r="D1009" s="249" t="s">
        <v>518</v>
      </c>
      <c r="E1009" s="232"/>
      <c r="F1009" s="250"/>
      <c r="G1009" s="232"/>
      <c r="H1009" s="256" t="s">
        <v>206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165</v>
      </c>
      <c r="D1010" s="249" t="s">
        <v>518</v>
      </c>
      <c r="E1010" s="232"/>
      <c r="F1010" s="250"/>
      <c r="G1010" s="232"/>
      <c r="H1010" s="559" t="s">
        <v>608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609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610</v>
      </c>
      <c r="D1013" s="249" t="s">
        <v>518</v>
      </c>
      <c r="E1013" s="232"/>
      <c r="F1013" s="250"/>
      <c r="G1013" s="232"/>
      <c r="H1013" s="256" t="s">
        <v>206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610</v>
      </c>
      <c r="D1014" s="249" t="s">
        <v>518</v>
      </c>
      <c r="E1014" s="232"/>
      <c r="F1014" s="250"/>
      <c r="G1014" s="232"/>
      <c r="H1014" s="256" t="s">
        <v>503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610</v>
      </c>
      <c r="D1015" s="249" t="s">
        <v>518</v>
      </c>
      <c r="E1015" s="232"/>
      <c r="F1015" s="250"/>
      <c r="G1015" s="232"/>
      <c r="H1015" s="559" t="s">
        <v>504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293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293</v>
      </c>
      <c r="D1018" s="249" t="s">
        <v>518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293</v>
      </c>
      <c r="D1019" s="249" t="s">
        <v>518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293</v>
      </c>
      <c r="D1020" s="249" t="s">
        <v>518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611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611</v>
      </c>
      <c r="D1023" s="249" t="s">
        <v>518</v>
      </c>
      <c r="E1023" s="232"/>
      <c r="F1023" s="250"/>
      <c r="G1023" s="232"/>
      <c r="H1023" s="256" t="s">
        <v>206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413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413</v>
      </c>
      <c r="D1025" s="249" t="s">
        <v>518</v>
      </c>
      <c r="E1025" s="232"/>
      <c r="F1025" s="250"/>
      <c r="G1025" s="232"/>
      <c r="H1025" s="256" t="s">
        <v>206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612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612</v>
      </c>
      <c r="D1028" s="249" t="s">
        <v>518</v>
      </c>
      <c r="E1028" s="232"/>
      <c r="F1028" s="250"/>
      <c r="G1028" s="232"/>
      <c r="H1028" s="256" t="s">
        <v>206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612</v>
      </c>
      <c r="D1029" s="249" t="s">
        <v>518</v>
      </c>
      <c r="E1029" s="232"/>
      <c r="F1029" s="250"/>
      <c r="G1029" s="232"/>
      <c r="H1029" s="256" t="s">
        <v>230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502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502</v>
      </c>
      <c r="D1032" s="249" t="s">
        <v>518</v>
      </c>
      <c r="E1032" s="232"/>
      <c r="F1032" s="250"/>
      <c r="G1032" s="232"/>
      <c r="H1032" s="256" t="s">
        <v>206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502</v>
      </c>
      <c r="D1033" s="249" t="s">
        <v>518</v>
      </c>
      <c r="E1033" s="232"/>
      <c r="F1033" s="250"/>
      <c r="G1033" s="232"/>
      <c r="H1033" s="256" t="s">
        <v>299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613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613</v>
      </c>
      <c r="D1036" s="249" t="s">
        <v>518</v>
      </c>
      <c r="E1036" s="232"/>
      <c r="F1036" s="250"/>
      <c r="G1036" s="232"/>
      <c r="H1036" s="256" t="s">
        <v>206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613</v>
      </c>
      <c r="D1037" s="249" t="s">
        <v>518</v>
      </c>
      <c r="E1037" s="232"/>
      <c r="F1037" s="250"/>
      <c r="G1037" s="232"/>
      <c r="H1037" s="256" t="s">
        <v>299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613</v>
      </c>
      <c r="D1038" s="249" t="s">
        <v>518</v>
      </c>
      <c r="E1038" s="232"/>
      <c r="F1038" s="250"/>
      <c r="G1038" s="232"/>
      <c r="H1038" s="256" t="s">
        <v>614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615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615</v>
      </c>
      <c r="D1041" s="249" t="s">
        <v>518</v>
      </c>
      <c r="E1041" s="232"/>
      <c r="F1041" s="250"/>
      <c r="G1041" s="232"/>
      <c r="H1041" s="256" t="s">
        <v>298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615</v>
      </c>
      <c r="D1042" s="249" t="s">
        <v>518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236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160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160</v>
      </c>
      <c r="D1047" s="249" t="s">
        <v>518</v>
      </c>
      <c r="E1047" s="232"/>
      <c r="F1047" s="250"/>
      <c r="G1047" s="232"/>
      <c r="H1047" s="256" t="s">
        <v>616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7.45">
      <c r="B1050" s="293" t="s">
        <v>617</v>
      </c>
      <c r="C1050" s="294"/>
      <c r="D1050" s="294"/>
      <c r="E1050" s="295"/>
      <c r="F1050" s="197"/>
      <c r="G1050" s="295"/>
      <c r="H1050" s="297" t="s">
        <v>153</v>
      </c>
      <c r="I1050" s="297"/>
      <c r="J1050" s="297"/>
      <c r="K1050" s="297"/>
      <c r="L1050" s="296"/>
      <c r="M1050" s="197"/>
      <c r="N1050" s="296"/>
      <c r="O1050" s="352" t="s">
        <v>156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7.45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15">
      <c r="B1054" s="222" t="s">
        <v>618</v>
      </c>
      <c r="C1054" s="223" t="s">
        <v>619</v>
      </c>
      <c r="D1054" s="224" t="s">
        <v>512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620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15.6" outlineLevel="2">
      <c r="B1058" s="242" t="s">
        <v>305</v>
      </c>
      <c r="C1058" s="242"/>
      <c r="D1058" s="249" t="s">
        <v>512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15.6" outlineLevel="2">
      <c r="B1059" s="242" t="s">
        <v>621</v>
      </c>
      <c r="C1059" s="242"/>
      <c r="D1059" s="249" t="s">
        <v>512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15.6" outlineLevel="2">
      <c r="B1060" s="242" t="s">
        <v>170</v>
      </c>
      <c r="C1060" s="242"/>
      <c r="D1060" s="249" t="s">
        <v>512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15.6" outlineLevel="2">
      <c r="B1061" s="242" t="s">
        <v>331</v>
      </c>
      <c r="C1061" s="242"/>
      <c r="D1061" s="249" t="s">
        <v>512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15.6" outlineLevel="2">
      <c r="B1062" s="242" t="s">
        <v>622</v>
      </c>
      <c r="C1062" s="242"/>
      <c r="D1062" s="249" t="s">
        <v>512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15.6" outlineLevel="2">
      <c r="B1063" s="242" t="s">
        <v>548</v>
      </c>
      <c r="C1063" s="242"/>
      <c r="D1063" s="249" t="s">
        <v>512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15.6" outlineLevel="2">
      <c r="B1064" s="242" t="s">
        <v>241</v>
      </c>
      <c r="C1064" s="242"/>
      <c r="D1064" s="249" t="s">
        <v>512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15.6" outlineLevel="2">
      <c r="B1065" s="242" t="s">
        <v>623</v>
      </c>
      <c r="C1065" s="242"/>
      <c r="D1065" s="249" t="s">
        <v>512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624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15.6" outlineLevel="2">
      <c r="B1069" s="242" t="s">
        <v>305</v>
      </c>
      <c r="C1069" s="242"/>
      <c r="D1069" s="249" t="s">
        <v>512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15.6" outlineLevel="2">
      <c r="B1070" s="242" t="s">
        <v>621</v>
      </c>
      <c r="C1070" s="242"/>
      <c r="D1070" s="249" t="s">
        <v>512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15.6" outlineLevel="2">
      <c r="B1071" s="242" t="s">
        <v>170</v>
      </c>
      <c r="C1071" s="242"/>
      <c r="D1071" s="249" t="s">
        <v>512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15.6" outlineLevel="2">
      <c r="B1072" s="242" t="s">
        <v>331</v>
      </c>
      <c r="C1072" s="242"/>
      <c r="D1072" s="249" t="s">
        <v>512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15.6" outlineLevel="2">
      <c r="B1073" s="242" t="s">
        <v>622</v>
      </c>
      <c r="C1073" s="242"/>
      <c r="D1073" s="249" t="s">
        <v>512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15.6" outlineLevel="2">
      <c r="B1074" s="242" t="s">
        <v>548</v>
      </c>
      <c r="C1074" s="242"/>
      <c r="D1074" s="249" t="s">
        <v>512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15.6" outlineLevel="2">
      <c r="B1075" s="242" t="s">
        <v>241</v>
      </c>
      <c r="C1075" s="242"/>
      <c r="D1075" s="249" t="s">
        <v>512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15.6" outlineLevel="2">
      <c r="B1076" s="242" t="s">
        <v>623</v>
      </c>
      <c r="C1076" s="242"/>
      <c r="D1076" s="249" t="s">
        <v>512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510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15.6" outlineLevel="2">
      <c r="B1079" s="242" t="s">
        <v>170</v>
      </c>
      <c r="C1079" s="242" t="s">
        <v>511</v>
      </c>
      <c r="D1079" s="249" t="s">
        <v>512</v>
      </c>
      <c r="E1079" s="257"/>
      <c r="F1079" s="192"/>
      <c r="G1079" s="257"/>
      <c r="H1079" s="249" t="s">
        <v>511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15.6" outlineLevel="2">
      <c r="B1080" s="242" t="s">
        <v>514</v>
      </c>
      <c r="C1080" s="242" t="s">
        <v>515</v>
      </c>
      <c r="D1080" s="249" t="s">
        <v>512</v>
      </c>
      <c r="E1080" s="257"/>
      <c r="F1080" s="192"/>
      <c r="G1080" s="257"/>
      <c r="H1080" s="568" t="s">
        <v>515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15.6" outlineLevel="2">
      <c r="B1081" s="242" t="s">
        <v>331</v>
      </c>
      <c r="C1081" s="242" t="s">
        <v>513</v>
      </c>
      <c r="D1081" s="249" t="s">
        <v>512</v>
      </c>
      <c r="E1081" s="257"/>
      <c r="F1081" s="192"/>
      <c r="G1081" s="257"/>
      <c r="H1081" s="249" t="s">
        <v>513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15">
      <c r="B1083" s="222" t="s">
        <v>625</v>
      </c>
      <c r="C1083" s="223" t="s">
        <v>626</v>
      </c>
      <c r="D1083" s="224" t="s">
        <v>512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627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628</v>
      </c>
      <c r="C1087" s="161"/>
      <c r="D1087" s="249"/>
      <c r="F1087" s="192"/>
      <c r="H1087" s="589" t="s">
        <v>629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628</v>
      </c>
      <c r="C1088" s="160"/>
      <c r="D1088" s="249"/>
      <c r="F1088" s="192"/>
      <c r="H1088" s="589" t="s">
        <v>630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631</v>
      </c>
      <c r="C1089" s="160"/>
      <c r="D1089" s="249"/>
      <c r="F1089" s="192"/>
      <c r="H1089" s="589" t="s">
        <v>632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633</v>
      </c>
      <c r="C1090" s="160"/>
      <c r="D1090" s="249"/>
      <c r="E1090" s="309"/>
      <c r="F1090" s="192"/>
      <c r="G1090" s="309"/>
      <c r="H1090" s="589" t="s">
        <v>634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635</v>
      </c>
      <c r="C1091" s="160"/>
      <c r="D1091" s="249"/>
      <c r="E1091" s="309"/>
      <c r="F1091" s="192"/>
      <c r="G1091" s="309"/>
      <c r="H1091" s="589" t="s">
        <v>636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635</v>
      </c>
      <c r="C1092" s="160"/>
      <c r="D1092" s="249"/>
      <c r="E1092" s="309"/>
      <c r="F1092" s="192"/>
      <c r="G1092" s="309"/>
      <c r="H1092" s="589" t="s">
        <v>636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637</v>
      </c>
      <c r="C1093" s="160"/>
      <c r="D1093" s="249"/>
      <c r="E1093" s="310"/>
      <c r="F1093" s="192"/>
      <c r="G1093" s="309"/>
      <c r="H1093" s="607" t="s">
        <v>638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637</v>
      </c>
      <c r="C1094" s="160"/>
      <c r="D1094" s="249"/>
      <c r="E1094" s="310"/>
      <c r="F1094" s="192"/>
      <c r="G1094" s="309"/>
      <c r="H1094" s="607" t="s">
        <v>639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637</v>
      </c>
      <c r="C1095" s="160"/>
      <c r="D1095" s="249"/>
      <c r="E1095" s="310"/>
      <c r="F1095" s="192"/>
      <c r="G1095" s="309"/>
      <c r="H1095" s="607" t="s">
        <v>640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637</v>
      </c>
      <c r="C1096" s="160"/>
      <c r="D1096" s="249"/>
      <c r="E1096" s="310"/>
      <c r="F1096" s="192"/>
      <c r="G1096" s="309"/>
      <c r="H1096" s="607" t="s">
        <v>641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7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3.15"/>
  <cols>
    <col min="1" max="4" width="8.5703125" style="369"/>
    <col min="5" max="5" width="10.42578125" style="369" bestFit="1" customWidth="1"/>
    <col min="6" max="6" width="8.5703125" style="369"/>
    <col min="7" max="7" width="12.42578125" style="369" bestFit="1" customWidth="1"/>
    <col min="8" max="16384" width="8.5703125" style="369"/>
  </cols>
  <sheetData>
    <row r="2" spans="2:10">
      <c r="B2" s="370" t="s">
        <v>642</v>
      </c>
      <c r="C2" s="370" t="s">
        <v>643</v>
      </c>
      <c r="D2" s="370" t="s">
        <v>644</v>
      </c>
      <c r="E2" s="370" t="s">
        <v>645</v>
      </c>
      <c r="F2" s="370" t="s">
        <v>646</v>
      </c>
      <c r="G2" s="370" t="s">
        <v>647</v>
      </c>
      <c r="H2" s="370" t="s">
        <v>648</v>
      </c>
      <c r="I2" s="370" t="s">
        <v>649</v>
      </c>
      <c r="J2" s="370" t="s">
        <v>650</v>
      </c>
    </row>
    <row r="3" spans="2:10">
      <c r="B3" s="369" t="s">
        <v>305</v>
      </c>
      <c r="C3" s="369">
        <v>1</v>
      </c>
      <c r="D3" s="369" t="s">
        <v>6</v>
      </c>
      <c r="E3" s="369" t="s">
        <v>159</v>
      </c>
      <c r="F3" s="369" t="s">
        <v>221</v>
      </c>
      <c r="G3" s="369">
        <v>1</v>
      </c>
      <c r="H3" s="371">
        <v>45717</v>
      </c>
      <c r="I3" s="371">
        <v>45809</v>
      </c>
      <c r="J3" s="369" t="s">
        <v>649</v>
      </c>
    </row>
    <row r="4" spans="2:10">
      <c r="B4" s="369" t="s">
        <v>229</v>
      </c>
      <c r="C4" s="369">
        <v>1</v>
      </c>
      <c r="D4" s="369" t="s">
        <v>10</v>
      </c>
      <c r="E4" s="369" t="s">
        <v>159</v>
      </c>
      <c r="F4" s="369" t="s">
        <v>651</v>
      </c>
      <c r="G4" s="369">
        <v>1</v>
      </c>
      <c r="H4" s="371">
        <v>45809</v>
      </c>
      <c r="I4" s="371">
        <v>45809</v>
      </c>
      <c r="J4" s="369" t="s">
        <v>648</v>
      </c>
    </row>
    <row r="5" spans="2:10">
      <c r="B5" s="369" t="s">
        <v>229</v>
      </c>
      <c r="C5" s="369">
        <v>1</v>
      </c>
      <c r="D5" s="369" t="s">
        <v>10</v>
      </c>
      <c r="E5" s="369" t="s">
        <v>159</v>
      </c>
      <c r="F5" s="369" t="s">
        <v>652</v>
      </c>
      <c r="G5" s="369">
        <v>2</v>
      </c>
      <c r="H5" s="371">
        <v>45901</v>
      </c>
      <c r="I5" s="371">
        <v>45992</v>
      </c>
      <c r="J5" s="369" t="s">
        <v>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3.1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653</v>
      </c>
    </row>
    <row r="3" spans="1:12">
      <c r="B3" s="164" t="s">
        <v>654</v>
      </c>
      <c r="C3" s="164" t="s">
        <v>655</v>
      </c>
      <c r="F3" t="s">
        <v>656</v>
      </c>
      <c r="G3" s="165" t="s">
        <v>497</v>
      </c>
      <c r="H3" s="166">
        <v>5.6</v>
      </c>
      <c r="I3" s="166">
        <v>0.2</v>
      </c>
      <c r="J3" s="167" t="s">
        <v>657</v>
      </c>
      <c r="K3" s="168"/>
      <c r="L3" s="169"/>
    </row>
    <row r="4" spans="1:12">
      <c r="A4">
        <v>1</v>
      </c>
      <c r="B4" s="188" t="s">
        <v>658</v>
      </c>
      <c r="C4" s="162" t="s">
        <v>10</v>
      </c>
      <c r="D4" s="169" t="s">
        <v>659</v>
      </c>
      <c r="G4" s="170" t="s">
        <v>660</v>
      </c>
      <c r="H4" s="171">
        <v>11</v>
      </c>
      <c r="I4" s="166">
        <v>1.22</v>
      </c>
      <c r="J4" s="167" t="s">
        <v>661</v>
      </c>
      <c r="K4" s="168">
        <v>841</v>
      </c>
      <c r="L4" s="169" t="s">
        <v>662</v>
      </c>
    </row>
    <row r="5" spans="1:12">
      <c r="B5" s="188" t="s">
        <v>663</v>
      </c>
      <c r="C5" s="163" t="s">
        <v>664</v>
      </c>
      <c r="D5" s="169" t="s">
        <v>665</v>
      </c>
      <c r="G5" s="170" t="s">
        <v>666</v>
      </c>
      <c r="H5" s="166">
        <v>20</v>
      </c>
      <c r="I5" s="171">
        <v>0.49</v>
      </c>
      <c r="J5" s="167" t="s">
        <v>661</v>
      </c>
      <c r="K5" s="168">
        <v>326</v>
      </c>
      <c r="L5" s="169" t="s">
        <v>667</v>
      </c>
    </row>
    <row r="6" spans="1:12">
      <c r="B6" s="188" t="s">
        <v>668</v>
      </c>
      <c r="C6" s="163" t="s">
        <v>6</v>
      </c>
      <c r="D6" s="169" t="s">
        <v>667</v>
      </c>
      <c r="G6" s="170" t="s">
        <v>669</v>
      </c>
      <c r="H6" s="166">
        <v>5.14</v>
      </c>
      <c r="I6" s="171">
        <v>0.81</v>
      </c>
      <c r="J6" s="167" t="s">
        <v>661</v>
      </c>
      <c r="K6" s="168">
        <v>618</v>
      </c>
      <c r="L6" s="169" t="s">
        <v>662</v>
      </c>
    </row>
    <row r="7" spans="1:12">
      <c r="B7" s="188" t="s">
        <v>670</v>
      </c>
      <c r="C7" s="162" t="s">
        <v>437</v>
      </c>
      <c r="D7" s="182" t="s">
        <v>671</v>
      </c>
      <c r="G7" s="170" t="s">
        <v>672</v>
      </c>
      <c r="H7" s="166">
        <v>37</v>
      </c>
      <c r="I7" s="171">
        <v>4.88</v>
      </c>
      <c r="J7" s="167" t="s">
        <v>657</v>
      </c>
      <c r="K7" s="172">
        <v>5083</v>
      </c>
      <c r="L7" s="169" t="s">
        <v>673</v>
      </c>
    </row>
    <row r="8" spans="1:12">
      <c r="B8" s="188" t="s">
        <v>674</v>
      </c>
      <c r="C8" s="162" t="s">
        <v>10</v>
      </c>
      <c r="D8" s="169" t="s">
        <v>659</v>
      </c>
      <c r="E8" s="162" t="s">
        <v>675</v>
      </c>
      <c r="G8" s="165" t="s">
        <v>676</v>
      </c>
      <c r="H8" s="171">
        <v>20</v>
      </c>
      <c r="I8" s="171">
        <v>0.25</v>
      </c>
      <c r="J8" s="167" t="s">
        <v>657</v>
      </c>
      <c r="K8" s="168">
        <v>300</v>
      </c>
      <c r="L8" s="169"/>
    </row>
    <row r="9" spans="1:12">
      <c r="B9" s="188" t="s">
        <v>677</v>
      </c>
      <c r="C9" s="162" t="s">
        <v>437</v>
      </c>
      <c r="D9" s="182" t="s">
        <v>671</v>
      </c>
      <c r="G9" s="170" t="s">
        <v>678</v>
      </c>
      <c r="H9" s="166">
        <v>75.5</v>
      </c>
      <c r="I9" s="173">
        <v>7.29</v>
      </c>
      <c r="J9" s="167" t="s">
        <v>657</v>
      </c>
      <c r="K9" s="172">
        <v>7939</v>
      </c>
      <c r="L9" s="169" t="s">
        <v>673</v>
      </c>
    </row>
    <row r="10" spans="1:12">
      <c r="A10">
        <v>1</v>
      </c>
      <c r="B10" s="162" t="s">
        <v>679</v>
      </c>
      <c r="C10" s="187" t="s">
        <v>6</v>
      </c>
      <c r="D10" s="185"/>
      <c r="G10" s="170" t="s">
        <v>680</v>
      </c>
      <c r="H10" s="166">
        <v>3.77</v>
      </c>
      <c r="I10" s="166">
        <v>0.73</v>
      </c>
      <c r="J10" s="167" t="s">
        <v>657</v>
      </c>
      <c r="K10" s="168">
        <v>870</v>
      </c>
      <c r="L10" s="169" t="s">
        <v>662</v>
      </c>
    </row>
    <row r="11" spans="1:12">
      <c r="B11" s="188" t="s">
        <v>681</v>
      </c>
      <c r="C11" s="163" t="s">
        <v>437</v>
      </c>
      <c r="D11" s="182" t="s">
        <v>671</v>
      </c>
      <c r="G11" s="170" t="s">
        <v>682</v>
      </c>
      <c r="H11" s="171">
        <v>49.4</v>
      </c>
      <c r="I11" s="171">
        <v>1.1200000000000001</v>
      </c>
      <c r="J11" s="167" t="s">
        <v>657</v>
      </c>
      <c r="K11" s="172">
        <v>1372</v>
      </c>
      <c r="L11" s="169" t="s">
        <v>667</v>
      </c>
    </row>
    <row r="12" spans="1:12">
      <c r="B12" s="188" t="s">
        <v>683</v>
      </c>
      <c r="C12" s="163" t="s">
        <v>437</v>
      </c>
      <c r="D12" s="182" t="s">
        <v>671</v>
      </c>
      <c r="G12" s="165" t="s">
        <v>684</v>
      </c>
      <c r="H12" s="174">
        <v>176</v>
      </c>
      <c r="I12" s="174">
        <v>1.5</v>
      </c>
      <c r="J12" s="175" t="s">
        <v>657</v>
      </c>
      <c r="K12" s="176" t="s">
        <v>685</v>
      </c>
      <c r="L12" s="169"/>
    </row>
    <row r="13" spans="1:12">
      <c r="B13" s="188" t="s">
        <v>686</v>
      </c>
      <c r="C13" s="163" t="s">
        <v>437</v>
      </c>
      <c r="D13" s="182" t="s">
        <v>671</v>
      </c>
      <c r="G13" s="170" t="s">
        <v>687</v>
      </c>
      <c r="H13" s="174">
        <v>24</v>
      </c>
      <c r="I13" s="174">
        <v>0.3</v>
      </c>
      <c r="J13" s="177" t="s">
        <v>688</v>
      </c>
      <c r="K13" s="168">
        <v>232</v>
      </c>
      <c r="L13" s="169" t="s">
        <v>667</v>
      </c>
    </row>
    <row r="14" spans="1:12">
      <c r="A14">
        <v>1</v>
      </c>
      <c r="B14" s="188" t="s">
        <v>689</v>
      </c>
      <c r="C14" s="162" t="s">
        <v>10</v>
      </c>
      <c r="D14" s="182" t="s">
        <v>667</v>
      </c>
      <c r="G14" s="170" t="s">
        <v>690</v>
      </c>
      <c r="H14" s="173">
        <v>18</v>
      </c>
      <c r="I14" s="174">
        <v>1.94</v>
      </c>
      <c r="J14" s="175" t="s">
        <v>661</v>
      </c>
      <c r="K14" s="172">
        <v>2181</v>
      </c>
      <c r="L14" s="169" t="s">
        <v>662</v>
      </c>
    </row>
    <row r="15" spans="1:12">
      <c r="A15">
        <v>1</v>
      </c>
      <c r="B15" s="188" t="s">
        <v>691</v>
      </c>
      <c r="C15" s="162" t="s">
        <v>10</v>
      </c>
      <c r="D15" s="169" t="s">
        <v>673</v>
      </c>
      <c r="G15" s="170" t="s">
        <v>692</v>
      </c>
      <c r="H15" s="174">
        <v>72.7</v>
      </c>
      <c r="I15" s="173">
        <v>0.54</v>
      </c>
      <c r="J15" s="175" t="s">
        <v>661</v>
      </c>
      <c r="K15" s="168">
        <v>819</v>
      </c>
      <c r="L15" s="169" t="s">
        <v>667</v>
      </c>
    </row>
    <row r="16" spans="1:12">
      <c r="B16" s="188" t="s">
        <v>693</v>
      </c>
      <c r="C16" s="163" t="s">
        <v>664</v>
      </c>
      <c r="D16" s="169" t="s">
        <v>667</v>
      </c>
      <c r="G16" s="170" t="s">
        <v>694</v>
      </c>
      <c r="H16" s="173">
        <v>24</v>
      </c>
      <c r="I16" s="173">
        <v>3.62</v>
      </c>
      <c r="J16" s="177" t="s">
        <v>688</v>
      </c>
      <c r="K16" s="172">
        <v>1088</v>
      </c>
      <c r="L16" s="169" t="s">
        <v>659</v>
      </c>
    </row>
    <row r="17" spans="1:12">
      <c r="B17" s="188" t="s">
        <v>695</v>
      </c>
      <c r="C17" s="163" t="s">
        <v>664</v>
      </c>
      <c r="D17" s="169" t="s">
        <v>667</v>
      </c>
      <c r="G17" s="170" t="s">
        <v>696</v>
      </c>
      <c r="H17" s="174">
        <v>37</v>
      </c>
      <c r="I17" s="173">
        <v>0.89</v>
      </c>
      <c r="J17" s="175" t="s">
        <v>661</v>
      </c>
      <c r="K17" s="168">
        <v>961</v>
      </c>
      <c r="L17" s="169" t="s">
        <v>667</v>
      </c>
    </row>
    <row r="18" spans="1:12">
      <c r="B18" s="188" t="s">
        <v>697</v>
      </c>
      <c r="C18" s="163" t="s">
        <v>437</v>
      </c>
      <c r="D18" s="186" t="s">
        <v>671</v>
      </c>
      <c r="G18" s="170" t="s">
        <v>163</v>
      </c>
      <c r="H18" s="174">
        <v>40</v>
      </c>
      <c r="I18" s="173">
        <v>4.21</v>
      </c>
      <c r="J18" s="175" t="s">
        <v>657</v>
      </c>
      <c r="K18" s="172">
        <v>6819</v>
      </c>
      <c r="L18" s="169" t="s">
        <v>662</v>
      </c>
    </row>
    <row r="19" spans="1:12">
      <c r="B19" s="188" t="s">
        <v>698</v>
      </c>
      <c r="C19" s="163" t="s">
        <v>437</v>
      </c>
      <c r="D19" s="186" t="s">
        <v>671</v>
      </c>
      <c r="G19" s="170" t="s">
        <v>236</v>
      </c>
      <c r="H19" s="173">
        <v>63.5</v>
      </c>
      <c r="I19" s="173">
        <v>4.67</v>
      </c>
      <c r="J19" s="175" t="s">
        <v>661</v>
      </c>
      <c r="K19" s="172">
        <v>6923</v>
      </c>
      <c r="L19" s="169" t="s">
        <v>659</v>
      </c>
    </row>
    <row r="20" spans="1:12">
      <c r="A20">
        <v>1</v>
      </c>
      <c r="B20" s="188" t="s">
        <v>699</v>
      </c>
      <c r="C20" s="163" t="s">
        <v>664</v>
      </c>
      <c r="D20" s="169"/>
      <c r="G20" s="178" t="s">
        <v>700</v>
      </c>
      <c r="H20" s="173">
        <v>10</v>
      </c>
      <c r="I20" s="173">
        <v>0.23</v>
      </c>
      <c r="J20" s="177" t="s">
        <v>688</v>
      </c>
      <c r="K20" s="168">
        <v>27</v>
      </c>
      <c r="L20" s="169" t="s">
        <v>662</v>
      </c>
    </row>
    <row r="21" spans="1:12">
      <c r="A21">
        <v>1</v>
      </c>
      <c r="B21" s="188" t="s">
        <v>701</v>
      </c>
      <c r="C21" s="162" t="s">
        <v>10</v>
      </c>
      <c r="D21" s="186" t="s">
        <v>667</v>
      </c>
      <c r="G21" s="178" t="s">
        <v>702</v>
      </c>
      <c r="H21" s="173">
        <v>11.64</v>
      </c>
      <c r="I21" s="173">
        <v>2.14</v>
      </c>
      <c r="J21" s="175" t="s">
        <v>661</v>
      </c>
      <c r="K21" s="172">
        <v>2038</v>
      </c>
      <c r="L21" s="169" t="s">
        <v>665</v>
      </c>
    </row>
    <row r="22" spans="1:12">
      <c r="A22">
        <v>1</v>
      </c>
      <c r="B22" s="188" t="s">
        <v>703</v>
      </c>
      <c r="C22" s="162" t="s">
        <v>10</v>
      </c>
      <c r="D22" s="169" t="s">
        <v>662</v>
      </c>
      <c r="G22" s="178" t="s">
        <v>704</v>
      </c>
      <c r="H22" s="173">
        <v>35</v>
      </c>
      <c r="I22" s="173">
        <v>0.42</v>
      </c>
      <c r="J22" s="175" t="s">
        <v>661</v>
      </c>
      <c r="K22" s="168">
        <v>819</v>
      </c>
      <c r="L22" s="169" t="s">
        <v>667</v>
      </c>
    </row>
    <row r="23" spans="1:12">
      <c r="G23" s="178" t="s">
        <v>705</v>
      </c>
      <c r="H23" s="174">
        <v>36.799999999999997</v>
      </c>
      <c r="I23" s="174">
        <v>0.69</v>
      </c>
      <c r="J23" s="175" t="s">
        <v>661</v>
      </c>
      <c r="K23" s="180">
        <v>1313</v>
      </c>
      <c r="L23" s="181" t="s">
        <v>706</v>
      </c>
    </row>
    <row r="24" spans="1:12">
      <c r="G24" s="178" t="s">
        <v>707</v>
      </c>
      <c r="H24" s="174">
        <v>40</v>
      </c>
      <c r="I24" s="173">
        <v>4.7</v>
      </c>
      <c r="J24" s="175" t="s">
        <v>661</v>
      </c>
      <c r="K24" s="172">
        <v>5544</v>
      </c>
      <c r="L24" s="181" t="s">
        <v>706</v>
      </c>
    </row>
    <row r="25" spans="1:12">
      <c r="G25" s="178" t="s">
        <v>708</v>
      </c>
      <c r="H25" s="174">
        <v>45</v>
      </c>
      <c r="I25" s="173">
        <v>6.13</v>
      </c>
      <c r="J25" s="175" t="s">
        <v>661</v>
      </c>
      <c r="K25" s="172">
        <v>9170</v>
      </c>
      <c r="L25" s="181" t="s">
        <v>706</v>
      </c>
    </row>
    <row r="26" spans="1:12">
      <c r="G26" s="178" t="s">
        <v>709</v>
      </c>
      <c r="H26" s="174">
        <v>400</v>
      </c>
      <c r="I26" s="173">
        <v>8.98</v>
      </c>
      <c r="J26" s="175" t="s">
        <v>661</v>
      </c>
      <c r="K26" s="172">
        <v>4332</v>
      </c>
      <c r="L26" s="169" t="s">
        <v>665</v>
      </c>
    </row>
    <row r="27" spans="1:12">
      <c r="G27" s="178" t="s">
        <v>710</v>
      </c>
      <c r="H27" s="174">
        <v>80</v>
      </c>
      <c r="I27" s="173">
        <v>12.15</v>
      </c>
      <c r="J27" s="177" t="s">
        <v>688</v>
      </c>
      <c r="K27" s="172">
        <v>3007</v>
      </c>
      <c r="L27" s="169" t="s">
        <v>711</v>
      </c>
    </row>
    <row r="28" spans="1:12">
      <c r="G28" s="178" t="s">
        <v>712</v>
      </c>
      <c r="H28" s="173">
        <v>46</v>
      </c>
      <c r="I28" s="173">
        <v>0.32</v>
      </c>
      <c r="J28" s="175" t="s">
        <v>661</v>
      </c>
      <c r="K28" s="168">
        <v>587</v>
      </c>
      <c r="L28" s="169" t="s">
        <v>667</v>
      </c>
    </row>
    <row r="29" spans="1:12">
      <c r="G29" s="178" t="s">
        <v>506</v>
      </c>
      <c r="H29" s="174">
        <v>60</v>
      </c>
      <c r="I29" s="174">
        <v>1.57</v>
      </c>
      <c r="J29" s="175" t="s">
        <v>661</v>
      </c>
      <c r="K29" s="172">
        <v>2007</v>
      </c>
      <c r="L29" s="169" t="s">
        <v>667</v>
      </c>
    </row>
    <row r="30" spans="1:12">
      <c r="G30" s="178" t="s">
        <v>713</v>
      </c>
      <c r="H30" s="173">
        <v>15</v>
      </c>
      <c r="I30" s="173">
        <v>4.5</v>
      </c>
      <c r="J30" s="175" t="s">
        <v>657</v>
      </c>
      <c r="K30" s="172">
        <v>6084</v>
      </c>
      <c r="L30" s="169"/>
    </row>
    <row r="31" spans="1:12">
      <c r="G31" s="178" t="s">
        <v>714</v>
      </c>
      <c r="H31" s="173">
        <v>12.5</v>
      </c>
      <c r="I31" s="173">
        <v>0.26</v>
      </c>
      <c r="J31" s="175" t="s">
        <v>661</v>
      </c>
      <c r="K31" s="168">
        <v>479</v>
      </c>
      <c r="L31" s="169" t="s">
        <v>667</v>
      </c>
    </row>
    <row r="32" spans="1:12">
      <c r="G32" s="178" t="s">
        <v>715</v>
      </c>
      <c r="H32" s="174">
        <v>192</v>
      </c>
      <c r="I32" s="173">
        <v>7.96</v>
      </c>
      <c r="J32" s="175" t="s">
        <v>661</v>
      </c>
      <c r="K32" s="172">
        <v>9140</v>
      </c>
      <c r="L32" s="169" t="s">
        <v>659</v>
      </c>
    </row>
    <row r="33" spans="7:12">
      <c r="G33" s="178" t="s">
        <v>716</v>
      </c>
      <c r="H33" s="173">
        <v>1.42</v>
      </c>
      <c r="I33" s="173">
        <v>0.33</v>
      </c>
      <c r="J33" s="175" t="s">
        <v>688</v>
      </c>
      <c r="K33" s="168">
        <v>539</v>
      </c>
      <c r="L33" s="169" t="s">
        <v>662</v>
      </c>
    </row>
    <row r="34" spans="7:12">
      <c r="G34" s="178" t="s">
        <v>717</v>
      </c>
      <c r="H34" s="173">
        <v>20</v>
      </c>
      <c r="I34" s="173">
        <v>0.74</v>
      </c>
      <c r="J34" s="177" t="s">
        <v>688</v>
      </c>
      <c r="K34" s="168">
        <v>144</v>
      </c>
      <c r="L34" s="169" t="s">
        <v>667</v>
      </c>
    </row>
    <row r="35" spans="7:12">
      <c r="G35" s="178" t="s">
        <v>718</v>
      </c>
      <c r="H35" s="174">
        <v>200</v>
      </c>
      <c r="I35" s="171">
        <v>2.74</v>
      </c>
      <c r="J35" s="177" t="s">
        <v>688</v>
      </c>
      <c r="K35" s="179">
        <v>659</v>
      </c>
      <c r="L35" s="181" t="s">
        <v>667</v>
      </c>
    </row>
    <row r="39" spans="7:12">
      <c r="G39" s="170" t="s">
        <v>284</v>
      </c>
      <c r="H39" s="171">
        <v>93</v>
      </c>
      <c r="I39" s="171">
        <v>2.2200000000000002</v>
      </c>
      <c r="J39" s="167" t="s">
        <v>657</v>
      </c>
      <c r="K39" s="166">
        <v>665</v>
      </c>
      <c r="L39" s="182" t="s">
        <v>671</v>
      </c>
    </row>
    <row r="40" spans="7:12">
      <c r="G40" s="170" t="s">
        <v>719</v>
      </c>
      <c r="H40" s="173">
        <v>120</v>
      </c>
      <c r="I40" s="173">
        <v>2.64</v>
      </c>
      <c r="J40" s="175" t="s">
        <v>688</v>
      </c>
      <c r="K40" s="168">
        <v>209</v>
      </c>
      <c r="L40" s="182" t="s">
        <v>671</v>
      </c>
    </row>
    <row r="41" spans="7:12">
      <c r="G41" s="178" t="s">
        <v>720</v>
      </c>
      <c r="H41" s="174">
        <v>60</v>
      </c>
      <c r="I41" s="173">
        <v>6.53</v>
      </c>
      <c r="J41" s="177" t="s">
        <v>688</v>
      </c>
      <c r="K41" s="172">
        <v>1529</v>
      </c>
      <c r="L41" s="169"/>
    </row>
    <row r="42" spans="7:12">
      <c r="G42" s="170" t="s">
        <v>721</v>
      </c>
      <c r="H42" s="173">
        <v>70</v>
      </c>
      <c r="I42" s="173">
        <v>1.68</v>
      </c>
      <c r="J42" s="175" t="s">
        <v>661</v>
      </c>
      <c r="K42" s="168">
        <v>688</v>
      </c>
      <c r="L42" s="182" t="s">
        <v>671</v>
      </c>
    </row>
    <row r="43" spans="7:12">
      <c r="G43" s="170" t="s">
        <v>722</v>
      </c>
      <c r="H43" s="173">
        <v>30</v>
      </c>
      <c r="I43" s="173">
        <v>0.72</v>
      </c>
      <c r="J43" s="175" t="s">
        <v>661</v>
      </c>
      <c r="K43" s="168">
        <v>295</v>
      </c>
      <c r="L43" s="182" t="s">
        <v>671</v>
      </c>
    </row>
    <row r="44" spans="7:12">
      <c r="G44" s="178" t="s">
        <v>285</v>
      </c>
      <c r="H44" s="173">
        <v>150</v>
      </c>
      <c r="I44" s="171">
        <v>3.59</v>
      </c>
      <c r="J44" s="175" t="s">
        <v>661</v>
      </c>
      <c r="K44" s="172">
        <v>1405</v>
      </c>
      <c r="L44" s="182" t="s">
        <v>671</v>
      </c>
    </row>
    <row r="45" spans="7:12">
      <c r="G45" s="178" t="s">
        <v>723</v>
      </c>
      <c r="H45" s="174">
        <v>120</v>
      </c>
      <c r="I45" s="171">
        <v>2.87</v>
      </c>
      <c r="J45" s="175" t="s">
        <v>661</v>
      </c>
      <c r="K45" s="172">
        <v>1869</v>
      </c>
      <c r="L45" s="182" t="s">
        <v>671</v>
      </c>
    </row>
    <row r="46" spans="7:12">
      <c r="G46" s="178" t="s">
        <v>293</v>
      </c>
      <c r="H46" s="174">
        <v>100</v>
      </c>
      <c r="I46" s="171">
        <v>2.4</v>
      </c>
      <c r="J46" s="175" t="s">
        <v>661</v>
      </c>
      <c r="K46" s="172">
        <v>1497</v>
      </c>
      <c r="L46" s="182" t="s">
        <v>671</v>
      </c>
    </row>
    <row r="47" spans="7:12">
      <c r="G47" s="178" t="s">
        <v>724</v>
      </c>
      <c r="H47" s="174">
        <v>300</v>
      </c>
      <c r="I47" s="171">
        <v>7.19</v>
      </c>
      <c r="J47" s="175" t="s">
        <v>657</v>
      </c>
      <c r="K47" s="172">
        <v>5750</v>
      </c>
      <c r="L47" s="182" t="s">
        <v>671</v>
      </c>
    </row>
    <row r="48" spans="7:12">
      <c r="G48" s="178" t="s">
        <v>506</v>
      </c>
      <c r="H48" s="174">
        <v>185</v>
      </c>
      <c r="I48" s="174">
        <v>4.43</v>
      </c>
      <c r="J48" s="175" t="s">
        <v>661</v>
      </c>
      <c r="K48" s="183">
        <v>1551</v>
      </c>
      <c r="L48" s="182" t="s">
        <v>671</v>
      </c>
    </row>
    <row r="49" spans="7:12">
      <c r="G49" s="170" t="s">
        <v>163</v>
      </c>
      <c r="H49" s="174">
        <v>40</v>
      </c>
      <c r="I49" s="171">
        <v>0.96</v>
      </c>
      <c r="J49" s="175" t="s">
        <v>657</v>
      </c>
      <c r="K49" s="168">
        <v>575</v>
      </c>
      <c r="L49" s="182" t="s">
        <v>671</v>
      </c>
    </row>
    <row r="50" spans="7:12">
      <c r="G50" s="178" t="s">
        <v>725</v>
      </c>
      <c r="H50" s="173">
        <v>40</v>
      </c>
      <c r="I50" s="173">
        <v>0.96</v>
      </c>
      <c r="J50" s="175" t="s">
        <v>688</v>
      </c>
      <c r="K50" s="168">
        <v>77</v>
      </c>
      <c r="L50" s="182" t="s">
        <v>671</v>
      </c>
    </row>
    <row r="51" spans="7:12">
      <c r="G51" s="178" t="s">
        <v>718</v>
      </c>
      <c r="H51" s="174">
        <v>200</v>
      </c>
      <c r="I51" s="171">
        <v>4.79</v>
      </c>
      <c r="J51" s="175" t="s">
        <v>688</v>
      </c>
      <c r="K51" s="179">
        <v>383</v>
      </c>
      <c r="L51" s="184" t="s">
        <v>671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pane="bottomLeft" activeCell="B523" sqref="B523"/>
      <selection activeCell="H1" sqref="H1"/>
    </sheetView>
  </sheetViews>
  <sheetFormatPr defaultColWidth="11.5703125" defaultRowHeight="13.9" outlineLevelRow="4" outlineLevelCol="1"/>
  <cols>
    <col min="1" max="1" width="6.5703125" style="3" customWidth="1"/>
    <col min="2" max="2" width="24.5703125" style="4" customWidth="1"/>
    <col min="3" max="3" width="16.42578125" style="3" bestFit="1" customWidth="1"/>
    <col min="4" max="4" width="0.42578125" style="5" customWidth="1"/>
    <col min="5" max="5" width="0.42578125" style="27" customWidth="1"/>
    <col min="6" max="6" width="0.42578125" style="5" customWidth="1"/>
    <col min="7" max="7" width="12.5703125" style="7" bestFit="1" customWidth="1"/>
    <col min="8" max="8" width="0.42578125" style="5" customWidth="1" outlineLevel="1"/>
    <col min="9" max="9" width="0.42578125" style="27" customWidth="1" outlineLevel="1"/>
    <col min="10" max="10" width="0.42578125" style="5" customWidth="1" outlineLevel="1"/>
    <col min="11" max="14" width="25.5703125" style="65" customWidth="1" outlineLevel="1"/>
    <col min="15" max="15" width="0.42578125" style="5" customWidth="1"/>
    <col min="16" max="16" width="0.42578125" style="27" customWidth="1"/>
    <col min="17" max="17" width="0.42578125" style="5" customWidth="1"/>
    <col min="18" max="18" width="12.5703125" style="7" bestFit="1" customWidth="1"/>
    <col min="19" max="19" width="0.42578125" style="134" customWidth="1" outlineLevel="1"/>
    <col min="20" max="20" width="0.42578125" style="133" customWidth="1" outlineLevel="1"/>
    <col min="21" max="21" width="0.42578125" style="134" customWidth="1" outlineLevel="1"/>
    <col min="22" max="25" width="10.5703125" style="65" bestFit="1" customWidth="1" outlineLevel="1"/>
    <col min="26" max="26" width="1.42578125" style="5" customWidth="1"/>
    <col min="27" max="27" width="0.42578125" style="27" customWidth="1"/>
    <col min="28" max="28" width="1.42578125" style="5" customWidth="1"/>
    <col min="29" max="32" width="11.5703125" style="3" hidden="1" customWidth="1"/>
    <col min="33" max="33" width="0" style="3" hidden="1" customWidth="1"/>
    <col min="34" max="16384" width="11.5703125" style="3"/>
  </cols>
  <sheetData>
    <row r="2" spans="1:25" s="49" customFormat="1" ht="17.45">
      <c r="B2" s="59"/>
      <c r="C2" s="59"/>
      <c r="D2" s="51"/>
      <c r="E2" s="52"/>
      <c r="F2" s="51"/>
      <c r="G2" s="79" t="s">
        <v>726</v>
      </c>
      <c r="H2" s="51"/>
      <c r="I2" s="52"/>
      <c r="J2" s="51"/>
      <c r="K2" s="963" t="s">
        <v>1</v>
      </c>
      <c r="L2" s="963"/>
      <c r="M2" s="963"/>
      <c r="N2" s="963"/>
      <c r="O2" s="51"/>
      <c r="P2" s="52"/>
      <c r="Q2" s="51"/>
      <c r="R2" s="79" t="s">
        <v>727</v>
      </c>
      <c r="S2" s="51"/>
      <c r="T2" s="52"/>
      <c r="U2" s="51"/>
      <c r="V2" s="963" t="s">
        <v>151</v>
      </c>
      <c r="W2" s="963"/>
      <c r="X2" s="963"/>
      <c r="Y2" s="963"/>
    </row>
    <row r="3" spans="1:25" s="49" customFormat="1" ht="17.45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7.45">
      <c r="A5" s="58"/>
      <c r="B5" s="59" t="s">
        <v>728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153</v>
      </c>
      <c r="L5" s="64" t="s">
        <v>154</v>
      </c>
      <c r="M5" s="64" t="s">
        <v>155</v>
      </c>
      <c r="N5" s="64" t="s">
        <v>156</v>
      </c>
      <c r="O5" s="61"/>
      <c r="P5" s="52"/>
      <c r="Q5" s="61"/>
      <c r="R5" s="62">
        <v>2025</v>
      </c>
      <c r="S5" s="61"/>
      <c r="T5" s="52"/>
      <c r="U5" s="61"/>
      <c r="V5" s="64" t="s">
        <v>153</v>
      </c>
      <c r="W5" s="64" t="s">
        <v>154</v>
      </c>
      <c r="X5" s="64" t="s">
        <v>155</v>
      </c>
      <c r="Y5" s="64" t="s">
        <v>156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30" collapsed="1">
      <c r="A10" s="155"/>
      <c r="B10" s="43" t="s">
        <v>437</v>
      </c>
      <c r="C10" s="44" t="s">
        <v>438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729</v>
      </c>
      <c r="C12" s="44" t="s">
        <v>492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281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492</v>
      </c>
      <c r="H15" s="8"/>
      <c r="I15" s="90"/>
      <c r="J15" s="8"/>
      <c r="K15" s="29" t="s">
        <v>221</v>
      </c>
      <c r="L15" s="29"/>
      <c r="M15" s="141"/>
      <c r="N15" s="141"/>
      <c r="O15" s="8"/>
      <c r="P15" s="90"/>
      <c r="Q15" s="8"/>
      <c r="R15" s="33" t="s">
        <v>492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543</v>
      </c>
      <c r="L16" s="29"/>
      <c r="M16" s="141"/>
      <c r="N16" s="141"/>
      <c r="O16" s="8"/>
      <c r="P16" s="90"/>
      <c r="Q16" s="8"/>
      <c r="R16" s="33" t="s">
        <v>492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204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492</v>
      </c>
      <c r="H20" s="147"/>
      <c r="I20" s="148"/>
      <c r="J20" s="147"/>
      <c r="K20" s="141"/>
      <c r="L20" s="99" t="s">
        <v>206</v>
      </c>
      <c r="M20" s="139" t="s">
        <v>299</v>
      </c>
      <c r="N20" s="140"/>
      <c r="O20" s="147"/>
      <c r="P20" s="148"/>
      <c r="Q20" s="147"/>
      <c r="R20" s="118" t="s">
        <v>492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494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7.6" hidden="1" outlineLevel="3">
      <c r="B23" s="28"/>
      <c r="C23" s="29"/>
      <c r="D23" s="8"/>
      <c r="E23" s="90"/>
      <c r="F23" s="8"/>
      <c r="G23" s="118" t="s">
        <v>492</v>
      </c>
      <c r="H23" s="8"/>
      <c r="I23" s="90"/>
      <c r="J23" s="8"/>
      <c r="K23" s="25" t="s">
        <v>205</v>
      </c>
      <c r="L23" s="142" t="s">
        <v>206</v>
      </c>
      <c r="M23" s="139" t="s">
        <v>299</v>
      </c>
      <c r="N23" s="139" t="s">
        <v>209</v>
      </c>
      <c r="O23" s="8"/>
      <c r="P23" s="90"/>
      <c r="Q23" s="8"/>
      <c r="R23" s="33" t="s">
        <v>492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492</v>
      </c>
      <c r="H24" s="8"/>
      <c r="I24" s="90"/>
      <c r="J24" s="8"/>
      <c r="K24" s="25"/>
      <c r="L24" s="139" t="s">
        <v>208</v>
      </c>
      <c r="M24" s="139" t="s">
        <v>198</v>
      </c>
      <c r="N24" s="29"/>
      <c r="O24" s="8"/>
      <c r="P24" s="90"/>
      <c r="Q24" s="8"/>
      <c r="R24" s="33" t="s">
        <v>492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284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492</v>
      </c>
      <c r="H27" s="8"/>
      <c r="I27" s="90"/>
      <c r="J27" s="8"/>
      <c r="K27" s="99" t="s">
        <v>206</v>
      </c>
      <c r="L27" s="139" t="s">
        <v>299</v>
      </c>
      <c r="M27" s="40" t="s">
        <v>543</v>
      </c>
      <c r="N27" s="40" t="s">
        <v>221</v>
      </c>
      <c r="O27" s="8"/>
      <c r="P27" s="90"/>
      <c r="Q27" s="8"/>
      <c r="R27" s="33" t="s">
        <v>492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492</v>
      </c>
      <c r="H28" s="8"/>
      <c r="I28" s="90"/>
      <c r="J28" s="8"/>
      <c r="K28" s="139" t="s">
        <v>208</v>
      </c>
      <c r="L28" s="40" t="s">
        <v>219</v>
      </c>
      <c r="M28" s="140"/>
      <c r="N28" s="40"/>
      <c r="O28" s="8"/>
      <c r="P28" s="90"/>
      <c r="Q28" s="8"/>
      <c r="R28" s="33" t="s">
        <v>492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7.6" hidden="1" outlineLevel="3">
      <c r="B29" s="28"/>
      <c r="C29" s="29"/>
      <c r="D29" s="8"/>
      <c r="E29" s="90"/>
      <c r="F29" s="8"/>
      <c r="G29" s="118" t="s">
        <v>492</v>
      </c>
      <c r="H29" s="8"/>
      <c r="I29" s="90"/>
      <c r="J29" s="8"/>
      <c r="K29" s="139" t="s">
        <v>730</v>
      </c>
      <c r="L29" s="92"/>
      <c r="M29" s="140"/>
      <c r="N29" s="40"/>
      <c r="O29" s="8"/>
      <c r="P29" s="90"/>
      <c r="Q29" s="8"/>
      <c r="R29" s="33" t="s">
        <v>492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492</v>
      </c>
      <c r="H30" s="8"/>
      <c r="I30" s="90"/>
      <c r="J30" s="8"/>
      <c r="K30" s="139" t="s">
        <v>198</v>
      </c>
      <c r="L30" s="92"/>
      <c r="M30" s="140"/>
      <c r="N30" s="40"/>
      <c r="O30" s="8"/>
      <c r="P30" s="90"/>
      <c r="Q30" s="8"/>
      <c r="R30" s="33" t="s">
        <v>492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731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7.6" hidden="1" outlineLevel="3">
      <c r="B33" s="28"/>
      <c r="C33" s="29"/>
      <c r="D33" s="8"/>
      <c r="E33" s="90"/>
      <c r="F33" s="8"/>
      <c r="G33" s="118" t="s">
        <v>492</v>
      </c>
      <c r="H33" s="8"/>
      <c r="I33" s="90"/>
      <c r="J33" s="8"/>
      <c r="K33" s="35" t="s">
        <v>205</v>
      </c>
      <c r="L33" s="99" t="s">
        <v>206</v>
      </c>
      <c r="M33" s="42" t="s">
        <v>209</v>
      </c>
      <c r="N33" s="42" t="s">
        <v>299</v>
      </c>
      <c r="O33" s="8"/>
      <c r="P33" s="90"/>
      <c r="Q33" s="8"/>
      <c r="R33" s="33" t="s">
        <v>492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492</v>
      </c>
      <c r="H34" s="8"/>
      <c r="I34" s="90"/>
      <c r="J34" s="8"/>
      <c r="K34" s="35"/>
      <c r="L34" s="42" t="s">
        <v>208</v>
      </c>
      <c r="M34" s="42" t="s">
        <v>198</v>
      </c>
      <c r="N34" s="3"/>
      <c r="O34" s="8"/>
      <c r="P34" s="90"/>
      <c r="Q34" s="8"/>
      <c r="R34" s="33" t="s">
        <v>492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492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492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286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7.6" hidden="1" outlineLevel="3">
      <c r="B38" s="28"/>
      <c r="C38" s="29"/>
      <c r="D38" s="8"/>
      <c r="E38" s="90"/>
      <c r="F38" s="8"/>
      <c r="G38" s="118" t="s">
        <v>492</v>
      </c>
      <c r="H38" s="8"/>
      <c r="I38" s="90"/>
      <c r="J38" s="8"/>
      <c r="K38" s="35" t="s">
        <v>205</v>
      </c>
      <c r="L38" s="99" t="s">
        <v>206</v>
      </c>
      <c r="M38" s="42" t="s">
        <v>299</v>
      </c>
      <c r="N38" s="42" t="s">
        <v>209</v>
      </c>
      <c r="O38" s="8"/>
      <c r="P38" s="90"/>
      <c r="Q38" s="8"/>
      <c r="R38" s="33" t="s">
        <v>492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492</v>
      </c>
      <c r="H39" s="8"/>
      <c r="I39" s="90"/>
      <c r="J39" s="8"/>
      <c r="K39" s="35"/>
      <c r="L39" s="42" t="s">
        <v>208</v>
      </c>
      <c r="M39" s="42" t="s">
        <v>198</v>
      </c>
      <c r="N39" s="3"/>
      <c r="O39" s="8"/>
      <c r="P39" s="90"/>
      <c r="Q39" s="8"/>
      <c r="R39" s="33" t="s">
        <v>492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163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7.6" hidden="1" outlineLevel="3">
      <c r="B42" s="28"/>
      <c r="C42" s="29"/>
      <c r="D42" s="8"/>
      <c r="E42" s="90"/>
      <c r="F42" s="8"/>
      <c r="G42" s="118" t="s">
        <v>492</v>
      </c>
      <c r="H42" s="8"/>
      <c r="I42" s="90"/>
      <c r="J42" s="8"/>
      <c r="K42" s="35" t="s">
        <v>205</v>
      </c>
      <c r="L42" s="99" t="s">
        <v>206</v>
      </c>
      <c r="M42" s="42" t="s">
        <v>299</v>
      </c>
      <c r="N42" s="42" t="s">
        <v>209</v>
      </c>
      <c r="O42" s="8"/>
      <c r="P42" s="90"/>
      <c r="Q42" s="8"/>
      <c r="R42" s="33" t="s">
        <v>492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208</v>
      </c>
      <c r="M43" s="42" t="s">
        <v>198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496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492</v>
      </c>
      <c r="H46" s="8"/>
      <c r="I46" s="90"/>
      <c r="J46" s="8"/>
      <c r="K46" s="3"/>
      <c r="L46" s="36"/>
      <c r="M46" s="36" t="s">
        <v>206</v>
      </c>
      <c r="N46" s="36" t="s">
        <v>199</v>
      </c>
      <c r="O46" s="8"/>
      <c r="P46" s="90"/>
      <c r="Q46" s="8"/>
      <c r="R46" s="33" t="s">
        <v>492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492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721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492</v>
      </c>
      <c r="H50" s="8"/>
      <c r="I50" s="90"/>
      <c r="J50" s="8"/>
      <c r="K50" s="36" t="s">
        <v>205</v>
      </c>
      <c r="L50" s="36" t="s">
        <v>198</v>
      </c>
      <c r="M50" s="36" t="s">
        <v>199</v>
      </c>
      <c r="N50" s="36" t="s">
        <v>608</v>
      </c>
      <c r="O50" s="8"/>
      <c r="P50" s="90"/>
      <c r="Q50" s="8"/>
      <c r="R50" s="33" t="s">
        <v>492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492</v>
      </c>
      <c r="H51" s="8"/>
      <c r="I51" s="90"/>
      <c r="J51" s="8"/>
      <c r="K51" s="36" t="s">
        <v>206</v>
      </c>
      <c r="L51" s="36" t="s">
        <v>208</v>
      </c>
      <c r="M51" s="3"/>
      <c r="N51" s="3"/>
      <c r="O51" s="8"/>
      <c r="P51" s="90"/>
      <c r="Q51" s="8"/>
      <c r="R51" s="33" t="s">
        <v>492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610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492</v>
      </c>
      <c r="H54" s="8"/>
      <c r="I54" s="90"/>
      <c r="J54" s="8"/>
      <c r="K54" s="36" t="s">
        <v>205</v>
      </c>
      <c r="L54" s="36" t="s">
        <v>198</v>
      </c>
      <c r="M54" s="36" t="s">
        <v>199</v>
      </c>
      <c r="N54" s="36" t="s">
        <v>608</v>
      </c>
      <c r="O54" s="8"/>
      <c r="P54" s="90"/>
      <c r="Q54" s="8"/>
      <c r="R54" s="33" t="s">
        <v>492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492</v>
      </c>
      <c r="H55" s="8"/>
      <c r="I55" s="90"/>
      <c r="J55" s="8"/>
      <c r="K55" s="36" t="s">
        <v>206</v>
      </c>
      <c r="L55" s="36" t="s">
        <v>208</v>
      </c>
      <c r="M55" s="3"/>
      <c r="N55" s="3"/>
      <c r="O55" s="8"/>
      <c r="P55" s="90"/>
      <c r="Q55" s="8"/>
      <c r="R55" s="33" t="s">
        <v>492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732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492</v>
      </c>
      <c r="H58" s="8"/>
      <c r="I58" s="90"/>
      <c r="J58" s="8"/>
      <c r="K58" s="3"/>
      <c r="L58" s="36" t="s">
        <v>205</v>
      </c>
      <c r="M58" s="36" t="s">
        <v>206</v>
      </c>
      <c r="N58" s="36" t="s">
        <v>199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208</v>
      </c>
      <c r="N59" s="36" t="s">
        <v>198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492</v>
      </c>
      <c r="H60" s="8"/>
      <c r="I60" s="90"/>
      <c r="J60" s="8"/>
      <c r="K60" s="3"/>
      <c r="M60" s="3"/>
      <c r="N60" s="3" t="s">
        <v>608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293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492</v>
      </c>
      <c r="H63" s="8"/>
      <c r="I63" s="90"/>
      <c r="J63" s="8"/>
      <c r="K63" s="36" t="s">
        <v>205</v>
      </c>
      <c r="L63" s="36" t="s">
        <v>198</v>
      </c>
      <c r="M63" s="36" t="s">
        <v>199</v>
      </c>
      <c r="N63" s="36" t="s">
        <v>244</v>
      </c>
      <c r="O63" s="8"/>
      <c r="P63" s="90"/>
      <c r="Q63" s="8"/>
      <c r="R63" s="33" t="s">
        <v>492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492</v>
      </c>
      <c r="H64" s="8"/>
      <c r="I64" s="90"/>
      <c r="J64" s="8"/>
      <c r="K64" s="36" t="s">
        <v>206</v>
      </c>
      <c r="L64" s="36" t="s">
        <v>208</v>
      </c>
      <c r="M64" s="36" t="s">
        <v>608</v>
      </c>
      <c r="N64" s="36"/>
      <c r="O64" s="8"/>
      <c r="P64" s="90"/>
      <c r="Q64" s="8"/>
      <c r="R64" s="33" t="s">
        <v>492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733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492</v>
      </c>
      <c r="H67" s="8"/>
      <c r="I67" s="90"/>
      <c r="J67" s="8"/>
      <c r="K67" s="36" t="s">
        <v>205</v>
      </c>
      <c r="L67" s="36" t="s">
        <v>206</v>
      </c>
      <c r="M67" s="36" t="s">
        <v>208</v>
      </c>
      <c r="N67" s="36" t="s">
        <v>199</v>
      </c>
      <c r="O67" s="8"/>
      <c r="P67" s="90"/>
      <c r="Q67" s="8"/>
      <c r="R67" s="33" t="s">
        <v>492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734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492</v>
      </c>
      <c r="H70" s="8"/>
      <c r="I70" s="90"/>
      <c r="J70" s="8"/>
      <c r="K70" s="36" t="s">
        <v>205</v>
      </c>
      <c r="L70" s="36" t="s">
        <v>206</v>
      </c>
      <c r="M70" s="36" t="s">
        <v>208</v>
      </c>
      <c r="N70" s="36" t="s">
        <v>199</v>
      </c>
      <c r="O70" s="8"/>
      <c r="P70" s="90"/>
      <c r="Q70" s="8"/>
      <c r="R70" s="33" t="s">
        <v>492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735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492</v>
      </c>
      <c r="H73" s="8"/>
      <c r="I73" s="90"/>
      <c r="J73" s="8"/>
      <c r="K73" s="36" t="s">
        <v>205</v>
      </c>
      <c r="L73" s="36" t="s">
        <v>206</v>
      </c>
      <c r="M73" s="36" t="s">
        <v>199</v>
      </c>
      <c r="N73" s="36" t="s">
        <v>198</v>
      </c>
      <c r="O73" s="8"/>
      <c r="P73" s="90"/>
      <c r="Q73" s="8"/>
      <c r="R73" s="33" t="s">
        <v>492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7.6" hidden="1" outlineLevel="3">
      <c r="B74" s="28"/>
      <c r="C74" s="29"/>
      <c r="D74" s="8"/>
      <c r="E74" s="90"/>
      <c r="F74" s="8"/>
      <c r="G74" s="118" t="s">
        <v>492</v>
      </c>
      <c r="H74" s="8"/>
      <c r="I74" s="90"/>
      <c r="J74" s="8"/>
      <c r="K74" s="36"/>
      <c r="L74" s="36" t="s">
        <v>208</v>
      </c>
      <c r="M74" s="3"/>
      <c r="N74" s="36" t="s">
        <v>209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236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492</v>
      </c>
      <c r="H77" s="8"/>
      <c r="I77" s="90"/>
      <c r="J77" s="8"/>
      <c r="K77" s="36" t="s">
        <v>736</v>
      </c>
      <c r="L77" s="36" t="s">
        <v>206</v>
      </c>
      <c r="M77" s="3" t="s">
        <v>608</v>
      </c>
      <c r="N77" s="36" t="s">
        <v>199</v>
      </c>
      <c r="O77" s="8"/>
      <c r="P77" s="90"/>
      <c r="Q77" s="8"/>
      <c r="R77" s="33" t="s">
        <v>492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198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737</v>
      </c>
      <c r="C80" s="44" t="s">
        <v>441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440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437</v>
      </c>
      <c r="C83" s="29" t="s">
        <v>307</v>
      </c>
      <c r="D83" s="33"/>
      <c r="E83" s="6"/>
      <c r="F83" s="33"/>
      <c r="G83" s="119" t="s">
        <v>441</v>
      </c>
      <c r="H83" s="33"/>
      <c r="I83" s="6"/>
      <c r="J83" s="33"/>
      <c r="K83" s="35" t="s">
        <v>738</v>
      </c>
      <c r="L83" s="75"/>
      <c r="M83" s="75"/>
      <c r="N83" s="75"/>
      <c r="O83" s="33"/>
      <c r="P83" s="6"/>
      <c r="Q83" s="33"/>
      <c r="R83" s="34" t="s">
        <v>441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437</v>
      </c>
      <c r="C85" s="29" t="s">
        <v>311</v>
      </c>
      <c r="D85" s="33"/>
      <c r="E85" s="6"/>
      <c r="G85" s="119" t="s">
        <v>441</v>
      </c>
      <c r="I85" s="6"/>
      <c r="K85" s="35" t="s">
        <v>739</v>
      </c>
      <c r="L85" s="35" t="s">
        <v>738</v>
      </c>
      <c r="P85" s="6"/>
      <c r="R85" s="34" t="s">
        <v>441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437</v>
      </c>
      <c r="C86" s="29" t="s">
        <v>311</v>
      </c>
      <c r="D86" s="33"/>
      <c r="E86" s="6"/>
      <c r="G86" s="119" t="s">
        <v>441</v>
      </c>
      <c r="I86" s="6"/>
      <c r="K86" s="35" t="s">
        <v>442</v>
      </c>
      <c r="P86" s="6"/>
      <c r="R86" s="34" t="s">
        <v>441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368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437</v>
      </c>
      <c r="C89" s="29" t="s">
        <v>368</v>
      </c>
      <c r="D89" s="33"/>
      <c r="E89" s="6"/>
      <c r="G89" s="119" t="s">
        <v>441</v>
      </c>
      <c r="I89" s="6"/>
      <c r="K89" s="29" t="s">
        <v>740</v>
      </c>
      <c r="L89" s="29" t="s">
        <v>738</v>
      </c>
      <c r="M89" s="141"/>
      <c r="N89" s="141"/>
      <c r="P89" s="6"/>
      <c r="R89" s="34" t="s">
        <v>441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437</v>
      </c>
      <c r="C90" s="29" t="s">
        <v>368</v>
      </c>
      <c r="D90" s="33"/>
      <c r="E90" s="6"/>
      <c r="G90" s="119" t="s">
        <v>441</v>
      </c>
      <c r="I90" s="6"/>
      <c r="K90" s="29" t="s">
        <v>458</v>
      </c>
      <c r="L90" s="141"/>
      <c r="M90" s="141"/>
      <c r="N90" s="141"/>
      <c r="P90" s="6"/>
      <c r="R90" s="34" t="s">
        <v>441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437</v>
      </c>
      <c r="C91" s="29" t="s">
        <v>368</v>
      </c>
      <c r="D91" s="33"/>
      <c r="E91" s="6"/>
      <c r="G91" s="119" t="s">
        <v>441</v>
      </c>
      <c r="I91" s="6"/>
      <c r="K91" s="29" t="s">
        <v>741</v>
      </c>
      <c r="L91" s="141"/>
      <c r="M91" s="141"/>
      <c r="N91" s="141"/>
      <c r="P91" s="6"/>
      <c r="R91" s="34" t="s">
        <v>441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437</v>
      </c>
      <c r="C92" s="29" t="s">
        <v>368</v>
      </c>
      <c r="D92" s="33"/>
      <c r="E92" s="6"/>
      <c r="G92" s="119" t="s">
        <v>441</v>
      </c>
      <c r="I92" s="6"/>
      <c r="K92" s="29" t="s">
        <v>742</v>
      </c>
      <c r="L92" s="141"/>
      <c r="M92" s="141"/>
      <c r="N92" s="141"/>
      <c r="P92" s="6"/>
      <c r="R92" s="34" t="s">
        <v>441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437</v>
      </c>
      <c r="C93" s="29" t="s">
        <v>368</v>
      </c>
      <c r="D93" s="33"/>
      <c r="E93" s="6"/>
      <c r="G93" s="119" t="s">
        <v>441</v>
      </c>
      <c r="I93" s="6"/>
      <c r="K93" s="29" t="s">
        <v>459</v>
      </c>
      <c r="L93" s="141"/>
      <c r="M93" s="141"/>
      <c r="N93" s="141"/>
      <c r="P93" s="6"/>
      <c r="R93" s="34" t="s">
        <v>441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437</v>
      </c>
      <c r="C94" s="29" t="s">
        <v>368</v>
      </c>
      <c r="D94" s="33"/>
      <c r="E94" s="6"/>
      <c r="G94" s="119" t="s">
        <v>441</v>
      </c>
      <c r="I94" s="6"/>
      <c r="K94" s="29" t="s">
        <v>460</v>
      </c>
      <c r="L94" s="141"/>
      <c r="M94" s="141"/>
      <c r="N94" s="141"/>
      <c r="P94" s="6"/>
      <c r="R94" s="34" t="s">
        <v>441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437</v>
      </c>
      <c r="C95" s="29" t="s">
        <v>368</v>
      </c>
      <c r="D95" s="33"/>
      <c r="E95" s="6"/>
      <c r="G95" s="119" t="s">
        <v>441</v>
      </c>
      <c r="I95" s="6"/>
      <c r="K95" s="29" t="s">
        <v>452</v>
      </c>
      <c r="L95" s="141"/>
      <c r="M95" s="141"/>
      <c r="N95" s="141"/>
      <c r="P95" s="6"/>
      <c r="R95" s="34" t="s">
        <v>441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368</v>
      </c>
      <c r="D96" s="33"/>
      <c r="E96" s="6"/>
      <c r="G96" s="119" t="s">
        <v>441</v>
      </c>
      <c r="I96" s="6"/>
      <c r="K96" s="29" t="s">
        <v>442</v>
      </c>
      <c r="L96" s="141"/>
      <c r="M96" s="141"/>
      <c r="N96" s="141"/>
      <c r="P96" s="6"/>
      <c r="R96" s="34" t="s">
        <v>441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549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437</v>
      </c>
      <c r="C99" s="28" t="s">
        <v>549</v>
      </c>
      <c r="D99" s="33"/>
      <c r="E99" s="6"/>
      <c r="G99" s="119" t="s">
        <v>441</v>
      </c>
      <c r="I99" s="6"/>
      <c r="K99" s="35" t="s">
        <v>738</v>
      </c>
      <c r="P99" s="6"/>
      <c r="R99" s="34" t="s">
        <v>441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743</v>
      </c>
      <c r="I100" s="6"/>
      <c r="P100" s="6"/>
      <c r="R100" s="34" t="s">
        <v>743</v>
      </c>
      <c r="S100" s="5"/>
      <c r="T100" s="6"/>
      <c r="U100" s="5"/>
    </row>
    <row r="101" spans="1:25" s="21" customFormat="1" hidden="1" outlineLevel="2" collapsed="1">
      <c r="B101" s="22" t="s">
        <v>241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437</v>
      </c>
      <c r="C102" s="28" t="s">
        <v>241</v>
      </c>
      <c r="D102" s="33"/>
      <c r="E102" s="6"/>
      <c r="G102" s="119" t="s">
        <v>441</v>
      </c>
      <c r="I102" s="6"/>
      <c r="K102" s="35" t="s">
        <v>744</v>
      </c>
      <c r="L102" s="35" t="s">
        <v>745</v>
      </c>
      <c r="P102" s="6"/>
      <c r="R102" s="34" t="s">
        <v>441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437</v>
      </c>
      <c r="C103" s="28" t="s">
        <v>241</v>
      </c>
      <c r="D103" s="33"/>
      <c r="E103" s="6"/>
      <c r="G103" s="119" t="s">
        <v>441</v>
      </c>
      <c r="I103" s="6"/>
      <c r="K103" s="35" t="s">
        <v>442</v>
      </c>
      <c r="L103" s="35" t="s">
        <v>463</v>
      </c>
      <c r="P103" s="6"/>
      <c r="R103" s="34" t="s">
        <v>441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437</v>
      </c>
      <c r="C104" s="28" t="s">
        <v>241</v>
      </c>
      <c r="D104" s="33"/>
      <c r="E104" s="6"/>
      <c r="G104" s="119" t="s">
        <v>441</v>
      </c>
      <c r="I104" s="6"/>
      <c r="K104" s="35"/>
      <c r="L104" s="35" t="s">
        <v>738</v>
      </c>
      <c r="P104" s="6"/>
      <c r="R104" s="34" t="s">
        <v>441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437</v>
      </c>
      <c r="C105" s="28" t="s">
        <v>241</v>
      </c>
      <c r="D105" s="33"/>
      <c r="E105" s="6"/>
      <c r="G105" s="119" t="s">
        <v>441</v>
      </c>
      <c r="I105" s="6"/>
      <c r="K105" s="35" t="s">
        <v>462</v>
      </c>
      <c r="P105" s="6"/>
      <c r="R105" s="34" t="s">
        <v>441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437</v>
      </c>
      <c r="C106" s="28" t="s">
        <v>241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441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441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331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437</v>
      </c>
      <c r="C110" s="29" t="s">
        <v>333</v>
      </c>
      <c r="D110" s="33"/>
      <c r="E110" s="6"/>
      <c r="F110" s="33"/>
      <c r="G110" s="119" t="s">
        <v>441</v>
      </c>
      <c r="H110" s="33"/>
      <c r="I110" s="6"/>
      <c r="J110" s="33"/>
      <c r="K110" s="35" t="s">
        <v>746</v>
      </c>
      <c r="O110" s="33"/>
      <c r="P110" s="6"/>
      <c r="Q110" s="33"/>
      <c r="R110" s="34" t="s">
        <v>441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437</v>
      </c>
      <c r="C111" s="29" t="s">
        <v>333</v>
      </c>
      <c r="D111" s="33"/>
      <c r="E111" s="6"/>
      <c r="F111" s="33"/>
      <c r="G111" s="119" t="s">
        <v>441</v>
      </c>
      <c r="H111" s="33"/>
      <c r="I111" s="6"/>
      <c r="J111" s="33"/>
      <c r="K111" s="35" t="s">
        <v>747</v>
      </c>
      <c r="O111" s="33"/>
      <c r="P111" s="6"/>
      <c r="Q111" s="33"/>
      <c r="R111" s="34" t="s">
        <v>441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437</v>
      </c>
      <c r="C112" s="29" t="s">
        <v>333</v>
      </c>
      <c r="D112" s="33"/>
      <c r="E112" s="6"/>
      <c r="F112" s="33"/>
      <c r="G112" s="119" t="s">
        <v>441</v>
      </c>
      <c r="H112" s="33"/>
      <c r="I112" s="6"/>
      <c r="J112" s="33"/>
      <c r="K112" s="35" t="s">
        <v>748</v>
      </c>
      <c r="O112" s="33"/>
      <c r="P112" s="6"/>
      <c r="Q112" s="33"/>
      <c r="R112" s="34" t="s">
        <v>441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437</v>
      </c>
      <c r="C113" s="29" t="s">
        <v>333</v>
      </c>
      <c r="D113" s="33"/>
      <c r="E113" s="6"/>
      <c r="F113" s="33"/>
      <c r="G113" s="119" t="s">
        <v>441</v>
      </c>
      <c r="H113" s="33"/>
      <c r="I113" s="6"/>
      <c r="J113" s="33"/>
      <c r="K113" s="35" t="s">
        <v>749</v>
      </c>
      <c r="O113" s="33"/>
      <c r="P113" s="6"/>
      <c r="Q113" s="33"/>
      <c r="R113" s="34" t="s">
        <v>441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437</v>
      </c>
      <c r="C114" s="29" t="s">
        <v>333</v>
      </c>
      <c r="D114" s="33"/>
      <c r="E114" s="6"/>
      <c r="F114" s="33"/>
      <c r="G114" s="119" t="s">
        <v>441</v>
      </c>
      <c r="H114" s="33"/>
      <c r="I114" s="6"/>
      <c r="J114" s="33"/>
      <c r="K114" s="35" t="s">
        <v>464</v>
      </c>
      <c r="O114" s="33"/>
      <c r="P114" s="6"/>
      <c r="Q114" s="33"/>
      <c r="R114" s="34" t="s">
        <v>441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437</v>
      </c>
      <c r="C115" s="29" t="s">
        <v>333</v>
      </c>
      <c r="D115" s="33"/>
      <c r="E115" s="6"/>
      <c r="F115" s="33"/>
      <c r="G115" s="119" t="s">
        <v>441</v>
      </c>
      <c r="H115" s="33"/>
      <c r="I115" s="6"/>
      <c r="J115" s="33"/>
      <c r="K115" s="35"/>
      <c r="O115" s="33"/>
      <c r="P115" s="6"/>
      <c r="Q115" s="33"/>
      <c r="R115" s="34" t="s">
        <v>441</v>
      </c>
      <c r="S115" s="33"/>
      <c r="T115" s="6"/>
      <c r="U115" s="33"/>
      <c r="V115" s="35"/>
    </row>
    <row r="116" spans="2:24" ht="13.35" hidden="1" customHeight="1" outlineLevel="3">
      <c r="B116" s="24" t="s">
        <v>437</v>
      </c>
      <c r="C116" s="29" t="s">
        <v>333</v>
      </c>
      <c r="D116" s="33"/>
      <c r="E116" s="6"/>
      <c r="F116" s="33"/>
      <c r="G116" s="119" t="s">
        <v>441</v>
      </c>
      <c r="H116" s="33"/>
      <c r="I116" s="6"/>
      <c r="J116" s="33"/>
      <c r="K116" s="35" t="s">
        <v>334</v>
      </c>
      <c r="O116" s="33"/>
      <c r="P116" s="6"/>
      <c r="Q116" s="33"/>
      <c r="R116" s="34" t="s">
        <v>441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437</v>
      </c>
      <c r="C117" s="29" t="s">
        <v>333</v>
      </c>
      <c r="D117" s="33"/>
      <c r="E117" s="6"/>
      <c r="F117" s="33"/>
      <c r="G117" s="119" t="s">
        <v>441</v>
      </c>
      <c r="H117" s="33"/>
      <c r="I117" s="6"/>
      <c r="J117" s="33"/>
      <c r="K117" s="35" t="s">
        <v>335</v>
      </c>
      <c r="O117" s="33"/>
      <c r="P117" s="6"/>
      <c r="Q117" s="33"/>
      <c r="R117" s="34" t="s">
        <v>441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437</v>
      </c>
      <c r="C118" s="29" t="s">
        <v>333</v>
      </c>
      <c r="D118" s="33"/>
      <c r="E118" s="6"/>
      <c r="F118" s="33"/>
      <c r="G118" s="119" t="s">
        <v>441</v>
      </c>
      <c r="H118" s="33"/>
      <c r="I118" s="6"/>
      <c r="J118" s="33"/>
      <c r="K118" s="35" t="s">
        <v>336</v>
      </c>
      <c r="O118" s="33"/>
      <c r="P118" s="6"/>
      <c r="Q118" s="33"/>
      <c r="R118" s="34" t="s">
        <v>441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437</v>
      </c>
      <c r="C119" s="29" t="s">
        <v>333</v>
      </c>
      <c r="D119" s="33"/>
      <c r="E119" s="6"/>
      <c r="G119" s="119" t="s">
        <v>441</v>
      </c>
      <c r="I119" s="6"/>
      <c r="K119" s="35"/>
      <c r="P119" s="6"/>
      <c r="R119" s="34" t="s">
        <v>441</v>
      </c>
      <c r="S119" s="5"/>
      <c r="T119" s="6"/>
      <c r="U119" s="5"/>
      <c r="V119" s="35"/>
    </row>
    <row r="120" spans="2:24" ht="13.35" hidden="1" customHeight="1" outlineLevel="3">
      <c r="B120" s="24" t="s">
        <v>437</v>
      </c>
      <c r="C120" s="29" t="s">
        <v>333</v>
      </c>
      <c r="D120" s="33"/>
      <c r="E120" s="6"/>
      <c r="G120" s="119" t="s">
        <v>441</v>
      </c>
      <c r="I120" s="6"/>
      <c r="K120" s="35"/>
      <c r="P120" s="6"/>
      <c r="R120" s="34" t="s">
        <v>441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333</v>
      </c>
      <c r="D121" s="33"/>
      <c r="E121" s="6"/>
      <c r="G121" s="119" t="s">
        <v>441</v>
      </c>
      <c r="I121" s="6"/>
      <c r="K121" s="35"/>
      <c r="P121" s="6"/>
      <c r="R121" s="34" t="s">
        <v>441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333</v>
      </c>
      <c r="D122" s="33"/>
      <c r="E122" s="6"/>
      <c r="G122" s="119" t="s">
        <v>441</v>
      </c>
      <c r="I122" s="6"/>
      <c r="K122" s="35" t="s">
        <v>750</v>
      </c>
      <c r="P122" s="6"/>
      <c r="R122" s="34" t="s">
        <v>441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333</v>
      </c>
      <c r="D123" s="33"/>
      <c r="E123" s="6"/>
      <c r="G123" s="119" t="s">
        <v>441</v>
      </c>
      <c r="I123" s="6"/>
      <c r="K123" s="35" t="s">
        <v>245</v>
      </c>
      <c r="P123" s="6"/>
      <c r="R123" s="34" t="s">
        <v>441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333</v>
      </c>
      <c r="D124" s="33"/>
      <c r="E124" s="6"/>
      <c r="G124" s="119" t="s">
        <v>441</v>
      </c>
      <c r="I124" s="6"/>
      <c r="K124" s="35" t="s">
        <v>254</v>
      </c>
      <c r="P124" s="6"/>
      <c r="R124" s="34" t="s">
        <v>441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437</v>
      </c>
      <c r="C126" s="29" t="s">
        <v>341</v>
      </c>
      <c r="D126" s="33"/>
      <c r="E126" s="6"/>
      <c r="G126" s="119" t="s">
        <v>441</v>
      </c>
      <c r="I126" s="6"/>
      <c r="K126" s="35" t="s">
        <v>751</v>
      </c>
      <c r="L126" s="35" t="s">
        <v>752</v>
      </c>
      <c r="M126" s="35" t="s">
        <v>753</v>
      </c>
      <c r="P126" s="6"/>
      <c r="R126" s="34" t="s">
        <v>441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437</v>
      </c>
      <c r="C127" s="29" t="s">
        <v>341</v>
      </c>
      <c r="D127" s="33"/>
      <c r="E127" s="6"/>
      <c r="G127" s="119" t="s">
        <v>441</v>
      </c>
      <c r="I127" s="6"/>
      <c r="K127" s="35" t="s">
        <v>346</v>
      </c>
      <c r="L127" s="35" t="s">
        <v>754</v>
      </c>
      <c r="M127" s="74"/>
      <c r="P127" s="6"/>
      <c r="R127" s="34" t="s">
        <v>441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437</v>
      </c>
      <c r="C128" s="29" t="s">
        <v>341</v>
      </c>
      <c r="D128" s="33"/>
      <c r="E128" s="6"/>
      <c r="G128" s="119" t="s">
        <v>441</v>
      </c>
      <c r="I128" s="6"/>
      <c r="K128" s="35" t="s">
        <v>352</v>
      </c>
      <c r="L128" s="35" t="s">
        <v>755</v>
      </c>
      <c r="P128" s="6"/>
      <c r="R128" s="34" t="s">
        <v>441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437</v>
      </c>
      <c r="C129" s="29" t="s">
        <v>341</v>
      </c>
      <c r="D129" s="33"/>
      <c r="E129" s="6"/>
      <c r="G129" s="119" t="s">
        <v>441</v>
      </c>
      <c r="I129" s="6"/>
      <c r="K129" s="35" t="s">
        <v>353</v>
      </c>
      <c r="L129" s="35" t="s">
        <v>756</v>
      </c>
      <c r="P129" s="6"/>
      <c r="R129" s="34" t="s">
        <v>441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437</v>
      </c>
      <c r="C130" s="29" t="s">
        <v>341</v>
      </c>
      <c r="D130" s="33"/>
      <c r="E130" s="6"/>
      <c r="G130" s="119" t="s">
        <v>441</v>
      </c>
      <c r="I130" s="6"/>
      <c r="K130" s="76" t="s">
        <v>342</v>
      </c>
      <c r="L130" s="35" t="s">
        <v>757</v>
      </c>
      <c r="P130" s="6"/>
      <c r="R130" s="34" t="s">
        <v>441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437</v>
      </c>
      <c r="C131" s="29" t="s">
        <v>341</v>
      </c>
      <c r="D131" s="33"/>
      <c r="E131" s="6"/>
      <c r="G131" s="119" t="s">
        <v>441</v>
      </c>
      <c r="I131" s="6"/>
      <c r="K131" s="76" t="s">
        <v>546</v>
      </c>
      <c r="L131" s="35" t="s">
        <v>358</v>
      </c>
      <c r="P131" s="6"/>
      <c r="R131" s="34" t="s">
        <v>441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437</v>
      </c>
      <c r="C132" s="29" t="s">
        <v>341</v>
      </c>
      <c r="D132" s="33"/>
      <c r="E132" s="6"/>
      <c r="G132" s="119" t="s">
        <v>441</v>
      </c>
      <c r="I132" s="6"/>
      <c r="K132" s="76" t="s">
        <v>547</v>
      </c>
      <c r="L132" s="35" t="s">
        <v>357</v>
      </c>
      <c r="P132" s="6"/>
      <c r="R132" s="34" t="s">
        <v>441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437</v>
      </c>
      <c r="C133" s="29" t="s">
        <v>341</v>
      </c>
      <c r="D133" s="33"/>
      <c r="E133" s="6"/>
      <c r="G133" s="119" t="s">
        <v>441</v>
      </c>
      <c r="I133" s="6"/>
      <c r="K133" s="76" t="s">
        <v>345</v>
      </c>
      <c r="L133" s="74"/>
      <c r="P133" s="6"/>
      <c r="R133" s="34" t="s">
        <v>441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437</v>
      </c>
      <c r="C134" s="29" t="s">
        <v>341</v>
      </c>
      <c r="D134" s="33"/>
      <c r="E134" s="6"/>
      <c r="G134" s="119" t="s">
        <v>441</v>
      </c>
      <c r="I134" s="6"/>
      <c r="K134" s="35" t="s">
        <v>466</v>
      </c>
      <c r="L134" s="74"/>
      <c r="P134" s="6"/>
      <c r="R134" s="34" t="s">
        <v>441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437</v>
      </c>
      <c r="C135" s="29" t="s">
        <v>341</v>
      </c>
      <c r="D135" s="33"/>
      <c r="E135" s="6"/>
      <c r="G135" s="119" t="s">
        <v>441</v>
      </c>
      <c r="I135" s="6"/>
      <c r="K135" s="35" t="s">
        <v>467</v>
      </c>
      <c r="L135" s="74"/>
      <c r="P135" s="6"/>
      <c r="R135" s="34" t="s">
        <v>441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437</v>
      </c>
      <c r="C136" s="29" t="s">
        <v>341</v>
      </c>
      <c r="D136" s="33"/>
      <c r="E136" s="6"/>
      <c r="G136" s="119" t="s">
        <v>441</v>
      </c>
      <c r="I136" s="6"/>
      <c r="K136" s="35" t="s">
        <v>355</v>
      </c>
      <c r="L136" s="74"/>
      <c r="P136" s="6"/>
      <c r="R136" s="34" t="s">
        <v>441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437</v>
      </c>
      <c r="C137" s="29" t="s">
        <v>341</v>
      </c>
      <c r="D137" s="33"/>
      <c r="E137" s="6"/>
      <c r="G137" s="119" t="s">
        <v>441</v>
      </c>
      <c r="I137" s="6"/>
      <c r="K137" s="35" t="s">
        <v>351</v>
      </c>
      <c r="L137" s="35"/>
      <c r="P137" s="6"/>
      <c r="R137" s="34" t="s">
        <v>441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622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437</v>
      </c>
      <c r="C140" s="29" t="s">
        <v>758</v>
      </c>
      <c r="D140" s="33"/>
      <c r="E140" s="6"/>
      <c r="F140" s="33"/>
      <c r="G140" s="119" t="s">
        <v>441</v>
      </c>
      <c r="H140" s="33"/>
      <c r="I140" s="6"/>
      <c r="J140" s="33"/>
      <c r="K140" s="35" t="s">
        <v>759</v>
      </c>
      <c r="O140" s="33"/>
      <c r="P140" s="6"/>
      <c r="Q140" s="33"/>
      <c r="R140" s="34" t="s">
        <v>441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437</v>
      </c>
      <c r="C141" s="29" t="s">
        <v>760</v>
      </c>
      <c r="D141" s="33"/>
      <c r="E141" s="6"/>
      <c r="F141" s="33"/>
      <c r="G141" s="119" t="s">
        <v>441</v>
      </c>
      <c r="H141" s="33"/>
      <c r="I141" s="6"/>
      <c r="J141" s="33"/>
      <c r="K141" s="35" t="s">
        <v>759</v>
      </c>
      <c r="O141" s="33"/>
      <c r="P141" s="6"/>
      <c r="Q141" s="33"/>
      <c r="R141" s="34" t="s">
        <v>441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170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171</v>
      </c>
      <c r="D144" s="33"/>
      <c r="E144" s="6"/>
      <c r="F144" s="33"/>
      <c r="G144" s="120" t="s">
        <v>441</v>
      </c>
      <c r="H144" s="33"/>
      <c r="I144" s="6"/>
      <c r="J144" s="33"/>
      <c r="K144" s="126"/>
      <c r="L144" s="126" t="s">
        <v>759</v>
      </c>
      <c r="M144" s="127"/>
      <c r="N144" s="127"/>
      <c r="O144" s="33"/>
      <c r="P144" s="6"/>
      <c r="Q144" s="33"/>
      <c r="R144" s="38" t="s">
        <v>441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173</v>
      </c>
      <c r="D146" s="33"/>
      <c r="E146" s="6"/>
      <c r="F146" s="33"/>
      <c r="G146" s="120" t="s">
        <v>441</v>
      </c>
      <c r="H146" s="33"/>
      <c r="I146" s="6"/>
      <c r="J146" s="33"/>
      <c r="K146" s="126" t="s">
        <v>175</v>
      </c>
      <c r="L146" s="126" t="s">
        <v>759</v>
      </c>
      <c r="M146" s="127"/>
      <c r="N146" s="127"/>
      <c r="O146" s="33"/>
      <c r="P146" s="6"/>
      <c r="Q146" s="33"/>
      <c r="R146" s="38" t="s">
        <v>441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173</v>
      </c>
      <c r="D147" s="33"/>
      <c r="E147" s="6"/>
      <c r="F147" s="33"/>
      <c r="G147" s="120" t="s">
        <v>441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441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176</v>
      </c>
      <c r="D149" s="33"/>
      <c r="E149" s="6"/>
      <c r="F149" s="33"/>
      <c r="G149" s="120" t="s">
        <v>441</v>
      </c>
      <c r="H149" s="33"/>
      <c r="I149" s="6"/>
      <c r="J149" s="33"/>
      <c r="K149" s="126" t="s">
        <v>475</v>
      </c>
      <c r="L149" s="126" t="s">
        <v>761</v>
      </c>
      <c r="M149" s="126" t="s">
        <v>480</v>
      </c>
      <c r="N149" s="127"/>
      <c r="O149" s="33"/>
      <c r="P149" s="6"/>
      <c r="Q149" s="33"/>
      <c r="R149" s="38" t="s">
        <v>441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176</v>
      </c>
      <c r="D150" s="33"/>
      <c r="E150" s="6"/>
      <c r="F150" s="33"/>
      <c r="G150" s="120" t="s">
        <v>441</v>
      </c>
      <c r="H150" s="33"/>
      <c r="I150" s="6"/>
      <c r="J150" s="33"/>
      <c r="K150" s="126" t="s">
        <v>476</v>
      </c>
      <c r="L150" s="126" t="s">
        <v>762</v>
      </c>
      <c r="M150" s="126" t="s">
        <v>759</v>
      </c>
      <c r="N150" s="127"/>
      <c r="O150" s="33"/>
      <c r="P150" s="6"/>
      <c r="Q150" s="33"/>
      <c r="R150" s="38" t="s">
        <v>441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176</v>
      </c>
      <c r="D151" s="33"/>
      <c r="E151" s="6"/>
      <c r="F151" s="33"/>
      <c r="G151" s="120" t="s">
        <v>441</v>
      </c>
      <c r="H151" s="33"/>
      <c r="I151" s="6"/>
      <c r="J151" s="33"/>
      <c r="K151" s="126" t="s">
        <v>180</v>
      </c>
      <c r="L151" s="126" t="s">
        <v>478</v>
      </c>
      <c r="M151" s="127"/>
      <c r="N151" s="127"/>
      <c r="O151" s="33"/>
      <c r="P151" s="6"/>
      <c r="Q151" s="33"/>
      <c r="R151" s="38" t="s">
        <v>441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176</v>
      </c>
      <c r="D152" s="33"/>
      <c r="E152" s="6"/>
      <c r="F152" s="33"/>
      <c r="G152" s="120" t="s">
        <v>441</v>
      </c>
      <c r="H152" s="33"/>
      <c r="I152" s="6"/>
      <c r="J152" s="33"/>
      <c r="K152" s="126" t="s">
        <v>182</v>
      </c>
      <c r="L152" s="126" t="s">
        <v>479</v>
      </c>
      <c r="M152" s="127"/>
      <c r="N152" s="127"/>
      <c r="O152" s="33"/>
      <c r="P152" s="6"/>
      <c r="Q152" s="33"/>
      <c r="R152" s="38" t="s">
        <v>441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176</v>
      </c>
      <c r="D153" s="33"/>
      <c r="E153" s="6"/>
      <c r="F153" s="33"/>
      <c r="G153" s="120" t="s">
        <v>441</v>
      </c>
      <c r="H153" s="33"/>
      <c r="I153" s="6"/>
      <c r="J153" s="33"/>
      <c r="K153" s="126" t="s">
        <v>184</v>
      </c>
      <c r="L153" s="126" t="s">
        <v>763</v>
      </c>
      <c r="M153" s="127"/>
      <c r="N153" s="127"/>
      <c r="O153" s="33"/>
      <c r="P153" s="6"/>
      <c r="Q153" s="33"/>
      <c r="R153" s="38" t="s">
        <v>441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176</v>
      </c>
      <c r="D154" s="33"/>
      <c r="E154" s="6"/>
      <c r="F154" s="33"/>
      <c r="G154" s="120" t="s">
        <v>441</v>
      </c>
      <c r="H154" s="33"/>
      <c r="I154" s="6"/>
      <c r="J154" s="33"/>
      <c r="K154" s="126" t="s">
        <v>477</v>
      </c>
      <c r="L154" s="127"/>
      <c r="M154" s="127"/>
      <c r="N154" s="127"/>
      <c r="O154" s="33"/>
      <c r="P154" s="6"/>
      <c r="Q154" s="33"/>
      <c r="R154" s="38" t="s">
        <v>441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176</v>
      </c>
      <c r="D155" s="33"/>
      <c r="E155" s="6"/>
      <c r="G155" s="120" t="s">
        <v>441</v>
      </c>
      <c r="I155" s="6"/>
      <c r="L155" s="127"/>
      <c r="M155" s="127"/>
      <c r="N155" s="127"/>
      <c r="P155" s="6"/>
      <c r="R155" s="38" t="s">
        <v>441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176</v>
      </c>
      <c r="D156" s="33"/>
      <c r="E156" s="6"/>
      <c r="G156" s="120" t="s">
        <v>441</v>
      </c>
      <c r="I156" s="6"/>
      <c r="L156" s="127"/>
      <c r="M156" s="127"/>
      <c r="N156" s="127"/>
      <c r="P156" s="6"/>
      <c r="R156" s="38" t="s">
        <v>441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176</v>
      </c>
      <c r="D157" s="33"/>
      <c r="E157" s="6"/>
      <c r="G157" s="120" t="s">
        <v>441</v>
      </c>
      <c r="I157" s="6"/>
      <c r="K157" s="128"/>
      <c r="L157" s="127"/>
      <c r="M157" s="127"/>
      <c r="N157" s="127"/>
      <c r="P157" s="6"/>
      <c r="R157" s="38" t="s">
        <v>441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176</v>
      </c>
      <c r="D158" s="33"/>
      <c r="E158" s="6"/>
      <c r="G158" s="120" t="s">
        <v>441</v>
      </c>
      <c r="I158" s="6"/>
      <c r="K158" s="128"/>
      <c r="L158" s="127"/>
      <c r="M158" s="127"/>
      <c r="N158" s="127"/>
      <c r="P158" s="6"/>
      <c r="R158" s="38" t="s">
        <v>441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176</v>
      </c>
      <c r="D159" s="33"/>
      <c r="E159" s="6"/>
      <c r="G159" s="120" t="s">
        <v>441</v>
      </c>
      <c r="I159" s="6"/>
      <c r="K159" s="128"/>
      <c r="L159" s="127"/>
      <c r="M159" s="127"/>
      <c r="N159" s="127"/>
      <c r="P159" s="6"/>
      <c r="R159" s="38" t="s">
        <v>441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176</v>
      </c>
      <c r="D160" s="33"/>
      <c r="E160" s="6"/>
      <c r="G160" s="120" t="s">
        <v>441</v>
      </c>
      <c r="I160" s="6"/>
      <c r="K160" s="128"/>
      <c r="L160" s="127"/>
      <c r="M160" s="127"/>
      <c r="N160" s="127"/>
      <c r="P160" s="6"/>
      <c r="R160" s="38" t="s">
        <v>441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176</v>
      </c>
      <c r="D161" s="33"/>
      <c r="E161" s="6"/>
      <c r="G161" s="120" t="s">
        <v>441</v>
      </c>
      <c r="I161" s="6"/>
      <c r="K161" s="128"/>
      <c r="L161" s="127"/>
      <c r="M161" s="127"/>
      <c r="N161" s="127"/>
      <c r="P161" s="6"/>
      <c r="R161" s="38" t="s">
        <v>441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176</v>
      </c>
      <c r="D162" s="33"/>
      <c r="E162" s="6"/>
      <c r="G162" s="120" t="s">
        <v>441</v>
      </c>
      <c r="I162" s="6"/>
      <c r="K162" s="128"/>
      <c r="L162" s="127"/>
      <c r="M162" s="127"/>
      <c r="N162" s="127"/>
      <c r="P162" s="6"/>
      <c r="R162" s="38" t="s">
        <v>441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764</v>
      </c>
      <c r="D164" s="33"/>
      <c r="E164" s="6"/>
      <c r="G164" s="120" t="s">
        <v>441</v>
      </c>
      <c r="I164" s="6"/>
      <c r="K164" s="126" t="s">
        <v>206</v>
      </c>
      <c r="L164" s="126" t="s">
        <v>199</v>
      </c>
      <c r="M164" s="129" t="s">
        <v>765</v>
      </c>
      <c r="N164" s="129" t="s">
        <v>766</v>
      </c>
      <c r="P164" s="6"/>
      <c r="R164" s="38" t="s">
        <v>441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764</v>
      </c>
      <c r="D165" s="33"/>
      <c r="E165" s="6"/>
      <c r="G165" s="120" t="s">
        <v>441</v>
      </c>
      <c r="I165" s="6"/>
      <c r="K165" s="126" t="s">
        <v>208</v>
      </c>
      <c r="L165" s="126" t="s">
        <v>767</v>
      </c>
      <c r="M165" s="129" t="s">
        <v>768</v>
      </c>
      <c r="N165" s="126" t="s">
        <v>769</v>
      </c>
      <c r="P165" s="6"/>
      <c r="R165" s="38" t="s">
        <v>441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764</v>
      </c>
      <c r="D166" s="33"/>
      <c r="E166" s="6"/>
      <c r="G166" s="120" t="s">
        <v>441</v>
      </c>
      <c r="I166" s="6"/>
      <c r="K166" s="126" t="s">
        <v>770</v>
      </c>
      <c r="L166" s="126" t="s">
        <v>771</v>
      </c>
      <c r="M166" s="129" t="s">
        <v>772</v>
      </c>
      <c r="N166" s="126" t="s">
        <v>773</v>
      </c>
      <c r="P166" s="6"/>
      <c r="R166" s="38" t="s">
        <v>441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764</v>
      </c>
      <c r="D167" s="33"/>
      <c r="E167" s="6"/>
      <c r="G167" s="120" t="s">
        <v>441</v>
      </c>
      <c r="I167" s="6"/>
      <c r="K167" s="126" t="s">
        <v>774</v>
      </c>
      <c r="L167" s="126" t="s">
        <v>775</v>
      </c>
      <c r="M167" s="129" t="s">
        <v>776</v>
      </c>
      <c r="N167" s="126" t="s">
        <v>777</v>
      </c>
      <c r="P167" s="6"/>
      <c r="R167" s="38" t="s">
        <v>441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764</v>
      </c>
      <c r="D168" s="33"/>
      <c r="E168" s="6"/>
      <c r="G168" s="120" t="s">
        <v>441</v>
      </c>
      <c r="I168" s="6"/>
      <c r="K168" s="127"/>
      <c r="L168" s="126" t="s">
        <v>778</v>
      </c>
      <c r="M168" s="129" t="s">
        <v>779</v>
      </c>
      <c r="N168" s="128" t="s">
        <v>780</v>
      </c>
      <c r="P168" s="6"/>
      <c r="R168" s="38" t="s">
        <v>441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764</v>
      </c>
      <c r="D169" s="33"/>
      <c r="E169" s="6"/>
      <c r="G169" s="120" t="s">
        <v>441</v>
      </c>
      <c r="I169" s="6"/>
      <c r="K169" s="127"/>
      <c r="L169" s="126" t="s">
        <v>781</v>
      </c>
      <c r="M169" s="129" t="s">
        <v>782</v>
      </c>
      <c r="N169" s="128" t="s">
        <v>783</v>
      </c>
      <c r="P169" s="6"/>
      <c r="R169" s="38" t="s">
        <v>441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764</v>
      </c>
      <c r="D170" s="33"/>
      <c r="E170" s="6"/>
      <c r="G170" s="120" t="s">
        <v>441</v>
      </c>
      <c r="I170" s="6"/>
      <c r="K170" s="127"/>
      <c r="L170" s="126" t="s">
        <v>784</v>
      </c>
      <c r="M170" s="129" t="s">
        <v>785</v>
      </c>
      <c r="N170" s="128" t="s">
        <v>350</v>
      </c>
      <c r="P170" s="6"/>
      <c r="R170" s="38" t="s">
        <v>441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764</v>
      </c>
      <c r="D171" s="33"/>
      <c r="E171" s="6"/>
      <c r="G171" s="120" t="s">
        <v>441</v>
      </c>
      <c r="I171" s="6"/>
      <c r="K171" s="127"/>
      <c r="L171" s="129" t="s">
        <v>786</v>
      </c>
      <c r="M171" s="129" t="s">
        <v>787</v>
      </c>
      <c r="N171" s="130" t="s">
        <v>788</v>
      </c>
      <c r="P171" s="6"/>
      <c r="R171" s="38" t="s">
        <v>441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764</v>
      </c>
      <c r="D172" s="33"/>
      <c r="E172" s="6"/>
      <c r="G172" s="120" t="s">
        <v>441</v>
      </c>
      <c r="I172" s="6"/>
      <c r="K172" s="127"/>
      <c r="L172" s="129" t="s">
        <v>789</v>
      </c>
      <c r="M172" s="126" t="s">
        <v>790</v>
      </c>
      <c r="N172" s="130" t="s">
        <v>791</v>
      </c>
      <c r="P172" s="6"/>
      <c r="R172" s="38" t="s">
        <v>441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764</v>
      </c>
      <c r="D173" s="33"/>
      <c r="E173" s="6"/>
      <c r="G173" s="120" t="s">
        <v>441</v>
      </c>
      <c r="I173" s="6"/>
      <c r="K173" s="126"/>
      <c r="L173" s="129" t="s">
        <v>792</v>
      </c>
      <c r="M173" s="126" t="s">
        <v>793</v>
      </c>
      <c r="N173" s="130" t="s">
        <v>794</v>
      </c>
      <c r="P173" s="6"/>
      <c r="R173" s="38" t="s">
        <v>441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764</v>
      </c>
      <c r="D174" s="33"/>
      <c r="E174" s="6"/>
      <c r="G174" s="120" t="s">
        <v>441</v>
      </c>
      <c r="I174" s="6"/>
      <c r="K174" s="128"/>
      <c r="L174" s="129" t="s">
        <v>795</v>
      </c>
      <c r="M174" s="126" t="s">
        <v>796</v>
      </c>
      <c r="N174" s="130" t="s">
        <v>797</v>
      </c>
      <c r="P174" s="6"/>
      <c r="R174" s="38" t="s">
        <v>441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764</v>
      </c>
      <c r="D175" s="33"/>
      <c r="E175" s="6"/>
      <c r="G175" s="120" t="s">
        <v>441</v>
      </c>
      <c r="I175" s="6"/>
      <c r="K175" s="128"/>
      <c r="L175" s="126" t="s">
        <v>798</v>
      </c>
      <c r="M175" s="126" t="s">
        <v>799</v>
      </c>
      <c r="N175" s="130" t="s">
        <v>759</v>
      </c>
      <c r="P175" s="6"/>
      <c r="R175" s="38" t="s">
        <v>441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764</v>
      </c>
      <c r="D176" s="33"/>
      <c r="E176" s="6"/>
      <c r="G176" s="120" t="s">
        <v>441</v>
      </c>
      <c r="I176" s="6"/>
      <c r="K176" s="128"/>
      <c r="L176" s="127"/>
      <c r="M176" s="129" t="s">
        <v>480</v>
      </c>
      <c r="N176" s="131" t="s">
        <v>800</v>
      </c>
      <c r="P176" s="6"/>
      <c r="R176" s="38" t="s">
        <v>441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764</v>
      </c>
      <c r="D177" s="33"/>
      <c r="E177" s="6"/>
      <c r="G177" s="120" t="s">
        <v>441</v>
      </c>
      <c r="I177" s="6"/>
      <c r="K177" s="126"/>
      <c r="L177" s="127"/>
      <c r="M177" s="128"/>
      <c r="N177" s="131" t="s">
        <v>801</v>
      </c>
      <c r="P177" s="6"/>
      <c r="R177" s="38" t="s">
        <v>441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764</v>
      </c>
      <c r="D178" s="33"/>
      <c r="E178" s="6"/>
      <c r="G178" s="120" t="s">
        <v>441</v>
      </c>
      <c r="I178" s="6"/>
      <c r="K178" s="72"/>
      <c r="L178" s="129"/>
      <c r="M178" s="128"/>
      <c r="N178" s="131" t="s">
        <v>802</v>
      </c>
      <c r="P178" s="6"/>
      <c r="R178" s="38" t="s">
        <v>441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764</v>
      </c>
      <c r="D179" s="33"/>
      <c r="E179" s="6"/>
      <c r="G179" s="120" t="s">
        <v>441</v>
      </c>
      <c r="I179" s="6"/>
      <c r="K179" s="72"/>
      <c r="L179" s="129"/>
      <c r="M179" s="127"/>
      <c r="N179" s="131" t="s">
        <v>803</v>
      </c>
      <c r="P179" s="6"/>
      <c r="R179" s="38" t="s">
        <v>441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764</v>
      </c>
      <c r="D180" s="33"/>
      <c r="E180" s="6"/>
      <c r="G180" s="120" t="s">
        <v>441</v>
      </c>
      <c r="I180" s="6"/>
      <c r="K180" s="127"/>
      <c r="L180" s="127"/>
      <c r="M180" s="127"/>
      <c r="N180" s="127"/>
      <c r="P180" s="6"/>
      <c r="R180" s="38" t="s">
        <v>441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764</v>
      </c>
      <c r="D181" s="33"/>
      <c r="E181" s="6"/>
      <c r="G181" s="120" t="s">
        <v>441</v>
      </c>
      <c r="I181" s="6"/>
      <c r="K181" s="127"/>
      <c r="L181" s="127"/>
      <c r="M181" s="127"/>
      <c r="N181" s="127"/>
      <c r="P181" s="6"/>
      <c r="R181" s="38" t="s">
        <v>441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764</v>
      </c>
      <c r="D182" s="33"/>
      <c r="E182" s="6"/>
      <c r="G182" s="120" t="s">
        <v>441</v>
      </c>
      <c r="I182" s="6"/>
      <c r="K182" s="127"/>
      <c r="L182" s="127"/>
      <c r="M182" s="127"/>
      <c r="N182" s="127"/>
      <c r="P182" s="6"/>
      <c r="R182" s="38" t="s">
        <v>441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764</v>
      </c>
      <c r="D183" s="33"/>
      <c r="E183" s="6"/>
      <c r="G183" s="120" t="s">
        <v>441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764</v>
      </c>
      <c r="D184" s="33"/>
      <c r="E184" s="6"/>
      <c r="G184" s="120" t="s">
        <v>441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764</v>
      </c>
      <c r="D185" s="33"/>
      <c r="E185" s="6"/>
      <c r="G185" s="120" t="s">
        <v>441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764</v>
      </c>
      <c r="D186" s="33"/>
      <c r="E186" s="6"/>
      <c r="G186" s="120" t="s">
        <v>441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764</v>
      </c>
      <c r="D187" s="33"/>
      <c r="E187" s="6"/>
      <c r="G187" s="120" t="s">
        <v>441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764</v>
      </c>
      <c r="D188" s="33"/>
      <c r="E188" s="6"/>
      <c r="G188" s="120" t="s">
        <v>441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764</v>
      </c>
      <c r="D189" s="33"/>
      <c r="E189" s="6"/>
      <c r="G189" s="120" t="s">
        <v>441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764</v>
      </c>
      <c r="D190" s="33"/>
      <c r="E190" s="6"/>
      <c r="G190" s="120" t="s">
        <v>441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764</v>
      </c>
      <c r="D191" s="33"/>
      <c r="E191" s="6"/>
      <c r="G191" s="120" t="s">
        <v>441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764</v>
      </c>
      <c r="D192" s="33"/>
      <c r="E192" s="6"/>
      <c r="G192" s="120" t="s">
        <v>441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764</v>
      </c>
      <c r="D193" s="33"/>
      <c r="E193" s="6"/>
      <c r="G193" s="120" t="s">
        <v>441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764</v>
      </c>
      <c r="D194" s="33"/>
      <c r="E194" s="6"/>
      <c r="G194" s="120" t="s">
        <v>441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764</v>
      </c>
      <c r="D195" s="33"/>
      <c r="E195" s="6"/>
      <c r="G195" s="121" t="s">
        <v>441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764</v>
      </c>
      <c r="D196" s="33"/>
      <c r="E196" s="6"/>
      <c r="G196" s="121" t="s">
        <v>441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482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441</v>
      </c>
      <c r="H199" s="33"/>
      <c r="I199" s="6"/>
      <c r="J199" s="33"/>
      <c r="K199" s="42" t="s">
        <v>804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393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441</v>
      </c>
      <c r="H202" s="33"/>
      <c r="I202" s="6"/>
      <c r="J202" s="33"/>
      <c r="K202" s="78" t="s">
        <v>483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484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441</v>
      </c>
      <c r="H205" s="33"/>
      <c r="I205" s="6"/>
      <c r="J205" s="33"/>
      <c r="K205" s="42" t="s">
        <v>805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486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441</v>
      </c>
      <c r="H208" s="33"/>
      <c r="I208" s="6"/>
      <c r="J208" s="33"/>
      <c r="K208" s="42" t="s">
        <v>366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488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7.6" hidden="1" outlineLevel="3">
      <c r="B211" s="28"/>
      <c r="C211" s="29"/>
      <c r="D211" s="33"/>
      <c r="E211" s="6"/>
      <c r="F211" s="33"/>
      <c r="G211" s="118" t="s">
        <v>441</v>
      </c>
      <c r="H211" s="33"/>
      <c r="I211" s="6"/>
      <c r="J211" s="33"/>
      <c r="K211" s="42" t="s">
        <v>806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316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1.45" hidden="1" outlineLevel="3">
      <c r="B214" s="28"/>
      <c r="C214" s="29" t="s">
        <v>443</v>
      </c>
      <c r="D214" s="8"/>
      <c r="E214" s="90"/>
      <c r="F214" s="8"/>
      <c r="G214" s="118" t="s">
        <v>441</v>
      </c>
      <c r="H214" s="8"/>
      <c r="I214" s="90"/>
      <c r="J214" s="8"/>
      <c r="K214" s="144" t="s">
        <v>807</v>
      </c>
      <c r="L214" s="144" t="s">
        <v>808</v>
      </c>
      <c r="M214" s="144" t="s">
        <v>809</v>
      </c>
      <c r="N214" s="144" t="s">
        <v>810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1.45" hidden="1" outlineLevel="3">
      <c r="B215" s="28"/>
      <c r="C215" s="29" t="s">
        <v>443</v>
      </c>
      <c r="D215" s="8"/>
      <c r="E215" s="90"/>
      <c r="F215" s="8"/>
      <c r="G215" s="118" t="s">
        <v>441</v>
      </c>
      <c r="H215" s="8"/>
      <c r="I215" s="90"/>
      <c r="J215" s="8"/>
      <c r="K215" s="144"/>
      <c r="L215" s="144"/>
      <c r="M215" s="144" t="s">
        <v>811</v>
      </c>
      <c r="N215" s="144" t="s">
        <v>812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1.45" hidden="1" outlineLevel="3">
      <c r="B216" s="28"/>
      <c r="C216" s="29" t="s">
        <v>443</v>
      </c>
      <c r="D216" s="8"/>
      <c r="E216" s="90"/>
      <c r="F216" s="8"/>
      <c r="G216" s="118" t="s">
        <v>441</v>
      </c>
      <c r="H216" s="8"/>
      <c r="I216" s="90"/>
      <c r="J216" s="8"/>
      <c r="K216" s="137"/>
      <c r="L216" s="137"/>
      <c r="M216" s="144" t="s">
        <v>813</v>
      </c>
      <c r="N216" s="144" t="s">
        <v>814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1.45" hidden="1" outlineLevel="3">
      <c r="B217" s="28"/>
      <c r="C217" s="29" t="s">
        <v>443</v>
      </c>
      <c r="D217" s="8"/>
      <c r="E217" s="90"/>
      <c r="F217" s="8"/>
      <c r="G217" s="118" t="s">
        <v>441</v>
      </c>
      <c r="H217" s="8"/>
      <c r="I217" s="90"/>
      <c r="J217" s="8"/>
      <c r="K217" s="137"/>
      <c r="L217" s="137"/>
      <c r="M217" s="144" t="s">
        <v>451</v>
      </c>
      <c r="N217" s="144" t="s">
        <v>815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7.6" hidden="1" outlineLevel="3">
      <c r="B218" s="28"/>
      <c r="C218" s="29" t="s">
        <v>443</v>
      </c>
      <c r="D218" s="8"/>
      <c r="E218" s="90"/>
      <c r="F218" s="8"/>
      <c r="G218" s="118" t="s">
        <v>441</v>
      </c>
      <c r="H218" s="8"/>
      <c r="I218" s="90"/>
      <c r="J218" s="8"/>
      <c r="K218" s="137"/>
      <c r="L218" s="137"/>
      <c r="M218" s="144" t="s">
        <v>452</v>
      </c>
      <c r="N218" s="144" t="s">
        <v>816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1.45" hidden="1" outlineLevel="3">
      <c r="B219" s="28"/>
      <c r="C219" s="29" t="s">
        <v>443</v>
      </c>
      <c r="D219" s="8"/>
      <c r="E219" s="90"/>
      <c r="F219" s="8"/>
      <c r="G219" s="118" t="s">
        <v>441</v>
      </c>
      <c r="H219" s="8"/>
      <c r="I219" s="90"/>
      <c r="J219" s="8"/>
      <c r="K219" s="137"/>
      <c r="L219" s="137"/>
      <c r="M219" s="144"/>
      <c r="N219" s="144" t="s">
        <v>817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1.45" hidden="1" outlineLevel="3">
      <c r="B220" s="28"/>
      <c r="C220" s="29" t="s">
        <v>443</v>
      </c>
      <c r="D220" s="8"/>
      <c r="E220" s="90"/>
      <c r="F220" s="8"/>
      <c r="G220" s="118" t="s">
        <v>441</v>
      </c>
      <c r="H220" s="8"/>
      <c r="I220" s="90"/>
      <c r="J220" s="8"/>
      <c r="K220" s="137"/>
      <c r="L220" s="137"/>
      <c r="M220" s="144"/>
      <c r="N220" s="144" t="s">
        <v>818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7.6" hidden="1" outlineLevel="3">
      <c r="B221" s="28"/>
      <c r="C221" s="29" t="s">
        <v>443</v>
      </c>
      <c r="D221" s="8"/>
      <c r="E221" s="90"/>
      <c r="F221" s="8"/>
      <c r="G221" s="118" t="s">
        <v>441</v>
      </c>
      <c r="H221" s="8"/>
      <c r="I221" s="90"/>
      <c r="J221" s="8"/>
      <c r="K221" s="137"/>
      <c r="L221" s="137"/>
      <c r="M221" s="144"/>
      <c r="N221" s="144" t="s">
        <v>819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1.45" hidden="1" outlineLevel="3">
      <c r="B222" s="28"/>
      <c r="C222" s="29" t="s">
        <v>443</v>
      </c>
      <c r="D222" s="8"/>
      <c r="E222" s="90"/>
      <c r="F222" s="8"/>
      <c r="G222" s="118" t="s">
        <v>441</v>
      </c>
      <c r="H222" s="8"/>
      <c r="I222" s="90"/>
      <c r="J222" s="8"/>
      <c r="K222" s="137"/>
      <c r="L222" s="137"/>
      <c r="M222" s="144"/>
      <c r="N222" s="144" t="s">
        <v>820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1.45" hidden="1" outlineLevel="3">
      <c r="B223" s="28"/>
      <c r="C223" s="29" t="s">
        <v>443</v>
      </c>
      <c r="D223" s="8"/>
      <c r="E223" s="90"/>
      <c r="F223" s="8"/>
      <c r="G223" s="118" t="s">
        <v>441</v>
      </c>
      <c r="H223" s="8"/>
      <c r="I223" s="90"/>
      <c r="J223" s="8"/>
      <c r="K223" s="137"/>
      <c r="L223" s="137"/>
      <c r="M223" s="144"/>
      <c r="N223" s="144" t="s">
        <v>449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7.6" hidden="1" outlineLevel="3">
      <c r="B224" s="28"/>
      <c r="C224" s="29" t="s">
        <v>443</v>
      </c>
      <c r="D224" s="8"/>
      <c r="E224" s="90"/>
      <c r="F224" s="8"/>
      <c r="G224" s="118" t="s">
        <v>441</v>
      </c>
      <c r="H224" s="8"/>
      <c r="I224" s="90"/>
      <c r="J224" s="8"/>
      <c r="K224" s="137"/>
      <c r="L224" s="137"/>
      <c r="M224" s="144"/>
      <c r="N224" s="144" t="s">
        <v>821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1.45" hidden="1" outlineLevel="3">
      <c r="B225" s="28"/>
      <c r="C225" s="29" t="s">
        <v>443</v>
      </c>
      <c r="D225" s="8"/>
      <c r="E225" s="90"/>
      <c r="F225" s="8"/>
      <c r="G225" s="118" t="s">
        <v>441</v>
      </c>
      <c r="H225" s="8"/>
      <c r="I225" s="90"/>
      <c r="J225" s="8"/>
      <c r="K225" s="137"/>
      <c r="L225" s="137"/>
      <c r="M225" s="144"/>
      <c r="N225" s="144" t="s">
        <v>822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252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5.15" hidden="1" outlineLevel="3">
      <c r="B228" s="28"/>
      <c r="C228" s="29"/>
      <c r="D228" s="8"/>
      <c r="E228" s="90"/>
      <c r="F228" s="8"/>
      <c r="G228" s="118" t="s">
        <v>441</v>
      </c>
      <c r="H228" s="8"/>
      <c r="I228" s="90"/>
      <c r="J228" s="8"/>
      <c r="K228" s="29" t="s">
        <v>199</v>
      </c>
      <c r="L228" s="29" t="s">
        <v>823</v>
      </c>
      <c r="M228" s="29" t="s">
        <v>824</v>
      </c>
      <c r="N228" s="29" t="s">
        <v>247</v>
      </c>
      <c r="O228" s="8"/>
      <c r="P228" s="90"/>
      <c r="Q228" s="8"/>
      <c r="R228" s="33" t="s">
        <v>441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7.6" hidden="1" outlineLevel="3">
      <c r="B229" s="28"/>
      <c r="C229" s="29"/>
      <c r="D229" s="8"/>
      <c r="E229" s="90"/>
      <c r="F229" s="8"/>
      <c r="G229" s="118" t="s">
        <v>441</v>
      </c>
      <c r="H229" s="8"/>
      <c r="I229" s="90"/>
      <c r="J229" s="8"/>
      <c r="K229" s="29" t="s">
        <v>825</v>
      </c>
      <c r="L229" s="29" t="s">
        <v>826</v>
      </c>
      <c r="M229" s="29" t="s">
        <v>271</v>
      </c>
      <c r="N229" s="29" t="s">
        <v>249</v>
      </c>
      <c r="O229" s="8"/>
      <c r="P229" s="90"/>
      <c r="Q229" s="8"/>
      <c r="R229" s="33" t="s">
        <v>441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5.15" hidden="1" outlineLevel="3">
      <c r="B230" s="28"/>
      <c r="C230" s="29"/>
      <c r="D230" s="8"/>
      <c r="E230" s="90"/>
      <c r="F230" s="8"/>
      <c r="G230" s="118" t="s">
        <v>441</v>
      </c>
      <c r="H230" s="8"/>
      <c r="I230" s="90"/>
      <c r="J230" s="8"/>
      <c r="K230" s="29" t="s">
        <v>827</v>
      </c>
      <c r="L230" s="29" t="s">
        <v>828</v>
      </c>
      <c r="M230" s="29" t="s">
        <v>829</v>
      </c>
      <c r="N230" s="25" t="s">
        <v>254</v>
      </c>
      <c r="O230" s="8"/>
      <c r="P230" s="90"/>
      <c r="Q230" s="8"/>
      <c r="R230" s="33" t="s">
        <v>441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7.6" hidden="1" outlineLevel="3">
      <c r="B231" s="28"/>
      <c r="C231" s="29"/>
      <c r="D231" s="8"/>
      <c r="E231" s="90"/>
      <c r="F231" s="8"/>
      <c r="G231" s="118" t="s">
        <v>441</v>
      </c>
      <c r="H231" s="8"/>
      <c r="I231" s="90"/>
      <c r="J231" s="8"/>
      <c r="K231" s="29" t="s">
        <v>830</v>
      </c>
      <c r="L231" s="29" t="s">
        <v>831</v>
      </c>
      <c r="M231" s="29" t="s">
        <v>273</v>
      </c>
      <c r="N231" s="29" t="s">
        <v>255</v>
      </c>
      <c r="O231" s="8"/>
      <c r="P231" s="90"/>
      <c r="Q231" s="8"/>
      <c r="R231" s="33" t="s">
        <v>441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5.15" hidden="1" outlineLevel="3">
      <c r="B232" s="28"/>
      <c r="C232" s="29"/>
      <c r="D232" s="8"/>
      <c r="E232" s="90"/>
      <c r="F232" s="8"/>
      <c r="G232" s="118" t="s">
        <v>441</v>
      </c>
      <c r="H232" s="8"/>
      <c r="I232" s="90"/>
      <c r="J232" s="8"/>
      <c r="K232" s="29" t="s">
        <v>832</v>
      </c>
      <c r="L232" s="29" t="s">
        <v>833</v>
      </c>
      <c r="M232" s="29" t="s">
        <v>834</v>
      </c>
      <c r="N232" s="29" t="s">
        <v>258</v>
      </c>
      <c r="O232" s="8"/>
      <c r="P232" s="90"/>
      <c r="Q232" s="8"/>
      <c r="R232" s="33" t="s">
        <v>441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5.15" hidden="1" outlineLevel="3">
      <c r="B233" s="28"/>
      <c r="C233" s="29"/>
      <c r="D233" s="8"/>
      <c r="E233" s="90"/>
      <c r="F233" s="8"/>
      <c r="G233" s="118" t="s">
        <v>441</v>
      </c>
      <c r="H233" s="8"/>
      <c r="I233" s="90"/>
      <c r="J233" s="8"/>
      <c r="K233" s="29" t="s">
        <v>264</v>
      </c>
      <c r="L233" s="29" t="s">
        <v>835</v>
      </c>
      <c r="M233" s="29" t="s">
        <v>275</v>
      </c>
      <c r="N233" s="29" t="s">
        <v>261</v>
      </c>
      <c r="O233" s="8"/>
      <c r="P233" s="90"/>
      <c r="Q233" s="8"/>
      <c r="R233" s="33" t="s">
        <v>441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5.15" hidden="1" outlineLevel="3">
      <c r="B234" s="28"/>
      <c r="C234" s="29"/>
      <c r="D234" s="8"/>
      <c r="E234" s="90"/>
      <c r="F234" s="8"/>
      <c r="G234" s="118" t="s">
        <v>441</v>
      </c>
      <c r="H234" s="8"/>
      <c r="I234" s="90"/>
      <c r="J234" s="8"/>
      <c r="K234" s="29" t="s">
        <v>265</v>
      </c>
      <c r="L234" s="29" t="s">
        <v>242</v>
      </c>
      <c r="M234" s="29" t="s">
        <v>836</v>
      </c>
      <c r="N234" s="29" t="s">
        <v>262</v>
      </c>
      <c r="O234" s="8"/>
      <c r="P234" s="90"/>
      <c r="Q234" s="8"/>
      <c r="R234" s="33" t="s">
        <v>441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7.6" hidden="1" outlineLevel="3">
      <c r="B235" s="28"/>
      <c r="C235" s="29"/>
      <c r="D235" s="8"/>
      <c r="E235" s="90"/>
      <c r="F235" s="8"/>
      <c r="G235" s="118" t="s">
        <v>441</v>
      </c>
      <c r="H235" s="8"/>
      <c r="I235" s="90"/>
      <c r="J235" s="8"/>
      <c r="K235" s="29" t="s">
        <v>837</v>
      </c>
      <c r="L235" s="29" t="s">
        <v>266</v>
      </c>
      <c r="M235" s="29" t="s">
        <v>277</v>
      </c>
      <c r="N235" s="92"/>
      <c r="O235" s="8"/>
      <c r="P235" s="90"/>
      <c r="Q235" s="8"/>
      <c r="R235" s="33" t="s">
        <v>441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5.15" hidden="1" outlineLevel="3">
      <c r="B236" s="28"/>
      <c r="C236" s="29"/>
      <c r="D236" s="8"/>
      <c r="E236" s="90"/>
      <c r="F236" s="8"/>
      <c r="G236" s="118" t="s">
        <v>441</v>
      </c>
      <c r="H236" s="8"/>
      <c r="I236" s="90"/>
      <c r="J236" s="8"/>
      <c r="K236" s="29" t="s">
        <v>838</v>
      </c>
      <c r="L236" s="29" t="s">
        <v>267</v>
      </c>
      <c r="M236" s="29" t="s">
        <v>839</v>
      </c>
      <c r="N236" s="92"/>
      <c r="O236" s="8"/>
      <c r="P236" s="90"/>
      <c r="Q236" s="8"/>
      <c r="R236" s="33" t="s">
        <v>441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27.6" hidden="1" outlineLevel="3">
      <c r="B237" s="28"/>
      <c r="C237" s="29"/>
      <c r="D237" s="8"/>
      <c r="E237" s="90"/>
      <c r="F237" s="8"/>
      <c r="G237" s="118" t="s">
        <v>441</v>
      </c>
      <c r="H237" s="8"/>
      <c r="I237" s="90"/>
      <c r="J237" s="8"/>
      <c r="K237" s="141"/>
      <c r="L237" s="29" t="s">
        <v>268</v>
      </c>
      <c r="M237" s="29" t="s">
        <v>279</v>
      </c>
      <c r="N237" s="92"/>
      <c r="O237" s="8"/>
      <c r="P237" s="90"/>
      <c r="Q237" s="8"/>
      <c r="R237" s="33" t="s">
        <v>441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7.6" hidden="1" outlineLevel="3">
      <c r="B238" s="28"/>
      <c r="C238" s="29"/>
      <c r="D238" s="8"/>
      <c r="E238" s="90"/>
      <c r="F238" s="8"/>
      <c r="G238" s="118" t="s">
        <v>441</v>
      </c>
      <c r="H238" s="8"/>
      <c r="I238" s="90"/>
      <c r="J238" s="8"/>
      <c r="K238" s="141"/>
      <c r="L238" s="29" t="s">
        <v>269</v>
      </c>
      <c r="M238" s="29" t="s">
        <v>489</v>
      </c>
      <c r="N238" s="29"/>
      <c r="O238" s="8"/>
      <c r="P238" s="90"/>
      <c r="Q238" s="8"/>
      <c r="R238" s="33" t="s">
        <v>441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7.6" hidden="1" outlineLevel="3">
      <c r="B239" s="28"/>
      <c r="C239" s="29"/>
      <c r="D239" s="8"/>
      <c r="E239" s="90"/>
      <c r="F239" s="8"/>
      <c r="G239" s="118" t="s">
        <v>441</v>
      </c>
      <c r="H239" s="8"/>
      <c r="I239" s="90"/>
      <c r="J239" s="8"/>
      <c r="K239" s="141"/>
      <c r="L239" s="29" t="s">
        <v>270</v>
      </c>
      <c r="M239" s="29" t="s">
        <v>243</v>
      </c>
      <c r="N239" s="29"/>
      <c r="O239" s="8"/>
      <c r="P239" s="90"/>
      <c r="Q239" s="8"/>
      <c r="R239" s="33" t="s">
        <v>441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7.6" hidden="1" outlineLevel="3">
      <c r="B240" s="28"/>
      <c r="C240" s="29"/>
      <c r="D240" s="8"/>
      <c r="E240" s="90"/>
      <c r="F240" s="8"/>
      <c r="G240" s="118" t="s">
        <v>441</v>
      </c>
      <c r="H240" s="8"/>
      <c r="I240" s="90"/>
      <c r="J240" s="8"/>
      <c r="K240" s="141"/>
      <c r="L240" s="29" t="s">
        <v>840</v>
      </c>
      <c r="M240" s="143" t="s">
        <v>245</v>
      </c>
      <c r="N240" s="29"/>
      <c r="O240" s="8"/>
      <c r="P240" s="90"/>
      <c r="Q240" s="8"/>
      <c r="R240" s="33" t="s">
        <v>441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281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7.6" hidden="1" outlineLevel="4">
      <c r="B243" s="28"/>
      <c r="C243" s="29"/>
      <c r="D243" s="8"/>
      <c r="E243" s="90"/>
      <c r="F243" s="8"/>
      <c r="G243" s="118" t="s">
        <v>441</v>
      </c>
      <c r="H243" s="8"/>
      <c r="I243" s="90"/>
      <c r="J243" s="8"/>
      <c r="K243" s="29" t="s">
        <v>841</v>
      </c>
      <c r="L243" s="29" t="s">
        <v>249</v>
      </c>
      <c r="M243" s="141"/>
      <c r="N243" s="141"/>
      <c r="O243" s="8"/>
      <c r="P243" s="90"/>
      <c r="Q243" s="8"/>
      <c r="R243" s="33" t="s">
        <v>441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7.6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243</v>
      </c>
      <c r="L244" s="29" t="s">
        <v>254</v>
      </c>
      <c r="M244" s="141"/>
      <c r="N244" s="141"/>
      <c r="O244" s="8"/>
      <c r="P244" s="90"/>
      <c r="Q244" s="8"/>
      <c r="R244" s="33" t="s">
        <v>441</v>
      </c>
      <c r="S244" s="8"/>
      <c r="T244" s="90"/>
      <c r="U244" s="8"/>
      <c r="V244" s="35">
        <v>0.48</v>
      </c>
      <c r="W244" s="35">
        <v>0.02</v>
      </c>
    </row>
    <row r="245" spans="2:25" ht="27.6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245</v>
      </c>
      <c r="L245" s="141"/>
      <c r="M245" s="141"/>
      <c r="N245" s="141"/>
      <c r="O245" s="8"/>
      <c r="P245" s="90"/>
      <c r="Q245" s="8"/>
      <c r="R245" s="33" t="s">
        <v>441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441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842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441</v>
      </c>
      <c r="H249" s="8"/>
      <c r="I249" s="90"/>
      <c r="J249" s="8"/>
      <c r="L249" s="99" t="s">
        <v>206</v>
      </c>
      <c r="M249" s="42" t="s">
        <v>299</v>
      </c>
      <c r="N249" s="42"/>
      <c r="O249" s="8"/>
      <c r="P249" s="90"/>
      <c r="Q249" s="8"/>
      <c r="R249" s="33" t="s">
        <v>441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7.6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208</v>
      </c>
      <c r="M250" s="42" t="s">
        <v>209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494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7.6" hidden="1" outlineLevel="3">
      <c r="B253" s="28"/>
      <c r="C253" s="29"/>
      <c r="D253" s="8"/>
      <c r="E253" s="90"/>
      <c r="F253" s="8"/>
      <c r="G253" s="118" t="s">
        <v>441</v>
      </c>
      <c r="H253" s="8"/>
      <c r="I253" s="90"/>
      <c r="J253" s="8"/>
      <c r="K253" s="25"/>
      <c r="L253" s="142" t="s">
        <v>206</v>
      </c>
      <c r="M253" s="139" t="s">
        <v>299</v>
      </c>
      <c r="N253" s="139" t="s">
        <v>209</v>
      </c>
      <c r="O253" s="8"/>
      <c r="P253" s="90"/>
      <c r="Q253" s="8"/>
      <c r="R253" s="33" t="s">
        <v>441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441</v>
      </c>
      <c r="H254" s="8"/>
      <c r="I254" s="90"/>
      <c r="J254" s="8"/>
      <c r="K254" s="25"/>
      <c r="L254" s="139" t="s">
        <v>208</v>
      </c>
      <c r="M254" s="139"/>
      <c r="N254" s="29"/>
      <c r="O254" s="8"/>
      <c r="P254" s="90"/>
      <c r="Q254" s="8"/>
      <c r="R254" s="33" t="s">
        <v>441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284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7.6" hidden="1" outlineLevel="3">
      <c r="B257" s="28"/>
      <c r="C257" s="29"/>
      <c r="D257" s="8"/>
      <c r="E257" s="90"/>
      <c r="F257" s="8"/>
      <c r="G257" s="118" t="s">
        <v>441</v>
      </c>
      <c r="H257" s="8"/>
      <c r="I257" s="90"/>
      <c r="J257" s="8"/>
      <c r="K257" s="99" t="s">
        <v>206</v>
      </c>
      <c r="L257" s="139" t="s">
        <v>299</v>
      </c>
      <c r="M257" s="40" t="s">
        <v>243</v>
      </c>
      <c r="N257" s="40" t="s">
        <v>249</v>
      </c>
      <c r="O257" s="8"/>
      <c r="P257" s="90"/>
      <c r="Q257" s="8"/>
      <c r="R257" s="33" t="s">
        <v>441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7.6" hidden="1" outlineLevel="3">
      <c r="B258" s="28"/>
      <c r="C258" s="29"/>
      <c r="D258" s="8"/>
      <c r="E258" s="90"/>
      <c r="F258" s="8"/>
      <c r="G258" s="118" t="s">
        <v>441</v>
      </c>
      <c r="H258" s="8"/>
      <c r="I258" s="90"/>
      <c r="J258" s="8"/>
      <c r="K258" s="139" t="s">
        <v>208</v>
      </c>
      <c r="L258" s="40" t="s">
        <v>219</v>
      </c>
      <c r="M258" s="92"/>
      <c r="N258" s="40" t="s">
        <v>245</v>
      </c>
      <c r="O258" s="8"/>
      <c r="P258" s="90"/>
      <c r="Q258" s="8"/>
      <c r="R258" s="33" t="s">
        <v>441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7.6" hidden="1" outlineLevel="3">
      <c r="B259" s="28"/>
      <c r="C259" s="29"/>
      <c r="D259" s="8"/>
      <c r="E259" s="90"/>
      <c r="F259" s="8"/>
      <c r="G259" s="118" t="s">
        <v>441</v>
      </c>
      <c r="H259" s="8"/>
      <c r="I259" s="90"/>
      <c r="J259" s="8"/>
      <c r="K259" s="139" t="s">
        <v>209</v>
      </c>
      <c r="L259" s="139"/>
      <c r="M259" s="41"/>
      <c r="N259" s="40" t="s">
        <v>221</v>
      </c>
      <c r="O259" s="8"/>
      <c r="P259" s="90"/>
      <c r="Q259" s="8"/>
      <c r="R259" s="33" t="s">
        <v>441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731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7.6" hidden="1" outlineLevel="3">
      <c r="B262" s="28"/>
      <c r="C262" s="29"/>
      <c r="D262" s="8"/>
      <c r="E262" s="90"/>
      <c r="F262" s="8"/>
      <c r="G262" s="118" t="s">
        <v>441</v>
      </c>
      <c r="H262" s="8"/>
      <c r="I262" s="90"/>
      <c r="J262" s="8"/>
      <c r="K262" s="35"/>
      <c r="L262" s="99" t="s">
        <v>206</v>
      </c>
      <c r="M262" s="42" t="s">
        <v>209</v>
      </c>
      <c r="N262" s="42" t="s">
        <v>299</v>
      </c>
      <c r="O262" s="8"/>
      <c r="P262" s="90"/>
      <c r="Q262" s="8"/>
      <c r="R262" s="33" t="s">
        <v>441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441</v>
      </c>
      <c r="H263" s="8"/>
      <c r="I263" s="90"/>
      <c r="J263" s="8"/>
      <c r="K263" s="35"/>
      <c r="L263" s="42" t="s">
        <v>208</v>
      </c>
      <c r="M263" s="3"/>
      <c r="N263" s="75"/>
      <c r="O263" s="8"/>
      <c r="P263" s="90"/>
      <c r="Q263" s="8"/>
      <c r="R263" s="33" t="s">
        <v>441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286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7.6" hidden="1" outlineLevel="3">
      <c r="B266" s="28"/>
      <c r="C266" s="29"/>
      <c r="D266" s="8"/>
      <c r="E266" s="90"/>
      <c r="F266" s="8"/>
      <c r="G266" s="118" t="s">
        <v>441</v>
      </c>
      <c r="H266" s="8"/>
      <c r="I266" s="90"/>
      <c r="J266" s="8"/>
      <c r="K266" s="35"/>
      <c r="L266" s="99" t="s">
        <v>206</v>
      </c>
      <c r="M266" s="42" t="s">
        <v>299</v>
      </c>
      <c r="N266" s="42" t="s">
        <v>209</v>
      </c>
      <c r="O266" s="8"/>
      <c r="P266" s="90"/>
      <c r="Q266" s="8"/>
      <c r="R266" s="33" t="s">
        <v>441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441</v>
      </c>
      <c r="H267" s="8"/>
      <c r="I267" s="90"/>
      <c r="J267" s="8"/>
      <c r="K267" s="35"/>
      <c r="L267" s="42" t="s">
        <v>208</v>
      </c>
      <c r="M267" s="3"/>
      <c r="N267" s="75"/>
      <c r="O267" s="8"/>
      <c r="P267" s="90"/>
      <c r="Q267" s="8"/>
      <c r="R267" s="33" t="s">
        <v>441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163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7.6" hidden="1" outlineLevel="3">
      <c r="B270" s="28"/>
      <c r="C270" s="29"/>
      <c r="D270" s="8"/>
      <c r="E270" s="90"/>
      <c r="F270" s="8"/>
      <c r="G270" s="118" t="s">
        <v>441</v>
      </c>
      <c r="H270" s="8"/>
      <c r="I270" s="90"/>
      <c r="J270" s="8"/>
      <c r="K270" s="35"/>
      <c r="L270" s="99" t="s">
        <v>206</v>
      </c>
      <c r="M270" s="42" t="s">
        <v>299</v>
      </c>
      <c r="N270" s="42" t="s">
        <v>209</v>
      </c>
      <c r="O270" s="8"/>
      <c r="P270" s="90"/>
      <c r="Q270" s="8"/>
      <c r="R270" s="33" t="s">
        <v>441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208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496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441</v>
      </c>
      <c r="H274" s="8"/>
      <c r="I274" s="90"/>
      <c r="J274" s="8"/>
      <c r="K274" s="35"/>
      <c r="M274" s="36" t="s">
        <v>206</v>
      </c>
      <c r="N274" s="36" t="s">
        <v>199</v>
      </c>
      <c r="O274" s="8"/>
      <c r="P274" s="90"/>
      <c r="Q274" s="8"/>
      <c r="R274" s="33" t="s">
        <v>441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441</v>
      </c>
      <c r="H275" s="8"/>
      <c r="I275" s="90"/>
      <c r="J275" s="8"/>
      <c r="K275" s="113"/>
      <c r="M275" s="73" t="s">
        <v>208</v>
      </c>
      <c r="N275" s="36" t="s">
        <v>608</v>
      </c>
      <c r="O275" s="8"/>
      <c r="P275" s="90"/>
      <c r="Q275" s="8"/>
      <c r="R275" s="33" t="s">
        <v>441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843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7.6" hidden="1" outlineLevel="3">
      <c r="B278" s="19"/>
      <c r="C278" s="20"/>
      <c r="D278" s="8"/>
      <c r="E278" s="90"/>
      <c r="F278" s="8"/>
      <c r="G278" s="118" t="s">
        <v>441</v>
      </c>
      <c r="H278" s="8"/>
      <c r="I278" s="90"/>
      <c r="J278" s="8"/>
      <c r="K278" s="36" t="s">
        <v>206</v>
      </c>
      <c r="L278" s="36" t="s">
        <v>199</v>
      </c>
      <c r="M278" s="36" t="s">
        <v>209</v>
      </c>
      <c r="N278" s="104" t="s">
        <v>844</v>
      </c>
      <c r="O278" s="8"/>
      <c r="P278" s="90"/>
      <c r="Q278" s="8"/>
      <c r="R278" s="33" t="s">
        <v>441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441</v>
      </c>
      <c r="H279" s="8"/>
      <c r="I279" s="90"/>
      <c r="J279" s="8"/>
      <c r="K279" s="36" t="s">
        <v>208</v>
      </c>
      <c r="L279" s="36"/>
      <c r="M279" s="3"/>
      <c r="N279" s="36"/>
      <c r="O279" s="8"/>
      <c r="P279" s="90"/>
      <c r="Q279" s="8"/>
      <c r="R279" s="33" t="s">
        <v>441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845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7.6" hidden="1" outlineLevel="3">
      <c r="B282" s="19"/>
      <c r="C282" s="20"/>
      <c r="D282" s="8"/>
      <c r="E282" s="90"/>
      <c r="F282" s="8"/>
      <c r="G282" s="118" t="s">
        <v>441</v>
      </c>
      <c r="H282" s="8"/>
      <c r="I282" s="90"/>
      <c r="J282" s="8"/>
      <c r="K282" s="36" t="s">
        <v>206</v>
      </c>
      <c r="L282" s="36" t="s">
        <v>199</v>
      </c>
      <c r="M282" s="36" t="s">
        <v>209</v>
      </c>
      <c r="N282" s="104" t="s">
        <v>846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441</v>
      </c>
      <c r="H283" s="8"/>
      <c r="I283" s="90"/>
      <c r="J283" s="8"/>
      <c r="K283" s="36" t="s">
        <v>208</v>
      </c>
      <c r="L283" s="36"/>
      <c r="M283" s="3"/>
      <c r="N283" s="104" t="s">
        <v>847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7.6" hidden="1" outlineLevel="3">
      <c r="B284" s="19"/>
      <c r="C284" s="20"/>
      <c r="D284" s="8"/>
      <c r="E284" s="90"/>
      <c r="F284" s="8"/>
      <c r="G284" s="118" t="s">
        <v>441</v>
      </c>
      <c r="H284" s="8"/>
      <c r="I284" s="90"/>
      <c r="J284" s="8"/>
      <c r="K284" s="3"/>
      <c r="L284" s="36"/>
      <c r="M284" s="74"/>
      <c r="N284" s="104" t="s">
        <v>848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214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441</v>
      </c>
      <c r="H287" s="8"/>
      <c r="I287" s="90"/>
      <c r="J287" s="8"/>
      <c r="K287" s="42" t="s">
        <v>221</v>
      </c>
      <c r="L287" s="42" t="s">
        <v>759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453</v>
      </c>
      <c r="H289" s="8"/>
      <c r="I289" s="90"/>
      <c r="J289" s="8"/>
      <c r="K289" s="74" t="s">
        <v>199</v>
      </c>
      <c r="L289" s="42" t="s">
        <v>759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453</v>
      </c>
      <c r="H290" s="8"/>
      <c r="I290" s="90"/>
      <c r="J290" s="8"/>
      <c r="K290" s="74" t="s">
        <v>219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453</v>
      </c>
      <c r="H291" s="8"/>
      <c r="I291" s="90"/>
      <c r="J291" s="8"/>
      <c r="K291" s="42" t="s">
        <v>222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27.6" hidden="1" outlineLevel="3">
      <c r="B292" s="24"/>
      <c r="C292" s="25"/>
      <c r="D292" s="8"/>
      <c r="E292" s="90"/>
      <c r="F292" s="8"/>
      <c r="G292" s="118" t="s">
        <v>453</v>
      </c>
      <c r="H292" s="8"/>
      <c r="I292" s="90"/>
      <c r="J292" s="8"/>
      <c r="K292" s="74" t="s">
        <v>283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377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7.6" hidden="1" outlineLevel="3">
      <c r="B295" s="19"/>
      <c r="C295" s="20"/>
      <c r="D295" s="8"/>
      <c r="E295" s="90"/>
      <c r="F295" s="8"/>
      <c r="G295" s="118" t="s">
        <v>441</v>
      </c>
      <c r="H295" s="8"/>
      <c r="I295" s="90"/>
      <c r="J295" s="8"/>
      <c r="K295" s="36" t="s">
        <v>849</v>
      </c>
      <c r="L295" s="36" t="s">
        <v>850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7.6" hidden="1" outlineLevel="3">
      <c r="B296" s="19"/>
      <c r="C296" s="20"/>
      <c r="D296" s="8"/>
      <c r="E296" s="90"/>
      <c r="F296" s="8"/>
      <c r="G296" s="118" t="s">
        <v>441</v>
      </c>
      <c r="H296" s="8"/>
      <c r="I296" s="90"/>
      <c r="J296" s="8"/>
      <c r="K296" s="36" t="s">
        <v>851</v>
      </c>
      <c r="L296" s="36" t="s">
        <v>852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7.6" hidden="1" outlineLevel="3">
      <c r="B297" s="19"/>
      <c r="C297" s="20"/>
      <c r="D297" s="8"/>
      <c r="E297" s="90"/>
      <c r="F297" s="8"/>
      <c r="G297" s="118" t="s">
        <v>441</v>
      </c>
      <c r="H297" s="8"/>
      <c r="I297" s="90"/>
      <c r="J297" s="8"/>
      <c r="K297" s="36" t="s">
        <v>853</v>
      </c>
      <c r="L297" s="36" t="s">
        <v>854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855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441</v>
      </c>
      <c r="H300" s="8"/>
      <c r="I300" s="90"/>
      <c r="J300" s="8"/>
      <c r="K300" s="73"/>
      <c r="L300" s="74" t="s">
        <v>298</v>
      </c>
      <c r="M300" s="74" t="s">
        <v>856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224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441</v>
      </c>
      <c r="H303" s="8"/>
      <c r="I303" s="90"/>
      <c r="J303" s="8"/>
      <c r="K303" s="42"/>
      <c r="L303" s="91" t="s">
        <v>206</v>
      </c>
      <c r="M303" s="92" t="s">
        <v>299</v>
      </c>
      <c r="N303" s="92" t="s">
        <v>857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441</v>
      </c>
      <c r="H304" s="8"/>
      <c r="I304" s="90"/>
      <c r="J304" s="8"/>
      <c r="K304" s="42"/>
      <c r="M304" s="92" t="s">
        <v>208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858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441</v>
      </c>
      <c r="H307" s="8"/>
      <c r="I307" s="90"/>
      <c r="J307" s="8"/>
      <c r="L307" s="91" t="s">
        <v>206</v>
      </c>
      <c r="M307" s="92" t="s">
        <v>299</v>
      </c>
      <c r="N307" s="92" t="s">
        <v>857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441</v>
      </c>
      <c r="H308" s="8"/>
      <c r="I308" s="90"/>
      <c r="J308" s="8"/>
      <c r="M308" s="92" t="s">
        <v>208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859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441</v>
      </c>
      <c r="H311" s="8"/>
      <c r="I311" s="90"/>
      <c r="J311" s="8"/>
      <c r="L311" s="91" t="s">
        <v>206</v>
      </c>
      <c r="M311" s="92" t="s">
        <v>299</v>
      </c>
      <c r="N311" s="92" t="s">
        <v>857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441</v>
      </c>
      <c r="H312" s="8"/>
      <c r="I312" s="90"/>
      <c r="J312" s="8"/>
      <c r="M312" s="92" t="s">
        <v>208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721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441</v>
      </c>
      <c r="H315" s="8"/>
      <c r="I315" s="90"/>
      <c r="J315" s="8"/>
      <c r="K315" s="36" t="s">
        <v>206</v>
      </c>
      <c r="L315" s="3"/>
      <c r="M315" s="36" t="s">
        <v>199</v>
      </c>
      <c r="N315" s="36" t="s">
        <v>608</v>
      </c>
      <c r="O315" s="8"/>
      <c r="P315" s="90"/>
      <c r="Q315" s="8"/>
      <c r="R315" s="33" t="s">
        <v>441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441</v>
      </c>
      <c r="H316" s="8"/>
      <c r="I316" s="90"/>
      <c r="J316" s="8"/>
      <c r="L316" s="36" t="s">
        <v>208</v>
      </c>
      <c r="M316" s="3"/>
      <c r="N316" s="3"/>
      <c r="O316" s="8"/>
      <c r="P316" s="90"/>
      <c r="Q316" s="8"/>
      <c r="R316" s="33" t="s">
        <v>441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610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441</v>
      </c>
      <c r="H319" s="8"/>
      <c r="I319" s="90"/>
      <c r="J319" s="8"/>
      <c r="K319" s="36" t="s">
        <v>206</v>
      </c>
      <c r="L319" s="3"/>
      <c r="M319" s="36" t="s">
        <v>199</v>
      </c>
      <c r="N319" s="36" t="s">
        <v>608</v>
      </c>
      <c r="O319" s="8"/>
      <c r="P319" s="90"/>
      <c r="Q319" s="8"/>
      <c r="R319" s="33" t="s">
        <v>441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441</v>
      </c>
      <c r="H320" s="8"/>
      <c r="I320" s="90"/>
      <c r="J320" s="8"/>
      <c r="L320" s="36" t="s">
        <v>208</v>
      </c>
      <c r="M320" s="3"/>
      <c r="N320" s="3"/>
      <c r="O320" s="8"/>
      <c r="P320" s="90"/>
      <c r="Q320" s="8"/>
      <c r="R320" s="33" t="s">
        <v>441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732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441</v>
      </c>
      <c r="H323" s="8"/>
      <c r="I323" s="90"/>
      <c r="J323" s="8"/>
      <c r="K323" s="3"/>
      <c r="M323" s="36" t="s">
        <v>206</v>
      </c>
      <c r="N323" s="36" t="s">
        <v>199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441</v>
      </c>
      <c r="H324" s="8"/>
      <c r="I324" s="90"/>
      <c r="J324" s="8"/>
      <c r="K324" s="3"/>
      <c r="M324" s="36" t="s">
        <v>208</v>
      </c>
      <c r="N324" s="3" t="s">
        <v>608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293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441</v>
      </c>
      <c r="H327" s="8"/>
      <c r="I327" s="90"/>
      <c r="J327" s="8"/>
      <c r="K327" s="36" t="s">
        <v>206</v>
      </c>
      <c r="L327" s="3"/>
      <c r="M327" s="36" t="s">
        <v>199</v>
      </c>
      <c r="N327" s="36" t="s">
        <v>244</v>
      </c>
      <c r="O327" s="8"/>
      <c r="P327" s="90"/>
      <c r="Q327" s="8"/>
      <c r="R327" s="33" t="s">
        <v>441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441</v>
      </c>
      <c r="H328" s="8"/>
      <c r="I328" s="90"/>
      <c r="J328" s="8"/>
      <c r="K328" s="113"/>
      <c r="L328" s="36" t="s">
        <v>208</v>
      </c>
      <c r="M328" s="36" t="s">
        <v>608</v>
      </c>
      <c r="N328" s="36"/>
      <c r="O328" s="8"/>
      <c r="P328" s="90"/>
      <c r="Q328" s="8"/>
      <c r="R328" s="33" t="s">
        <v>441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733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441</v>
      </c>
      <c r="H331" s="8"/>
      <c r="I331" s="90"/>
      <c r="J331" s="8"/>
      <c r="K331" s="35"/>
      <c r="L331" s="36" t="s">
        <v>206</v>
      </c>
      <c r="M331" s="36" t="s">
        <v>208</v>
      </c>
      <c r="N331" s="36" t="s">
        <v>199</v>
      </c>
      <c r="O331" s="8"/>
      <c r="P331" s="90"/>
      <c r="Q331" s="8"/>
      <c r="R331" s="33" t="s">
        <v>441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734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441</v>
      </c>
      <c r="H334" s="8"/>
      <c r="I334" s="90"/>
      <c r="J334" s="8"/>
      <c r="K334" s="35"/>
      <c r="L334" s="36" t="s">
        <v>206</v>
      </c>
      <c r="M334" s="36" t="s">
        <v>208</v>
      </c>
      <c r="N334" s="36" t="s">
        <v>199</v>
      </c>
      <c r="O334" s="8"/>
      <c r="P334" s="90"/>
      <c r="Q334" s="8"/>
      <c r="R334" s="33" t="s">
        <v>441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735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441</v>
      </c>
      <c r="H337" s="8"/>
      <c r="I337" s="90"/>
      <c r="J337" s="8"/>
      <c r="K337" s="35"/>
      <c r="L337" s="36" t="s">
        <v>206</v>
      </c>
      <c r="M337" s="36" t="s">
        <v>199</v>
      </c>
      <c r="N337" s="36"/>
      <c r="O337" s="8"/>
      <c r="P337" s="90"/>
      <c r="Q337" s="8"/>
      <c r="R337" s="33" t="s">
        <v>441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441</v>
      </c>
      <c r="H338" s="8"/>
      <c r="I338" s="90"/>
      <c r="J338" s="8"/>
      <c r="K338" s="113"/>
      <c r="L338" s="36" t="s">
        <v>208</v>
      </c>
      <c r="N338" s="3"/>
      <c r="O338" s="8"/>
      <c r="P338" s="90"/>
      <c r="Q338" s="8"/>
      <c r="R338" s="33" t="s">
        <v>441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236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441</v>
      </c>
      <c r="H341" s="8"/>
      <c r="I341" s="90"/>
      <c r="J341" s="8"/>
      <c r="K341" s="35"/>
      <c r="L341" s="36" t="s">
        <v>206</v>
      </c>
      <c r="M341" s="3" t="s">
        <v>608</v>
      </c>
      <c r="N341" s="36" t="s">
        <v>199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441</v>
      </c>
      <c r="H342" s="8"/>
      <c r="I342" s="90"/>
      <c r="J342" s="8"/>
      <c r="K342" s="113"/>
      <c r="L342" s="36" t="s">
        <v>208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860</v>
      </c>
      <c r="C344" s="44" t="s">
        <v>453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440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437</v>
      </c>
      <c r="C347" s="29" t="s">
        <v>307</v>
      </c>
      <c r="D347" s="33"/>
      <c r="E347" s="6"/>
      <c r="G347" s="119" t="s">
        <v>461</v>
      </c>
      <c r="I347" s="6"/>
      <c r="K347" s="35" t="s">
        <v>861</v>
      </c>
      <c r="P347" s="6"/>
      <c r="R347" s="34" t="s">
        <v>461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437</v>
      </c>
      <c r="C348" s="29" t="s">
        <v>307</v>
      </c>
      <c r="D348" s="33"/>
      <c r="E348" s="6"/>
      <c r="G348" s="119" t="s">
        <v>461</v>
      </c>
      <c r="I348" s="6"/>
      <c r="K348" s="35" t="s">
        <v>862</v>
      </c>
      <c r="P348" s="6"/>
      <c r="R348" s="34" t="s">
        <v>461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437</v>
      </c>
      <c r="C350" s="29" t="s">
        <v>311</v>
      </c>
      <c r="D350" s="33"/>
      <c r="E350" s="6"/>
      <c r="G350" s="119" t="s">
        <v>461</v>
      </c>
      <c r="I350" s="6"/>
      <c r="L350" s="35" t="s">
        <v>862</v>
      </c>
      <c r="P350" s="6"/>
      <c r="R350" s="34" t="s">
        <v>461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368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437</v>
      </c>
      <c r="C353" s="29" t="s">
        <v>368</v>
      </c>
      <c r="D353" s="33"/>
      <c r="E353" s="6"/>
      <c r="G353" s="119" t="s">
        <v>461</v>
      </c>
      <c r="I353" s="6"/>
      <c r="K353" s="29" t="s">
        <v>456</v>
      </c>
      <c r="L353" s="29" t="s">
        <v>862</v>
      </c>
      <c r="M353" s="141"/>
      <c r="N353" s="141"/>
      <c r="P353" s="6"/>
      <c r="R353" s="34" t="s">
        <v>461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437</v>
      </c>
      <c r="C354" s="29" t="s">
        <v>368</v>
      </c>
      <c r="D354" s="33"/>
      <c r="E354" s="6"/>
      <c r="G354" s="119" t="s">
        <v>461</v>
      </c>
      <c r="I354" s="6"/>
      <c r="K354" s="29" t="s">
        <v>457</v>
      </c>
      <c r="L354" s="141"/>
      <c r="M354" s="141"/>
      <c r="N354" s="141"/>
      <c r="P354" s="6"/>
      <c r="R354" s="34" t="s">
        <v>461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437</v>
      </c>
      <c r="C355" s="29" t="s">
        <v>368</v>
      </c>
      <c r="D355" s="33"/>
      <c r="E355" s="6"/>
      <c r="G355" s="119" t="s">
        <v>461</v>
      </c>
      <c r="I355" s="6"/>
      <c r="K355" s="29" t="s">
        <v>863</v>
      </c>
      <c r="L355" s="141"/>
      <c r="M355" s="141"/>
      <c r="N355" s="141"/>
      <c r="P355" s="6"/>
      <c r="R355" s="34" t="s">
        <v>461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549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437</v>
      </c>
      <c r="C358" s="28" t="s">
        <v>549</v>
      </c>
      <c r="D358" s="33"/>
      <c r="E358" s="6"/>
      <c r="G358" s="119" t="s">
        <v>461</v>
      </c>
      <c r="I358" s="6"/>
      <c r="K358" s="35" t="s">
        <v>862</v>
      </c>
      <c r="P358" s="6"/>
      <c r="R358" s="34" t="s">
        <v>461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743</v>
      </c>
      <c r="I359" s="6"/>
      <c r="P359" s="6"/>
      <c r="R359" s="34" t="s">
        <v>743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241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241</v>
      </c>
      <c r="D361" s="33"/>
      <c r="E361" s="6"/>
      <c r="F361" s="33"/>
      <c r="G361" s="119" t="s">
        <v>461</v>
      </c>
      <c r="H361" s="33"/>
      <c r="I361" s="6"/>
      <c r="J361" s="33"/>
      <c r="K361" s="35" t="s">
        <v>864</v>
      </c>
      <c r="L361" s="35" t="s">
        <v>865</v>
      </c>
      <c r="O361" s="33"/>
      <c r="P361" s="6"/>
      <c r="Q361" s="33"/>
      <c r="R361" s="34" t="s">
        <v>461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241</v>
      </c>
      <c r="D362" s="33"/>
      <c r="E362" s="6"/>
      <c r="F362" s="33"/>
      <c r="G362" s="119" t="s">
        <v>461</v>
      </c>
      <c r="H362" s="33"/>
      <c r="I362" s="6"/>
      <c r="J362" s="33"/>
      <c r="K362" s="35" t="s">
        <v>866</v>
      </c>
      <c r="L362" s="35" t="s">
        <v>867</v>
      </c>
      <c r="O362" s="33"/>
      <c r="P362" s="6"/>
      <c r="Q362" s="33"/>
      <c r="R362" s="34" t="s">
        <v>461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241</v>
      </c>
      <c r="D363" s="33"/>
      <c r="E363" s="6"/>
      <c r="F363" s="33"/>
      <c r="G363" s="119" t="s">
        <v>461</v>
      </c>
      <c r="H363" s="33"/>
      <c r="I363" s="6"/>
      <c r="J363" s="33"/>
      <c r="K363" s="35" t="s">
        <v>868</v>
      </c>
      <c r="L363" s="35" t="s">
        <v>862</v>
      </c>
      <c r="O363" s="33"/>
      <c r="P363" s="6"/>
      <c r="Q363" s="33"/>
      <c r="R363" s="34" t="s">
        <v>461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331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437</v>
      </c>
      <c r="C366" s="36" t="s">
        <v>331</v>
      </c>
      <c r="D366" s="33"/>
      <c r="E366" s="6"/>
      <c r="F366" s="33"/>
      <c r="G366" s="119" t="s">
        <v>453</v>
      </c>
      <c r="H366" s="33"/>
      <c r="I366" s="6"/>
      <c r="J366" s="33"/>
      <c r="K366" s="35" t="s">
        <v>869</v>
      </c>
      <c r="L366" s="35" t="s">
        <v>870</v>
      </c>
      <c r="O366" s="33"/>
      <c r="P366" s="6"/>
      <c r="Q366" s="33"/>
      <c r="R366" s="34" t="s">
        <v>453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437</v>
      </c>
      <c r="C368" s="36" t="s">
        <v>469</v>
      </c>
      <c r="D368" s="33"/>
      <c r="E368" s="6"/>
      <c r="F368" s="33"/>
      <c r="G368" s="119" t="s">
        <v>453</v>
      </c>
      <c r="H368" s="33"/>
      <c r="I368" s="6"/>
      <c r="J368" s="33"/>
      <c r="K368" s="35"/>
      <c r="L368" s="35" t="s">
        <v>871</v>
      </c>
      <c r="M368" s="35" t="s">
        <v>872</v>
      </c>
      <c r="O368" s="33"/>
      <c r="P368" s="6"/>
      <c r="Q368" s="33"/>
      <c r="R368" s="34" t="s">
        <v>453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437</v>
      </c>
      <c r="C369" s="36" t="s">
        <v>469</v>
      </c>
      <c r="D369" s="33"/>
      <c r="E369" s="6"/>
      <c r="F369" s="33"/>
      <c r="G369" s="119" t="s">
        <v>453</v>
      </c>
      <c r="H369" s="33"/>
      <c r="I369" s="6"/>
      <c r="J369" s="33"/>
      <c r="K369" s="35"/>
      <c r="L369" s="35" t="s">
        <v>873</v>
      </c>
      <c r="O369" s="33"/>
      <c r="P369" s="6"/>
      <c r="Q369" s="33"/>
      <c r="R369" s="34" t="s">
        <v>453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437</v>
      </c>
      <c r="C370" s="36" t="s">
        <v>469</v>
      </c>
      <c r="D370" s="33"/>
      <c r="E370" s="6"/>
      <c r="F370" s="33"/>
      <c r="G370" s="119" t="s">
        <v>453</v>
      </c>
      <c r="H370" s="33"/>
      <c r="I370" s="6"/>
      <c r="J370" s="33"/>
      <c r="K370" s="35"/>
      <c r="L370" s="35" t="s">
        <v>874</v>
      </c>
      <c r="O370" s="33"/>
      <c r="P370" s="6"/>
      <c r="Q370" s="33"/>
      <c r="R370" s="34" t="s">
        <v>453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437</v>
      </c>
      <c r="C371" s="36" t="s">
        <v>469</v>
      </c>
      <c r="D371" s="33"/>
      <c r="E371" s="6"/>
      <c r="F371" s="33"/>
      <c r="G371" s="119" t="s">
        <v>453</v>
      </c>
      <c r="H371" s="33"/>
      <c r="I371" s="6"/>
      <c r="J371" s="33"/>
      <c r="K371" s="35" t="s">
        <v>470</v>
      </c>
      <c r="L371" s="35" t="s">
        <v>875</v>
      </c>
      <c r="O371" s="33"/>
      <c r="P371" s="6"/>
      <c r="Q371" s="33"/>
      <c r="R371" s="34" t="s">
        <v>453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437</v>
      </c>
      <c r="C372" s="36" t="s">
        <v>469</v>
      </c>
      <c r="D372" s="33"/>
      <c r="E372" s="6"/>
      <c r="F372" s="33"/>
      <c r="G372" s="119" t="s">
        <v>453</v>
      </c>
      <c r="H372" s="33"/>
      <c r="I372" s="6"/>
      <c r="J372" s="33"/>
      <c r="K372" s="35" t="s">
        <v>472</v>
      </c>
      <c r="L372" s="35" t="s">
        <v>473</v>
      </c>
      <c r="O372" s="33"/>
      <c r="P372" s="6"/>
      <c r="Q372" s="33"/>
      <c r="R372" s="34" t="s">
        <v>453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437</v>
      </c>
      <c r="C373" s="36" t="s">
        <v>469</v>
      </c>
      <c r="D373" s="33"/>
      <c r="E373" s="6"/>
      <c r="F373" s="33"/>
      <c r="G373" s="119" t="s">
        <v>453</v>
      </c>
      <c r="H373" s="33"/>
      <c r="I373" s="6"/>
      <c r="J373" s="33"/>
      <c r="K373" s="74"/>
      <c r="L373" s="35" t="s">
        <v>474</v>
      </c>
      <c r="O373" s="33"/>
      <c r="P373" s="6"/>
      <c r="Q373" s="33"/>
      <c r="R373" s="34" t="s">
        <v>453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622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437</v>
      </c>
      <c r="C376" s="29" t="s">
        <v>758</v>
      </c>
      <c r="D376" s="33"/>
      <c r="E376" s="6"/>
      <c r="F376" s="33"/>
      <c r="G376" s="119" t="s">
        <v>453</v>
      </c>
      <c r="H376" s="33"/>
      <c r="I376" s="6"/>
      <c r="J376" s="33"/>
      <c r="K376" s="35" t="s">
        <v>759</v>
      </c>
      <c r="O376" s="33"/>
      <c r="P376" s="6"/>
      <c r="Q376" s="33"/>
      <c r="R376" s="34" t="s">
        <v>453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437</v>
      </c>
      <c r="C377" s="29" t="s">
        <v>760</v>
      </c>
      <c r="D377" s="33"/>
      <c r="E377" s="6"/>
      <c r="F377" s="33"/>
      <c r="G377" s="119" t="s">
        <v>453</v>
      </c>
      <c r="H377" s="33"/>
      <c r="I377" s="6"/>
      <c r="J377" s="33"/>
      <c r="K377" s="35" t="s">
        <v>759</v>
      </c>
      <c r="O377" s="33"/>
      <c r="P377" s="6"/>
      <c r="Q377" s="33"/>
      <c r="R377" s="34" t="s">
        <v>453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170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171</v>
      </c>
      <c r="D380" s="33"/>
      <c r="E380" s="6"/>
      <c r="G380" s="120" t="s">
        <v>453</v>
      </c>
      <c r="I380" s="6"/>
      <c r="K380" s="127"/>
      <c r="L380" s="126" t="s">
        <v>759</v>
      </c>
      <c r="M380" s="127"/>
      <c r="N380" s="127"/>
      <c r="P380" s="6"/>
      <c r="R380" s="38" t="s">
        <v>453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173</v>
      </c>
      <c r="D382" s="33"/>
      <c r="E382" s="6"/>
      <c r="F382" s="33"/>
      <c r="G382" s="120" t="s">
        <v>453</v>
      </c>
      <c r="H382" s="33"/>
      <c r="I382" s="6"/>
      <c r="J382" s="33"/>
      <c r="K382" s="128"/>
      <c r="L382" s="126" t="s">
        <v>759</v>
      </c>
      <c r="M382" s="127"/>
      <c r="N382" s="127"/>
      <c r="O382" s="33"/>
      <c r="P382" s="6"/>
      <c r="Q382" s="33"/>
      <c r="R382" s="38" t="s">
        <v>453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176</v>
      </c>
      <c r="D384" s="33"/>
      <c r="E384" s="6"/>
      <c r="F384" s="33"/>
      <c r="G384" s="120" t="s">
        <v>453</v>
      </c>
      <c r="H384" s="33"/>
      <c r="I384" s="6"/>
      <c r="J384" s="33"/>
      <c r="K384" s="126" t="s">
        <v>477</v>
      </c>
      <c r="L384" s="127"/>
      <c r="M384" s="126" t="s">
        <v>876</v>
      </c>
      <c r="N384" s="127"/>
      <c r="O384" s="33"/>
      <c r="P384" s="6"/>
      <c r="Q384" s="33"/>
      <c r="R384" s="38" t="s">
        <v>453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176</v>
      </c>
      <c r="D385" s="33"/>
      <c r="E385" s="6"/>
      <c r="F385" s="33"/>
      <c r="G385" s="120" t="s">
        <v>453</v>
      </c>
      <c r="H385" s="33"/>
      <c r="I385" s="6"/>
      <c r="J385" s="33"/>
      <c r="K385" s="128"/>
      <c r="L385" s="127"/>
      <c r="M385" s="126" t="s">
        <v>862</v>
      </c>
      <c r="N385" s="127"/>
      <c r="O385" s="33"/>
      <c r="P385" s="6"/>
      <c r="Q385" s="33"/>
      <c r="R385" s="38" t="s">
        <v>453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764</v>
      </c>
      <c r="D387" s="33"/>
      <c r="E387" s="6"/>
      <c r="F387" s="33"/>
      <c r="G387" s="120" t="s">
        <v>453</v>
      </c>
      <c r="H387" s="33"/>
      <c r="I387" s="6"/>
      <c r="J387" s="33"/>
      <c r="K387" s="126" t="s">
        <v>206</v>
      </c>
      <c r="L387" s="126" t="s">
        <v>199</v>
      </c>
      <c r="M387" s="127"/>
      <c r="N387" s="127" t="s">
        <v>780</v>
      </c>
      <c r="O387" s="33"/>
      <c r="P387" s="6"/>
      <c r="Q387" s="33"/>
      <c r="R387" s="38" t="s">
        <v>453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764</v>
      </c>
      <c r="D388" s="33"/>
      <c r="E388" s="6"/>
      <c r="F388" s="33"/>
      <c r="G388" s="120" t="s">
        <v>453</v>
      </c>
      <c r="H388" s="33"/>
      <c r="I388" s="6"/>
      <c r="J388" s="33"/>
      <c r="K388" s="126" t="s">
        <v>208</v>
      </c>
      <c r="L388" s="127"/>
      <c r="M388" s="127"/>
      <c r="N388" s="127" t="s">
        <v>783</v>
      </c>
      <c r="O388" s="33"/>
      <c r="P388" s="6"/>
      <c r="Q388" s="33"/>
      <c r="R388" s="38" t="s">
        <v>453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764</v>
      </c>
      <c r="D389" s="33"/>
      <c r="E389" s="6"/>
      <c r="F389" s="33"/>
      <c r="G389" s="120" t="s">
        <v>453</v>
      </c>
      <c r="H389" s="33"/>
      <c r="I389" s="6"/>
      <c r="J389" s="33"/>
      <c r="K389" s="126" t="s">
        <v>198</v>
      </c>
      <c r="L389" s="127"/>
      <c r="M389" s="127"/>
      <c r="N389" s="127" t="s">
        <v>350</v>
      </c>
      <c r="O389" s="33"/>
      <c r="P389" s="6"/>
      <c r="Q389" s="33"/>
      <c r="R389" s="38" t="s">
        <v>453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764</v>
      </c>
      <c r="D390" s="33"/>
      <c r="E390" s="6"/>
      <c r="F390" s="33"/>
      <c r="G390" s="120" t="s">
        <v>453</v>
      </c>
      <c r="H390" s="33"/>
      <c r="I390" s="6"/>
      <c r="J390" s="33"/>
      <c r="K390" s="126"/>
      <c r="L390" s="127"/>
      <c r="M390" s="127"/>
      <c r="N390" s="127" t="s">
        <v>876</v>
      </c>
      <c r="O390" s="33"/>
      <c r="P390" s="6"/>
      <c r="Q390" s="33"/>
      <c r="R390" s="38" t="s">
        <v>453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764</v>
      </c>
      <c r="D391" s="33"/>
      <c r="E391" s="6"/>
      <c r="F391" s="33"/>
      <c r="G391" s="120" t="s">
        <v>453</v>
      </c>
      <c r="H391" s="33"/>
      <c r="I391" s="6"/>
      <c r="J391" s="33"/>
      <c r="K391" s="127"/>
      <c r="L391" s="127"/>
      <c r="M391" s="127"/>
      <c r="N391" s="127" t="s">
        <v>877</v>
      </c>
      <c r="O391" s="33"/>
      <c r="P391" s="6"/>
      <c r="Q391" s="33"/>
      <c r="R391" s="38" t="s">
        <v>453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393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453</v>
      </c>
      <c r="H394" s="33"/>
      <c r="I394" s="6"/>
      <c r="J394" s="33"/>
      <c r="K394" s="78" t="s">
        <v>483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484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453</v>
      </c>
      <c r="H397" s="33"/>
      <c r="I397" s="6"/>
      <c r="J397" s="33"/>
      <c r="K397" s="42" t="s">
        <v>366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486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453</v>
      </c>
      <c r="H400" s="33"/>
      <c r="I400" s="6"/>
      <c r="J400" s="33"/>
      <c r="K400" s="42" t="s">
        <v>366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316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1.45" hidden="1" outlineLevel="3">
      <c r="B403" s="28"/>
      <c r="C403" s="29" t="s">
        <v>443</v>
      </c>
      <c r="D403" s="8"/>
      <c r="E403" s="90"/>
      <c r="F403" s="8"/>
      <c r="G403" s="118"/>
      <c r="H403" s="8"/>
      <c r="I403" s="90"/>
      <c r="J403" s="8"/>
      <c r="K403" s="144"/>
      <c r="L403" s="144" t="s">
        <v>878</v>
      </c>
      <c r="M403" s="144" t="s">
        <v>879</v>
      </c>
      <c r="N403" s="144" t="s">
        <v>880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1.45" hidden="1" outlineLevel="3">
      <c r="B404" s="28"/>
      <c r="C404" s="29" t="s">
        <v>443</v>
      </c>
      <c r="D404" s="8"/>
      <c r="E404" s="90"/>
      <c r="F404" s="8"/>
      <c r="G404" s="118"/>
      <c r="H404" s="8"/>
      <c r="I404" s="90"/>
      <c r="J404" s="8"/>
      <c r="K404" s="144"/>
      <c r="L404" s="144" t="s">
        <v>881</v>
      </c>
      <c r="M404" s="144" t="s">
        <v>882</v>
      </c>
      <c r="N404" s="144" t="s">
        <v>883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1.45" hidden="1" outlineLevel="3">
      <c r="B405" s="28"/>
      <c r="C405" s="29" t="s">
        <v>443</v>
      </c>
      <c r="D405" s="8"/>
      <c r="E405" s="90"/>
      <c r="F405" s="8"/>
      <c r="G405" s="118"/>
      <c r="H405" s="8"/>
      <c r="I405" s="90"/>
      <c r="J405" s="8"/>
      <c r="K405" s="145"/>
      <c r="L405" s="144" t="s">
        <v>884</v>
      </c>
      <c r="M405" s="144" t="s">
        <v>885</v>
      </c>
      <c r="N405" s="144" t="s">
        <v>886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1.45" hidden="1" outlineLevel="3">
      <c r="B406" s="28"/>
      <c r="C406" s="29" t="s">
        <v>443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455</v>
      </c>
      <c r="N406" s="144" t="s">
        <v>887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7.6" hidden="1" outlineLevel="3">
      <c r="B407" s="28"/>
      <c r="C407" s="29" t="s">
        <v>443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456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252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7.6" hidden="1" outlineLevel="3">
      <c r="B410" s="28"/>
      <c r="C410" s="29"/>
      <c r="D410" s="8"/>
      <c r="E410" s="90"/>
      <c r="F410" s="8"/>
      <c r="G410" s="118" t="s">
        <v>453</v>
      </c>
      <c r="H410" s="8"/>
      <c r="I410" s="90"/>
      <c r="J410" s="8"/>
      <c r="K410" s="29" t="s">
        <v>199</v>
      </c>
      <c r="L410" s="29" t="s">
        <v>269</v>
      </c>
      <c r="M410" s="29" t="s">
        <v>490</v>
      </c>
      <c r="N410" s="29" t="s">
        <v>248</v>
      </c>
      <c r="O410" s="8"/>
      <c r="P410" s="90"/>
      <c r="Q410" s="8"/>
      <c r="R410" s="33" t="s">
        <v>453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7.6" hidden="1" outlineLevel="3">
      <c r="B411" s="28"/>
      <c r="C411" s="29"/>
      <c r="D411" s="8"/>
      <c r="E411" s="90"/>
      <c r="F411" s="8"/>
      <c r="G411" s="118" t="s">
        <v>453</v>
      </c>
      <c r="H411" s="8"/>
      <c r="I411" s="90"/>
      <c r="J411" s="8"/>
      <c r="K411" s="29" t="s">
        <v>888</v>
      </c>
      <c r="L411" s="29" t="s">
        <v>270</v>
      </c>
      <c r="M411" s="143" t="s">
        <v>245</v>
      </c>
      <c r="N411" s="29" t="s">
        <v>249</v>
      </c>
      <c r="O411" s="8"/>
      <c r="P411" s="90"/>
      <c r="Q411" s="8"/>
      <c r="R411" s="33" t="s">
        <v>453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7.6" hidden="1" outlineLevel="3">
      <c r="B412" s="28"/>
      <c r="C412" s="29"/>
      <c r="D412" s="8"/>
      <c r="E412" s="90"/>
      <c r="F412" s="8"/>
      <c r="G412" s="118" t="s">
        <v>453</v>
      </c>
      <c r="H412" s="8"/>
      <c r="I412" s="90"/>
      <c r="J412" s="8"/>
      <c r="K412" s="29"/>
      <c r="L412" s="29" t="s">
        <v>840</v>
      </c>
      <c r="M412" s="141"/>
      <c r="N412" s="143" t="s">
        <v>253</v>
      </c>
      <c r="O412" s="8"/>
      <c r="P412" s="90"/>
      <c r="Q412" s="8"/>
      <c r="R412" s="33" t="s">
        <v>453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281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7.6" hidden="1" outlineLevel="3">
      <c r="B415" s="28"/>
      <c r="C415" s="29"/>
      <c r="D415" s="8"/>
      <c r="E415" s="90"/>
      <c r="F415" s="8"/>
      <c r="G415" s="118" t="s">
        <v>453</v>
      </c>
      <c r="H415" s="8"/>
      <c r="I415" s="90"/>
      <c r="J415" s="8"/>
      <c r="K415" s="29" t="s">
        <v>245</v>
      </c>
      <c r="L415" s="29" t="s">
        <v>249</v>
      </c>
      <c r="M415" s="141"/>
      <c r="N415" s="141"/>
      <c r="O415" s="8"/>
      <c r="P415" s="90"/>
      <c r="Q415" s="8"/>
      <c r="R415" s="33" t="s">
        <v>453</v>
      </c>
      <c r="S415" s="8"/>
      <c r="T415" s="90"/>
      <c r="U415" s="8"/>
      <c r="V415" s="35">
        <v>0.06</v>
      </c>
      <c r="W415" s="35">
        <v>0.03</v>
      </c>
    </row>
    <row r="416" spans="2:25" ht="27.6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283</v>
      </c>
      <c r="M416" s="141"/>
      <c r="N416" s="141"/>
      <c r="O416" s="8"/>
      <c r="P416" s="90"/>
      <c r="Q416" s="8"/>
      <c r="R416" s="33" t="s">
        <v>453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204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453</v>
      </c>
      <c r="H419" s="8"/>
      <c r="I419" s="90"/>
      <c r="J419" s="8"/>
      <c r="L419" s="99" t="s">
        <v>206</v>
      </c>
      <c r="M419" s="42" t="s">
        <v>299</v>
      </c>
      <c r="N419" s="42" t="s">
        <v>198</v>
      </c>
      <c r="O419" s="8"/>
      <c r="P419" s="90"/>
      <c r="Q419" s="8"/>
      <c r="R419" s="33" t="s">
        <v>453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7.6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208</v>
      </c>
      <c r="M420" s="42" t="s">
        <v>209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494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7.6" hidden="1" outlineLevel="3">
      <c r="B423" s="28"/>
      <c r="C423" s="29"/>
      <c r="D423" s="8"/>
      <c r="E423" s="90"/>
      <c r="F423" s="8"/>
      <c r="G423" s="118" t="s">
        <v>453</v>
      </c>
      <c r="H423" s="8"/>
      <c r="I423" s="90"/>
      <c r="J423" s="8"/>
      <c r="K423" s="25"/>
      <c r="L423" s="142" t="s">
        <v>206</v>
      </c>
      <c r="M423" s="139" t="s">
        <v>299</v>
      </c>
      <c r="N423" s="139" t="s">
        <v>209</v>
      </c>
      <c r="O423" s="8"/>
      <c r="P423" s="90"/>
      <c r="Q423" s="8"/>
      <c r="R423" s="33" t="s">
        <v>453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453</v>
      </c>
      <c r="H424" s="8"/>
      <c r="I424" s="90"/>
      <c r="J424" s="8"/>
      <c r="K424" s="25"/>
      <c r="L424" s="139" t="s">
        <v>208</v>
      </c>
      <c r="M424" s="139"/>
      <c r="N424" s="25"/>
      <c r="O424" s="8"/>
      <c r="P424" s="90"/>
      <c r="Q424" s="8"/>
      <c r="R424" s="33" t="s">
        <v>453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284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7.6" hidden="1" outlineLevel="3">
      <c r="B427" s="28"/>
      <c r="C427" s="29"/>
      <c r="D427" s="8"/>
      <c r="E427" s="90"/>
      <c r="F427" s="8"/>
      <c r="G427" s="118" t="s">
        <v>453</v>
      </c>
      <c r="H427" s="8"/>
      <c r="I427" s="90"/>
      <c r="J427" s="8"/>
      <c r="K427" s="99" t="s">
        <v>206</v>
      </c>
      <c r="L427" s="139" t="s">
        <v>299</v>
      </c>
      <c r="M427" s="92"/>
      <c r="N427" s="40" t="s">
        <v>249</v>
      </c>
      <c r="O427" s="8"/>
      <c r="P427" s="90"/>
      <c r="Q427" s="8"/>
      <c r="R427" s="33" t="s">
        <v>453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7.6" hidden="1" outlineLevel="3">
      <c r="B428" s="28"/>
      <c r="C428" s="29"/>
      <c r="D428" s="8"/>
      <c r="E428" s="90"/>
      <c r="F428" s="8"/>
      <c r="G428" s="118" t="s">
        <v>453</v>
      </c>
      <c r="H428" s="8"/>
      <c r="I428" s="90"/>
      <c r="J428" s="8"/>
      <c r="K428" s="139" t="s">
        <v>208</v>
      </c>
      <c r="L428" s="40" t="s">
        <v>219</v>
      </c>
      <c r="M428" s="141"/>
      <c r="N428" s="40" t="s">
        <v>245</v>
      </c>
      <c r="O428" s="8"/>
      <c r="P428" s="90"/>
      <c r="Q428" s="8"/>
      <c r="R428" s="33" t="s">
        <v>453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453</v>
      </c>
      <c r="H429" s="8"/>
      <c r="I429" s="90"/>
      <c r="J429" s="8"/>
      <c r="K429" s="139" t="s">
        <v>198</v>
      </c>
      <c r="L429" s="139"/>
      <c r="M429" s="141"/>
      <c r="N429" s="40"/>
      <c r="O429" s="8"/>
      <c r="P429" s="90"/>
      <c r="Q429" s="8"/>
      <c r="R429" s="33" t="s">
        <v>453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7.6" hidden="1" outlineLevel="3">
      <c r="B430" s="28"/>
      <c r="C430" s="29"/>
      <c r="D430" s="8"/>
      <c r="E430" s="90"/>
      <c r="F430" s="8"/>
      <c r="G430" s="118" t="s">
        <v>453</v>
      </c>
      <c r="H430" s="8"/>
      <c r="I430" s="90"/>
      <c r="J430" s="8"/>
      <c r="K430" s="139" t="s">
        <v>209</v>
      </c>
      <c r="L430" s="92"/>
      <c r="M430" s="141"/>
      <c r="N430" s="141"/>
      <c r="O430" s="8"/>
      <c r="P430" s="90"/>
      <c r="Q430" s="8"/>
      <c r="R430" s="33" t="s">
        <v>453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731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7.6" hidden="1" outlineLevel="3">
      <c r="B433" s="28"/>
      <c r="C433" s="29"/>
      <c r="D433" s="8"/>
      <c r="E433" s="90"/>
      <c r="F433" s="8"/>
      <c r="G433" s="118" t="s">
        <v>453</v>
      </c>
      <c r="H433" s="8"/>
      <c r="I433" s="90"/>
      <c r="J433" s="8"/>
      <c r="K433" s="35"/>
      <c r="L433" s="99" t="s">
        <v>206</v>
      </c>
      <c r="M433" s="42" t="s">
        <v>209</v>
      </c>
      <c r="N433" s="42" t="s">
        <v>299</v>
      </c>
      <c r="O433" s="8"/>
      <c r="P433" s="90"/>
      <c r="Q433" s="8"/>
      <c r="R433" s="33" t="s">
        <v>453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453</v>
      </c>
      <c r="H434" s="8"/>
      <c r="I434" s="90"/>
      <c r="J434" s="8"/>
      <c r="K434" s="35"/>
      <c r="L434" s="42" t="s">
        <v>208</v>
      </c>
      <c r="M434" s="42" t="s">
        <v>198</v>
      </c>
      <c r="N434" s="3"/>
      <c r="O434" s="8"/>
      <c r="P434" s="90"/>
      <c r="Q434" s="8"/>
      <c r="R434" s="33" t="s">
        <v>453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286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7.6" hidden="1" outlineLevel="3">
      <c r="B437" s="28"/>
      <c r="C437" s="29"/>
      <c r="D437" s="8"/>
      <c r="E437" s="90"/>
      <c r="F437" s="8"/>
      <c r="G437" s="118" t="s">
        <v>453</v>
      </c>
      <c r="H437" s="8"/>
      <c r="I437" s="90"/>
      <c r="J437" s="8"/>
      <c r="K437" s="35"/>
      <c r="L437" s="99" t="s">
        <v>206</v>
      </c>
      <c r="M437" s="42" t="s">
        <v>299</v>
      </c>
      <c r="N437" s="42" t="s">
        <v>209</v>
      </c>
      <c r="O437" s="8"/>
      <c r="P437" s="90"/>
      <c r="Q437" s="8"/>
      <c r="R437" s="33" t="s">
        <v>453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453</v>
      </c>
      <c r="H438" s="8"/>
      <c r="I438" s="90"/>
      <c r="J438" s="8"/>
      <c r="K438" s="35"/>
      <c r="L438" s="42" t="s">
        <v>208</v>
      </c>
      <c r="M438" s="42" t="s">
        <v>198</v>
      </c>
      <c r="N438" s="3"/>
      <c r="O438" s="8"/>
      <c r="P438" s="90"/>
      <c r="Q438" s="8"/>
      <c r="R438" s="33" t="s">
        <v>453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163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7.6" hidden="1" outlineLevel="3">
      <c r="B441" s="28"/>
      <c r="C441" s="29"/>
      <c r="D441" s="8"/>
      <c r="E441" s="90"/>
      <c r="F441" s="8"/>
      <c r="G441" s="118" t="s">
        <v>453</v>
      </c>
      <c r="H441" s="8"/>
      <c r="I441" s="90"/>
      <c r="J441" s="8"/>
      <c r="K441" s="35"/>
      <c r="L441" s="99" t="s">
        <v>206</v>
      </c>
      <c r="M441" s="42" t="s">
        <v>299</v>
      </c>
      <c r="N441" s="42" t="s">
        <v>209</v>
      </c>
      <c r="O441" s="8"/>
      <c r="P441" s="90"/>
      <c r="Q441" s="8"/>
      <c r="R441" s="33" t="s">
        <v>453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208</v>
      </c>
      <c r="M442" s="42" t="s">
        <v>198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496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453</v>
      </c>
      <c r="H445" s="8"/>
      <c r="I445" s="90"/>
      <c r="J445" s="8"/>
      <c r="K445" s="74"/>
      <c r="M445" s="36" t="s">
        <v>206</v>
      </c>
      <c r="N445" s="36" t="s">
        <v>199</v>
      </c>
      <c r="O445" s="8"/>
      <c r="P445" s="90"/>
      <c r="Q445" s="8"/>
      <c r="R445" s="33" t="s">
        <v>453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453</v>
      </c>
      <c r="H446" s="8"/>
      <c r="I446" s="90"/>
      <c r="J446" s="8"/>
      <c r="K446" s="74"/>
      <c r="M446" s="73" t="s">
        <v>208</v>
      </c>
      <c r="N446" s="36" t="s">
        <v>608</v>
      </c>
      <c r="O446" s="8"/>
      <c r="P446" s="90"/>
      <c r="Q446" s="8"/>
      <c r="R446" s="33" t="s">
        <v>453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843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7.6" hidden="1" outlineLevel="3">
      <c r="A449" s="18"/>
      <c r="B449" s="19"/>
      <c r="C449" s="20"/>
      <c r="D449" s="8"/>
      <c r="E449" s="90"/>
      <c r="F449" s="8"/>
      <c r="G449" s="118" t="s">
        <v>453</v>
      </c>
      <c r="H449" s="8"/>
      <c r="I449" s="90"/>
      <c r="J449" s="8"/>
      <c r="K449" s="36" t="s">
        <v>206</v>
      </c>
      <c r="L449" s="36" t="s">
        <v>199</v>
      </c>
      <c r="M449" s="36" t="s">
        <v>209</v>
      </c>
      <c r="N449" s="36"/>
      <c r="O449" s="8"/>
      <c r="P449" s="90"/>
      <c r="Q449" s="8"/>
      <c r="R449" s="33" t="s">
        <v>453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453</v>
      </c>
      <c r="H450" s="8"/>
      <c r="I450" s="90"/>
      <c r="J450" s="8"/>
      <c r="K450" s="36" t="s">
        <v>208</v>
      </c>
      <c r="L450" s="36"/>
      <c r="M450" s="36"/>
      <c r="N450" s="3"/>
      <c r="O450" s="8"/>
      <c r="P450" s="90"/>
      <c r="Q450" s="8"/>
      <c r="R450" s="33" t="s">
        <v>453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845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7.6" hidden="1" outlineLevel="3">
      <c r="A453" s="18"/>
      <c r="B453" s="19"/>
      <c r="C453" s="20"/>
      <c r="D453" s="8"/>
      <c r="E453" s="90"/>
      <c r="F453" s="8"/>
      <c r="G453" s="118" t="s">
        <v>453</v>
      </c>
      <c r="H453" s="8"/>
      <c r="I453" s="90"/>
      <c r="J453" s="8"/>
      <c r="K453" s="36" t="s">
        <v>206</v>
      </c>
      <c r="L453" s="36" t="s">
        <v>199</v>
      </c>
      <c r="M453" s="36" t="s">
        <v>209</v>
      </c>
      <c r="N453" s="104" t="s">
        <v>848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453</v>
      </c>
      <c r="H454" s="8"/>
      <c r="I454" s="90"/>
      <c r="J454" s="8"/>
      <c r="K454" s="36" t="s">
        <v>208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214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453</v>
      </c>
      <c r="H457" s="8"/>
      <c r="I457" s="90"/>
      <c r="J457" s="8"/>
      <c r="K457" s="74" t="s">
        <v>199</v>
      </c>
      <c r="L457" s="42" t="s">
        <v>759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453</v>
      </c>
      <c r="H458" s="8"/>
      <c r="I458" s="90"/>
      <c r="J458" s="8"/>
      <c r="K458" s="74" t="s">
        <v>219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453</v>
      </c>
      <c r="H459" s="8"/>
      <c r="I459" s="90"/>
      <c r="J459" s="8"/>
      <c r="K459" s="42" t="s">
        <v>222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27.6" hidden="1" outlineLevel="3">
      <c r="B460" s="24"/>
      <c r="C460" s="25"/>
      <c r="D460" s="8"/>
      <c r="E460" s="90"/>
      <c r="F460" s="8"/>
      <c r="G460" s="118" t="s">
        <v>453</v>
      </c>
      <c r="H460" s="8"/>
      <c r="I460" s="90"/>
      <c r="J460" s="8"/>
      <c r="K460" s="74" t="s">
        <v>283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377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7.6" hidden="1" outlineLevel="3">
      <c r="A463" s="146"/>
      <c r="B463" s="19"/>
      <c r="C463" s="20"/>
      <c r="D463" s="147"/>
      <c r="E463" s="148"/>
      <c r="F463" s="147"/>
      <c r="G463" s="118" t="s">
        <v>453</v>
      </c>
      <c r="H463" s="147"/>
      <c r="I463" s="148"/>
      <c r="J463" s="147"/>
      <c r="K463" s="36"/>
      <c r="L463" s="36" t="s">
        <v>850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7.6" hidden="1" outlineLevel="3">
      <c r="A464" s="146"/>
      <c r="B464" s="19"/>
      <c r="C464" s="20"/>
      <c r="D464" s="147"/>
      <c r="E464" s="148"/>
      <c r="F464" s="147"/>
      <c r="G464" s="118" t="s">
        <v>453</v>
      </c>
      <c r="H464" s="147"/>
      <c r="I464" s="148"/>
      <c r="J464" s="147"/>
      <c r="K464" s="36"/>
      <c r="L464" s="36" t="s">
        <v>852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7.6" hidden="1" outlineLevel="3">
      <c r="A465" s="146"/>
      <c r="B465" s="19"/>
      <c r="C465" s="20"/>
      <c r="D465" s="147"/>
      <c r="E465" s="148"/>
      <c r="F465" s="147"/>
      <c r="G465" s="118" t="s">
        <v>453</v>
      </c>
      <c r="H465" s="147"/>
      <c r="I465" s="148"/>
      <c r="J465" s="147"/>
      <c r="K465" s="36"/>
      <c r="L465" s="36" t="s">
        <v>854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855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453</v>
      </c>
      <c r="H468" s="8"/>
      <c r="I468" s="90"/>
      <c r="J468" s="8"/>
      <c r="K468" s="73"/>
      <c r="L468" s="74" t="s">
        <v>298</v>
      </c>
      <c r="M468" s="35" t="s">
        <v>208</v>
      </c>
      <c r="N468" s="35" t="s">
        <v>889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224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453</v>
      </c>
      <c r="H471" s="8"/>
      <c r="I471" s="90"/>
      <c r="J471" s="8"/>
      <c r="K471" s="42"/>
      <c r="L471" s="91" t="s">
        <v>206</v>
      </c>
      <c r="M471" s="92" t="s">
        <v>299</v>
      </c>
      <c r="N471" s="92" t="s">
        <v>857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453</v>
      </c>
      <c r="H472" s="8"/>
      <c r="I472" s="90"/>
      <c r="J472" s="8"/>
      <c r="K472" s="42"/>
      <c r="M472" s="92" t="s">
        <v>208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858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453</v>
      </c>
      <c r="H475" s="8"/>
      <c r="I475" s="90"/>
      <c r="J475" s="8"/>
      <c r="L475" s="91" t="s">
        <v>206</v>
      </c>
      <c r="M475" s="92" t="s">
        <v>299</v>
      </c>
      <c r="N475" s="92" t="s">
        <v>857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453</v>
      </c>
      <c r="H476" s="8"/>
      <c r="I476" s="90"/>
      <c r="J476" s="8"/>
      <c r="M476" s="92" t="s">
        <v>208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859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453</v>
      </c>
      <c r="H479" s="8"/>
      <c r="I479" s="90"/>
      <c r="J479" s="8"/>
      <c r="L479" s="91" t="s">
        <v>206</v>
      </c>
      <c r="M479" s="92" t="s">
        <v>299</v>
      </c>
      <c r="N479" s="92" t="s">
        <v>857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453</v>
      </c>
      <c r="H480" s="8"/>
      <c r="I480" s="90"/>
      <c r="J480" s="8"/>
      <c r="M480" s="92" t="s">
        <v>208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721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453</v>
      </c>
      <c r="H483" s="8"/>
      <c r="I483" s="90"/>
      <c r="J483" s="8"/>
      <c r="K483" s="36" t="s">
        <v>206</v>
      </c>
      <c r="L483" s="36" t="s">
        <v>198</v>
      </c>
      <c r="M483" s="36" t="s">
        <v>199</v>
      </c>
      <c r="N483" s="3"/>
      <c r="O483" s="8"/>
      <c r="P483" s="90"/>
      <c r="Q483" s="8"/>
      <c r="R483" s="33" t="s">
        <v>453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453</v>
      </c>
      <c r="H484" s="8"/>
      <c r="I484" s="90"/>
      <c r="J484" s="8"/>
      <c r="L484" s="36" t="s">
        <v>208</v>
      </c>
      <c r="M484" s="3"/>
      <c r="N484" s="36" t="s">
        <v>608</v>
      </c>
      <c r="O484" s="8"/>
      <c r="P484" s="90"/>
      <c r="Q484" s="8"/>
      <c r="R484" s="33" t="s">
        <v>453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610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453</v>
      </c>
      <c r="H487" s="8"/>
      <c r="I487" s="90"/>
      <c r="J487" s="8"/>
      <c r="K487" s="36" t="s">
        <v>206</v>
      </c>
      <c r="L487" s="36" t="s">
        <v>198</v>
      </c>
      <c r="M487" s="36" t="s">
        <v>199</v>
      </c>
      <c r="N487" s="3"/>
      <c r="O487" s="8"/>
      <c r="P487" s="90"/>
      <c r="Q487" s="8"/>
      <c r="R487" s="33" t="s">
        <v>453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453</v>
      </c>
      <c r="H488" s="8"/>
      <c r="I488" s="90"/>
      <c r="J488" s="8"/>
      <c r="L488" s="36" t="s">
        <v>208</v>
      </c>
      <c r="M488" s="3"/>
      <c r="N488" s="36" t="s">
        <v>608</v>
      </c>
      <c r="O488" s="8"/>
      <c r="P488" s="90"/>
      <c r="Q488" s="8"/>
      <c r="R488" s="33" t="s">
        <v>453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732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453</v>
      </c>
      <c r="H491" s="8"/>
      <c r="I491" s="90"/>
      <c r="J491" s="8"/>
      <c r="K491" s="3"/>
      <c r="M491" s="36" t="s">
        <v>206</v>
      </c>
      <c r="N491" s="36" t="s">
        <v>199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453</v>
      </c>
      <c r="H492" s="8"/>
      <c r="I492" s="90"/>
      <c r="J492" s="8"/>
      <c r="K492" s="3"/>
      <c r="M492" s="36" t="s">
        <v>208</v>
      </c>
      <c r="N492" s="36" t="s">
        <v>198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293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453</v>
      </c>
      <c r="H495" s="8"/>
      <c r="I495" s="90"/>
      <c r="J495" s="8"/>
      <c r="K495" s="36" t="s">
        <v>206</v>
      </c>
      <c r="L495" s="3"/>
      <c r="M495" s="36" t="s">
        <v>199</v>
      </c>
      <c r="N495" s="36" t="s">
        <v>244</v>
      </c>
      <c r="O495" s="8"/>
      <c r="P495" s="90"/>
      <c r="Q495" s="8"/>
      <c r="R495" s="33" t="s">
        <v>453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453</v>
      </c>
      <c r="H496" s="8"/>
      <c r="I496" s="90"/>
      <c r="J496" s="8"/>
      <c r="K496" s="74"/>
      <c r="L496" s="36" t="s">
        <v>208</v>
      </c>
      <c r="M496" s="36" t="s">
        <v>608</v>
      </c>
      <c r="N496" s="36"/>
      <c r="O496" s="8"/>
      <c r="P496" s="90"/>
      <c r="Q496" s="8"/>
      <c r="R496" s="33" t="s">
        <v>453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733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453</v>
      </c>
      <c r="H499" s="8"/>
      <c r="I499" s="90"/>
      <c r="J499" s="8"/>
      <c r="K499" s="74"/>
      <c r="L499" s="36" t="s">
        <v>206</v>
      </c>
      <c r="M499" s="36" t="s">
        <v>208</v>
      </c>
      <c r="N499" s="36" t="s">
        <v>199</v>
      </c>
      <c r="O499" s="8"/>
      <c r="P499" s="90"/>
      <c r="Q499" s="8"/>
      <c r="R499" s="33" t="s">
        <v>453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734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453</v>
      </c>
      <c r="H502" s="8"/>
      <c r="I502" s="90"/>
      <c r="J502" s="8"/>
      <c r="K502" s="74"/>
      <c r="L502" s="36" t="s">
        <v>206</v>
      </c>
      <c r="M502" s="36" t="s">
        <v>208</v>
      </c>
      <c r="N502" s="36" t="s">
        <v>199</v>
      </c>
      <c r="O502" s="8"/>
      <c r="P502" s="90"/>
      <c r="Q502" s="8"/>
      <c r="R502" s="33" t="s">
        <v>453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735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7.6" hidden="1" outlineLevel="3">
      <c r="B505" s="28"/>
      <c r="C505" s="29"/>
      <c r="D505" s="8"/>
      <c r="E505" s="90"/>
      <c r="F505" s="8"/>
      <c r="G505" s="118" t="s">
        <v>453</v>
      </c>
      <c r="H505" s="8"/>
      <c r="I505" s="90"/>
      <c r="J505" s="8"/>
      <c r="K505" s="74"/>
      <c r="L505" s="36" t="s">
        <v>206</v>
      </c>
      <c r="M505" s="36" t="s">
        <v>199</v>
      </c>
      <c r="N505" s="36" t="s">
        <v>209</v>
      </c>
      <c r="O505" s="8"/>
      <c r="P505" s="90"/>
      <c r="Q505" s="8"/>
      <c r="R505" s="33" t="s">
        <v>453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453</v>
      </c>
      <c r="H506" s="8"/>
      <c r="I506" s="90"/>
      <c r="J506" s="8"/>
      <c r="K506" s="74"/>
      <c r="L506" s="36" t="s">
        <v>208</v>
      </c>
      <c r="M506" s="3"/>
      <c r="N506" s="3"/>
      <c r="O506" s="8"/>
      <c r="P506" s="90"/>
      <c r="Q506" s="8"/>
      <c r="R506" s="33" t="s">
        <v>453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236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453</v>
      </c>
      <c r="H509" s="8"/>
      <c r="I509" s="90"/>
      <c r="J509" s="8"/>
      <c r="K509" s="74"/>
      <c r="L509" s="36" t="s">
        <v>206</v>
      </c>
      <c r="M509" s="3" t="s">
        <v>608</v>
      </c>
      <c r="N509" s="36" t="s">
        <v>199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453</v>
      </c>
      <c r="H510" s="8"/>
      <c r="I510" s="90"/>
      <c r="J510" s="8"/>
      <c r="K510" s="74"/>
      <c r="L510" s="36" t="s">
        <v>208</v>
      </c>
      <c r="M510" s="3"/>
      <c r="N510" s="36" t="s">
        <v>198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3.15"/>
  <cols>
    <col min="1" max="1" width="8.5703125" style="369"/>
    <col min="2" max="2" width="22.5703125" style="369" bestFit="1" customWidth="1"/>
    <col min="3" max="3" width="8.5703125" style="401"/>
    <col min="4" max="16384" width="8.570312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890</v>
      </c>
      <c r="B3" s="369" t="s">
        <v>891</v>
      </c>
      <c r="C3" s="401">
        <v>1</v>
      </c>
    </row>
    <row r="4" spans="1:3">
      <c r="B4" s="369" t="s">
        <v>892</v>
      </c>
      <c r="C4" s="401">
        <v>1</v>
      </c>
    </row>
    <row r="5" spans="1:3">
      <c r="B5" s="369" t="s">
        <v>893</v>
      </c>
      <c r="C5" s="401">
        <v>1</v>
      </c>
    </row>
    <row r="6" spans="1:3">
      <c r="B6" s="369" t="s">
        <v>894</v>
      </c>
      <c r="C6" s="401">
        <v>1</v>
      </c>
    </row>
    <row r="7" spans="1:3">
      <c r="B7" s="369" t="s">
        <v>469</v>
      </c>
      <c r="C7" s="401">
        <v>1</v>
      </c>
    </row>
    <row r="8" spans="1:3">
      <c r="B8" s="369" t="s">
        <v>895</v>
      </c>
    </row>
    <row r="9" spans="1:3">
      <c r="B9" s="369" t="s">
        <v>896</v>
      </c>
      <c r="C9" s="401">
        <v>1</v>
      </c>
    </row>
    <row r="10" spans="1:3">
      <c r="B10" s="369" t="s">
        <v>897</v>
      </c>
      <c r="C10" s="401">
        <v>1</v>
      </c>
    </row>
    <row r="11" spans="1:3">
      <c r="B11" s="369" t="s">
        <v>898</v>
      </c>
      <c r="C11" s="401">
        <v>1</v>
      </c>
    </row>
    <row r="12" spans="1:3">
      <c r="B12" s="369" t="s">
        <v>899</v>
      </c>
      <c r="C12" s="401">
        <v>1</v>
      </c>
    </row>
    <row r="13" spans="1:3">
      <c r="B13" s="369" t="s">
        <v>900</v>
      </c>
      <c r="C13" s="401">
        <v>1</v>
      </c>
    </row>
    <row r="14" spans="1:3">
      <c r="B14" s="369" t="s">
        <v>901</v>
      </c>
      <c r="C14" s="401">
        <v>1</v>
      </c>
    </row>
    <row r="15" spans="1:3">
      <c r="B15" s="369" t="s">
        <v>902</v>
      </c>
      <c r="C15" s="401">
        <v>1</v>
      </c>
    </row>
    <row r="16" spans="1:3">
      <c r="B16" s="369" t="s">
        <v>548</v>
      </c>
      <c r="C16" s="401">
        <v>1</v>
      </c>
    </row>
    <row r="17" spans="1:4">
      <c r="B17" s="369" t="s">
        <v>252</v>
      </c>
      <c r="C17" s="401">
        <v>1</v>
      </c>
    </row>
    <row r="18" spans="1:4">
      <c r="B18" s="369" t="s">
        <v>622</v>
      </c>
      <c r="C18" s="401">
        <v>1</v>
      </c>
    </row>
    <row r="19" spans="1:4">
      <c r="B19" s="369" t="s">
        <v>621</v>
      </c>
      <c r="C19" s="401">
        <v>1</v>
      </c>
    </row>
    <row r="20" spans="1:4">
      <c r="B20" s="369" t="s">
        <v>903</v>
      </c>
      <c r="C20" s="401">
        <v>1</v>
      </c>
    </row>
    <row r="21" spans="1:4">
      <c r="B21" s="369" t="s">
        <v>904</v>
      </c>
      <c r="C21" s="401">
        <v>1</v>
      </c>
    </row>
    <row r="22" spans="1:4">
      <c r="B22" s="369" t="s">
        <v>369</v>
      </c>
    </row>
    <row r="23" spans="1:4">
      <c r="B23" s="369" t="s">
        <v>905</v>
      </c>
    </row>
    <row r="24" spans="1:4">
      <c r="B24" s="369" t="s">
        <v>906</v>
      </c>
    </row>
    <row r="26" spans="1:4">
      <c r="A26" s="369" t="s">
        <v>907</v>
      </c>
      <c r="B26" s="369" t="s">
        <v>236</v>
      </c>
      <c r="C26" s="401">
        <v>1</v>
      </c>
    </row>
    <row r="27" spans="1:4">
      <c r="B27" s="369" t="s">
        <v>908</v>
      </c>
      <c r="C27" s="401">
        <v>1</v>
      </c>
    </row>
    <row r="28" spans="1:4">
      <c r="B28" s="369" t="s">
        <v>909</v>
      </c>
    </row>
    <row r="29" spans="1:4">
      <c r="B29" s="369" t="s">
        <v>910</v>
      </c>
    </row>
    <row r="30" spans="1:4">
      <c r="B30" s="369" t="s">
        <v>162</v>
      </c>
      <c r="C30" s="401">
        <v>1</v>
      </c>
    </row>
    <row r="31" spans="1:4">
      <c r="B31" s="369" t="s">
        <v>284</v>
      </c>
      <c r="C31" s="401">
        <v>1</v>
      </c>
      <c r="D31" s="369" t="s">
        <v>911</v>
      </c>
    </row>
    <row r="32" spans="1:4">
      <c r="B32" s="369" t="s">
        <v>163</v>
      </c>
      <c r="C32" s="401">
        <v>1</v>
      </c>
    </row>
    <row r="33" spans="1:3">
      <c r="B33" s="369" t="s">
        <v>609</v>
      </c>
      <c r="C33" s="401">
        <v>1</v>
      </c>
    </row>
    <row r="34" spans="1:3">
      <c r="B34" s="369" t="s">
        <v>293</v>
      </c>
      <c r="C34" s="401">
        <v>1</v>
      </c>
    </row>
    <row r="35" spans="1:3">
      <c r="B35" s="369" t="s">
        <v>285</v>
      </c>
      <c r="C35" s="401">
        <v>1</v>
      </c>
    </row>
    <row r="36" spans="1:3">
      <c r="B36" s="369" t="s">
        <v>723</v>
      </c>
      <c r="C36" s="401">
        <v>1</v>
      </c>
    </row>
    <row r="37" spans="1:3">
      <c r="B37" s="369" t="s">
        <v>300</v>
      </c>
      <c r="C37" s="401">
        <v>1</v>
      </c>
    </row>
    <row r="38" spans="1:3">
      <c r="B38" s="369" t="s">
        <v>165</v>
      </c>
      <c r="C38" s="401">
        <v>1</v>
      </c>
    </row>
    <row r="39" spans="1:3">
      <c r="B39" s="369" t="s">
        <v>506</v>
      </c>
      <c r="C39" s="401">
        <v>1</v>
      </c>
    </row>
    <row r="40" spans="1:3">
      <c r="B40" s="369" t="s">
        <v>507</v>
      </c>
    </row>
    <row r="41" spans="1:3">
      <c r="B41" s="369" t="s">
        <v>912</v>
      </c>
      <c r="C41" s="401">
        <v>1</v>
      </c>
    </row>
    <row r="42" spans="1:3">
      <c r="B42" s="369" t="s">
        <v>509</v>
      </c>
      <c r="C42" s="401">
        <v>1</v>
      </c>
    </row>
    <row r="43" spans="1:3">
      <c r="B43" s="369" t="s">
        <v>913</v>
      </c>
      <c r="C43" s="401">
        <v>1</v>
      </c>
    </row>
    <row r="44" spans="1:3">
      <c r="B44" s="369" t="s">
        <v>914</v>
      </c>
      <c r="C44" s="401">
        <v>1</v>
      </c>
    </row>
    <row r="45" spans="1:3">
      <c r="B45" s="369" t="s">
        <v>915</v>
      </c>
      <c r="C45" s="401">
        <v>1</v>
      </c>
    </row>
    <row r="46" spans="1:3">
      <c r="B46" s="369" t="s">
        <v>916</v>
      </c>
      <c r="C46" s="401">
        <v>1</v>
      </c>
    </row>
    <row r="48" spans="1:3">
      <c r="A48" s="369" t="s">
        <v>917</v>
      </c>
      <c r="B48" s="369" t="s">
        <v>225</v>
      </c>
      <c r="C48" s="401">
        <v>1</v>
      </c>
    </row>
    <row r="49" spans="1:5">
      <c r="B49" s="369" t="s">
        <v>229</v>
      </c>
      <c r="C49" s="401">
        <v>1</v>
      </c>
    </row>
    <row r="50" spans="1:5">
      <c r="B50" s="369" t="s">
        <v>498</v>
      </c>
      <c r="C50" s="401">
        <v>1</v>
      </c>
    </row>
    <row r="51" spans="1:5">
      <c r="B51" s="369" t="s">
        <v>918</v>
      </c>
      <c r="C51" s="401">
        <v>1</v>
      </c>
    </row>
    <row r="52" spans="1:5">
      <c r="B52" s="435" t="s">
        <v>919</v>
      </c>
      <c r="C52" s="401">
        <v>1</v>
      </c>
      <c r="D52" s="369" t="s">
        <v>911</v>
      </c>
    </row>
    <row r="53" spans="1:5">
      <c r="B53" s="369" t="s">
        <v>385</v>
      </c>
      <c r="C53" s="401">
        <v>1</v>
      </c>
    </row>
    <row r="54" spans="1:5">
      <c r="B54" s="369" t="s">
        <v>296</v>
      </c>
      <c r="C54" s="401">
        <v>1</v>
      </c>
    </row>
    <row r="55" spans="1:5">
      <c r="B55" s="369" t="s">
        <v>414</v>
      </c>
      <c r="C55" s="401">
        <v>1</v>
      </c>
    </row>
    <row r="56" spans="1:5">
      <c r="B56" s="369" t="s">
        <v>612</v>
      </c>
      <c r="C56" s="401">
        <v>1</v>
      </c>
    </row>
    <row r="57" spans="1:5">
      <c r="B57" s="369" t="s">
        <v>920</v>
      </c>
      <c r="C57" s="401">
        <v>1</v>
      </c>
      <c r="E57" s="369" t="s">
        <v>921</v>
      </c>
    </row>
    <row r="58" spans="1:5">
      <c r="B58" s="369" t="s">
        <v>922</v>
      </c>
      <c r="C58" s="401">
        <v>1</v>
      </c>
      <c r="E58" s="369" t="s">
        <v>921</v>
      </c>
    </row>
    <row r="60" spans="1:5">
      <c r="A60" s="369" t="s">
        <v>923</v>
      </c>
      <c r="B60" s="369" t="s">
        <v>422</v>
      </c>
    </row>
    <row r="61" spans="1:5">
      <c r="B61" s="369" t="s">
        <v>924</v>
      </c>
      <c r="C61" s="401">
        <v>1</v>
      </c>
    </row>
    <row r="62" spans="1:5">
      <c r="B62" s="369" t="s">
        <v>925</v>
      </c>
    </row>
    <row r="63" spans="1:5">
      <c r="B63" s="369" t="s">
        <v>926</v>
      </c>
      <c r="C63" s="401">
        <v>1</v>
      </c>
    </row>
    <row r="65" spans="1:3">
      <c r="A65" s="369" t="s">
        <v>927</v>
      </c>
      <c r="B65" s="369" t="s">
        <v>928</v>
      </c>
      <c r="C65" s="401">
        <v>1</v>
      </c>
    </row>
    <row r="66" spans="1:3">
      <c r="B66" s="369" t="s">
        <v>929</v>
      </c>
      <c r="C66" s="401">
        <v>1</v>
      </c>
    </row>
    <row r="67" spans="1:3">
      <c r="B67" s="369" t="s">
        <v>930</v>
      </c>
      <c r="C67" s="401">
        <v>1</v>
      </c>
    </row>
    <row r="68" spans="1:3">
      <c r="B68" s="369" t="s">
        <v>931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3.15"/>
  <cols>
    <col min="4" max="4" width="0" hidden="1" customWidth="1"/>
    <col min="6" max="6" width="0" hidden="1" customWidth="1"/>
    <col min="7" max="7" width="15.42578125" bestFit="1" customWidth="1"/>
  </cols>
  <sheetData>
    <row r="2" spans="2:2">
      <c r="B2" t="s">
        <v>932</v>
      </c>
    </row>
    <row r="5" spans="2:2">
      <c r="B5" t="s">
        <v>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2A47-1D5F-458C-8847-CD7E7A6C8A72}">
  <sheetPr codeName="Sheet12">
    <outlinePr summaryBelow="0" summaryRight="0"/>
  </sheetPr>
  <dimension ref="A2:AE650"/>
  <sheetViews>
    <sheetView zoomScale="80" zoomScaleNormal="80" workbookViewId="0">
      <pane xSplit="2" ySplit="4" topLeftCell="C5" activePane="bottomRight" state="frozen"/>
      <selection pane="bottomRight"/>
      <selection pane="bottomLeft" activeCell="A8" sqref="A8"/>
      <selection pane="topRight"/>
    </sheetView>
  </sheetViews>
  <sheetFormatPr defaultColWidth="9.42578125" defaultRowHeight="13.15" outlineLevelRow="4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50" customWidth="1"/>
    <col min="7" max="7" width="13.28515625" style="416" bestFit="1" customWidth="1"/>
    <col min="8" max="8" width="13.710937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7.45">
      <c r="A2" s="376"/>
      <c r="B2" s="418" t="s">
        <v>934</v>
      </c>
      <c r="C2" s="418"/>
      <c r="D2" s="418"/>
      <c r="E2" s="418"/>
      <c r="F2" s="423"/>
      <c r="G2" s="689">
        <f>SUBTOTAL(9,G6:G651)</f>
        <v>177.8389128943974</v>
      </c>
      <c r="H2" s="690">
        <f>SUBTOTAL(9,H6:H651)</f>
        <v>449</v>
      </c>
      <c r="I2" s="626"/>
      <c r="J2" s="752"/>
      <c r="L2" s="418"/>
      <c r="M2" s="418"/>
      <c r="N2" s="418"/>
      <c r="O2" s="418"/>
      <c r="P2" s="418"/>
      <c r="Q2" s="418"/>
      <c r="R2" s="418"/>
      <c r="T2" s="752"/>
      <c r="V2" s="689">
        <f>SUBTOTAL(9,V6:V651)</f>
        <v>4.5681935952219366</v>
      </c>
      <c r="W2" s="765">
        <f>SUBTOTAL(9,W6:W651)</f>
        <v>36</v>
      </c>
      <c r="X2" s="610">
        <f>G2-V2</f>
        <v>173.27071929917545</v>
      </c>
      <c r="Y2" s="610">
        <f>H2-W2</f>
        <v>413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L3" s="376"/>
      <c r="M3" s="376"/>
      <c r="N3" s="376"/>
      <c r="O3" s="376"/>
      <c r="P3" s="376"/>
      <c r="Q3" s="376"/>
      <c r="R3" s="376"/>
      <c r="T3" s="752"/>
      <c r="V3" s="376"/>
      <c r="W3" s="376"/>
    </row>
    <row r="4" spans="1:31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T4" s="753"/>
      <c r="V4" s="693" t="s">
        <v>943</v>
      </c>
      <c r="W4" s="693" t="s">
        <v>944</v>
      </c>
      <c r="X4" s="764">
        <f>V2/G2</f>
        <v>2.5687255510466248E-2</v>
      </c>
      <c r="Y4" s="764">
        <f>W2/H2</f>
        <v>8.0178173719376397E-2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2"/>
      <c r="L5" s="376"/>
      <c r="M5" s="376"/>
      <c r="N5" s="376"/>
      <c r="O5" s="376"/>
      <c r="P5" s="376"/>
      <c r="Q5" s="376"/>
      <c r="R5" s="376"/>
      <c r="T5" s="752"/>
      <c r="V5" s="695"/>
      <c r="W5" s="696"/>
      <c r="X5" s="610"/>
      <c r="Y5" s="610"/>
      <c r="Z5" s="610"/>
      <c r="AA5" s="610"/>
    </row>
    <row r="6" spans="1:31" ht="15">
      <c r="A6" s="376"/>
      <c r="B6" s="430" t="s">
        <v>945</v>
      </c>
      <c r="C6" s="430"/>
      <c r="D6" s="430"/>
      <c r="E6" s="430"/>
      <c r="F6" s="697"/>
      <c r="G6" s="698">
        <f>SUBTOTAL(9,G8:G390)</f>
        <v>37.131676078588185</v>
      </c>
      <c r="H6" s="699">
        <f>SUBTOTAL(9,H8:H390)</f>
        <v>283</v>
      </c>
      <c r="I6" s="626"/>
      <c r="J6" s="752"/>
      <c r="L6" s="430"/>
      <c r="M6" s="430"/>
      <c r="N6" s="430"/>
      <c r="O6" s="430"/>
      <c r="P6" s="430"/>
      <c r="Q6" s="430"/>
      <c r="R6" s="430"/>
      <c r="T6" s="752"/>
      <c r="V6" s="698">
        <f>SUBTOTAL(9,V8:V390)</f>
        <v>4.1059172336370366</v>
      </c>
      <c r="W6" s="699">
        <f>SUBTOTAL(9,W8:W390)</f>
        <v>33</v>
      </c>
      <c r="X6" s="610"/>
      <c r="Y6" s="610"/>
      <c r="Z6" s="764">
        <f>W6/H6</f>
        <v>0.1166077738515901</v>
      </c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2"/>
      <c r="L7" s="376"/>
      <c r="M7" s="376"/>
      <c r="N7" s="376"/>
      <c r="O7" s="376"/>
      <c r="P7" s="376"/>
      <c r="Q7" s="376"/>
      <c r="R7" s="376"/>
      <c r="T7" s="752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891</v>
      </c>
      <c r="C8" s="665" t="s">
        <v>946</v>
      </c>
      <c r="D8" s="665"/>
      <c r="E8" s="665"/>
      <c r="F8" s="681" t="s">
        <v>947</v>
      </c>
      <c r="G8" s="701">
        <f>SUBTOTAL(9,G9:G19)</f>
        <v>0.43271940249580965</v>
      </c>
      <c r="H8" s="702">
        <f>SUBTOTAL(9,H9:H19)</f>
        <v>8</v>
      </c>
      <c r="I8" s="626"/>
      <c r="J8" s="752"/>
      <c r="L8" s="665"/>
      <c r="M8" s="665"/>
      <c r="N8" s="665"/>
      <c r="O8" s="665"/>
      <c r="P8" s="665"/>
      <c r="Q8" s="665"/>
      <c r="R8" s="665"/>
      <c r="T8" s="752"/>
      <c r="V8" s="701">
        <f>SUBTOTAL(9,V9:V19)</f>
        <v>3.9416283817853004E-2</v>
      </c>
      <c r="W8" s="702">
        <f>SUBTOTAL(9,W9:W19)</f>
        <v>1</v>
      </c>
      <c r="X8" s="610"/>
      <c r="Y8" s="610"/>
      <c r="Z8" s="610"/>
    </row>
    <row r="9" spans="1:31" outlineLevel="2">
      <c r="A9" s="376"/>
      <c r="B9" s="684" t="s">
        <v>891</v>
      </c>
      <c r="C9" s="684" t="s">
        <v>946</v>
      </c>
      <c r="D9" s="684" t="s">
        <v>159</v>
      </c>
      <c r="E9" s="684"/>
      <c r="F9" s="685" t="s">
        <v>948</v>
      </c>
      <c r="G9" s="686">
        <f>SUBTOTAL(9,G10:G13)</f>
        <v>0.39703158217785306</v>
      </c>
      <c r="H9" s="691">
        <f>SUBTOTAL(9,H10:H13)</f>
        <v>4</v>
      </c>
      <c r="I9" s="626"/>
      <c r="J9" s="752"/>
      <c r="L9" s="685"/>
      <c r="M9" s="685"/>
      <c r="N9" s="685"/>
      <c r="O9" s="685"/>
      <c r="P9" s="685"/>
      <c r="Q9" s="685"/>
      <c r="R9" s="685"/>
      <c r="T9" s="752"/>
      <c r="V9" s="686">
        <f>SUBTOTAL(9,V10:V13)</f>
        <v>3.9416283817853004E-2</v>
      </c>
      <c r="W9" s="691">
        <f>SUBTOTAL(9,W10:W13)</f>
        <v>1</v>
      </c>
      <c r="X9" s="610"/>
      <c r="Y9" s="610"/>
      <c r="Z9" s="610"/>
      <c r="AD9" s="447"/>
      <c r="AE9" s="683"/>
    </row>
    <row r="10" spans="1:31" ht="26.45" outlineLevel="3">
      <c r="A10" s="376"/>
      <c r="B10" s="376" t="s">
        <v>891</v>
      </c>
      <c r="C10" s="376" t="s">
        <v>949</v>
      </c>
      <c r="D10" s="376" t="s">
        <v>159</v>
      </c>
      <c r="E10" s="376" t="s">
        <v>950</v>
      </c>
      <c r="F10" s="608" t="s">
        <v>9</v>
      </c>
      <c r="G10" s="609">
        <v>0.27</v>
      </c>
      <c r="H10" s="700">
        <v>1</v>
      </c>
      <c r="I10" s="626"/>
      <c r="J10" s="752"/>
      <c r="L10" s="608" t="s">
        <v>950</v>
      </c>
      <c r="M10" s="608" t="s">
        <v>951</v>
      </c>
      <c r="N10" s="608" t="s">
        <v>952</v>
      </c>
      <c r="O10" s="608"/>
      <c r="P10" s="608"/>
      <c r="Q10" s="608"/>
      <c r="R10" s="608"/>
      <c r="T10" s="752"/>
      <c r="V10" s="609">
        <f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891</v>
      </c>
      <c r="C11" s="376" t="s">
        <v>949</v>
      </c>
      <c r="D11" s="376" t="s">
        <v>159</v>
      </c>
      <c r="E11" s="376" t="s">
        <v>950</v>
      </c>
      <c r="F11" s="608" t="s">
        <v>953</v>
      </c>
      <c r="G11" s="695">
        <v>4.5377035860000005E-2</v>
      </c>
      <c r="H11" s="700">
        <v>1</v>
      </c>
      <c r="I11" s="626"/>
      <c r="J11" s="752"/>
      <c r="L11" s="608" t="s">
        <v>950</v>
      </c>
      <c r="M11" s="608" t="s">
        <v>954</v>
      </c>
      <c r="N11" s="608" t="s">
        <v>955</v>
      </c>
      <c r="O11" s="608"/>
      <c r="P11" s="608"/>
      <c r="Q11" s="608"/>
      <c r="R11" s="608"/>
      <c r="T11" s="752"/>
      <c r="V11" s="609">
        <f>IF(W11=1,G11,0)</f>
        <v>0</v>
      </c>
      <c r="W11" s="700"/>
      <c r="X11" s="610"/>
      <c r="Y11" s="610"/>
      <c r="Z11" s="610"/>
      <c r="AD11" s="447"/>
      <c r="AE11" s="683"/>
    </row>
    <row r="12" spans="1:31" ht="13.9" customHeight="1" outlineLevel="3">
      <c r="A12" s="376"/>
      <c r="B12" s="376" t="s">
        <v>891</v>
      </c>
      <c r="C12" s="376" t="s">
        <v>956</v>
      </c>
      <c r="D12" s="376" t="s">
        <v>159</v>
      </c>
      <c r="E12" s="376" t="s">
        <v>950</v>
      </c>
      <c r="F12" s="608" t="s">
        <v>957</v>
      </c>
      <c r="G12" s="609">
        <v>4.2238262499999998E-2</v>
      </c>
      <c r="H12" s="692">
        <v>1</v>
      </c>
      <c r="I12" s="626"/>
      <c r="J12" s="752"/>
      <c r="L12" s="608" t="s">
        <v>950</v>
      </c>
      <c r="M12" s="608" t="s">
        <v>954</v>
      </c>
      <c r="N12" s="608" t="s">
        <v>955</v>
      </c>
      <c r="O12" s="608"/>
      <c r="P12" s="608"/>
      <c r="Q12" s="608"/>
      <c r="R12" s="608"/>
      <c r="T12" s="752"/>
      <c r="V12" s="609">
        <f>IF(W12=1,G12,0)</f>
        <v>0</v>
      </c>
      <c r="W12" s="692"/>
      <c r="X12" s="610"/>
      <c r="Y12" s="610"/>
      <c r="Z12" s="610"/>
      <c r="AD12" s="447"/>
      <c r="AE12" s="683"/>
    </row>
    <row r="13" spans="1:31" ht="13.9" customHeight="1" outlineLevel="3">
      <c r="A13" s="376"/>
      <c r="B13" s="376" t="s">
        <v>891</v>
      </c>
      <c r="C13" s="376" t="s">
        <v>956</v>
      </c>
      <c r="D13" s="376" t="s">
        <v>159</v>
      </c>
      <c r="E13" s="376" t="s">
        <v>950</v>
      </c>
      <c r="F13" s="608" t="s">
        <v>958</v>
      </c>
      <c r="G13" s="695">
        <v>3.9416283817853004E-2</v>
      </c>
      <c r="H13" s="700">
        <v>1</v>
      </c>
      <c r="I13" s="626"/>
      <c r="J13" s="752"/>
      <c r="L13" s="608" t="s">
        <v>950</v>
      </c>
      <c r="M13" s="608" t="s">
        <v>951</v>
      </c>
      <c r="N13" s="608" t="s">
        <v>952</v>
      </c>
      <c r="O13" s="608"/>
      <c r="P13" s="608"/>
      <c r="Q13" s="608"/>
      <c r="R13" s="608"/>
      <c r="T13" s="752"/>
      <c r="V13" s="609">
        <f>IF(W13=1,G13,0)</f>
        <v>3.9416283817853004E-2</v>
      </c>
      <c r="W13" s="700">
        <v>1</v>
      </c>
      <c r="X13" s="610"/>
      <c r="Y13" s="610"/>
      <c r="Z13" s="610"/>
      <c r="AD13" s="447"/>
      <c r="AE13" s="683"/>
    </row>
    <row r="14" spans="1:31" outlineLevel="2">
      <c r="A14" s="376"/>
      <c r="B14" s="684" t="s">
        <v>891</v>
      </c>
      <c r="C14" s="684" t="s">
        <v>946</v>
      </c>
      <c r="D14" s="684" t="s">
        <v>518</v>
      </c>
      <c r="E14" s="684"/>
      <c r="F14" s="685" t="s">
        <v>948</v>
      </c>
      <c r="G14" s="686">
        <f>SUBTOTAL(9,G15:G17)</f>
        <v>2.1350947217956596E-2</v>
      </c>
      <c r="H14" s="691">
        <f>SUBTOTAL(9,H15:H17)</f>
        <v>3</v>
      </c>
      <c r="I14" s="626"/>
      <c r="J14" s="752"/>
      <c r="L14" s="685"/>
      <c r="M14" s="685"/>
      <c r="N14" s="685"/>
      <c r="O14" s="685"/>
      <c r="P14" s="685"/>
      <c r="Q14" s="685"/>
      <c r="R14" s="685"/>
      <c r="T14" s="752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.45" outlineLevel="3">
      <c r="A15" s="376"/>
      <c r="B15" s="376" t="s">
        <v>891</v>
      </c>
      <c r="C15" s="376" t="s">
        <v>949</v>
      </c>
      <c r="D15" s="376" t="s">
        <v>518</v>
      </c>
      <c r="E15" s="376" t="s">
        <v>56</v>
      </c>
      <c r="F15" s="608" t="s">
        <v>953</v>
      </c>
      <c r="G15" s="609">
        <v>5.2867302539999998E-3</v>
      </c>
      <c r="H15" s="700">
        <v>1</v>
      </c>
      <c r="I15" s="626"/>
      <c r="J15" s="752"/>
      <c r="L15" s="608" t="s">
        <v>56</v>
      </c>
      <c r="M15" s="608" t="s">
        <v>959</v>
      </c>
      <c r="N15" s="608" t="s">
        <v>960</v>
      </c>
      <c r="O15" s="608" t="s">
        <v>961</v>
      </c>
      <c r="P15" s="608" t="s">
        <v>962</v>
      </c>
      <c r="R15" s="608"/>
      <c r="T15" s="752"/>
      <c r="V15" s="609">
        <f>IF(W15=1,G15,0)</f>
        <v>0</v>
      </c>
      <c r="W15" s="700"/>
      <c r="X15" s="610"/>
      <c r="Y15" s="610"/>
      <c r="Z15" s="610"/>
      <c r="AD15" s="447"/>
      <c r="AE15" s="683"/>
    </row>
    <row r="16" spans="1:31" ht="26.45" outlineLevel="3">
      <c r="A16" s="376"/>
      <c r="B16" s="376" t="s">
        <v>891</v>
      </c>
      <c r="C16" s="376" t="s">
        <v>956</v>
      </c>
      <c r="D16" s="376" t="s">
        <v>518</v>
      </c>
      <c r="E16" s="376" t="s">
        <v>56</v>
      </c>
      <c r="F16" s="608" t="s">
        <v>957</v>
      </c>
      <c r="G16" s="609">
        <v>1.0861267500000001E-2</v>
      </c>
      <c r="H16" s="700">
        <v>1</v>
      </c>
      <c r="I16" s="626"/>
      <c r="J16" s="752"/>
      <c r="L16" s="608" t="s">
        <v>56</v>
      </c>
      <c r="M16" s="608" t="s">
        <v>959</v>
      </c>
      <c r="N16" s="608" t="s">
        <v>963</v>
      </c>
      <c r="O16" s="608" t="s">
        <v>964</v>
      </c>
      <c r="P16" s="608" t="s">
        <v>965</v>
      </c>
      <c r="R16" s="608"/>
      <c r="T16" s="752"/>
      <c r="V16" s="609">
        <f>IF(W16=1,G16,0)</f>
        <v>0</v>
      </c>
      <c r="W16" s="700"/>
      <c r="X16" s="610"/>
      <c r="Y16" s="610"/>
      <c r="Z16" s="610"/>
      <c r="AD16" s="447"/>
      <c r="AE16" s="683"/>
    </row>
    <row r="17" spans="1:23" ht="13.9" customHeight="1" outlineLevel="3">
      <c r="A17" s="376"/>
      <c r="B17" s="376" t="s">
        <v>891</v>
      </c>
      <c r="C17" s="376" t="s">
        <v>956</v>
      </c>
      <c r="D17" s="376" t="s">
        <v>518</v>
      </c>
      <c r="E17" s="376" t="s">
        <v>56</v>
      </c>
      <c r="F17" s="608" t="s">
        <v>958</v>
      </c>
      <c r="G17" s="609">
        <v>5.2029494639565963E-3</v>
      </c>
      <c r="H17" s="700">
        <v>1</v>
      </c>
      <c r="I17" s="626"/>
      <c r="J17" s="752"/>
      <c r="L17" s="608" t="s">
        <v>56</v>
      </c>
      <c r="M17" s="608" t="s">
        <v>959</v>
      </c>
      <c r="N17" s="608" t="s">
        <v>960</v>
      </c>
      <c r="O17" s="608" t="s">
        <v>961</v>
      </c>
      <c r="P17" s="608" t="s">
        <v>965</v>
      </c>
      <c r="R17" s="608"/>
      <c r="T17" s="752"/>
      <c r="V17" s="609">
        <f>IF(W17=1,G17,0)</f>
        <v>0</v>
      </c>
      <c r="W17" s="700"/>
    </row>
    <row r="18" spans="1:23" outlineLevel="2">
      <c r="A18" s="376"/>
      <c r="B18" s="684" t="s">
        <v>891</v>
      </c>
      <c r="C18" s="684" t="s">
        <v>946</v>
      </c>
      <c r="D18" s="684" t="s">
        <v>441</v>
      </c>
      <c r="E18" s="684"/>
      <c r="F18" s="685" t="s">
        <v>948</v>
      </c>
      <c r="G18" s="686">
        <f>SUBTOTAL(9,G19)</f>
        <v>1.4336873100000001E-2</v>
      </c>
      <c r="H18" s="691">
        <f>SUBTOTAL(9,H19)</f>
        <v>1</v>
      </c>
      <c r="I18" s="626"/>
      <c r="J18" s="752"/>
      <c r="L18" s="685"/>
      <c r="M18" s="685"/>
      <c r="N18" s="685"/>
      <c r="O18" s="685"/>
      <c r="P18" s="685"/>
      <c r="Q18" s="685"/>
      <c r="R18" s="685"/>
      <c r="T18" s="752"/>
      <c r="V18" s="686">
        <f>SUBTOTAL(9,V19)</f>
        <v>0</v>
      </c>
      <c r="W18" s="691">
        <f>SUBTOTAL(9,W19)</f>
        <v>0</v>
      </c>
    </row>
    <row r="19" spans="1:23" ht="52.9" outlineLevel="3">
      <c r="A19" s="376"/>
      <c r="B19" s="376" t="s">
        <v>891</v>
      </c>
      <c r="C19" s="376" t="s">
        <v>956</v>
      </c>
      <c r="D19" s="376" t="s">
        <v>441</v>
      </c>
      <c r="E19" s="376" t="s">
        <v>437</v>
      </c>
      <c r="F19" s="376" t="s">
        <v>957</v>
      </c>
      <c r="G19" s="609">
        <v>1.4336873100000001E-2</v>
      </c>
      <c r="H19" s="700">
        <v>1</v>
      </c>
      <c r="I19" s="626"/>
      <c r="J19" s="752"/>
      <c r="L19" s="608" t="s">
        <v>437</v>
      </c>
      <c r="M19" s="608" t="s">
        <v>966</v>
      </c>
      <c r="N19" s="608" t="s">
        <v>967</v>
      </c>
      <c r="O19" s="608" t="s">
        <v>968</v>
      </c>
      <c r="P19" s="608"/>
      <c r="Q19" s="608"/>
      <c r="R19" s="608"/>
      <c r="T19" s="752"/>
      <c r="V19" s="609">
        <f>IF(W19=1,G19,0)</f>
        <v>0</v>
      </c>
      <c r="W19" s="700"/>
    </row>
    <row r="20" spans="1:23" s="612" customFormat="1" outlineLevel="1">
      <c r="A20" s="380"/>
      <c r="B20" s="665" t="s">
        <v>891</v>
      </c>
      <c r="C20" s="665" t="s">
        <v>969</v>
      </c>
      <c r="D20" s="665"/>
      <c r="E20" s="665"/>
      <c r="F20" s="681" t="s">
        <v>947</v>
      </c>
      <c r="G20" s="701">
        <f>SUBTOTAL(9,G21:G56)</f>
        <v>1.7289022996610157</v>
      </c>
      <c r="H20" s="702">
        <f>SUBTOTAL(9,H21:H56)</f>
        <v>32</v>
      </c>
      <c r="I20" s="627"/>
      <c r="J20" s="754"/>
      <c r="L20" s="681"/>
      <c r="M20" s="681"/>
      <c r="N20" s="681"/>
      <c r="O20" s="681"/>
      <c r="P20" s="681"/>
      <c r="Q20" s="681"/>
      <c r="R20" s="681"/>
      <c r="T20" s="754"/>
      <c r="V20" s="701">
        <f>SUBTOTAL(9,V21:V56)</f>
        <v>0.13194808676010261</v>
      </c>
      <c r="W20" s="702">
        <f>SUBTOTAL(9,W21:W56)</f>
        <v>2</v>
      </c>
    </row>
    <row r="21" spans="1:23" s="704" customFormat="1" outlineLevel="2">
      <c r="A21" s="376"/>
      <c r="B21" s="684" t="s">
        <v>891</v>
      </c>
      <c r="C21" s="684" t="s">
        <v>969</v>
      </c>
      <c r="D21" s="684" t="s">
        <v>159</v>
      </c>
      <c r="E21" s="684"/>
      <c r="F21" s="685" t="s">
        <v>970</v>
      </c>
      <c r="G21" s="686">
        <f>SUBTOTAL(9,G22:G34)</f>
        <v>1.1738106245631736</v>
      </c>
      <c r="H21" s="691">
        <f>SUBTOTAL(9,H22:H34)</f>
        <v>13</v>
      </c>
      <c r="I21" s="703"/>
      <c r="J21" s="755"/>
      <c r="K21" s="751"/>
      <c r="L21" s="685"/>
      <c r="M21" s="685"/>
      <c r="N21" s="685"/>
      <c r="O21" s="685"/>
      <c r="P21" s="685"/>
      <c r="Q21" s="685"/>
      <c r="R21" s="685"/>
      <c r="S21" s="751"/>
      <c r="T21" s="755"/>
      <c r="U21" s="751"/>
      <c r="V21" s="686">
        <f>SUBTOTAL(9,V22:V34)</f>
        <v>0.13194808676010261</v>
      </c>
      <c r="W21" s="691">
        <f>SUBTOTAL(9,W22:W34)</f>
        <v>2</v>
      </c>
    </row>
    <row r="22" spans="1:23" s="704" customFormat="1" outlineLevel="3">
      <c r="A22" s="376"/>
      <c r="B22" s="376" t="s">
        <v>891</v>
      </c>
      <c r="C22" s="376" t="s">
        <v>969</v>
      </c>
      <c r="D22" s="376" t="s">
        <v>159</v>
      </c>
      <c r="E22" s="387" t="s">
        <v>950</v>
      </c>
      <c r="F22" s="608" t="s">
        <v>971</v>
      </c>
      <c r="G22" s="609">
        <v>0.27398366869616486</v>
      </c>
      <c r="H22" s="692">
        <v>1</v>
      </c>
      <c r="I22" s="626"/>
      <c r="J22" s="752"/>
      <c r="K22" s="416"/>
      <c r="L22" s="705" t="s">
        <v>950</v>
      </c>
      <c r="M22" s="705" t="s">
        <v>951</v>
      </c>
      <c r="N22" s="705" t="s">
        <v>972</v>
      </c>
      <c r="O22" s="705" t="s">
        <v>955</v>
      </c>
      <c r="P22" s="705"/>
      <c r="Q22" s="705"/>
      <c r="R22" s="705"/>
      <c r="S22" s="416"/>
      <c r="T22" s="752"/>
      <c r="U22" s="416"/>
      <c r="V22" s="609">
        <f t="shared" ref="V22:V34" si="0">IF(W22=1,G22,0)</f>
        <v>0</v>
      </c>
      <c r="W22" s="692"/>
    </row>
    <row r="23" spans="1:23" s="704" customFormat="1" outlineLevel="3">
      <c r="A23" s="376"/>
      <c r="B23" s="376" t="s">
        <v>891</v>
      </c>
      <c r="C23" s="376" t="s">
        <v>969</v>
      </c>
      <c r="D23" s="376" t="s">
        <v>159</v>
      </c>
      <c r="E23" s="387" t="s">
        <v>950</v>
      </c>
      <c r="F23" s="608" t="s">
        <v>973</v>
      </c>
      <c r="G23" s="609">
        <v>0.36</v>
      </c>
      <c r="H23" s="692">
        <v>1</v>
      </c>
      <c r="I23" s="626"/>
      <c r="J23" s="752"/>
      <c r="K23" s="416"/>
      <c r="L23" s="705" t="s">
        <v>950</v>
      </c>
      <c r="M23" s="705" t="s">
        <v>951</v>
      </c>
      <c r="N23" s="705" t="s">
        <v>972</v>
      </c>
      <c r="O23" s="705" t="s">
        <v>974</v>
      </c>
      <c r="P23" s="705"/>
      <c r="Q23" s="705"/>
      <c r="R23" s="705"/>
      <c r="S23" s="416"/>
      <c r="T23" s="752"/>
      <c r="U23" s="416"/>
      <c r="V23" s="609">
        <f t="shared" si="0"/>
        <v>0</v>
      </c>
      <c r="W23" s="692"/>
    </row>
    <row r="24" spans="1:23" s="704" customFormat="1" ht="26.45" outlineLevel="3">
      <c r="A24" s="376"/>
      <c r="B24" s="376" t="s">
        <v>891</v>
      </c>
      <c r="C24" s="376" t="s">
        <v>969</v>
      </c>
      <c r="D24" s="376" t="s">
        <v>159</v>
      </c>
      <c r="E24" s="387" t="s">
        <v>950</v>
      </c>
      <c r="F24" s="608" t="s">
        <v>975</v>
      </c>
      <c r="G24" s="609">
        <v>4.3982695586700871E-2</v>
      </c>
      <c r="H24" s="692">
        <v>1</v>
      </c>
      <c r="I24" s="626"/>
      <c r="J24" s="752"/>
      <c r="K24" s="416"/>
      <c r="L24" s="705" t="s">
        <v>950</v>
      </c>
      <c r="M24" s="705" t="s">
        <v>951</v>
      </c>
      <c r="N24" s="705" t="s">
        <v>955</v>
      </c>
      <c r="O24" s="705"/>
      <c r="P24" s="705"/>
      <c r="Q24" s="705"/>
      <c r="R24" s="705"/>
      <c r="S24" s="416"/>
      <c r="T24" s="752"/>
      <c r="U24" s="416"/>
      <c r="V24" s="609">
        <f t="shared" si="0"/>
        <v>0</v>
      </c>
      <c r="W24" s="692"/>
    </row>
    <row r="25" spans="1:23" s="704" customFormat="1" ht="26.45" outlineLevel="3">
      <c r="A25" s="376"/>
      <c r="B25" s="376" t="s">
        <v>891</v>
      </c>
      <c r="C25" s="376" t="s">
        <v>969</v>
      </c>
      <c r="D25" s="376" t="s">
        <v>159</v>
      </c>
      <c r="E25" s="387" t="s">
        <v>950</v>
      </c>
      <c r="F25" s="608" t="s">
        <v>976</v>
      </c>
      <c r="G25" s="609">
        <v>4.3982695586700871E-2</v>
      </c>
      <c r="H25" s="692">
        <v>1</v>
      </c>
      <c r="I25" s="626"/>
      <c r="J25" s="752"/>
      <c r="K25" s="416"/>
      <c r="L25" s="705" t="s">
        <v>950</v>
      </c>
      <c r="M25" s="705" t="s">
        <v>951</v>
      </c>
      <c r="N25" s="705" t="s">
        <v>952</v>
      </c>
      <c r="O25" s="705"/>
      <c r="P25" s="705"/>
      <c r="Q25" s="705"/>
      <c r="R25" s="705"/>
      <c r="S25" s="416"/>
      <c r="T25" s="752"/>
      <c r="U25" s="416"/>
      <c r="V25" s="609">
        <f t="shared" si="0"/>
        <v>0</v>
      </c>
      <c r="W25" s="692"/>
    </row>
    <row r="26" spans="1:23" s="704" customFormat="1" ht="26.45" outlineLevel="3">
      <c r="A26" s="376"/>
      <c r="B26" s="376" t="s">
        <v>891</v>
      </c>
      <c r="C26" s="376" t="s">
        <v>969</v>
      </c>
      <c r="D26" s="376" t="s">
        <v>159</v>
      </c>
      <c r="E26" s="387" t="s">
        <v>950</v>
      </c>
      <c r="F26" s="608" t="s">
        <v>977</v>
      </c>
      <c r="G26" s="609">
        <v>6.5974043380051306E-2</v>
      </c>
      <c r="H26" s="692">
        <v>1</v>
      </c>
      <c r="I26" s="626"/>
      <c r="J26" s="752"/>
      <c r="K26" s="416"/>
      <c r="L26" s="705" t="s">
        <v>950</v>
      </c>
      <c r="M26" s="705" t="s">
        <v>951</v>
      </c>
      <c r="N26" s="705" t="s">
        <v>972</v>
      </c>
      <c r="O26" s="705"/>
      <c r="P26" s="705"/>
      <c r="Q26" s="705"/>
      <c r="R26" s="705"/>
      <c r="S26" s="416"/>
      <c r="T26" s="752"/>
      <c r="U26" s="416"/>
      <c r="V26" s="609">
        <f t="shared" si="0"/>
        <v>6.5974043380051306E-2</v>
      </c>
      <c r="W26" s="692">
        <v>1</v>
      </c>
    </row>
    <row r="27" spans="1:23" s="704" customFormat="1" ht="26.45" outlineLevel="3">
      <c r="A27" s="376"/>
      <c r="B27" s="376" t="s">
        <v>891</v>
      </c>
      <c r="C27" s="376" t="s">
        <v>969</v>
      </c>
      <c r="D27" s="376" t="s">
        <v>159</v>
      </c>
      <c r="E27" s="387" t="s">
        <v>950</v>
      </c>
      <c r="F27" s="608" t="s">
        <v>978</v>
      </c>
      <c r="G27" s="609">
        <v>6.5974043380051306E-2</v>
      </c>
      <c r="H27" s="692">
        <v>1</v>
      </c>
      <c r="I27" s="626"/>
      <c r="J27" s="752"/>
      <c r="K27" s="416"/>
      <c r="L27" s="705" t="s">
        <v>950</v>
      </c>
      <c r="M27" s="705" t="s">
        <v>951</v>
      </c>
      <c r="N27" s="705" t="s">
        <v>972</v>
      </c>
      <c r="O27" s="705"/>
      <c r="P27" s="705"/>
      <c r="Q27" s="705"/>
      <c r="R27" s="705"/>
      <c r="S27" s="416"/>
      <c r="T27" s="752"/>
      <c r="U27" s="416"/>
      <c r="V27" s="609">
        <f t="shared" si="0"/>
        <v>0</v>
      </c>
      <c r="W27" s="692"/>
    </row>
    <row r="28" spans="1:23" s="704" customFormat="1" ht="26.45" outlineLevel="3">
      <c r="A28" s="376"/>
      <c r="B28" s="376" t="s">
        <v>891</v>
      </c>
      <c r="C28" s="376" t="s">
        <v>969</v>
      </c>
      <c r="D28" s="376" t="s">
        <v>159</v>
      </c>
      <c r="E28" s="387" t="s">
        <v>950</v>
      </c>
      <c r="F28" s="608" t="s">
        <v>979</v>
      </c>
      <c r="G28" s="609">
        <v>6.5974043380051306E-2</v>
      </c>
      <c r="H28" s="692">
        <v>1</v>
      </c>
      <c r="I28" s="626"/>
      <c r="J28" s="752"/>
      <c r="K28" s="416"/>
      <c r="L28" s="705" t="s">
        <v>950</v>
      </c>
      <c r="M28" s="705" t="s">
        <v>951</v>
      </c>
      <c r="N28" s="705" t="s">
        <v>972</v>
      </c>
      <c r="O28" s="705"/>
      <c r="P28" s="705"/>
      <c r="Q28" s="705"/>
      <c r="R28" s="705"/>
      <c r="S28" s="416"/>
      <c r="T28" s="752"/>
      <c r="U28" s="416"/>
      <c r="V28" s="609">
        <f t="shared" si="0"/>
        <v>6.5974043380051306E-2</v>
      </c>
      <c r="W28" s="692">
        <v>1</v>
      </c>
    </row>
    <row r="29" spans="1:23" s="704" customFormat="1" ht="26.45" outlineLevel="3">
      <c r="A29" s="376"/>
      <c r="B29" s="376" t="s">
        <v>891</v>
      </c>
      <c r="C29" s="376" t="s">
        <v>969</v>
      </c>
      <c r="D29" s="376" t="s">
        <v>159</v>
      </c>
      <c r="E29" s="387" t="s">
        <v>950</v>
      </c>
      <c r="F29" s="608" t="s">
        <v>980</v>
      </c>
      <c r="G29" s="609">
        <v>6.5974043380051306E-2</v>
      </c>
      <c r="H29" s="692">
        <v>1</v>
      </c>
      <c r="I29" s="626"/>
      <c r="J29" s="752"/>
      <c r="K29" s="416"/>
      <c r="L29" s="705" t="s">
        <v>950</v>
      </c>
      <c r="M29" s="705" t="s">
        <v>951</v>
      </c>
      <c r="N29" s="705" t="s">
        <v>972</v>
      </c>
      <c r="O29" s="705"/>
      <c r="P29" s="705"/>
      <c r="Q29" s="705"/>
      <c r="R29" s="705"/>
      <c r="S29" s="416"/>
      <c r="T29" s="752"/>
      <c r="U29" s="416"/>
      <c r="V29" s="609">
        <f t="shared" si="0"/>
        <v>0</v>
      </c>
      <c r="W29" s="692"/>
    </row>
    <row r="30" spans="1:23" s="704" customFormat="1" ht="26.45" outlineLevel="3">
      <c r="A30" s="376"/>
      <c r="B30" s="376" t="s">
        <v>891</v>
      </c>
      <c r="C30" s="376" t="s">
        <v>969</v>
      </c>
      <c r="D30" s="376" t="s">
        <v>159</v>
      </c>
      <c r="E30" s="387" t="s">
        <v>950</v>
      </c>
      <c r="F30" s="608" t="s">
        <v>981</v>
      </c>
      <c r="G30" s="609">
        <v>1.466089852890029E-2</v>
      </c>
      <c r="H30" s="692">
        <v>1</v>
      </c>
      <c r="I30" s="626"/>
      <c r="J30" s="752"/>
      <c r="K30" s="416"/>
      <c r="L30" s="705" t="s">
        <v>950</v>
      </c>
      <c r="M30" s="705" t="s">
        <v>951</v>
      </c>
      <c r="N30" s="705" t="s">
        <v>972</v>
      </c>
      <c r="O30" s="705"/>
      <c r="P30" s="705"/>
      <c r="Q30" s="705"/>
      <c r="R30" s="705"/>
      <c r="S30" s="416"/>
      <c r="T30" s="752"/>
      <c r="U30" s="416"/>
      <c r="V30" s="609">
        <f t="shared" si="0"/>
        <v>0</v>
      </c>
      <c r="W30" s="692"/>
    </row>
    <row r="31" spans="1:23" s="704" customFormat="1" ht="26.45" outlineLevel="3">
      <c r="A31" s="376"/>
      <c r="B31" s="376" t="s">
        <v>891</v>
      </c>
      <c r="C31" s="376" t="s">
        <v>969</v>
      </c>
      <c r="D31" s="376" t="s">
        <v>159</v>
      </c>
      <c r="E31" s="387" t="s">
        <v>950</v>
      </c>
      <c r="F31" s="608" t="s">
        <v>982</v>
      </c>
      <c r="G31" s="609">
        <v>2.932179705780058E-2</v>
      </c>
      <c r="H31" s="692">
        <v>1</v>
      </c>
      <c r="I31" s="626"/>
      <c r="J31" s="752"/>
      <c r="K31" s="416"/>
      <c r="L31" s="705" t="s">
        <v>950</v>
      </c>
      <c r="M31" s="705" t="s">
        <v>951</v>
      </c>
      <c r="N31" s="705" t="s">
        <v>952</v>
      </c>
      <c r="O31" s="705"/>
      <c r="P31" s="705"/>
      <c r="Q31" s="705"/>
      <c r="R31" s="705"/>
      <c r="S31" s="416"/>
      <c r="T31" s="752"/>
      <c r="U31" s="416"/>
      <c r="V31" s="609">
        <f t="shared" si="0"/>
        <v>0</v>
      </c>
      <c r="W31" s="692"/>
    </row>
    <row r="32" spans="1:23" s="704" customFormat="1" ht="26.45" outlineLevel="3">
      <c r="A32" s="376"/>
      <c r="B32" s="376" t="s">
        <v>891</v>
      </c>
      <c r="C32" s="376" t="s">
        <v>969</v>
      </c>
      <c r="D32" s="376" t="s">
        <v>159</v>
      </c>
      <c r="E32" s="387" t="s">
        <v>950</v>
      </c>
      <c r="F32" s="608" t="s">
        <v>983</v>
      </c>
      <c r="G32" s="609">
        <v>4.3982695586700871E-2</v>
      </c>
      <c r="H32" s="692">
        <v>1</v>
      </c>
      <c r="I32" s="626"/>
      <c r="J32" s="752"/>
      <c r="K32" s="416"/>
      <c r="L32" s="705" t="s">
        <v>950</v>
      </c>
      <c r="M32" s="705" t="s">
        <v>951</v>
      </c>
      <c r="N32" s="705" t="s">
        <v>952</v>
      </c>
      <c r="O32" s="705"/>
      <c r="P32" s="705"/>
      <c r="Q32" s="705"/>
      <c r="R32" s="705"/>
      <c r="S32" s="416"/>
      <c r="T32" s="752"/>
      <c r="U32" s="416"/>
      <c r="V32" s="609">
        <f t="shared" si="0"/>
        <v>0</v>
      </c>
      <c r="W32" s="692"/>
    </row>
    <row r="33" spans="1:23" s="704" customFormat="1" outlineLevel="3">
      <c r="A33" s="376"/>
      <c r="B33" s="387" t="s">
        <v>891</v>
      </c>
      <c r="C33" s="387" t="s">
        <v>969</v>
      </c>
      <c r="D33" s="387" t="s">
        <v>159</v>
      </c>
      <c r="E33" s="387" t="s">
        <v>950</v>
      </c>
      <c r="F33" s="705" t="s">
        <v>984</v>
      </c>
      <c r="G33" s="706">
        <v>0.05</v>
      </c>
      <c r="H33" s="707">
        <v>1</v>
      </c>
      <c r="I33" s="626"/>
      <c r="J33" s="752"/>
      <c r="K33" s="416"/>
      <c r="L33" s="705" t="s">
        <v>950</v>
      </c>
      <c r="M33" s="705" t="s">
        <v>954</v>
      </c>
      <c r="N33" s="705" t="s">
        <v>955</v>
      </c>
      <c r="O33" s="705"/>
      <c r="P33" s="705"/>
      <c r="Q33" s="705"/>
      <c r="R33" s="705"/>
      <c r="S33" s="416"/>
      <c r="T33" s="752"/>
      <c r="U33" s="416"/>
      <c r="V33" s="609">
        <f t="shared" si="0"/>
        <v>0</v>
      </c>
      <c r="W33" s="707"/>
    </row>
    <row r="34" spans="1:23" s="704" customFormat="1" outlineLevel="3">
      <c r="A34" s="376"/>
      <c r="B34" s="387" t="s">
        <v>891</v>
      </c>
      <c r="C34" s="387" t="s">
        <v>969</v>
      </c>
      <c r="D34" s="387" t="s">
        <v>159</v>
      </c>
      <c r="E34" s="387" t="s">
        <v>950</v>
      </c>
      <c r="F34" s="705" t="s">
        <v>985</v>
      </c>
      <c r="G34" s="706">
        <v>0.05</v>
      </c>
      <c r="H34" s="707">
        <v>1</v>
      </c>
      <c r="I34" s="626"/>
      <c r="J34" s="752"/>
      <c r="K34" s="416"/>
      <c r="L34" s="705" t="s">
        <v>950</v>
      </c>
      <c r="M34" s="705" t="s">
        <v>954</v>
      </c>
      <c r="N34" s="705" t="s">
        <v>955</v>
      </c>
      <c r="O34" s="705"/>
      <c r="P34" s="705"/>
      <c r="Q34" s="705"/>
      <c r="R34" s="705"/>
      <c r="S34" s="416"/>
      <c r="T34" s="752"/>
      <c r="U34" s="416"/>
      <c r="V34" s="609">
        <f t="shared" si="0"/>
        <v>0</v>
      </c>
      <c r="W34" s="707"/>
    </row>
    <row r="35" spans="1:23" outlineLevel="2">
      <c r="A35" s="376"/>
      <c r="B35" s="684" t="s">
        <v>891</v>
      </c>
      <c r="C35" s="684" t="s">
        <v>969</v>
      </c>
      <c r="D35" s="684" t="s">
        <v>518</v>
      </c>
      <c r="E35" s="684"/>
      <c r="F35" s="685" t="s">
        <v>986</v>
      </c>
      <c r="G35" s="686">
        <f>SUBTOTAL(9,G36:G48)</f>
        <v>0.29155049103211073</v>
      </c>
      <c r="H35" s="691">
        <f>SUBTOTAL(9,H36:H48)</f>
        <v>13</v>
      </c>
      <c r="I35" s="626"/>
      <c r="J35" s="752"/>
      <c r="L35" s="685"/>
      <c r="M35" s="685"/>
      <c r="N35" s="685"/>
      <c r="O35" s="685"/>
      <c r="P35" s="685"/>
      <c r="Q35" s="685"/>
      <c r="R35" s="685"/>
      <c r="T35" s="752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891</v>
      </c>
      <c r="C36" s="376" t="s">
        <v>969</v>
      </c>
      <c r="D36" s="376" t="s">
        <v>518</v>
      </c>
      <c r="E36" s="376" t="s">
        <v>56</v>
      </c>
      <c r="F36" s="608" t="s">
        <v>987</v>
      </c>
      <c r="G36" s="609">
        <v>9.3421603890201377E-2</v>
      </c>
      <c r="H36" s="700">
        <v>1</v>
      </c>
      <c r="I36" s="626"/>
      <c r="J36" s="752"/>
      <c r="L36" s="608" t="s">
        <v>56</v>
      </c>
      <c r="M36" s="608" t="s">
        <v>959</v>
      </c>
      <c r="N36" s="608" t="s">
        <v>988</v>
      </c>
      <c r="O36" s="608"/>
      <c r="P36" s="608" t="s">
        <v>965</v>
      </c>
      <c r="Q36" s="608"/>
      <c r="R36" s="608"/>
      <c r="T36" s="752"/>
      <c r="V36" s="609">
        <f t="shared" ref="V36:V48" si="1">IF(W36=1,G36,0)</f>
        <v>0</v>
      </c>
      <c r="W36" s="700"/>
    </row>
    <row r="37" spans="1:23" ht="26.45" outlineLevel="3">
      <c r="A37" s="376"/>
      <c r="B37" s="376" t="s">
        <v>891</v>
      </c>
      <c r="C37" s="376" t="s">
        <v>969</v>
      </c>
      <c r="D37" s="376" t="s">
        <v>518</v>
      </c>
      <c r="E37" s="376" t="s">
        <v>56</v>
      </c>
      <c r="F37" s="608" t="s">
        <v>989</v>
      </c>
      <c r="G37" s="609">
        <v>2.1106865436972901E-2</v>
      </c>
      <c r="H37" s="700">
        <v>1</v>
      </c>
      <c r="I37" s="626"/>
      <c r="J37" s="752"/>
      <c r="L37" s="608" t="s">
        <v>56</v>
      </c>
      <c r="M37" s="608" t="s">
        <v>959</v>
      </c>
      <c r="N37" s="608" t="s">
        <v>988</v>
      </c>
      <c r="O37" s="608"/>
      <c r="P37" s="608" t="s">
        <v>965</v>
      </c>
      <c r="Q37" s="608"/>
      <c r="R37" s="608"/>
      <c r="T37" s="752"/>
      <c r="V37" s="609">
        <f t="shared" si="1"/>
        <v>0</v>
      </c>
      <c r="W37" s="700"/>
    </row>
    <row r="38" spans="1:23" outlineLevel="3">
      <c r="A38" s="376"/>
      <c r="B38" s="376" t="s">
        <v>891</v>
      </c>
      <c r="C38" s="376" t="s">
        <v>969</v>
      </c>
      <c r="D38" s="376" t="s">
        <v>518</v>
      </c>
      <c r="E38" s="376" t="s">
        <v>56</v>
      </c>
      <c r="F38" s="608" t="s">
        <v>990</v>
      </c>
      <c r="G38" s="609">
        <v>3.166029815545935E-2</v>
      </c>
      <c r="H38" s="700">
        <v>1</v>
      </c>
      <c r="I38" s="626"/>
      <c r="J38" s="752"/>
      <c r="L38" s="608" t="s">
        <v>56</v>
      </c>
      <c r="M38" s="608" t="s">
        <v>959</v>
      </c>
      <c r="N38" s="608" t="s">
        <v>988</v>
      </c>
      <c r="O38" s="608"/>
      <c r="P38" s="608" t="s">
        <v>965</v>
      </c>
      <c r="Q38" s="608"/>
      <c r="R38" s="608"/>
      <c r="T38" s="752"/>
      <c r="V38" s="609">
        <f t="shared" si="1"/>
        <v>0</v>
      </c>
      <c r="W38" s="700"/>
    </row>
    <row r="39" spans="1:23" ht="26.45" outlineLevel="3">
      <c r="A39" s="376"/>
      <c r="B39" s="376" t="s">
        <v>891</v>
      </c>
      <c r="C39" s="376" t="s">
        <v>969</v>
      </c>
      <c r="D39" s="376" t="s">
        <v>518</v>
      </c>
      <c r="E39" s="376" t="s">
        <v>56</v>
      </c>
      <c r="F39" s="608" t="s">
        <v>978</v>
      </c>
      <c r="G39" s="609">
        <v>5.2767163592432253E-3</v>
      </c>
      <c r="H39" s="700">
        <v>1</v>
      </c>
      <c r="I39" s="626"/>
      <c r="J39" s="752"/>
      <c r="L39" s="608" t="s">
        <v>56</v>
      </c>
      <c r="M39" s="608" t="s">
        <v>959</v>
      </c>
      <c r="N39" s="608" t="s">
        <v>988</v>
      </c>
      <c r="O39" s="608"/>
      <c r="P39" s="608" t="s">
        <v>965</v>
      </c>
      <c r="Q39" s="608"/>
      <c r="R39" s="608"/>
      <c r="T39" s="752"/>
      <c r="V39" s="609">
        <f t="shared" si="1"/>
        <v>0</v>
      </c>
      <c r="W39" s="700"/>
    </row>
    <row r="40" spans="1:23" ht="26.45" outlineLevel="3">
      <c r="A40" s="376"/>
      <c r="B40" s="376" t="s">
        <v>891</v>
      </c>
      <c r="C40" s="376" t="s">
        <v>969</v>
      </c>
      <c r="D40" s="376" t="s">
        <v>518</v>
      </c>
      <c r="E40" s="376" t="s">
        <v>56</v>
      </c>
      <c r="F40" s="608" t="s">
        <v>991</v>
      </c>
      <c r="G40" s="609">
        <v>2.1106865436972901E-2</v>
      </c>
      <c r="H40" s="700">
        <v>1</v>
      </c>
      <c r="I40" s="626"/>
      <c r="J40" s="752"/>
      <c r="L40" s="608" t="s">
        <v>56</v>
      </c>
      <c r="M40" s="608" t="s">
        <v>959</v>
      </c>
      <c r="N40" s="608" t="s">
        <v>988</v>
      </c>
      <c r="O40" s="608"/>
      <c r="P40" s="608" t="s">
        <v>965</v>
      </c>
      <c r="Q40" s="608"/>
      <c r="R40" s="608"/>
      <c r="T40" s="752"/>
      <c r="V40" s="609">
        <f t="shared" si="1"/>
        <v>0</v>
      </c>
      <c r="W40" s="700"/>
    </row>
    <row r="41" spans="1:23" outlineLevel="3">
      <c r="A41" s="376"/>
      <c r="B41" s="376" t="s">
        <v>891</v>
      </c>
      <c r="C41" s="376" t="s">
        <v>969</v>
      </c>
      <c r="D41" s="376" t="s">
        <v>518</v>
      </c>
      <c r="E41" s="376" t="s">
        <v>56</v>
      </c>
      <c r="F41" s="608" t="s">
        <v>992</v>
      </c>
      <c r="G41" s="609">
        <v>3.166029815545935E-2</v>
      </c>
      <c r="H41" s="700">
        <v>1</v>
      </c>
      <c r="I41" s="626"/>
      <c r="J41" s="752"/>
      <c r="L41" s="608" t="s">
        <v>56</v>
      </c>
      <c r="M41" s="608" t="s">
        <v>959</v>
      </c>
      <c r="N41" s="608" t="s">
        <v>988</v>
      </c>
      <c r="O41" s="608"/>
      <c r="P41" s="608" t="s">
        <v>965</v>
      </c>
      <c r="Q41" s="608"/>
      <c r="R41" s="608"/>
      <c r="T41" s="752"/>
      <c r="V41" s="609">
        <f t="shared" si="1"/>
        <v>0</v>
      </c>
      <c r="W41" s="700"/>
    </row>
    <row r="42" spans="1:23" ht="26.45" outlineLevel="3">
      <c r="A42" s="376"/>
      <c r="B42" s="376" t="s">
        <v>891</v>
      </c>
      <c r="C42" s="376" t="s">
        <v>969</v>
      </c>
      <c r="D42" s="376" t="s">
        <v>518</v>
      </c>
      <c r="E42" s="376" t="s">
        <v>56</v>
      </c>
      <c r="F42" s="608" t="s">
        <v>980</v>
      </c>
      <c r="G42" s="609">
        <v>5.2767163592432253E-3</v>
      </c>
      <c r="H42" s="700">
        <v>1</v>
      </c>
      <c r="I42" s="626"/>
      <c r="J42" s="752"/>
      <c r="L42" s="608" t="s">
        <v>56</v>
      </c>
      <c r="M42" s="608" t="s">
        <v>959</v>
      </c>
      <c r="N42" s="608" t="s">
        <v>988</v>
      </c>
      <c r="O42" s="608"/>
      <c r="P42" s="608" t="s">
        <v>965</v>
      </c>
      <c r="Q42" s="608"/>
      <c r="R42" s="608"/>
      <c r="T42" s="752"/>
      <c r="V42" s="609">
        <f t="shared" si="1"/>
        <v>0</v>
      </c>
      <c r="W42" s="700"/>
    </row>
    <row r="43" spans="1:23" ht="26.45" outlineLevel="3">
      <c r="A43" s="376"/>
      <c r="B43" s="376" t="s">
        <v>891</v>
      </c>
      <c r="C43" s="376" t="s">
        <v>969</v>
      </c>
      <c r="D43" s="376" t="s">
        <v>518</v>
      </c>
      <c r="E43" s="376" t="s">
        <v>56</v>
      </c>
      <c r="F43" s="608" t="s">
        <v>981</v>
      </c>
      <c r="G43" s="609">
        <v>1E-3</v>
      </c>
      <c r="H43" s="700">
        <v>1</v>
      </c>
      <c r="I43" s="626"/>
      <c r="J43" s="752"/>
      <c r="L43" s="608" t="s">
        <v>56</v>
      </c>
      <c r="M43" s="608" t="s">
        <v>959</v>
      </c>
      <c r="N43" s="608" t="s">
        <v>988</v>
      </c>
      <c r="O43" s="608"/>
      <c r="P43" s="608" t="s">
        <v>965</v>
      </c>
      <c r="Q43" s="608"/>
      <c r="R43" s="608"/>
      <c r="T43" s="752"/>
      <c r="V43" s="609">
        <f t="shared" si="1"/>
        <v>0</v>
      </c>
      <c r="W43" s="700"/>
    </row>
    <row r="44" spans="1:23" ht="26.45" outlineLevel="3">
      <c r="A44" s="376"/>
      <c r="B44" s="376" t="s">
        <v>891</v>
      </c>
      <c r="C44" s="376" t="s">
        <v>969</v>
      </c>
      <c r="D44" s="376" t="s">
        <v>518</v>
      </c>
      <c r="E44" s="376" t="s">
        <v>56</v>
      </c>
      <c r="F44" s="608" t="s">
        <v>982</v>
      </c>
      <c r="G44" s="609">
        <v>2.3452072707747665E-3</v>
      </c>
      <c r="H44" s="700">
        <v>1</v>
      </c>
      <c r="I44" s="626"/>
      <c r="J44" s="752"/>
      <c r="L44" s="608" t="s">
        <v>56</v>
      </c>
      <c r="M44" s="608" t="s">
        <v>959</v>
      </c>
      <c r="N44" s="608" t="s">
        <v>988</v>
      </c>
      <c r="O44" s="608"/>
      <c r="P44" s="608" t="s">
        <v>965</v>
      </c>
      <c r="Q44" s="608"/>
      <c r="R44" s="608"/>
      <c r="T44" s="752"/>
      <c r="V44" s="609">
        <f t="shared" si="1"/>
        <v>0</v>
      </c>
      <c r="W44" s="700"/>
    </row>
    <row r="45" spans="1:23" s="704" customFormat="1" ht="26.45" outlineLevel="3">
      <c r="A45" s="376"/>
      <c r="B45" s="376" t="s">
        <v>891</v>
      </c>
      <c r="C45" s="376" t="s">
        <v>969</v>
      </c>
      <c r="D45" s="376" t="s">
        <v>518</v>
      </c>
      <c r="E45" s="376" t="s">
        <v>56</v>
      </c>
      <c r="F45" s="608" t="s">
        <v>993</v>
      </c>
      <c r="G45" s="609">
        <v>1.4071243624648597E-2</v>
      </c>
      <c r="H45" s="692">
        <v>1</v>
      </c>
      <c r="I45" s="626"/>
      <c r="J45" s="752"/>
      <c r="K45" s="416"/>
      <c r="L45" s="608" t="s">
        <v>56</v>
      </c>
      <c r="M45" s="608" t="s">
        <v>959</v>
      </c>
      <c r="N45" s="608" t="s">
        <v>988</v>
      </c>
      <c r="O45" s="608"/>
      <c r="P45" s="608" t="s">
        <v>965</v>
      </c>
      <c r="Q45" s="608"/>
      <c r="R45" s="608"/>
      <c r="S45" s="416"/>
      <c r="T45" s="752"/>
      <c r="U45" s="416"/>
      <c r="V45" s="609">
        <f t="shared" si="1"/>
        <v>0</v>
      </c>
      <c r="W45" s="692"/>
    </row>
    <row r="46" spans="1:23" outlineLevel="3">
      <c r="A46" s="376"/>
      <c r="B46" s="376" t="s">
        <v>891</v>
      </c>
      <c r="C46" s="376" t="s">
        <v>969</v>
      </c>
      <c r="D46" s="376" t="s">
        <v>518</v>
      </c>
      <c r="E46" s="376" t="s">
        <v>56</v>
      </c>
      <c r="F46" s="608" t="s">
        <v>994</v>
      </c>
      <c r="G46" s="609">
        <v>2.1106865436972894E-2</v>
      </c>
      <c r="H46" s="700">
        <v>1</v>
      </c>
      <c r="I46" s="626"/>
      <c r="J46" s="752"/>
      <c r="L46" s="608" t="s">
        <v>56</v>
      </c>
      <c r="M46" s="608" t="s">
        <v>959</v>
      </c>
      <c r="N46" s="608" t="s">
        <v>988</v>
      </c>
      <c r="O46" s="608"/>
      <c r="P46" s="608" t="s">
        <v>965</v>
      </c>
      <c r="Q46" s="608"/>
      <c r="R46" s="608"/>
      <c r="T46" s="752"/>
      <c r="V46" s="609">
        <f t="shared" si="1"/>
        <v>0</v>
      </c>
      <c r="W46" s="700"/>
    </row>
    <row r="47" spans="1:23" ht="26.45" outlineLevel="3">
      <c r="A47" s="376"/>
      <c r="B47" s="376" t="s">
        <v>891</v>
      </c>
      <c r="C47" s="376" t="s">
        <v>969</v>
      </c>
      <c r="D47" s="376" t="s">
        <v>518</v>
      </c>
      <c r="E47" s="376" t="s">
        <v>56</v>
      </c>
      <c r="F47" s="608" t="s">
        <v>983</v>
      </c>
      <c r="G47" s="609">
        <v>3.5178109061621493E-3</v>
      </c>
      <c r="H47" s="700">
        <v>1</v>
      </c>
      <c r="I47" s="626"/>
      <c r="J47" s="752"/>
      <c r="L47" s="608" t="s">
        <v>56</v>
      </c>
      <c r="M47" s="608" t="s">
        <v>959</v>
      </c>
      <c r="N47" s="608" t="s">
        <v>988</v>
      </c>
      <c r="O47" s="608"/>
      <c r="P47" s="608" t="s">
        <v>965</v>
      </c>
      <c r="Q47" s="608"/>
      <c r="R47" s="608"/>
      <c r="T47" s="752"/>
      <c r="V47" s="609">
        <f t="shared" si="1"/>
        <v>0</v>
      </c>
      <c r="W47" s="700"/>
    </row>
    <row r="48" spans="1:23" outlineLevel="3">
      <c r="A48" s="376"/>
      <c r="B48" s="376" t="s">
        <v>891</v>
      </c>
      <c r="C48" s="376" t="s">
        <v>969</v>
      </c>
      <c r="D48" s="376" t="s">
        <v>518</v>
      </c>
      <c r="E48" s="376" t="s">
        <v>56</v>
      </c>
      <c r="F48" s="608" t="s">
        <v>985</v>
      </c>
      <c r="G48" s="609">
        <v>0.04</v>
      </c>
      <c r="H48" s="700">
        <v>1</v>
      </c>
      <c r="I48" s="626"/>
      <c r="J48" s="752"/>
      <c r="L48" s="608" t="s">
        <v>56</v>
      </c>
      <c r="M48" s="608" t="s">
        <v>959</v>
      </c>
      <c r="N48" s="608" t="s">
        <v>988</v>
      </c>
      <c r="O48" s="608"/>
      <c r="P48" s="608" t="s">
        <v>965</v>
      </c>
      <c r="Q48" s="608"/>
      <c r="R48" s="608"/>
      <c r="T48" s="752"/>
      <c r="V48" s="609">
        <f t="shared" si="1"/>
        <v>0</v>
      </c>
      <c r="W48" s="700"/>
    </row>
    <row r="49" spans="1:23" outlineLevel="2">
      <c r="A49" s="376"/>
      <c r="B49" s="684" t="s">
        <v>891</v>
      </c>
      <c r="C49" s="684" t="s">
        <v>969</v>
      </c>
      <c r="D49" s="684" t="s">
        <v>441</v>
      </c>
      <c r="E49" s="684"/>
      <c r="F49" s="685" t="s">
        <v>986</v>
      </c>
      <c r="G49" s="686">
        <f>SUBTOTAL(9,G50:G53)</f>
        <v>0.16927301849636628</v>
      </c>
      <c r="H49" s="691">
        <f>SUBTOTAL(9,H50:H53)</f>
        <v>4</v>
      </c>
      <c r="I49" s="626"/>
      <c r="J49" s="752"/>
      <c r="L49" s="685"/>
      <c r="M49" s="685"/>
      <c r="N49" s="685"/>
      <c r="O49" s="685"/>
      <c r="P49" s="685"/>
      <c r="Q49" s="685"/>
      <c r="R49" s="685"/>
      <c r="T49" s="752"/>
      <c r="V49" s="686">
        <f>SUBTOTAL(9,V50:V53)</f>
        <v>0</v>
      </c>
      <c r="W49" s="691">
        <f>SUBTOTAL(9,W50:W53)</f>
        <v>0</v>
      </c>
    </row>
    <row r="50" spans="1:23" ht="39.6" outlineLevel="3">
      <c r="A50" s="376"/>
      <c r="B50" s="376" t="s">
        <v>891</v>
      </c>
      <c r="C50" s="376" t="s">
        <v>969</v>
      </c>
      <c r="D50" s="376" t="s">
        <v>441</v>
      </c>
      <c r="E50" s="376" t="s">
        <v>437</v>
      </c>
      <c r="F50" s="608" t="s">
        <v>987</v>
      </c>
      <c r="G50" s="609">
        <v>2.1499694035440806E-2</v>
      </c>
      <c r="H50" s="700">
        <v>1</v>
      </c>
      <c r="I50" s="626"/>
      <c r="J50" s="752"/>
      <c r="L50" s="608" t="s">
        <v>437</v>
      </c>
      <c r="M50" s="608" t="s">
        <v>966</v>
      </c>
      <c r="N50" s="608" t="s">
        <v>967</v>
      </c>
      <c r="O50" s="608" t="s">
        <v>995</v>
      </c>
      <c r="P50" s="608"/>
      <c r="Q50" s="608"/>
      <c r="R50" s="608"/>
      <c r="T50" s="752"/>
      <c r="V50" s="609">
        <f>IF(W50=1,G50,0)</f>
        <v>0</v>
      </c>
      <c r="W50" s="700"/>
    </row>
    <row r="51" spans="1:23" ht="39.6" outlineLevel="3">
      <c r="A51" s="376"/>
      <c r="B51" s="376" t="s">
        <v>891</v>
      </c>
      <c r="C51" s="376" t="s">
        <v>969</v>
      </c>
      <c r="D51" s="376" t="s">
        <v>441</v>
      </c>
      <c r="E51" s="376" t="s">
        <v>437</v>
      </c>
      <c r="F51" s="608" t="s">
        <v>976</v>
      </c>
      <c r="G51" s="609">
        <v>2.8273590763100436E-3</v>
      </c>
      <c r="H51" s="700">
        <v>1</v>
      </c>
      <c r="I51" s="626"/>
      <c r="J51" s="752"/>
      <c r="L51" s="608" t="s">
        <v>437</v>
      </c>
      <c r="M51" s="608" t="s">
        <v>966</v>
      </c>
      <c r="N51" s="608" t="s">
        <v>967</v>
      </c>
      <c r="O51" s="608" t="s">
        <v>995</v>
      </c>
      <c r="P51" s="608"/>
      <c r="Q51" s="608"/>
      <c r="R51" s="608"/>
      <c r="T51" s="752"/>
      <c r="V51" s="609">
        <f>IF(W51=1,G51,0)</f>
        <v>0</v>
      </c>
      <c r="W51" s="700"/>
    </row>
    <row r="52" spans="1:23" ht="39.6" outlineLevel="3">
      <c r="A52" s="376"/>
      <c r="B52" s="376" t="s">
        <v>891</v>
      </c>
      <c r="C52" s="376" t="s">
        <v>969</v>
      </c>
      <c r="D52" s="376" t="s">
        <v>441</v>
      </c>
      <c r="E52" s="376" t="s">
        <v>437</v>
      </c>
      <c r="F52" s="608" t="s">
        <v>973</v>
      </c>
      <c r="G52" s="609">
        <v>0.10494596538461541</v>
      </c>
      <c r="H52" s="700">
        <v>1</v>
      </c>
      <c r="I52" s="626"/>
      <c r="J52" s="752"/>
      <c r="L52" s="608" t="s">
        <v>437</v>
      </c>
      <c r="M52" s="608" t="s">
        <v>966</v>
      </c>
      <c r="N52" s="608" t="s">
        <v>967</v>
      </c>
      <c r="O52" s="608" t="s">
        <v>995</v>
      </c>
      <c r="P52" s="608"/>
      <c r="Q52" s="608"/>
      <c r="R52" s="608"/>
      <c r="T52" s="752"/>
      <c r="V52" s="609">
        <f>IF(W52=1,G52,0)</f>
        <v>0</v>
      </c>
      <c r="W52" s="700"/>
    </row>
    <row r="53" spans="1:23" ht="39.6" outlineLevel="3">
      <c r="A53" s="376"/>
      <c r="B53" s="376" t="s">
        <v>891</v>
      </c>
      <c r="C53" s="376" t="s">
        <v>969</v>
      </c>
      <c r="D53" s="376" t="s">
        <v>441</v>
      </c>
      <c r="E53" s="376" t="s">
        <v>437</v>
      </c>
      <c r="F53" s="608" t="s">
        <v>984</v>
      </c>
      <c r="G53" s="609">
        <v>0.04</v>
      </c>
      <c r="H53" s="700">
        <v>1</v>
      </c>
      <c r="I53" s="626"/>
      <c r="J53" s="752"/>
      <c r="L53" s="608" t="s">
        <v>437</v>
      </c>
      <c r="M53" s="608" t="s">
        <v>966</v>
      </c>
      <c r="N53" s="608" t="s">
        <v>967</v>
      </c>
      <c r="O53" s="608" t="s">
        <v>995</v>
      </c>
      <c r="P53" s="608"/>
      <c r="Q53" s="608"/>
      <c r="R53" s="608"/>
      <c r="T53" s="752"/>
      <c r="V53" s="609">
        <f>IF(W53=1,G53,0)</f>
        <v>0</v>
      </c>
      <c r="W53" s="700"/>
    </row>
    <row r="54" spans="1:23" outlineLevel="2">
      <c r="A54" s="376"/>
      <c r="B54" s="684" t="s">
        <v>891</v>
      </c>
      <c r="C54" s="684" t="s">
        <v>969</v>
      </c>
      <c r="D54" s="684" t="s">
        <v>860</v>
      </c>
      <c r="E54" s="684"/>
      <c r="F54" s="685" t="s">
        <v>986</v>
      </c>
      <c r="G54" s="686">
        <f>SUBTOTAL(9,G55:G56)</f>
        <v>9.4268165569364862E-2</v>
      </c>
      <c r="H54" s="691">
        <f>SUBTOTAL(9,H55:H56)</f>
        <v>2</v>
      </c>
      <c r="I54" s="626"/>
      <c r="J54" s="752"/>
      <c r="L54" s="685"/>
      <c r="M54" s="685"/>
      <c r="N54" s="685"/>
      <c r="O54" s="685"/>
      <c r="P54" s="685"/>
      <c r="Q54" s="685"/>
      <c r="R54" s="685"/>
      <c r="T54" s="752"/>
      <c r="V54" s="686">
        <f>SUBTOTAL(9,V55:V56)</f>
        <v>0</v>
      </c>
      <c r="W54" s="691">
        <f>SUBTOTAL(9,W55:W56)</f>
        <v>0</v>
      </c>
    </row>
    <row r="55" spans="1:23" ht="26.45" outlineLevel="3">
      <c r="A55" s="376"/>
      <c r="B55" s="376" t="s">
        <v>891</v>
      </c>
      <c r="C55" s="376" t="s">
        <v>969</v>
      </c>
      <c r="D55" s="376" t="s">
        <v>860</v>
      </c>
      <c r="E55" s="376" t="s">
        <v>437</v>
      </c>
      <c r="F55" s="608" t="s">
        <v>987</v>
      </c>
      <c r="G55" s="609">
        <v>4.7863519954722676E-2</v>
      </c>
      <c r="H55" s="700">
        <v>1</v>
      </c>
      <c r="I55" s="626"/>
      <c r="J55" s="752"/>
      <c r="L55" s="608" t="s">
        <v>437</v>
      </c>
      <c r="M55" s="608" t="s">
        <v>996</v>
      </c>
      <c r="N55" s="608" t="s">
        <v>997</v>
      </c>
      <c r="O55" s="608" t="s">
        <v>998</v>
      </c>
      <c r="P55" s="608"/>
      <c r="Q55" s="608"/>
      <c r="R55" s="608"/>
      <c r="T55" s="752"/>
      <c r="V55" s="609">
        <f>IF(W55=1,G55,0)</f>
        <v>0</v>
      </c>
      <c r="W55" s="700"/>
    </row>
    <row r="56" spans="1:23" ht="26.45" outlineLevel="3">
      <c r="A56" s="376"/>
      <c r="B56" s="376" t="s">
        <v>891</v>
      </c>
      <c r="C56" s="376" t="s">
        <v>969</v>
      </c>
      <c r="D56" s="376" t="s">
        <v>860</v>
      </c>
      <c r="E56" s="376" t="s">
        <v>437</v>
      </c>
      <c r="F56" s="608" t="s">
        <v>999</v>
      </c>
      <c r="G56" s="609">
        <v>4.6404645614642186E-2</v>
      </c>
      <c r="H56" s="700">
        <v>1</v>
      </c>
      <c r="I56" s="626"/>
      <c r="J56" s="752"/>
      <c r="L56" s="608" t="s">
        <v>437</v>
      </c>
      <c r="M56" s="608" t="s">
        <v>996</v>
      </c>
      <c r="N56" s="608" t="s">
        <v>997</v>
      </c>
      <c r="O56" s="608" t="s">
        <v>998</v>
      </c>
      <c r="P56" s="608"/>
      <c r="Q56" s="608"/>
      <c r="R56" s="608"/>
      <c r="T56" s="752"/>
      <c r="V56" s="609">
        <f>IF(W56=1,G56,0)</f>
        <v>0</v>
      </c>
      <c r="W56" s="700"/>
    </row>
    <row r="57" spans="1:23" s="711" customFormat="1" outlineLevel="1">
      <c r="A57" s="386"/>
      <c r="B57" s="666" t="s">
        <v>893</v>
      </c>
      <c r="C57" s="666" t="s">
        <v>1000</v>
      </c>
      <c r="D57" s="666"/>
      <c r="E57" s="666"/>
      <c r="F57" s="681" t="s">
        <v>947</v>
      </c>
      <c r="G57" s="708">
        <f>SUBTOTAL(9,G58:G68)</f>
        <v>0.81650520351452482</v>
      </c>
      <c r="H57" s="709">
        <f>SUBTOTAL(9,H58:H68)</f>
        <v>8</v>
      </c>
      <c r="I57" s="710"/>
      <c r="J57" s="756"/>
      <c r="L57" s="761"/>
      <c r="M57" s="761"/>
      <c r="N57" s="761"/>
      <c r="O57" s="761"/>
      <c r="P57" s="761"/>
      <c r="Q57" s="761"/>
      <c r="R57" s="761"/>
      <c r="T57" s="756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893</v>
      </c>
      <c r="C58" s="684" t="s">
        <v>1000</v>
      </c>
      <c r="D58" s="684" t="s">
        <v>159</v>
      </c>
      <c r="E58" s="684"/>
      <c r="F58" s="712" t="s">
        <v>948</v>
      </c>
      <c r="G58" s="713">
        <f>SUBTOTAL(9,G59:G61)</f>
        <v>0.3642147722995997</v>
      </c>
      <c r="H58" s="714">
        <f>SUBTOTAL(9,H59:H61)</f>
        <v>3</v>
      </c>
      <c r="I58" s="626"/>
      <c r="J58" s="752"/>
      <c r="L58" s="685"/>
      <c r="M58" s="685"/>
      <c r="N58" s="685"/>
      <c r="O58" s="685"/>
      <c r="P58" s="685"/>
      <c r="Q58" s="685"/>
      <c r="R58" s="685"/>
      <c r="T58" s="752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893</v>
      </c>
      <c r="C59" s="376" t="s">
        <v>1000</v>
      </c>
      <c r="D59" s="376" t="s">
        <v>159</v>
      </c>
      <c r="E59" s="376" t="s">
        <v>664</v>
      </c>
      <c r="F59" s="608" t="s">
        <v>75</v>
      </c>
      <c r="G59" s="695">
        <v>0.13658053961234987</v>
      </c>
      <c r="H59" s="700">
        <v>1</v>
      </c>
      <c r="I59" s="626"/>
      <c r="J59" s="752"/>
      <c r="L59" s="608" t="s">
        <v>664</v>
      </c>
      <c r="M59" s="608" t="s">
        <v>1001</v>
      </c>
      <c r="N59" s="608" t="s">
        <v>1002</v>
      </c>
      <c r="O59" s="608"/>
      <c r="P59" s="608"/>
      <c r="Q59" s="608"/>
      <c r="R59" s="608"/>
      <c r="T59" s="752"/>
      <c r="V59" s="609">
        <f>IF(W59=1,G59,0)</f>
        <v>0</v>
      </c>
      <c r="W59" s="700"/>
    </row>
    <row r="60" spans="1:23" outlineLevel="3">
      <c r="A60" s="376"/>
      <c r="B60" s="376" t="s">
        <v>893</v>
      </c>
      <c r="C60" s="376" t="s">
        <v>1000</v>
      </c>
      <c r="D60" s="376" t="s">
        <v>159</v>
      </c>
      <c r="E60" s="376" t="s">
        <v>664</v>
      </c>
      <c r="F60" s="623" t="s">
        <v>957</v>
      </c>
      <c r="G60" s="695">
        <v>0.18210738614979985</v>
      </c>
      <c r="H60" s="700">
        <v>1</v>
      </c>
      <c r="I60" s="626"/>
      <c r="J60" s="752"/>
      <c r="L60" s="608" t="s">
        <v>664</v>
      </c>
      <c r="M60" s="608" t="s">
        <v>1001</v>
      </c>
      <c r="N60" s="608" t="s">
        <v>1003</v>
      </c>
      <c r="O60" s="608"/>
      <c r="P60" s="608"/>
      <c r="Q60" s="608"/>
      <c r="R60" s="608"/>
      <c r="T60" s="752"/>
      <c r="V60" s="609">
        <f>IF(W60=1,G60,0)</f>
        <v>0</v>
      </c>
      <c r="W60" s="700"/>
    </row>
    <row r="61" spans="1:23" outlineLevel="3">
      <c r="A61" s="376"/>
      <c r="B61" s="376" t="s">
        <v>893</v>
      </c>
      <c r="C61" s="376" t="s">
        <v>1000</v>
      </c>
      <c r="D61" s="376" t="s">
        <v>159</v>
      </c>
      <c r="E61" s="376" t="s">
        <v>664</v>
      </c>
      <c r="F61" s="623" t="s">
        <v>1004</v>
      </c>
      <c r="G61" s="695">
        <v>4.5526846537449962E-2</v>
      </c>
      <c r="H61" s="700">
        <v>1</v>
      </c>
      <c r="I61" s="626"/>
      <c r="J61" s="752"/>
      <c r="L61" s="608" t="s">
        <v>664</v>
      </c>
      <c r="M61" s="608" t="s">
        <v>1001</v>
      </c>
      <c r="N61" s="608" t="s">
        <v>1005</v>
      </c>
      <c r="O61" s="608"/>
      <c r="P61" s="608"/>
      <c r="Q61" s="608"/>
      <c r="R61" s="608"/>
      <c r="T61" s="752"/>
      <c r="V61" s="609">
        <f>IF(W61=1,G61,0)</f>
        <v>0</v>
      </c>
      <c r="W61" s="700"/>
    </row>
    <row r="62" spans="1:23" ht="26.45" outlineLevel="2">
      <c r="A62" s="376"/>
      <c r="B62" s="684" t="s">
        <v>893</v>
      </c>
      <c r="C62" s="684" t="s">
        <v>1000</v>
      </c>
      <c r="D62" s="684" t="s">
        <v>518</v>
      </c>
      <c r="E62" s="684"/>
      <c r="F62" s="685" t="s">
        <v>1006</v>
      </c>
      <c r="G62" s="713">
        <f>SUBTOTAL(9,G63:G65)</f>
        <v>0.28478494761492512</v>
      </c>
      <c r="H62" s="714">
        <f>SUBTOTAL(9,H63:H65)</f>
        <v>3</v>
      </c>
      <c r="I62" s="626"/>
      <c r="J62" s="752"/>
      <c r="L62" s="685"/>
      <c r="M62" s="685"/>
      <c r="N62" s="685"/>
      <c r="O62" s="685"/>
      <c r="P62" s="685"/>
      <c r="Q62" s="685"/>
      <c r="R62" s="685"/>
      <c r="T62" s="752"/>
      <c r="V62" s="713">
        <f>SUBTOTAL(9,V63:V65)</f>
        <v>0</v>
      </c>
      <c r="W62" s="714">
        <f>SUBTOTAL(9,W63:W65)</f>
        <v>0</v>
      </c>
    </row>
    <row r="63" spans="1:23" ht="26.45" outlineLevel="3">
      <c r="A63" s="376"/>
      <c r="B63" s="376" t="s">
        <v>893</v>
      </c>
      <c r="C63" s="376" t="s">
        <v>1000</v>
      </c>
      <c r="D63" s="376" t="s">
        <v>518</v>
      </c>
      <c r="E63" s="376" t="s">
        <v>56</v>
      </c>
      <c r="F63" s="608" t="s">
        <v>1007</v>
      </c>
      <c r="G63" s="609">
        <v>0.25822711064277509</v>
      </c>
      <c r="H63" s="700">
        <v>1</v>
      </c>
      <c r="I63" s="626"/>
      <c r="J63" s="752"/>
      <c r="L63" s="608" t="s">
        <v>56</v>
      </c>
      <c r="M63" s="608" t="s">
        <v>1008</v>
      </c>
      <c r="N63" s="608" t="s">
        <v>1009</v>
      </c>
      <c r="O63" s="608" t="s">
        <v>1010</v>
      </c>
      <c r="P63" s="608"/>
      <c r="Q63" s="608"/>
      <c r="R63" s="608"/>
      <c r="T63" s="752"/>
      <c r="V63" s="609">
        <f>IF(W63=1,G63,0)</f>
        <v>0</v>
      </c>
      <c r="W63" s="700"/>
    </row>
    <row r="64" spans="1:23" ht="26.45" outlineLevel="3">
      <c r="A64" s="376"/>
      <c r="B64" s="376" t="s">
        <v>893</v>
      </c>
      <c r="C64" s="376" t="s">
        <v>1000</v>
      </c>
      <c r="D64" s="376" t="s">
        <v>518</v>
      </c>
      <c r="E64" s="376" t="s">
        <v>56</v>
      </c>
      <c r="F64" s="608" t="s">
        <v>75</v>
      </c>
      <c r="G64" s="609">
        <v>1.4486092893899998E-2</v>
      </c>
      <c r="H64" s="700">
        <v>1</v>
      </c>
      <c r="I64" s="626"/>
      <c r="J64" s="752"/>
      <c r="L64" s="608" t="s">
        <v>56</v>
      </c>
      <c r="M64" s="608" t="s">
        <v>1008</v>
      </c>
      <c r="N64" s="608" t="s">
        <v>1011</v>
      </c>
      <c r="O64" s="608" t="s">
        <v>1012</v>
      </c>
      <c r="P64" s="608"/>
      <c r="Q64" s="608"/>
      <c r="R64" s="608"/>
      <c r="T64" s="752"/>
      <c r="V64" s="609">
        <f>IF(W64=1,G64,0)</f>
        <v>0</v>
      </c>
      <c r="W64" s="700"/>
    </row>
    <row r="65" spans="1:23" outlineLevel="3">
      <c r="A65" s="376"/>
      <c r="B65" s="376" t="s">
        <v>893</v>
      </c>
      <c r="C65" s="376" t="s">
        <v>1000</v>
      </c>
      <c r="D65" s="376" t="s">
        <v>518</v>
      </c>
      <c r="E65" s="376" t="s">
        <v>56</v>
      </c>
      <c r="F65" s="608" t="s">
        <v>957</v>
      </c>
      <c r="G65" s="609">
        <v>1.2071744078249999E-2</v>
      </c>
      <c r="H65" s="700">
        <v>1</v>
      </c>
      <c r="I65" s="626"/>
      <c r="J65" s="752"/>
      <c r="L65" s="608" t="s">
        <v>56</v>
      </c>
      <c r="M65" s="608" t="s">
        <v>1008</v>
      </c>
      <c r="N65" s="608" t="s">
        <v>1013</v>
      </c>
      <c r="O65" s="608" t="s">
        <v>1014</v>
      </c>
      <c r="P65" s="608"/>
      <c r="Q65" s="608"/>
      <c r="R65" s="608"/>
      <c r="T65" s="752"/>
      <c r="V65" s="609">
        <f>IF(W65=1,G65,0)</f>
        <v>0</v>
      </c>
      <c r="W65" s="700"/>
    </row>
    <row r="66" spans="1:23" outlineLevel="2">
      <c r="A66" s="376"/>
      <c r="B66" s="684" t="s">
        <v>893</v>
      </c>
      <c r="C66" s="684" t="s">
        <v>1000</v>
      </c>
      <c r="D66" s="684" t="s">
        <v>441</v>
      </c>
      <c r="E66" s="684"/>
      <c r="F66" s="712" t="s">
        <v>948</v>
      </c>
      <c r="G66" s="713">
        <f>SUBTOTAL(9,G67:G68)</f>
        <v>0.16750548359999998</v>
      </c>
      <c r="H66" s="714">
        <f>SUBTOTAL(9,H67:H68)</f>
        <v>2</v>
      </c>
      <c r="I66" s="626"/>
      <c r="J66" s="752"/>
      <c r="L66" s="685"/>
      <c r="M66" s="685"/>
      <c r="N66" s="685"/>
      <c r="O66" s="685"/>
      <c r="P66" s="685"/>
      <c r="Q66" s="685"/>
      <c r="R66" s="685"/>
      <c r="T66" s="752"/>
      <c r="V66" s="713">
        <f>SUBTOTAL(9,V67:V68)</f>
        <v>0</v>
      </c>
      <c r="W66" s="714">
        <f>SUBTOTAL(9,W67:W68)</f>
        <v>0</v>
      </c>
    </row>
    <row r="67" spans="1:23" ht="26.45" outlineLevel="3">
      <c r="A67" s="376"/>
      <c r="B67" s="376" t="s">
        <v>893</v>
      </c>
      <c r="C67" s="376" t="s">
        <v>1000</v>
      </c>
      <c r="D67" s="376" t="s">
        <v>441</v>
      </c>
      <c r="E67" s="376" t="s">
        <v>437</v>
      </c>
      <c r="F67" s="623" t="s">
        <v>984</v>
      </c>
      <c r="G67" s="609">
        <v>3.8655111599999993E-2</v>
      </c>
      <c r="H67" s="700">
        <v>1</v>
      </c>
      <c r="I67" s="626"/>
      <c r="J67" s="752"/>
      <c r="L67" s="608" t="s">
        <v>437</v>
      </c>
      <c r="M67" s="608" t="s">
        <v>966</v>
      </c>
      <c r="N67" s="608" t="s">
        <v>1015</v>
      </c>
      <c r="O67" s="608" t="s">
        <v>1016</v>
      </c>
      <c r="P67" s="608"/>
      <c r="Q67" s="608"/>
      <c r="R67" s="608"/>
      <c r="T67" s="752"/>
      <c r="V67" s="609">
        <f>IF(W67=1,G67,0)</f>
        <v>0</v>
      </c>
      <c r="W67" s="700"/>
    </row>
    <row r="68" spans="1:23" ht="26.45" outlineLevel="3">
      <c r="A68" s="376"/>
      <c r="B68" s="376" t="s">
        <v>893</v>
      </c>
      <c r="C68" s="376" t="s">
        <v>1000</v>
      </c>
      <c r="D68" s="376" t="s">
        <v>441</v>
      </c>
      <c r="E68" s="376" t="s">
        <v>437</v>
      </c>
      <c r="F68" s="623" t="s">
        <v>957</v>
      </c>
      <c r="G68" s="609">
        <v>0.12885037199999999</v>
      </c>
      <c r="H68" s="700">
        <v>1</v>
      </c>
      <c r="I68" s="626"/>
      <c r="J68" s="752"/>
      <c r="L68" s="608" t="s">
        <v>437</v>
      </c>
      <c r="M68" s="608" t="s">
        <v>966</v>
      </c>
      <c r="N68" s="608" t="s">
        <v>1015</v>
      </c>
      <c r="O68" s="608" t="s">
        <v>1016</v>
      </c>
      <c r="P68" s="608"/>
      <c r="Q68" s="608"/>
      <c r="R68" s="608"/>
      <c r="T68" s="752"/>
      <c r="V68" s="609">
        <f>IF(W68=1,G68,0)</f>
        <v>0</v>
      </c>
      <c r="W68" s="700"/>
    </row>
    <row r="69" spans="1:23" s="711" customFormat="1" outlineLevel="1">
      <c r="A69" s="386"/>
      <c r="B69" s="666" t="s">
        <v>1017</v>
      </c>
      <c r="C69" s="666" t="s">
        <v>1018</v>
      </c>
      <c r="D69" s="666"/>
      <c r="E69" s="666"/>
      <c r="F69" s="681" t="s">
        <v>947</v>
      </c>
      <c r="G69" s="715">
        <f>SUBTOTAL(9,G70:G71)</f>
        <v>0</v>
      </c>
      <c r="H69" s="716">
        <f>SUBTOTAL(9,H70:H71)</f>
        <v>0</v>
      </c>
      <c r="I69" s="710"/>
      <c r="J69" s="756"/>
      <c r="L69" s="761"/>
      <c r="M69" s="761"/>
      <c r="N69" s="761"/>
      <c r="O69" s="761"/>
      <c r="P69" s="761"/>
      <c r="Q69" s="761"/>
      <c r="R69" s="761"/>
      <c r="T69" s="756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1017</v>
      </c>
      <c r="C70" s="687" t="s">
        <v>1018</v>
      </c>
      <c r="D70" s="684"/>
      <c r="E70" s="684"/>
      <c r="F70" s="717" t="s">
        <v>1019</v>
      </c>
      <c r="G70" s="686">
        <f>SUBTOTAL(9,G71)</f>
        <v>0</v>
      </c>
      <c r="H70" s="691">
        <f>SUBTOTAL(9,H71)</f>
        <v>0</v>
      </c>
      <c r="I70" s="626"/>
      <c r="J70" s="752"/>
      <c r="L70" s="685"/>
      <c r="M70" s="685"/>
      <c r="N70" s="685"/>
      <c r="O70" s="685"/>
      <c r="P70" s="685"/>
      <c r="Q70" s="685"/>
      <c r="R70" s="685"/>
      <c r="T70" s="752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1020</v>
      </c>
      <c r="G71" s="718"/>
      <c r="H71" s="719"/>
      <c r="I71" s="626"/>
      <c r="J71" s="752"/>
      <c r="L71" s="762"/>
      <c r="M71" s="762"/>
      <c r="N71" s="762"/>
      <c r="O71" s="762"/>
      <c r="P71" s="762"/>
      <c r="Q71" s="762"/>
      <c r="R71" s="762"/>
      <c r="T71" s="752"/>
      <c r="V71" s="718"/>
      <c r="W71" s="719"/>
    </row>
    <row r="72" spans="1:23" s="711" customFormat="1" outlineLevel="1">
      <c r="A72" s="386"/>
      <c r="B72" s="666" t="s">
        <v>894</v>
      </c>
      <c r="C72" s="666" t="s">
        <v>1021</v>
      </c>
      <c r="D72" s="666"/>
      <c r="E72" s="666"/>
      <c r="F72" s="681" t="s">
        <v>947</v>
      </c>
      <c r="G72" s="708">
        <f>SUBTOTAL(9,G73:G91)</f>
        <v>4.1291744999999995</v>
      </c>
      <c r="H72" s="709">
        <f>SUBTOTAL(9,H73:H91)</f>
        <v>15</v>
      </c>
      <c r="I72" s="710"/>
      <c r="J72" s="756"/>
      <c r="L72" s="761"/>
      <c r="M72" s="761"/>
      <c r="N72" s="761"/>
      <c r="O72" s="761"/>
      <c r="P72" s="761"/>
      <c r="Q72" s="761"/>
      <c r="R72" s="761"/>
      <c r="T72" s="756"/>
      <c r="V72" s="708">
        <f>SUBTOTAL(9,V73:V91)</f>
        <v>2.183E-3</v>
      </c>
      <c r="W72" s="709">
        <f>SUBTOTAL(9,W73:W91)</f>
        <v>1</v>
      </c>
    </row>
    <row r="73" spans="1:23" outlineLevel="2">
      <c r="A73" s="376"/>
      <c r="B73" s="684" t="s">
        <v>894</v>
      </c>
      <c r="C73" s="684" t="s">
        <v>1021</v>
      </c>
      <c r="D73" s="684" t="s">
        <v>159</v>
      </c>
      <c r="E73" s="684"/>
      <c r="F73" s="712" t="s">
        <v>1022</v>
      </c>
      <c r="G73" s="713">
        <f>SUBTOTAL(9,G74:G81)</f>
        <v>3.3658999999999999</v>
      </c>
      <c r="H73" s="714">
        <f>SUBTOTAL(9,H74:H81)</f>
        <v>8</v>
      </c>
      <c r="I73" s="626"/>
      <c r="J73" s="752"/>
      <c r="L73" s="685"/>
      <c r="M73" s="685"/>
      <c r="N73" s="685"/>
      <c r="O73" s="685"/>
      <c r="P73" s="685"/>
      <c r="Q73" s="685"/>
      <c r="R73" s="685"/>
      <c r="T73" s="752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894</v>
      </c>
      <c r="C74" s="376" t="s">
        <v>1021</v>
      </c>
      <c r="D74" s="376" t="s">
        <v>159</v>
      </c>
      <c r="E74" s="376" t="s">
        <v>950</v>
      </c>
      <c r="F74" s="623" t="s">
        <v>1023</v>
      </c>
      <c r="G74" s="720">
        <v>0.17</v>
      </c>
      <c r="H74" s="700">
        <v>1</v>
      </c>
      <c r="I74" s="626"/>
      <c r="J74" s="752"/>
      <c r="L74" s="608" t="s">
        <v>950</v>
      </c>
      <c r="M74" s="608" t="s">
        <v>1024</v>
      </c>
      <c r="N74" s="608" t="s">
        <v>1025</v>
      </c>
      <c r="O74" s="608"/>
      <c r="P74" s="608"/>
      <c r="Q74" s="608"/>
      <c r="R74" s="608"/>
      <c r="T74" s="752"/>
      <c r="V74" s="609">
        <f t="shared" ref="V74:V81" si="2">IF(W74=1,G74,0)</f>
        <v>0</v>
      </c>
      <c r="W74" s="700"/>
    </row>
    <row r="75" spans="1:23" ht="26.45" outlineLevel="3">
      <c r="A75" s="376"/>
      <c r="B75" s="376" t="s">
        <v>894</v>
      </c>
      <c r="C75" s="376" t="s">
        <v>1021</v>
      </c>
      <c r="D75" s="376" t="s">
        <v>159</v>
      </c>
      <c r="E75" s="376" t="s">
        <v>950</v>
      </c>
      <c r="F75" s="623" t="s">
        <v>1026</v>
      </c>
      <c r="G75" s="720">
        <v>0.17</v>
      </c>
      <c r="H75" s="700">
        <v>1</v>
      </c>
      <c r="I75" s="626"/>
      <c r="J75" s="752"/>
      <c r="L75" s="608" t="s">
        <v>950</v>
      </c>
      <c r="M75" s="608" t="s">
        <v>1024</v>
      </c>
      <c r="N75" s="608" t="s">
        <v>1025</v>
      </c>
      <c r="O75" s="608"/>
      <c r="P75" s="608"/>
      <c r="Q75" s="608"/>
      <c r="R75" s="608"/>
      <c r="T75" s="752"/>
      <c r="V75" s="609">
        <f t="shared" si="2"/>
        <v>0</v>
      </c>
      <c r="W75" s="700"/>
    </row>
    <row r="76" spans="1:23" outlineLevel="3">
      <c r="A76" s="376"/>
      <c r="B76" s="376" t="s">
        <v>894</v>
      </c>
      <c r="C76" s="376" t="s">
        <v>1021</v>
      </c>
      <c r="D76" s="376" t="s">
        <v>159</v>
      </c>
      <c r="E76" s="376" t="s">
        <v>950</v>
      </c>
      <c r="F76" s="623" t="s">
        <v>1027</v>
      </c>
      <c r="G76" s="720">
        <v>1.18</v>
      </c>
      <c r="H76" s="700">
        <v>1</v>
      </c>
      <c r="I76" s="626"/>
      <c r="J76" s="752"/>
      <c r="L76" s="608" t="s">
        <v>950</v>
      </c>
      <c r="M76" s="608" t="s">
        <v>1028</v>
      </c>
      <c r="N76" s="608"/>
      <c r="O76" s="608"/>
      <c r="P76" s="608"/>
      <c r="Q76" s="608"/>
      <c r="R76" s="608"/>
      <c r="T76" s="752"/>
      <c r="V76" s="609">
        <f t="shared" si="2"/>
        <v>0</v>
      </c>
      <c r="W76" s="700"/>
    </row>
    <row r="77" spans="1:23" outlineLevel="3">
      <c r="A77" s="376"/>
      <c r="B77" s="376" t="s">
        <v>894</v>
      </c>
      <c r="C77" s="376" t="s">
        <v>1021</v>
      </c>
      <c r="D77" s="376" t="s">
        <v>159</v>
      </c>
      <c r="E77" s="376" t="s">
        <v>950</v>
      </c>
      <c r="F77" s="623" t="s">
        <v>1029</v>
      </c>
      <c r="G77" s="720">
        <f>10659000/10^7</f>
        <v>1.0659000000000001</v>
      </c>
      <c r="H77" s="700">
        <v>1</v>
      </c>
      <c r="I77" s="626"/>
      <c r="J77" s="752"/>
      <c r="L77" s="608" t="s">
        <v>950</v>
      </c>
      <c r="M77" s="608" t="s">
        <v>1005</v>
      </c>
      <c r="N77" s="608" t="s">
        <v>1030</v>
      </c>
      <c r="O77" s="608"/>
      <c r="P77" s="608"/>
      <c r="Q77" s="608"/>
      <c r="R77" s="608"/>
      <c r="T77" s="752"/>
      <c r="V77" s="609">
        <f t="shared" si="2"/>
        <v>0</v>
      </c>
      <c r="W77" s="700"/>
    </row>
    <row r="78" spans="1:23" outlineLevel="3">
      <c r="A78" s="376"/>
      <c r="B78" s="376" t="s">
        <v>894</v>
      </c>
      <c r="C78" s="376" t="s">
        <v>1021</v>
      </c>
      <c r="D78" s="376" t="s">
        <v>159</v>
      </c>
      <c r="E78" s="376" t="s">
        <v>950</v>
      </c>
      <c r="F78" s="623" t="s">
        <v>1031</v>
      </c>
      <c r="G78" s="720">
        <v>0.45</v>
      </c>
      <c r="H78" s="700">
        <v>1</v>
      </c>
      <c r="I78" s="626"/>
      <c r="J78" s="752"/>
      <c r="L78" s="608" t="s">
        <v>950</v>
      </c>
      <c r="M78" s="608" t="s">
        <v>1032</v>
      </c>
      <c r="N78" s="608"/>
      <c r="O78" s="608"/>
      <c r="P78" s="608"/>
      <c r="Q78" s="608"/>
      <c r="R78" s="608"/>
      <c r="T78" s="752"/>
      <c r="V78" s="609">
        <f t="shared" si="2"/>
        <v>0</v>
      </c>
      <c r="W78" s="700"/>
    </row>
    <row r="79" spans="1:23" outlineLevel="3">
      <c r="A79" s="376"/>
      <c r="B79" s="376" t="s">
        <v>894</v>
      </c>
      <c r="C79" s="376" t="s">
        <v>1021</v>
      </c>
      <c r="D79" s="376" t="s">
        <v>159</v>
      </c>
      <c r="E79" s="376" t="s">
        <v>950</v>
      </c>
      <c r="F79" s="623" t="s">
        <v>1033</v>
      </c>
      <c r="G79" s="720">
        <v>0.15</v>
      </c>
      <c r="H79" s="700">
        <v>1</v>
      </c>
      <c r="I79" s="626"/>
      <c r="J79" s="752"/>
      <c r="L79" s="608" t="s">
        <v>950</v>
      </c>
      <c r="M79" s="608" t="s">
        <v>1032</v>
      </c>
      <c r="N79" s="608"/>
      <c r="O79" s="608"/>
      <c r="P79" s="608"/>
      <c r="Q79" s="608"/>
      <c r="R79" s="608"/>
      <c r="T79" s="752"/>
      <c r="V79" s="609">
        <f t="shared" si="2"/>
        <v>0</v>
      </c>
      <c r="W79" s="700"/>
    </row>
    <row r="80" spans="1:23" outlineLevel="3">
      <c r="A80" s="376"/>
      <c r="B80" s="376" t="s">
        <v>894</v>
      </c>
      <c r="C80" s="376" t="s">
        <v>1021</v>
      </c>
      <c r="D80" s="376" t="s">
        <v>159</v>
      </c>
      <c r="E80" s="376" t="s">
        <v>950</v>
      </c>
      <c r="F80" s="623" t="s">
        <v>1034</v>
      </c>
      <c r="G80" s="720">
        <v>0.15</v>
      </c>
      <c r="H80" s="700">
        <v>1</v>
      </c>
      <c r="I80" s="626"/>
      <c r="J80" s="752"/>
      <c r="L80" s="608" t="s">
        <v>950</v>
      </c>
      <c r="M80" s="608" t="s">
        <v>1032</v>
      </c>
      <c r="N80" s="608"/>
      <c r="O80" s="608"/>
      <c r="P80" s="608"/>
      <c r="Q80" s="608"/>
      <c r="R80" s="608"/>
      <c r="T80" s="752"/>
      <c r="V80" s="609">
        <f t="shared" si="2"/>
        <v>0</v>
      </c>
      <c r="W80" s="700"/>
    </row>
    <row r="81" spans="1:23" outlineLevel="3">
      <c r="A81" s="376"/>
      <c r="B81" s="387" t="s">
        <v>894</v>
      </c>
      <c r="C81" s="387" t="s">
        <v>1021</v>
      </c>
      <c r="D81" s="387" t="s">
        <v>159</v>
      </c>
      <c r="E81" s="387" t="s">
        <v>950</v>
      </c>
      <c r="F81" s="705" t="s">
        <v>1035</v>
      </c>
      <c r="G81" s="721">
        <v>0.03</v>
      </c>
      <c r="H81" s="722">
        <v>1</v>
      </c>
      <c r="I81" s="626"/>
      <c r="J81" s="752"/>
      <c r="L81" s="705" t="s">
        <v>950</v>
      </c>
      <c r="M81" s="705" t="s">
        <v>1032</v>
      </c>
      <c r="N81" s="705" t="s">
        <v>1036</v>
      </c>
      <c r="O81" s="705"/>
      <c r="P81" s="705"/>
      <c r="Q81" s="705"/>
      <c r="R81" s="705"/>
      <c r="T81" s="752"/>
      <c r="V81" s="609">
        <f t="shared" si="2"/>
        <v>0</v>
      </c>
      <c r="W81" s="722"/>
    </row>
    <row r="82" spans="1:23" outlineLevel="2">
      <c r="A82" s="376"/>
      <c r="B82" s="684" t="s">
        <v>894</v>
      </c>
      <c r="C82" s="684" t="s">
        <v>1021</v>
      </c>
      <c r="D82" s="684" t="s">
        <v>518</v>
      </c>
      <c r="E82" s="684"/>
      <c r="F82" s="712" t="s">
        <v>1022</v>
      </c>
      <c r="G82" s="713">
        <f>SUBTOTAL(9,G83:G85)</f>
        <v>0.36</v>
      </c>
      <c r="H82" s="714">
        <f>SUBTOTAL(9,H83:H85)</f>
        <v>3</v>
      </c>
      <c r="I82" s="626"/>
      <c r="J82" s="752"/>
      <c r="L82" s="685"/>
      <c r="M82" s="685"/>
      <c r="N82" s="685"/>
      <c r="O82" s="685"/>
      <c r="P82" s="685"/>
      <c r="Q82" s="685"/>
      <c r="R82" s="685"/>
      <c r="T82" s="752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894</v>
      </c>
      <c r="C83" s="376" t="s">
        <v>1021</v>
      </c>
      <c r="D83" s="376" t="s">
        <v>518</v>
      </c>
      <c r="E83" s="376" t="s">
        <v>56</v>
      </c>
      <c r="F83" s="623" t="s">
        <v>1037</v>
      </c>
      <c r="G83" s="720">
        <v>0.19</v>
      </c>
      <c r="H83" s="700">
        <v>1</v>
      </c>
      <c r="I83" s="626"/>
      <c r="J83" s="752"/>
      <c r="L83" s="608" t="s">
        <v>56</v>
      </c>
      <c r="M83" s="608" t="s">
        <v>1038</v>
      </c>
      <c r="N83" s="608" t="s">
        <v>1039</v>
      </c>
      <c r="O83" s="608"/>
      <c r="P83" s="608" t="s">
        <v>1040</v>
      </c>
      <c r="Q83" s="608"/>
      <c r="R83" s="608"/>
      <c r="T83" s="752"/>
      <c r="V83" s="609">
        <f>IF(W83=1,G83,0)</f>
        <v>0</v>
      </c>
      <c r="W83" s="700"/>
    </row>
    <row r="84" spans="1:23" outlineLevel="3">
      <c r="A84" s="376"/>
      <c r="B84" s="376" t="s">
        <v>894</v>
      </c>
      <c r="C84" s="376" t="s">
        <v>1021</v>
      </c>
      <c r="D84" s="376" t="s">
        <v>518</v>
      </c>
      <c r="E84" s="376" t="s">
        <v>56</v>
      </c>
      <c r="F84" s="623" t="s">
        <v>1041</v>
      </c>
      <c r="G84" s="720">
        <v>0.16</v>
      </c>
      <c r="H84" s="700">
        <v>1</v>
      </c>
      <c r="I84" s="626"/>
      <c r="J84" s="752"/>
      <c r="L84" s="608" t="s">
        <v>56</v>
      </c>
      <c r="M84" s="608" t="s">
        <v>1038</v>
      </c>
      <c r="N84" s="608" t="s">
        <v>1039</v>
      </c>
      <c r="O84" s="608"/>
      <c r="P84" s="608" t="s">
        <v>1040</v>
      </c>
      <c r="Q84" s="608"/>
      <c r="R84" s="608"/>
      <c r="T84" s="752"/>
      <c r="V84" s="609">
        <f>IF(W84=1,G84,0)</f>
        <v>0</v>
      </c>
      <c r="W84" s="700"/>
    </row>
    <row r="85" spans="1:23" outlineLevel="3">
      <c r="A85" s="376"/>
      <c r="B85" s="376" t="s">
        <v>894</v>
      </c>
      <c r="C85" s="376" t="s">
        <v>1021</v>
      </c>
      <c r="D85" s="376" t="s">
        <v>518</v>
      </c>
      <c r="E85" s="376" t="s">
        <v>56</v>
      </c>
      <c r="F85" s="623" t="s">
        <v>1042</v>
      </c>
      <c r="G85" s="720">
        <v>0.01</v>
      </c>
      <c r="H85" s="700">
        <v>1</v>
      </c>
      <c r="I85" s="626"/>
      <c r="J85" s="752"/>
      <c r="L85" s="608" t="s">
        <v>56</v>
      </c>
      <c r="M85" s="608" t="s">
        <v>1038</v>
      </c>
      <c r="N85" s="608" t="s">
        <v>1039</v>
      </c>
      <c r="O85" s="608" t="s">
        <v>1043</v>
      </c>
      <c r="P85" s="608" t="s">
        <v>1040</v>
      </c>
      <c r="Q85" s="608"/>
      <c r="R85" s="608"/>
      <c r="T85" s="752"/>
      <c r="V85" s="609">
        <f>IF(W85=1,G85,0)</f>
        <v>0</v>
      </c>
      <c r="W85" s="700"/>
    </row>
    <row r="86" spans="1:23" outlineLevel="2">
      <c r="A86" s="376"/>
      <c r="B86" s="684" t="s">
        <v>894</v>
      </c>
      <c r="C86" s="684" t="s">
        <v>1021</v>
      </c>
      <c r="D86" s="684" t="s">
        <v>441</v>
      </c>
      <c r="E86" s="684"/>
      <c r="F86" s="712" t="s">
        <v>1022</v>
      </c>
      <c r="G86" s="713">
        <f>SUBTOTAL(9,G87:G89)</f>
        <v>0.3632745</v>
      </c>
      <c r="H86" s="714">
        <f>SUBTOTAL(9,H87:H89)</f>
        <v>3</v>
      </c>
      <c r="I86" s="626"/>
      <c r="J86" s="752"/>
      <c r="L86" s="685"/>
      <c r="M86" s="685"/>
      <c r="N86" s="685"/>
      <c r="O86" s="685"/>
      <c r="P86" s="685"/>
      <c r="Q86" s="685"/>
      <c r="R86" s="685"/>
      <c r="T86" s="752"/>
      <c r="V86" s="713">
        <f>SUBTOTAL(9,V87:V89)</f>
        <v>2.183E-3</v>
      </c>
      <c r="W86" s="714">
        <f>SUBTOTAL(9,W87:W89)</f>
        <v>1</v>
      </c>
    </row>
    <row r="87" spans="1:23" ht="66" outlineLevel="3">
      <c r="A87" s="376"/>
      <c r="B87" s="376" t="s">
        <v>894</v>
      </c>
      <c r="C87" s="376" t="s">
        <v>1021</v>
      </c>
      <c r="D87" s="376" t="s">
        <v>441</v>
      </c>
      <c r="E87" s="376" t="s">
        <v>437</v>
      </c>
      <c r="F87" s="623" t="s">
        <v>1041</v>
      </c>
      <c r="G87" s="723">
        <v>0.36</v>
      </c>
      <c r="H87" s="692">
        <v>1</v>
      </c>
      <c r="I87" s="626"/>
      <c r="J87" s="752"/>
      <c r="L87" s="608" t="s">
        <v>437</v>
      </c>
      <c r="M87" s="608" t="s">
        <v>966</v>
      </c>
      <c r="N87" s="608" t="s">
        <v>1044</v>
      </c>
      <c r="O87" s="608" t="s">
        <v>1045</v>
      </c>
      <c r="P87" s="608"/>
      <c r="Q87" s="608"/>
      <c r="R87" s="608"/>
      <c r="T87" s="752"/>
      <c r="V87" s="609">
        <f>IF(W87=1,G87,0)</f>
        <v>0</v>
      </c>
      <c r="W87" s="692"/>
    </row>
    <row r="88" spans="1:23" ht="66" outlineLevel="3" collapsed="1">
      <c r="A88" s="376"/>
      <c r="B88" s="376" t="s">
        <v>894</v>
      </c>
      <c r="C88" s="376" t="s">
        <v>1021</v>
      </c>
      <c r="D88" s="376" t="s">
        <v>441</v>
      </c>
      <c r="E88" s="376" t="s">
        <v>437</v>
      </c>
      <c r="F88" s="623" t="s">
        <v>1046</v>
      </c>
      <c r="G88" s="723">
        <v>2.183E-3</v>
      </c>
      <c r="H88" s="692">
        <v>1</v>
      </c>
      <c r="I88" s="626"/>
      <c r="J88" s="752"/>
      <c r="L88" s="608" t="s">
        <v>437</v>
      </c>
      <c r="M88" s="608" t="s">
        <v>966</v>
      </c>
      <c r="N88" s="608" t="s">
        <v>1044</v>
      </c>
      <c r="O88" s="608" t="s">
        <v>1045</v>
      </c>
      <c r="P88" s="608"/>
      <c r="Q88" s="608"/>
      <c r="R88" s="608"/>
      <c r="T88" s="752"/>
      <c r="V88" s="609">
        <f>IF(W88=1,G88,0)</f>
        <v>2.183E-3</v>
      </c>
      <c r="W88" s="692">
        <v>1</v>
      </c>
    </row>
    <row r="89" spans="1:23" ht="66" outlineLevel="3">
      <c r="A89" s="376"/>
      <c r="B89" s="376" t="s">
        <v>894</v>
      </c>
      <c r="C89" s="376" t="s">
        <v>1021</v>
      </c>
      <c r="D89" s="376" t="s">
        <v>441</v>
      </c>
      <c r="E89" s="376" t="s">
        <v>437</v>
      </c>
      <c r="F89" s="623" t="s">
        <v>1042</v>
      </c>
      <c r="G89" s="720">
        <v>1.0915E-3</v>
      </c>
      <c r="H89" s="700">
        <v>1</v>
      </c>
      <c r="I89" s="626"/>
      <c r="J89" s="752"/>
      <c r="L89" s="608" t="s">
        <v>437</v>
      </c>
      <c r="M89" s="608" t="s">
        <v>966</v>
      </c>
      <c r="N89" s="608" t="s">
        <v>1044</v>
      </c>
      <c r="O89" s="608" t="s">
        <v>1045</v>
      </c>
      <c r="P89" s="608"/>
      <c r="Q89" s="608"/>
      <c r="R89" s="608"/>
      <c r="T89" s="752"/>
      <c r="V89" s="609">
        <f>IF(W89=1,G89,0)</f>
        <v>0</v>
      </c>
      <c r="W89" s="700"/>
    </row>
    <row r="90" spans="1:23" outlineLevel="2">
      <c r="A90" s="376"/>
      <c r="B90" s="684" t="s">
        <v>894</v>
      </c>
      <c r="C90" s="684" t="s">
        <v>1021</v>
      </c>
      <c r="D90" s="684" t="s">
        <v>860</v>
      </c>
      <c r="E90" s="684"/>
      <c r="F90" s="712" t="s">
        <v>1022</v>
      </c>
      <c r="G90" s="713">
        <f>SUBTOTAL(9,G91)</f>
        <v>0.04</v>
      </c>
      <c r="H90" s="714">
        <f>SUBTOTAL(9,H91)</f>
        <v>1</v>
      </c>
      <c r="I90" s="626"/>
      <c r="J90" s="752"/>
      <c r="L90" s="685"/>
      <c r="M90" s="685"/>
      <c r="N90" s="685"/>
      <c r="O90" s="685"/>
      <c r="P90" s="685"/>
      <c r="Q90" s="685"/>
      <c r="R90" s="685"/>
      <c r="T90" s="752"/>
      <c r="V90" s="713">
        <f>SUBTOTAL(9,V91)</f>
        <v>0</v>
      </c>
      <c r="W90" s="714">
        <f>SUBTOTAL(9,W91)</f>
        <v>0</v>
      </c>
    </row>
    <row r="91" spans="1:23" ht="26.45" outlineLevel="3">
      <c r="A91" s="376"/>
      <c r="B91" s="376" t="s">
        <v>894</v>
      </c>
      <c r="C91" s="376" t="s">
        <v>1021</v>
      </c>
      <c r="D91" s="376" t="s">
        <v>860</v>
      </c>
      <c r="E91" s="376" t="s">
        <v>437</v>
      </c>
      <c r="F91" s="623" t="s">
        <v>1047</v>
      </c>
      <c r="G91" s="720">
        <v>0.04</v>
      </c>
      <c r="H91" s="700">
        <v>1</v>
      </c>
      <c r="I91" s="626"/>
      <c r="J91" s="752"/>
      <c r="L91" s="608" t="s">
        <v>437</v>
      </c>
      <c r="M91" s="608" t="s">
        <v>996</v>
      </c>
      <c r="N91" s="608" t="s">
        <v>1048</v>
      </c>
      <c r="O91" s="608"/>
      <c r="P91" s="608"/>
      <c r="Q91" s="608"/>
      <c r="R91" s="608"/>
      <c r="T91" s="752"/>
      <c r="V91" s="609">
        <f>IF(W91=1,G91,0)</f>
        <v>0</v>
      </c>
      <c r="W91" s="700"/>
    </row>
    <row r="92" spans="1:23" s="612" customFormat="1" outlineLevel="1">
      <c r="A92" s="380"/>
      <c r="B92" s="666" t="s">
        <v>469</v>
      </c>
      <c r="C92" s="666" t="s">
        <v>1049</v>
      </c>
      <c r="D92" s="666"/>
      <c r="E92" s="666"/>
      <c r="F92" s="681" t="s">
        <v>947</v>
      </c>
      <c r="G92" s="724">
        <f>SUBTOTAL(9,G93:G135)</f>
        <v>9.6993299999999945</v>
      </c>
      <c r="H92" s="725">
        <f>SUBTOTAL(9,H93:H135)</f>
        <v>39</v>
      </c>
      <c r="I92" s="627"/>
      <c r="J92" s="754"/>
      <c r="L92" s="761"/>
      <c r="M92" s="761"/>
      <c r="N92" s="761"/>
      <c r="O92" s="761"/>
      <c r="P92" s="761"/>
      <c r="Q92" s="761"/>
      <c r="R92" s="761"/>
      <c r="T92" s="754"/>
      <c r="V92" s="724">
        <f>SUBTOTAL(9,V93:V135)</f>
        <v>2.06</v>
      </c>
      <c r="W92" s="725">
        <f>SUBTOTAL(9,W93:W135)</f>
        <v>5</v>
      </c>
    </row>
    <row r="93" spans="1:23" outlineLevel="2">
      <c r="A93" s="376"/>
      <c r="B93" s="684" t="s">
        <v>469</v>
      </c>
      <c r="C93" s="684" t="s">
        <v>1049</v>
      </c>
      <c r="D93" s="684" t="s">
        <v>159</v>
      </c>
      <c r="E93" s="687"/>
      <c r="F93" s="685" t="s">
        <v>1050</v>
      </c>
      <c r="G93" s="713">
        <f>SUBTOTAL(9,G94:G113)</f>
        <v>7.2038499999999983</v>
      </c>
      <c r="H93" s="714">
        <f>SUBTOTAL(9,H94:H113)</f>
        <v>20</v>
      </c>
      <c r="I93" s="626"/>
      <c r="J93" s="752"/>
      <c r="L93" s="717"/>
      <c r="M93" s="717"/>
      <c r="N93" s="717"/>
      <c r="O93" s="717"/>
      <c r="P93" s="717"/>
      <c r="Q93" s="717"/>
      <c r="R93" s="717"/>
      <c r="T93" s="752"/>
      <c r="V93" s="713">
        <f>SUBTOTAL(9,V94:V113)</f>
        <v>2.04</v>
      </c>
      <c r="W93" s="714">
        <f>SUBTOTAL(9,W94:W113)</f>
        <v>4</v>
      </c>
    </row>
    <row r="94" spans="1:23" outlineLevel="3">
      <c r="A94" s="376"/>
      <c r="B94" s="376" t="s">
        <v>469</v>
      </c>
      <c r="C94" s="376" t="s">
        <v>1049</v>
      </c>
      <c r="D94" s="376" t="s">
        <v>159</v>
      </c>
      <c r="E94" s="387" t="s">
        <v>950</v>
      </c>
      <c r="F94" s="623" t="s">
        <v>1051</v>
      </c>
      <c r="G94" s="695">
        <v>0.2</v>
      </c>
      <c r="H94" s="700">
        <v>1</v>
      </c>
      <c r="I94" s="626"/>
      <c r="J94" s="752"/>
      <c r="L94" s="705" t="s">
        <v>950</v>
      </c>
      <c r="M94" s="705" t="s">
        <v>1052</v>
      </c>
      <c r="N94" s="705" t="s">
        <v>1053</v>
      </c>
      <c r="O94" s="705"/>
      <c r="P94" s="705"/>
      <c r="Q94" s="705"/>
      <c r="R94" s="705"/>
      <c r="T94" s="752"/>
      <c r="V94" s="609">
        <f t="shared" ref="V94:V113" si="3">IF(W94=1,G94,0)</f>
        <v>0.2</v>
      </c>
      <c r="W94" s="700">
        <v>1</v>
      </c>
    </row>
    <row r="95" spans="1:23" outlineLevel="3">
      <c r="A95" s="376"/>
      <c r="B95" s="376" t="s">
        <v>469</v>
      </c>
      <c r="C95" s="376" t="s">
        <v>1049</v>
      </c>
      <c r="D95" s="376" t="s">
        <v>159</v>
      </c>
      <c r="E95" s="387" t="s">
        <v>950</v>
      </c>
      <c r="F95" s="623" t="s">
        <v>1054</v>
      </c>
      <c r="G95" s="695">
        <v>0.41</v>
      </c>
      <c r="H95" s="700">
        <v>1</v>
      </c>
      <c r="I95" s="626"/>
      <c r="J95" s="752"/>
      <c r="L95" s="705" t="s">
        <v>950</v>
      </c>
      <c r="M95" s="705" t="s">
        <v>1052</v>
      </c>
      <c r="N95" s="705" t="s">
        <v>1053</v>
      </c>
      <c r="O95" s="705"/>
      <c r="P95" s="705"/>
      <c r="Q95" s="705"/>
      <c r="R95" s="705"/>
      <c r="T95" s="752"/>
      <c r="V95" s="609">
        <f t="shared" si="3"/>
        <v>0.41</v>
      </c>
      <c r="W95" s="700">
        <v>1</v>
      </c>
    </row>
    <row r="96" spans="1:23" outlineLevel="3">
      <c r="A96" s="376"/>
      <c r="B96" s="376" t="s">
        <v>469</v>
      </c>
      <c r="C96" s="376" t="s">
        <v>1049</v>
      </c>
      <c r="D96" s="376" t="s">
        <v>159</v>
      </c>
      <c r="E96" s="387" t="s">
        <v>950</v>
      </c>
      <c r="F96" s="623" t="s">
        <v>1055</v>
      </c>
      <c r="G96" s="695">
        <v>0.61</v>
      </c>
      <c r="H96" s="700">
        <v>1</v>
      </c>
      <c r="I96" s="626"/>
      <c r="J96" s="752"/>
      <c r="L96" s="705" t="s">
        <v>950</v>
      </c>
      <c r="M96" s="705" t="s">
        <v>1052</v>
      </c>
      <c r="N96" s="705" t="s">
        <v>1053</v>
      </c>
      <c r="O96" s="705"/>
      <c r="P96" s="705"/>
      <c r="Q96" s="705"/>
      <c r="R96" s="705"/>
      <c r="T96" s="752"/>
      <c r="V96" s="609">
        <f t="shared" si="3"/>
        <v>0.61</v>
      </c>
      <c r="W96" s="700">
        <v>1</v>
      </c>
    </row>
    <row r="97" spans="1:23" outlineLevel="3">
      <c r="A97" s="376"/>
      <c r="B97" s="376" t="s">
        <v>469</v>
      </c>
      <c r="C97" s="376" t="s">
        <v>1049</v>
      </c>
      <c r="D97" s="376" t="s">
        <v>159</v>
      </c>
      <c r="E97" s="387" t="s">
        <v>950</v>
      </c>
      <c r="F97" s="623" t="s">
        <v>1056</v>
      </c>
      <c r="G97" s="695">
        <v>0.82</v>
      </c>
      <c r="H97" s="700">
        <v>1</v>
      </c>
      <c r="I97" s="626"/>
      <c r="J97" s="752"/>
      <c r="L97" s="705" t="s">
        <v>950</v>
      </c>
      <c r="M97" s="705" t="s">
        <v>1052</v>
      </c>
      <c r="N97" s="705" t="s">
        <v>1053</v>
      </c>
      <c r="O97" s="705"/>
      <c r="P97" s="705"/>
      <c r="Q97" s="705"/>
      <c r="R97" s="705"/>
      <c r="T97" s="752"/>
      <c r="V97" s="609">
        <f t="shared" si="3"/>
        <v>0.82</v>
      </c>
      <c r="W97" s="700">
        <v>1</v>
      </c>
    </row>
    <row r="98" spans="1:23" outlineLevel="3">
      <c r="A98" s="376"/>
      <c r="B98" s="376" t="s">
        <v>469</v>
      </c>
      <c r="C98" s="376" t="s">
        <v>1049</v>
      </c>
      <c r="D98" s="376" t="s">
        <v>159</v>
      </c>
      <c r="E98" s="387" t="s">
        <v>950</v>
      </c>
      <c r="F98" s="623" t="s">
        <v>1057</v>
      </c>
      <c r="G98" s="695">
        <v>0.48</v>
      </c>
      <c r="H98" s="700">
        <v>1</v>
      </c>
      <c r="I98" s="626"/>
      <c r="J98" s="752"/>
      <c r="L98" s="705" t="s">
        <v>950</v>
      </c>
      <c r="M98" s="705" t="s">
        <v>1053</v>
      </c>
      <c r="N98" s="705" t="s">
        <v>1058</v>
      </c>
      <c r="O98" s="705"/>
      <c r="P98" s="705"/>
      <c r="Q98" s="705"/>
      <c r="R98" s="705"/>
      <c r="T98" s="752"/>
      <c r="V98" s="609">
        <f t="shared" si="3"/>
        <v>0</v>
      </c>
      <c r="W98" s="700"/>
    </row>
    <row r="99" spans="1:23" ht="26.45" outlineLevel="3">
      <c r="A99" s="376"/>
      <c r="B99" s="376" t="s">
        <v>469</v>
      </c>
      <c r="C99" s="376" t="s">
        <v>1049</v>
      </c>
      <c r="D99" s="376" t="s">
        <v>159</v>
      </c>
      <c r="E99" s="387" t="s">
        <v>950</v>
      </c>
      <c r="F99" s="623" t="s">
        <v>1059</v>
      </c>
      <c r="G99" s="695">
        <v>0.9638500000000001</v>
      </c>
      <c r="H99" s="700">
        <v>1</v>
      </c>
      <c r="I99" s="626"/>
      <c r="J99" s="752"/>
      <c r="L99" s="705" t="s">
        <v>950</v>
      </c>
      <c r="M99" s="705" t="s">
        <v>1053</v>
      </c>
      <c r="N99" s="705" t="s">
        <v>1058</v>
      </c>
      <c r="O99" s="705"/>
      <c r="P99" s="705"/>
      <c r="Q99" s="705"/>
      <c r="R99" s="705"/>
      <c r="T99" s="752"/>
      <c r="V99" s="609">
        <f t="shared" si="3"/>
        <v>0</v>
      </c>
      <c r="W99" s="700"/>
    </row>
    <row r="100" spans="1:23" outlineLevel="3">
      <c r="A100" s="376"/>
      <c r="B100" s="376" t="s">
        <v>469</v>
      </c>
      <c r="C100" s="376" t="s">
        <v>1049</v>
      </c>
      <c r="D100" s="376" t="s">
        <v>159</v>
      </c>
      <c r="E100" s="387" t="s">
        <v>950</v>
      </c>
      <c r="F100" s="623" t="s">
        <v>1060</v>
      </c>
      <c r="G100" s="695">
        <v>0.52</v>
      </c>
      <c r="H100" s="700">
        <v>1</v>
      </c>
      <c r="I100" s="626"/>
      <c r="J100" s="752"/>
      <c r="L100" s="705" t="s">
        <v>950</v>
      </c>
      <c r="M100" s="705" t="s">
        <v>1058</v>
      </c>
      <c r="N100" s="705" t="s">
        <v>1061</v>
      </c>
      <c r="O100" s="705"/>
      <c r="P100" s="705"/>
      <c r="Q100" s="705"/>
      <c r="R100" s="705"/>
      <c r="T100" s="752"/>
      <c r="V100" s="609">
        <f t="shared" si="3"/>
        <v>0</v>
      </c>
      <c r="W100" s="700"/>
    </row>
    <row r="101" spans="1:23" outlineLevel="3">
      <c r="A101" s="376"/>
      <c r="B101" s="376" t="s">
        <v>469</v>
      </c>
      <c r="C101" s="376" t="s">
        <v>1049</v>
      </c>
      <c r="D101" s="376" t="s">
        <v>159</v>
      </c>
      <c r="E101" s="387" t="s">
        <v>950</v>
      </c>
      <c r="F101" s="623" t="s">
        <v>1062</v>
      </c>
      <c r="G101" s="695">
        <v>0.52</v>
      </c>
      <c r="H101" s="700">
        <v>1</v>
      </c>
      <c r="I101" s="626"/>
      <c r="J101" s="752"/>
      <c r="L101" s="705" t="s">
        <v>950</v>
      </c>
      <c r="M101" s="705" t="s">
        <v>1063</v>
      </c>
      <c r="N101" s="705" t="s">
        <v>1053</v>
      </c>
      <c r="O101" s="705"/>
      <c r="P101" s="705"/>
      <c r="Q101" s="705"/>
      <c r="R101" s="705"/>
      <c r="T101" s="752"/>
      <c r="V101" s="609">
        <f t="shared" si="3"/>
        <v>0</v>
      </c>
      <c r="W101" s="700"/>
    </row>
    <row r="102" spans="1:23" outlineLevel="3">
      <c r="A102" s="376"/>
      <c r="B102" s="376" t="s">
        <v>469</v>
      </c>
      <c r="C102" s="376" t="s">
        <v>1049</v>
      </c>
      <c r="D102" s="376" t="s">
        <v>159</v>
      </c>
      <c r="E102" s="387" t="s">
        <v>950</v>
      </c>
      <c r="F102" s="623" t="s">
        <v>1064</v>
      </c>
      <c r="G102" s="695">
        <v>0.52</v>
      </c>
      <c r="H102" s="700">
        <v>1</v>
      </c>
      <c r="I102" s="626"/>
      <c r="J102" s="752"/>
      <c r="L102" s="705" t="s">
        <v>950</v>
      </c>
      <c r="M102" s="705" t="s">
        <v>1053</v>
      </c>
      <c r="N102" s="705" t="s">
        <v>1063</v>
      </c>
      <c r="O102" s="705"/>
      <c r="P102" s="705"/>
      <c r="Q102" s="705"/>
      <c r="R102" s="705"/>
      <c r="T102" s="752"/>
      <c r="V102" s="609">
        <f t="shared" si="3"/>
        <v>0</v>
      </c>
      <c r="W102" s="700"/>
    </row>
    <row r="103" spans="1:23" outlineLevel="3">
      <c r="A103" s="376"/>
      <c r="B103" s="376" t="s">
        <v>469</v>
      </c>
      <c r="C103" s="376" t="s">
        <v>1049</v>
      </c>
      <c r="D103" s="376" t="s">
        <v>159</v>
      </c>
      <c r="E103" s="387" t="s">
        <v>950</v>
      </c>
      <c r="F103" s="623" t="s">
        <v>1065</v>
      </c>
      <c r="G103" s="695">
        <v>0.17</v>
      </c>
      <c r="H103" s="700">
        <v>1</v>
      </c>
      <c r="I103" s="626"/>
      <c r="J103" s="752"/>
      <c r="L103" s="705" t="s">
        <v>950</v>
      </c>
      <c r="M103" s="705" t="s">
        <v>1052</v>
      </c>
      <c r="N103" s="705" t="s">
        <v>1053</v>
      </c>
      <c r="O103" s="705"/>
      <c r="P103" s="705"/>
      <c r="Q103" s="705"/>
      <c r="R103" s="705"/>
      <c r="T103" s="752"/>
      <c r="V103" s="609">
        <f t="shared" si="3"/>
        <v>0</v>
      </c>
      <c r="W103" s="700"/>
    </row>
    <row r="104" spans="1:23" outlineLevel="3">
      <c r="A104" s="376"/>
      <c r="B104" s="376" t="s">
        <v>469</v>
      </c>
      <c r="C104" s="376" t="s">
        <v>1049</v>
      </c>
      <c r="D104" s="376" t="s">
        <v>159</v>
      </c>
      <c r="E104" s="387" t="s">
        <v>950</v>
      </c>
      <c r="F104" s="623" t="s">
        <v>1066</v>
      </c>
      <c r="G104" s="695">
        <v>0.48</v>
      </c>
      <c r="H104" s="700">
        <v>1</v>
      </c>
      <c r="I104" s="626"/>
      <c r="J104" s="752"/>
      <c r="L104" s="705" t="s">
        <v>950</v>
      </c>
      <c r="M104" s="705" t="s">
        <v>1053</v>
      </c>
      <c r="N104" s="705" t="s">
        <v>1058</v>
      </c>
      <c r="O104" s="705"/>
      <c r="P104" s="705"/>
      <c r="Q104" s="705"/>
      <c r="R104" s="705"/>
      <c r="T104" s="752"/>
      <c r="V104" s="609">
        <f t="shared" si="3"/>
        <v>0</v>
      </c>
      <c r="W104" s="700"/>
    </row>
    <row r="105" spans="1:23" outlineLevel="3">
      <c r="A105" s="376"/>
      <c r="B105" s="376" t="s">
        <v>469</v>
      </c>
      <c r="C105" s="376" t="s">
        <v>1049</v>
      </c>
      <c r="D105" s="376" t="s">
        <v>159</v>
      </c>
      <c r="E105" s="387" t="s">
        <v>950</v>
      </c>
      <c r="F105" s="623" t="s">
        <v>1067</v>
      </c>
      <c r="G105" s="695">
        <v>0.24</v>
      </c>
      <c r="H105" s="700">
        <v>1</v>
      </c>
      <c r="I105" s="626"/>
      <c r="J105" s="752"/>
      <c r="L105" s="705" t="s">
        <v>950</v>
      </c>
      <c r="M105" s="705" t="s">
        <v>1053</v>
      </c>
      <c r="N105" s="705" t="s">
        <v>1058</v>
      </c>
      <c r="O105" s="705"/>
      <c r="P105" s="705"/>
      <c r="Q105" s="705"/>
      <c r="R105" s="705"/>
      <c r="T105" s="752"/>
      <c r="V105" s="609">
        <f t="shared" si="3"/>
        <v>0</v>
      </c>
      <c r="W105" s="700"/>
    </row>
    <row r="106" spans="1:23" ht="26.45" outlineLevel="3">
      <c r="A106" s="376"/>
      <c r="B106" s="376" t="s">
        <v>469</v>
      </c>
      <c r="C106" s="376" t="s">
        <v>1049</v>
      </c>
      <c r="D106" s="376" t="s">
        <v>159</v>
      </c>
      <c r="E106" s="387" t="s">
        <v>950</v>
      </c>
      <c r="F106" s="623" t="s">
        <v>1068</v>
      </c>
      <c r="G106" s="695">
        <v>0.96</v>
      </c>
      <c r="H106" s="700">
        <v>1</v>
      </c>
      <c r="I106" s="626"/>
      <c r="J106" s="752"/>
      <c r="L106" s="705" t="s">
        <v>950</v>
      </c>
      <c r="M106" s="705" t="s">
        <v>1053</v>
      </c>
      <c r="N106" s="705" t="s">
        <v>1058</v>
      </c>
      <c r="O106" s="705"/>
      <c r="P106" s="705"/>
      <c r="Q106" s="705"/>
      <c r="R106" s="705"/>
      <c r="T106" s="752"/>
      <c r="V106" s="609">
        <f t="shared" si="3"/>
        <v>0</v>
      </c>
      <c r="W106" s="700"/>
    </row>
    <row r="107" spans="1:23" outlineLevel="3">
      <c r="A107" s="376"/>
      <c r="B107" s="376" t="s">
        <v>469</v>
      </c>
      <c r="C107" s="376" t="s">
        <v>1049</v>
      </c>
      <c r="D107" s="376" t="s">
        <v>159</v>
      </c>
      <c r="E107" s="387" t="s">
        <v>950</v>
      </c>
      <c r="F107" s="623" t="s">
        <v>1069</v>
      </c>
      <c r="G107" s="695">
        <v>0.02</v>
      </c>
      <c r="H107" s="700">
        <v>1</v>
      </c>
      <c r="I107" s="626"/>
      <c r="J107" s="752"/>
      <c r="L107" s="705" t="s">
        <v>950</v>
      </c>
      <c r="M107" s="705" t="s">
        <v>1053</v>
      </c>
      <c r="N107" s="705" t="s">
        <v>1058</v>
      </c>
      <c r="O107" s="705"/>
      <c r="P107" s="705"/>
      <c r="Q107" s="705"/>
      <c r="R107" s="705"/>
      <c r="T107" s="752"/>
      <c r="V107" s="609">
        <f t="shared" si="3"/>
        <v>0</v>
      </c>
      <c r="W107" s="700"/>
    </row>
    <row r="108" spans="1:23" outlineLevel="3">
      <c r="A108" s="376"/>
      <c r="B108" s="376" t="s">
        <v>469</v>
      </c>
      <c r="C108" s="376" t="s">
        <v>1049</v>
      </c>
      <c r="D108" s="376" t="s">
        <v>159</v>
      </c>
      <c r="E108" s="387" t="s">
        <v>950</v>
      </c>
      <c r="F108" s="623" t="s">
        <v>1070</v>
      </c>
      <c r="G108" s="695">
        <v>0.03</v>
      </c>
      <c r="H108" s="700">
        <v>1</v>
      </c>
      <c r="I108" s="626"/>
      <c r="J108" s="752"/>
      <c r="L108" s="705" t="s">
        <v>950</v>
      </c>
      <c r="M108" s="705" t="s">
        <v>1052</v>
      </c>
      <c r="N108" s="705" t="s">
        <v>1053</v>
      </c>
      <c r="O108" s="705"/>
      <c r="P108" s="705"/>
      <c r="Q108" s="705"/>
      <c r="R108" s="705"/>
      <c r="T108" s="752"/>
      <c r="V108" s="609">
        <f t="shared" si="3"/>
        <v>0</v>
      </c>
      <c r="W108" s="700"/>
    </row>
    <row r="109" spans="1:23" outlineLevel="3">
      <c r="A109" s="376"/>
      <c r="B109" s="376" t="s">
        <v>469</v>
      </c>
      <c r="C109" s="376" t="s">
        <v>1049</v>
      </c>
      <c r="D109" s="376" t="s">
        <v>159</v>
      </c>
      <c r="E109" s="387" t="s">
        <v>950</v>
      </c>
      <c r="F109" s="623" t="s">
        <v>1041</v>
      </c>
      <c r="G109" s="695">
        <v>0.03</v>
      </c>
      <c r="H109" s="700">
        <v>1</v>
      </c>
      <c r="I109" s="626"/>
      <c r="J109" s="752"/>
      <c r="L109" s="705" t="s">
        <v>950</v>
      </c>
      <c r="M109" s="705" t="s">
        <v>1052</v>
      </c>
      <c r="N109" s="705" t="s">
        <v>1053</v>
      </c>
      <c r="O109" s="705"/>
      <c r="P109" s="705"/>
      <c r="Q109" s="705"/>
      <c r="R109" s="705"/>
      <c r="T109" s="752"/>
      <c r="V109" s="609">
        <f t="shared" si="3"/>
        <v>0</v>
      </c>
      <c r="W109" s="700"/>
    </row>
    <row r="110" spans="1:23" outlineLevel="3">
      <c r="A110" s="376"/>
      <c r="B110" s="376" t="s">
        <v>469</v>
      </c>
      <c r="C110" s="376" t="s">
        <v>1049</v>
      </c>
      <c r="D110" s="376" t="s">
        <v>159</v>
      </c>
      <c r="E110" s="387" t="s">
        <v>950</v>
      </c>
      <c r="F110" s="623" t="s">
        <v>1071</v>
      </c>
      <c r="G110" s="695">
        <v>1.4999999999999999E-2</v>
      </c>
      <c r="H110" s="700">
        <v>1</v>
      </c>
      <c r="I110" s="626"/>
      <c r="J110" s="752"/>
      <c r="L110" s="705" t="s">
        <v>950</v>
      </c>
      <c r="M110" s="705" t="s">
        <v>1052</v>
      </c>
      <c r="N110" s="705" t="s">
        <v>1053</v>
      </c>
      <c r="O110" s="705"/>
      <c r="P110" s="705"/>
      <c r="Q110" s="705"/>
      <c r="R110" s="705"/>
      <c r="T110" s="752"/>
      <c r="V110" s="609">
        <f t="shared" si="3"/>
        <v>0</v>
      </c>
      <c r="W110" s="700"/>
    </row>
    <row r="111" spans="1:23" outlineLevel="3">
      <c r="A111" s="376"/>
      <c r="B111" s="376" t="s">
        <v>469</v>
      </c>
      <c r="C111" s="376" t="s">
        <v>1049</v>
      </c>
      <c r="D111" s="376" t="s">
        <v>159</v>
      </c>
      <c r="E111" s="387" t="s">
        <v>950</v>
      </c>
      <c r="F111" s="623" t="s">
        <v>1072</v>
      </c>
      <c r="G111" s="695">
        <v>1.4999999999999999E-2</v>
      </c>
      <c r="H111" s="700">
        <v>1</v>
      </c>
      <c r="I111" s="626"/>
      <c r="J111" s="752"/>
      <c r="L111" s="705" t="s">
        <v>950</v>
      </c>
      <c r="M111" s="705" t="s">
        <v>1052</v>
      </c>
      <c r="N111" s="705" t="s">
        <v>1053</v>
      </c>
      <c r="O111" s="705"/>
      <c r="P111" s="705"/>
      <c r="Q111" s="705"/>
      <c r="R111" s="705"/>
      <c r="T111" s="752"/>
      <c r="V111" s="609">
        <f t="shared" si="3"/>
        <v>0</v>
      </c>
      <c r="W111" s="700"/>
    </row>
    <row r="112" spans="1:23" outlineLevel="3">
      <c r="A112" s="376"/>
      <c r="B112" s="376" t="s">
        <v>469</v>
      </c>
      <c r="C112" s="376" t="s">
        <v>1049</v>
      </c>
      <c r="D112" s="376" t="s">
        <v>159</v>
      </c>
      <c r="E112" s="387" t="s">
        <v>950</v>
      </c>
      <c r="F112" s="623" t="s">
        <v>1037</v>
      </c>
      <c r="G112" s="695">
        <v>0.1</v>
      </c>
      <c r="H112" s="700">
        <v>1</v>
      </c>
      <c r="I112" s="626"/>
      <c r="J112" s="752"/>
      <c r="L112" s="705" t="s">
        <v>950</v>
      </c>
      <c r="M112" s="705" t="s">
        <v>1052</v>
      </c>
      <c r="N112" s="705" t="s">
        <v>1053</v>
      </c>
      <c r="O112" s="705"/>
      <c r="P112" s="705"/>
      <c r="Q112" s="705"/>
      <c r="R112" s="705"/>
      <c r="T112" s="752"/>
      <c r="V112" s="609">
        <f t="shared" si="3"/>
        <v>0</v>
      </c>
      <c r="W112" s="700"/>
    </row>
    <row r="113" spans="1:23" outlineLevel="3">
      <c r="A113" s="376"/>
      <c r="B113" s="376" t="s">
        <v>469</v>
      </c>
      <c r="C113" s="376" t="s">
        <v>1049</v>
      </c>
      <c r="D113" s="376" t="s">
        <v>159</v>
      </c>
      <c r="E113" s="387" t="s">
        <v>950</v>
      </c>
      <c r="F113" s="623" t="s">
        <v>1073</v>
      </c>
      <c r="G113" s="695">
        <v>0.1</v>
      </c>
      <c r="H113" s="692">
        <v>1</v>
      </c>
      <c r="I113" s="626"/>
      <c r="J113" s="752"/>
      <c r="L113" s="705" t="s">
        <v>950</v>
      </c>
      <c r="M113" s="705" t="s">
        <v>1074</v>
      </c>
      <c r="N113" s="705"/>
      <c r="O113" s="705"/>
      <c r="P113" s="705"/>
      <c r="Q113" s="705"/>
      <c r="R113" s="705"/>
      <c r="T113" s="752"/>
      <c r="V113" s="609">
        <f t="shared" si="3"/>
        <v>0</v>
      </c>
      <c r="W113" s="692"/>
    </row>
    <row r="114" spans="1:23" outlineLevel="2">
      <c r="A114" s="376"/>
      <c r="B114" s="684" t="s">
        <v>469</v>
      </c>
      <c r="C114" s="684" t="s">
        <v>1049</v>
      </c>
      <c r="D114" s="684" t="s">
        <v>518</v>
      </c>
      <c r="E114" s="684"/>
      <c r="F114" s="712" t="s">
        <v>1022</v>
      </c>
      <c r="G114" s="713">
        <f>SUBTOTAL(9,G115:G121)</f>
        <v>1.7000000000000002</v>
      </c>
      <c r="H114" s="714">
        <f>SUBTOTAL(9,H115:H121)</f>
        <v>7</v>
      </c>
      <c r="I114" s="626"/>
      <c r="J114" s="752"/>
      <c r="L114" s="685"/>
      <c r="M114" s="685"/>
      <c r="N114" s="685"/>
      <c r="O114" s="685"/>
      <c r="P114" s="685"/>
      <c r="Q114" s="685"/>
      <c r="R114" s="685"/>
      <c r="T114" s="752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469</v>
      </c>
      <c r="C115" s="376" t="s">
        <v>1049</v>
      </c>
      <c r="D115" s="376" t="s">
        <v>518</v>
      </c>
      <c r="E115" s="376" t="s">
        <v>56</v>
      </c>
      <c r="F115" s="623" t="s">
        <v>1066</v>
      </c>
      <c r="G115" s="720">
        <v>0.2</v>
      </c>
      <c r="H115" s="700">
        <v>1</v>
      </c>
      <c r="I115" s="626"/>
      <c r="J115" s="752"/>
      <c r="L115" s="608" t="s">
        <v>56</v>
      </c>
      <c r="M115" s="608" t="s">
        <v>1038</v>
      </c>
      <c r="N115" s="608" t="s">
        <v>1075</v>
      </c>
      <c r="O115" s="608" t="s">
        <v>1039</v>
      </c>
      <c r="P115" s="608" t="s">
        <v>1040</v>
      </c>
      <c r="Q115" s="608"/>
      <c r="R115" s="608"/>
      <c r="T115" s="752"/>
      <c r="V115" s="609">
        <f t="shared" ref="V115:V121" si="4">IF(W115=1,G115,0)</f>
        <v>0</v>
      </c>
      <c r="W115" s="700"/>
    </row>
    <row r="116" spans="1:23" outlineLevel="3">
      <c r="A116" s="376"/>
      <c r="B116" s="376" t="s">
        <v>469</v>
      </c>
      <c r="C116" s="376" t="s">
        <v>1049</v>
      </c>
      <c r="D116" s="376" t="s">
        <v>518</v>
      </c>
      <c r="E116" s="376" t="s">
        <v>56</v>
      </c>
      <c r="F116" s="623" t="s">
        <v>1067</v>
      </c>
      <c r="G116" s="720">
        <v>0.4</v>
      </c>
      <c r="H116" s="692">
        <v>1</v>
      </c>
      <c r="I116" s="626"/>
      <c r="J116" s="752"/>
      <c r="L116" s="608" t="s">
        <v>56</v>
      </c>
      <c r="M116" s="608" t="s">
        <v>1038</v>
      </c>
      <c r="N116" s="608" t="s">
        <v>1075</v>
      </c>
      <c r="O116" s="608" t="s">
        <v>1039</v>
      </c>
      <c r="P116" s="608" t="s">
        <v>1040</v>
      </c>
      <c r="Q116" s="608"/>
      <c r="R116" s="608"/>
      <c r="T116" s="752"/>
      <c r="V116" s="609">
        <f t="shared" si="4"/>
        <v>0</v>
      </c>
      <c r="W116" s="692"/>
    </row>
    <row r="117" spans="1:23" outlineLevel="3">
      <c r="A117" s="376"/>
      <c r="B117" s="376" t="s">
        <v>469</v>
      </c>
      <c r="C117" s="376" t="s">
        <v>1049</v>
      </c>
      <c r="D117" s="376" t="s">
        <v>518</v>
      </c>
      <c r="E117" s="376" t="s">
        <v>56</v>
      </c>
      <c r="F117" s="623" t="s">
        <v>1076</v>
      </c>
      <c r="G117" s="720">
        <v>0.32</v>
      </c>
      <c r="H117" s="692">
        <v>1</v>
      </c>
      <c r="I117" s="626"/>
      <c r="J117" s="752"/>
      <c r="L117" s="608" t="s">
        <v>56</v>
      </c>
      <c r="M117" s="608" t="s">
        <v>1038</v>
      </c>
      <c r="N117" s="608" t="s">
        <v>1077</v>
      </c>
      <c r="O117" s="608" t="s">
        <v>1078</v>
      </c>
      <c r="P117" s="608" t="s">
        <v>1040</v>
      </c>
      <c r="Q117" s="608"/>
      <c r="R117" s="608"/>
      <c r="T117" s="752"/>
      <c r="V117" s="609">
        <f t="shared" si="4"/>
        <v>0</v>
      </c>
      <c r="W117" s="692"/>
    </row>
    <row r="118" spans="1:23" outlineLevel="3">
      <c r="A118" s="376"/>
      <c r="B118" s="376" t="s">
        <v>469</v>
      </c>
      <c r="C118" s="376" t="s">
        <v>1049</v>
      </c>
      <c r="D118" s="376" t="s">
        <v>518</v>
      </c>
      <c r="E118" s="376" t="s">
        <v>56</v>
      </c>
      <c r="F118" s="623" t="s">
        <v>1079</v>
      </c>
      <c r="G118" s="720">
        <v>0.32</v>
      </c>
      <c r="H118" s="692">
        <v>1</v>
      </c>
      <c r="I118" s="626"/>
      <c r="J118" s="752"/>
      <c r="L118" s="608" t="s">
        <v>56</v>
      </c>
      <c r="M118" s="608" t="s">
        <v>1038</v>
      </c>
      <c r="N118" s="608" t="s">
        <v>1077</v>
      </c>
      <c r="O118" s="608" t="s">
        <v>1078</v>
      </c>
      <c r="P118" s="608" t="s">
        <v>1040</v>
      </c>
      <c r="Q118" s="608"/>
      <c r="R118" s="608"/>
      <c r="T118" s="752"/>
      <c r="V118" s="609">
        <f t="shared" si="4"/>
        <v>0</v>
      </c>
      <c r="W118" s="692"/>
    </row>
    <row r="119" spans="1:23" outlineLevel="3">
      <c r="A119" s="376"/>
      <c r="B119" s="376" t="s">
        <v>469</v>
      </c>
      <c r="C119" s="376" t="s">
        <v>1049</v>
      </c>
      <c r="D119" s="376" t="s">
        <v>518</v>
      </c>
      <c r="E119" s="376" t="s">
        <v>56</v>
      </c>
      <c r="F119" s="623" t="s">
        <v>1080</v>
      </c>
      <c r="G119" s="720">
        <v>0.43</v>
      </c>
      <c r="H119" s="692">
        <v>1</v>
      </c>
      <c r="I119" s="626"/>
      <c r="J119" s="752"/>
      <c r="L119" s="608" t="s">
        <v>56</v>
      </c>
      <c r="M119" s="608" t="s">
        <v>1038</v>
      </c>
      <c r="N119" s="608" t="s">
        <v>1077</v>
      </c>
      <c r="O119" s="608" t="s">
        <v>1039</v>
      </c>
      <c r="P119" s="608" t="s">
        <v>1081</v>
      </c>
      <c r="Q119" s="608"/>
      <c r="R119" s="608"/>
      <c r="T119" s="752"/>
      <c r="V119" s="609">
        <f t="shared" si="4"/>
        <v>0</v>
      </c>
      <c r="W119" s="692"/>
    </row>
    <row r="120" spans="1:23" outlineLevel="3">
      <c r="A120" s="376"/>
      <c r="B120" s="376" t="s">
        <v>469</v>
      </c>
      <c r="C120" s="376" t="s">
        <v>1049</v>
      </c>
      <c r="D120" s="376" t="s">
        <v>518</v>
      </c>
      <c r="E120" s="376" t="s">
        <v>56</v>
      </c>
      <c r="F120" s="623" t="s">
        <v>1037</v>
      </c>
      <c r="G120" s="720">
        <v>0.02</v>
      </c>
      <c r="H120" s="700">
        <v>1</v>
      </c>
      <c r="I120" s="626"/>
      <c r="J120" s="752"/>
      <c r="L120" s="608" t="s">
        <v>56</v>
      </c>
      <c r="M120" s="608" t="s">
        <v>1038</v>
      </c>
      <c r="N120" s="608" t="s">
        <v>1039</v>
      </c>
      <c r="O120" s="608" t="s">
        <v>1078</v>
      </c>
      <c r="P120" s="608" t="s">
        <v>1081</v>
      </c>
      <c r="Q120" s="608"/>
      <c r="R120" s="608"/>
      <c r="T120" s="752"/>
      <c r="V120" s="609">
        <f t="shared" si="4"/>
        <v>0</v>
      </c>
      <c r="W120" s="700"/>
    </row>
    <row r="121" spans="1:23" outlineLevel="3">
      <c r="A121" s="376"/>
      <c r="B121" s="376" t="s">
        <v>469</v>
      </c>
      <c r="C121" s="376" t="s">
        <v>1049</v>
      </c>
      <c r="D121" s="376" t="s">
        <v>518</v>
      </c>
      <c r="E121" s="376" t="s">
        <v>56</v>
      </c>
      <c r="F121" s="623" t="s">
        <v>1041</v>
      </c>
      <c r="G121" s="720">
        <v>0.01</v>
      </c>
      <c r="H121" s="700">
        <v>1</v>
      </c>
      <c r="I121" s="626"/>
      <c r="J121" s="752"/>
      <c r="L121" s="608" t="s">
        <v>56</v>
      </c>
      <c r="M121" s="608" t="s">
        <v>1038</v>
      </c>
      <c r="N121" s="608" t="s">
        <v>1039</v>
      </c>
      <c r="O121" s="608" t="s">
        <v>1078</v>
      </c>
      <c r="P121" s="608" t="s">
        <v>1081</v>
      </c>
      <c r="Q121" s="608"/>
      <c r="R121" s="608"/>
      <c r="T121" s="752"/>
      <c r="V121" s="609">
        <f t="shared" si="4"/>
        <v>0</v>
      </c>
      <c r="W121" s="700"/>
    </row>
    <row r="122" spans="1:23" outlineLevel="2">
      <c r="A122" s="376"/>
      <c r="B122" s="684" t="s">
        <v>469</v>
      </c>
      <c r="C122" s="684" t="s">
        <v>1049</v>
      </c>
      <c r="D122" s="684" t="s">
        <v>441</v>
      </c>
      <c r="E122" s="684"/>
      <c r="F122" s="685" t="s">
        <v>1050</v>
      </c>
      <c r="G122" s="713">
        <f>SUBTOTAL(9,G123:G132)</f>
        <v>0.67547999999999997</v>
      </c>
      <c r="H122" s="714">
        <f>SUBTOTAL(9,H123:H132)</f>
        <v>10</v>
      </c>
      <c r="I122" s="626"/>
      <c r="J122" s="752"/>
      <c r="L122" s="685"/>
      <c r="M122" s="685"/>
      <c r="N122" s="685"/>
      <c r="O122" s="685"/>
      <c r="P122" s="685"/>
      <c r="Q122" s="685"/>
      <c r="R122" s="685"/>
      <c r="T122" s="752"/>
      <c r="V122" s="713">
        <f>SUBTOTAL(9,V123:V132)</f>
        <v>0.02</v>
      </c>
      <c r="W122" s="714">
        <f>SUBTOTAL(9,W123:W132)</f>
        <v>1</v>
      </c>
    </row>
    <row r="123" spans="1:23" ht="39.6" outlineLevel="3">
      <c r="A123" s="376"/>
      <c r="B123" s="376" t="s">
        <v>469</v>
      </c>
      <c r="C123" s="376" t="s">
        <v>1049</v>
      </c>
      <c r="D123" s="376" t="s">
        <v>441</v>
      </c>
      <c r="E123" s="376" t="s">
        <v>437</v>
      </c>
      <c r="F123" s="623" t="s">
        <v>1066</v>
      </c>
      <c r="G123" s="723">
        <v>8.5739999999999997E-2</v>
      </c>
      <c r="H123" s="692">
        <v>1</v>
      </c>
      <c r="I123" s="626"/>
      <c r="J123" s="752"/>
      <c r="L123" s="608" t="s">
        <v>437</v>
      </c>
      <c r="M123" s="608" t="s">
        <v>966</v>
      </c>
      <c r="N123" s="608" t="s">
        <v>1082</v>
      </c>
      <c r="O123" s="608" t="s">
        <v>1083</v>
      </c>
      <c r="P123" s="608"/>
      <c r="Q123" s="608"/>
      <c r="R123" s="608"/>
      <c r="T123" s="752"/>
      <c r="V123" s="609">
        <f t="shared" ref="V123:V132" si="5">IF(W123=1,G123,0)</f>
        <v>0</v>
      </c>
      <c r="W123" s="692"/>
    </row>
    <row r="124" spans="1:23" ht="39.6" outlineLevel="3">
      <c r="A124" s="376"/>
      <c r="B124" s="376" t="s">
        <v>469</v>
      </c>
      <c r="C124" s="376" t="s">
        <v>1049</v>
      </c>
      <c r="D124" s="376" t="s">
        <v>441</v>
      </c>
      <c r="E124" s="376" t="s">
        <v>437</v>
      </c>
      <c r="F124" s="623" t="s">
        <v>1067</v>
      </c>
      <c r="G124" s="723">
        <v>8.5739999999999997E-2</v>
      </c>
      <c r="H124" s="692">
        <v>1</v>
      </c>
      <c r="I124" s="626"/>
      <c r="J124" s="752"/>
      <c r="L124" s="608" t="s">
        <v>437</v>
      </c>
      <c r="M124" s="608" t="s">
        <v>966</v>
      </c>
      <c r="N124" s="608" t="s">
        <v>1082</v>
      </c>
      <c r="O124" s="608" t="s">
        <v>1083</v>
      </c>
      <c r="P124" s="608"/>
      <c r="Q124" s="608"/>
      <c r="R124" s="608"/>
      <c r="T124" s="752"/>
      <c r="V124" s="609">
        <f t="shared" si="5"/>
        <v>0</v>
      </c>
      <c r="W124" s="692"/>
    </row>
    <row r="125" spans="1:23" ht="39.6" outlineLevel="3">
      <c r="A125" s="376"/>
      <c r="B125" s="376" t="s">
        <v>469</v>
      </c>
      <c r="C125" s="376" t="s">
        <v>1049</v>
      </c>
      <c r="D125" s="376" t="s">
        <v>441</v>
      </c>
      <c r="E125" s="376" t="s">
        <v>437</v>
      </c>
      <c r="F125" s="623" t="s">
        <v>1084</v>
      </c>
      <c r="G125" s="720">
        <v>0.02</v>
      </c>
      <c r="H125" s="700">
        <v>1</v>
      </c>
      <c r="I125" s="626"/>
      <c r="J125" s="752"/>
      <c r="L125" s="608" t="s">
        <v>437</v>
      </c>
      <c r="M125" s="608" t="s">
        <v>966</v>
      </c>
      <c r="N125" s="608" t="s">
        <v>1082</v>
      </c>
      <c r="O125" s="608" t="s">
        <v>1083</v>
      </c>
      <c r="P125" s="608"/>
      <c r="Q125" s="608"/>
      <c r="R125" s="608"/>
      <c r="T125" s="752"/>
      <c r="V125" s="609">
        <f t="shared" si="5"/>
        <v>0.02</v>
      </c>
      <c r="W125" s="700">
        <v>1</v>
      </c>
    </row>
    <row r="126" spans="1:23" ht="39.6" outlineLevel="3">
      <c r="A126" s="376"/>
      <c r="B126" s="376" t="s">
        <v>469</v>
      </c>
      <c r="C126" s="376" t="s">
        <v>1049</v>
      </c>
      <c r="D126" s="376" t="s">
        <v>441</v>
      </c>
      <c r="E126" s="376" t="s">
        <v>437</v>
      </c>
      <c r="F126" s="623" t="s">
        <v>1085</v>
      </c>
      <c r="G126" s="720">
        <v>0.06</v>
      </c>
      <c r="H126" s="700">
        <v>1</v>
      </c>
      <c r="I126" s="626"/>
      <c r="J126" s="752"/>
      <c r="L126" s="608" t="s">
        <v>437</v>
      </c>
      <c r="M126" s="608" t="s">
        <v>966</v>
      </c>
      <c r="N126" s="608" t="s">
        <v>1082</v>
      </c>
      <c r="O126" s="608" t="s">
        <v>1083</v>
      </c>
      <c r="P126" s="608"/>
      <c r="Q126" s="608"/>
      <c r="R126" s="608"/>
      <c r="T126" s="752"/>
      <c r="V126" s="609">
        <f t="shared" si="5"/>
        <v>0</v>
      </c>
      <c r="W126" s="700"/>
    </row>
    <row r="127" spans="1:23" ht="39.6" outlineLevel="3">
      <c r="A127" s="376"/>
      <c r="B127" s="376" t="s">
        <v>469</v>
      </c>
      <c r="C127" s="376" t="s">
        <v>1049</v>
      </c>
      <c r="D127" s="376" t="s">
        <v>441</v>
      </c>
      <c r="E127" s="376" t="s">
        <v>437</v>
      </c>
      <c r="F127" s="623" t="s">
        <v>1086</v>
      </c>
      <c r="G127" s="720">
        <v>0.06</v>
      </c>
      <c r="H127" s="700">
        <v>1</v>
      </c>
      <c r="I127" s="626"/>
      <c r="J127" s="752"/>
      <c r="L127" s="608" t="s">
        <v>437</v>
      </c>
      <c r="M127" s="608" t="s">
        <v>966</v>
      </c>
      <c r="N127" s="608" t="s">
        <v>1082</v>
      </c>
      <c r="O127" s="608" t="s">
        <v>1083</v>
      </c>
      <c r="P127" s="608"/>
      <c r="Q127" s="608"/>
      <c r="R127" s="608"/>
      <c r="T127" s="752"/>
      <c r="V127" s="609">
        <f t="shared" si="5"/>
        <v>0</v>
      </c>
      <c r="W127" s="700"/>
    </row>
    <row r="128" spans="1:23" ht="39.6" outlineLevel="3">
      <c r="A128" s="376"/>
      <c r="B128" s="376" t="s">
        <v>469</v>
      </c>
      <c r="C128" s="376" t="s">
        <v>1049</v>
      </c>
      <c r="D128" s="376" t="s">
        <v>441</v>
      </c>
      <c r="E128" s="376" t="s">
        <v>437</v>
      </c>
      <c r="F128" s="726" t="s">
        <v>1069</v>
      </c>
      <c r="G128" s="720">
        <v>4.0000000000000001E-3</v>
      </c>
      <c r="H128" s="692">
        <v>1</v>
      </c>
      <c r="I128" s="626"/>
      <c r="J128" s="752"/>
      <c r="L128" s="608" t="s">
        <v>437</v>
      </c>
      <c r="M128" s="608" t="s">
        <v>966</v>
      </c>
      <c r="N128" s="608" t="s">
        <v>1082</v>
      </c>
      <c r="O128" s="608" t="s">
        <v>1083</v>
      </c>
      <c r="P128" s="608"/>
      <c r="Q128" s="608"/>
      <c r="R128" s="608"/>
      <c r="T128" s="752"/>
      <c r="V128" s="609">
        <f t="shared" si="5"/>
        <v>0</v>
      </c>
      <c r="W128" s="692"/>
    </row>
    <row r="129" spans="1:23" ht="39.6" outlineLevel="3">
      <c r="A129" s="376"/>
      <c r="B129" s="376" t="s">
        <v>469</v>
      </c>
      <c r="C129" s="376" t="s">
        <v>1049</v>
      </c>
      <c r="D129" s="376" t="s">
        <v>441</v>
      </c>
      <c r="E129" s="376" t="s">
        <v>437</v>
      </c>
      <c r="F129" s="623" t="s">
        <v>1065</v>
      </c>
      <c r="G129" s="720">
        <v>0.04</v>
      </c>
      <c r="H129" s="700">
        <v>1</v>
      </c>
      <c r="I129" s="626"/>
      <c r="J129" s="752"/>
      <c r="L129" s="608" t="s">
        <v>437</v>
      </c>
      <c r="M129" s="608" t="s">
        <v>966</v>
      </c>
      <c r="N129" s="608" t="s">
        <v>1082</v>
      </c>
      <c r="O129" s="608" t="s">
        <v>1083</v>
      </c>
      <c r="P129" s="608"/>
      <c r="Q129" s="608"/>
      <c r="R129" s="608"/>
      <c r="T129" s="752"/>
      <c r="V129" s="609">
        <f t="shared" si="5"/>
        <v>0</v>
      </c>
      <c r="W129" s="700"/>
    </row>
    <row r="130" spans="1:23" ht="39.6" outlineLevel="3">
      <c r="A130" s="376"/>
      <c r="B130" s="376" t="s">
        <v>469</v>
      </c>
      <c r="C130" s="376" t="s">
        <v>1049</v>
      </c>
      <c r="D130" s="376" t="s">
        <v>441</v>
      </c>
      <c r="E130" s="376" t="s">
        <v>437</v>
      </c>
      <c r="F130" s="623" t="s">
        <v>1041</v>
      </c>
      <c r="G130" s="720">
        <v>0.12</v>
      </c>
      <c r="H130" s="700">
        <v>1</v>
      </c>
      <c r="I130" s="626"/>
      <c r="J130" s="752"/>
      <c r="L130" s="608" t="s">
        <v>437</v>
      </c>
      <c r="M130" s="608" t="s">
        <v>966</v>
      </c>
      <c r="N130" s="608" t="s">
        <v>1082</v>
      </c>
      <c r="O130" s="608" t="s">
        <v>1083</v>
      </c>
      <c r="P130" s="608"/>
      <c r="Q130" s="608"/>
      <c r="R130" s="608"/>
      <c r="T130" s="752"/>
      <c r="V130" s="609">
        <f t="shared" si="5"/>
        <v>0</v>
      </c>
      <c r="W130" s="700"/>
    </row>
    <row r="131" spans="1:23" ht="39.6" outlineLevel="3">
      <c r="A131" s="376"/>
      <c r="B131" s="376" t="s">
        <v>469</v>
      </c>
      <c r="C131" s="376" t="s">
        <v>1049</v>
      </c>
      <c r="D131" s="376" t="s">
        <v>441</v>
      </c>
      <c r="E131" s="376" t="s">
        <v>437</v>
      </c>
      <c r="F131" s="623" t="s">
        <v>1087</v>
      </c>
      <c r="G131" s="723">
        <v>0.1</v>
      </c>
      <c r="H131" s="692">
        <v>1</v>
      </c>
      <c r="I131" s="626"/>
      <c r="J131" s="752"/>
      <c r="L131" s="608" t="s">
        <v>437</v>
      </c>
      <c r="M131" s="608" t="s">
        <v>966</v>
      </c>
      <c r="N131" s="608" t="s">
        <v>1082</v>
      </c>
      <c r="O131" s="608" t="s">
        <v>1083</v>
      </c>
      <c r="P131" s="608"/>
      <c r="Q131" s="608"/>
      <c r="R131" s="608"/>
      <c r="T131" s="752"/>
      <c r="V131" s="609">
        <f t="shared" si="5"/>
        <v>0</v>
      </c>
      <c r="W131" s="692"/>
    </row>
    <row r="132" spans="1:23" ht="39.6" outlineLevel="3">
      <c r="A132" s="376"/>
      <c r="B132" s="376" t="s">
        <v>469</v>
      </c>
      <c r="C132" s="376" t="s">
        <v>1049</v>
      </c>
      <c r="D132" s="376" t="s">
        <v>441</v>
      </c>
      <c r="E132" s="376" t="s">
        <v>437</v>
      </c>
      <c r="F132" s="623" t="s">
        <v>1073</v>
      </c>
      <c r="G132" s="723">
        <v>0.1</v>
      </c>
      <c r="H132" s="692">
        <v>1</v>
      </c>
      <c r="I132" s="626"/>
      <c r="J132" s="752"/>
      <c r="L132" s="608" t="s">
        <v>437</v>
      </c>
      <c r="M132" s="608" t="s">
        <v>966</v>
      </c>
      <c r="N132" s="608" t="s">
        <v>1082</v>
      </c>
      <c r="O132" s="608" t="s">
        <v>1083</v>
      </c>
      <c r="P132" s="608"/>
      <c r="Q132" s="608"/>
      <c r="R132" s="608"/>
      <c r="T132" s="752"/>
      <c r="V132" s="609">
        <f t="shared" si="5"/>
        <v>0</v>
      </c>
      <c r="W132" s="692"/>
    </row>
    <row r="133" spans="1:23" outlineLevel="2">
      <c r="A133" s="376"/>
      <c r="B133" s="684" t="s">
        <v>469</v>
      </c>
      <c r="C133" s="684" t="s">
        <v>1049</v>
      </c>
      <c r="D133" s="684" t="s">
        <v>860</v>
      </c>
      <c r="E133" s="684"/>
      <c r="F133" s="685" t="s">
        <v>1050</v>
      </c>
      <c r="G133" s="713">
        <f>SUBTOTAL(9,G134:G135)</f>
        <v>0.12000000000000001</v>
      </c>
      <c r="H133" s="714">
        <f>SUBTOTAL(9,H134:H135)</f>
        <v>2</v>
      </c>
      <c r="I133" s="626"/>
      <c r="J133" s="752"/>
      <c r="L133" s="685"/>
      <c r="M133" s="685"/>
      <c r="N133" s="685"/>
      <c r="O133" s="685"/>
      <c r="P133" s="685"/>
      <c r="Q133" s="685"/>
      <c r="R133" s="685"/>
      <c r="T133" s="752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469</v>
      </c>
      <c r="C134" s="376" t="s">
        <v>1049</v>
      </c>
      <c r="D134" s="376" t="s">
        <v>860</v>
      </c>
      <c r="E134" s="376" t="s">
        <v>437</v>
      </c>
      <c r="F134" s="623" t="s">
        <v>1088</v>
      </c>
      <c r="G134" s="720">
        <v>0.02</v>
      </c>
      <c r="H134" s="700">
        <v>1</v>
      </c>
      <c r="I134" s="626"/>
      <c r="J134" s="752"/>
      <c r="L134" s="608" t="s">
        <v>437</v>
      </c>
      <c r="M134" s="608" t="s">
        <v>996</v>
      </c>
      <c r="N134" s="608" t="s">
        <v>1048</v>
      </c>
      <c r="O134" s="608"/>
      <c r="P134" s="608"/>
      <c r="Q134" s="608"/>
      <c r="R134" s="608"/>
      <c r="T134" s="752"/>
      <c r="V134" s="609">
        <f>IF(W134=1,G134,0)</f>
        <v>0</v>
      </c>
      <c r="W134" s="700"/>
    </row>
    <row r="135" spans="1:23" outlineLevel="3">
      <c r="A135" s="376"/>
      <c r="B135" s="376" t="s">
        <v>469</v>
      </c>
      <c r="C135" s="376" t="s">
        <v>1049</v>
      </c>
      <c r="D135" s="376" t="s">
        <v>860</v>
      </c>
      <c r="E135" s="376" t="s">
        <v>437</v>
      </c>
      <c r="F135" s="623" t="s">
        <v>1073</v>
      </c>
      <c r="G135" s="723">
        <v>0.1</v>
      </c>
      <c r="H135" s="692">
        <v>1</v>
      </c>
      <c r="I135" s="626"/>
      <c r="J135" s="752"/>
      <c r="L135" s="608" t="s">
        <v>437</v>
      </c>
      <c r="M135" s="608" t="s">
        <v>996</v>
      </c>
      <c r="N135" s="608" t="s">
        <v>1048</v>
      </c>
      <c r="O135" s="608"/>
      <c r="P135" s="608"/>
      <c r="Q135" s="608"/>
      <c r="R135" s="608"/>
      <c r="T135" s="752"/>
      <c r="V135" s="609">
        <f>IF(W135=1,G135,0)</f>
        <v>0</v>
      </c>
      <c r="W135" s="692"/>
    </row>
    <row r="136" spans="1:23" s="612" customFormat="1" ht="26.45" outlineLevel="1">
      <c r="A136" s="380"/>
      <c r="B136" s="665" t="s">
        <v>897</v>
      </c>
      <c r="C136" s="665" t="s">
        <v>1089</v>
      </c>
      <c r="D136" s="665"/>
      <c r="E136" s="665"/>
      <c r="F136" s="681" t="s">
        <v>947</v>
      </c>
      <c r="G136" s="701">
        <f>SUBTOTAL(9,G137:G140)</f>
        <v>8.4072167695988034E-2</v>
      </c>
      <c r="H136" s="702">
        <f>SUBTOTAL(9,H137:H140)</f>
        <v>3</v>
      </c>
      <c r="I136" s="627"/>
      <c r="J136" s="754"/>
      <c r="L136" s="681"/>
      <c r="M136" s="681" t="s">
        <v>1090</v>
      </c>
      <c r="N136" s="681" t="s">
        <v>1091</v>
      </c>
      <c r="O136" s="681" t="s">
        <v>1092</v>
      </c>
      <c r="P136" s="681" t="s">
        <v>1093</v>
      </c>
      <c r="Q136" s="681"/>
      <c r="R136" s="681"/>
      <c r="T136" s="754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897</v>
      </c>
      <c r="C137" s="684" t="s">
        <v>1089</v>
      </c>
      <c r="D137" s="684" t="s">
        <v>518</v>
      </c>
      <c r="E137" s="684"/>
      <c r="F137" s="685" t="s">
        <v>1022</v>
      </c>
      <c r="G137" s="713">
        <f>SUBTOTAL(9,G138:G140)</f>
        <v>8.4072167695988034E-2</v>
      </c>
      <c r="H137" s="714">
        <f>SUBTOTAL(9,H138:H140)</f>
        <v>3</v>
      </c>
      <c r="I137" s="626"/>
      <c r="J137" s="752"/>
      <c r="L137" s="685"/>
      <c r="M137" s="685"/>
      <c r="N137" s="685"/>
      <c r="O137" s="685"/>
      <c r="P137" s="685"/>
      <c r="Q137" s="685"/>
      <c r="R137" s="685"/>
      <c r="T137" s="752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897</v>
      </c>
      <c r="C138" s="376" t="s">
        <v>1089</v>
      </c>
      <c r="D138" s="376" t="s">
        <v>518</v>
      </c>
      <c r="E138" s="376" t="s">
        <v>56</v>
      </c>
      <c r="F138" s="608" t="s">
        <v>1094</v>
      </c>
      <c r="G138" s="695">
        <v>6.0248605439999423E-2</v>
      </c>
      <c r="H138" s="700">
        <v>1</v>
      </c>
      <c r="I138" s="626"/>
      <c r="J138" s="752"/>
      <c r="L138" s="608" t="s">
        <v>56</v>
      </c>
      <c r="M138" s="608" t="s">
        <v>959</v>
      </c>
      <c r="N138" s="608" t="s">
        <v>1095</v>
      </c>
      <c r="O138" s="608"/>
      <c r="P138" s="608" t="s">
        <v>1096</v>
      </c>
      <c r="Q138" s="608"/>
      <c r="R138" s="608"/>
      <c r="T138" s="752"/>
      <c r="V138" s="609">
        <f>IF(W138=1,G138,0)</f>
        <v>6.0248605439999423E-2</v>
      </c>
      <c r="W138" s="700">
        <v>1</v>
      </c>
    </row>
    <row r="139" spans="1:23" ht="26.45" outlineLevel="3">
      <c r="A139" s="376"/>
      <c r="B139" s="376" t="s">
        <v>897</v>
      </c>
      <c r="C139" s="376" t="s">
        <v>1089</v>
      </c>
      <c r="D139" s="376" t="s">
        <v>518</v>
      </c>
      <c r="E139" s="376" t="s">
        <v>56</v>
      </c>
      <c r="F139" s="608" t="s">
        <v>1097</v>
      </c>
      <c r="G139" s="695">
        <v>1.1911781127994301E-2</v>
      </c>
      <c r="H139" s="700">
        <v>1</v>
      </c>
      <c r="I139" s="626"/>
      <c r="J139" s="752"/>
      <c r="L139" s="608" t="s">
        <v>56</v>
      </c>
      <c r="M139" s="608" t="s">
        <v>959</v>
      </c>
      <c r="N139" s="608" t="s">
        <v>1095</v>
      </c>
      <c r="O139" s="608"/>
      <c r="P139" s="608" t="s">
        <v>1096</v>
      </c>
      <c r="Q139" s="608"/>
      <c r="R139" s="608"/>
      <c r="T139" s="752"/>
      <c r="V139" s="609">
        <f>IF(W139=1,G139,0)</f>
        <v>0</v>
      </c>
      <c r="W139" s="700"/>
    </row>
    <row r="140" spans="1:23" outlineLevel="3">
      <c r="A140" s="376"/>
      <c r="B140" s="376" t="s">
        <v>897</v>
      </c>
      <c r="C140" s="376" t="s">
        <v>1089</v>
      </c>
      <c r="D140" s="376" t="s">
        <v>518</v>
      </c>
      <c r="E140" s="376" t="s">
        <v>56</v>
      </c>
      <c r="F140" s="608" t="s">
        <v>1098</v>
      </c>
      <c r="G140" s="695">
        <v>1.1911781127994301E-2</v>
      </c>
      <c r="H140" s="700">
        <v>1</v>
      </c>
      <c r="I140" s="626"/>
      <c r="J140" s="752"/>
      <c r="L140" s="608" t="s">
        <v>56</v>
      </c>
      <c r="M140" s="608" t="s">
        <v>959</v>
      </c>
      <c r="N140" s="608" t="s">
        <v>1095</v>
      </c>
      <c r="O140" s="608"/>
      <c r="P140" s="608" t="s">
        <v>1096</v>
      </c>
      <c r="Q140" s="608"/>
      <c r="R140" s="608"/>
      <c r="T140" s="752"/>
      <c r="V140" s="609">
        <f>IF(W140=1,G140,0)</f>
        <v>0</v>
      </c>
      <c r="W140" s="700"/>
    </row>
    <row r="141" spans="1:23" s="612" customFormat="1" outlineLevel="1">
      <c r="A141" s="380"/>
      <c r="B141" s="665" t="s">
        <v>898</v>
      </c>
      <c r="C141" s="665" t="s">
        <v>1099</v>
      </c>
      <c r="D141" s="665"/>
      <c r="E141" s="665"/>
      <c r="F141" s="681" t="s">
        <v>947</v>
      </c>
      <c r="G141" s="701">
        <f>SUBTOTAL(9,G142:G148)</f>
        <v>0.41918995130000003</v>
      </c>
      <c r="H141" s="702">
        <f>SUBTOTAL(9,H142:H148)</f>
        <v>5</v>
      </c>
      <c r="I141" s="627"/>
      <c r="J141" s="754"/>
      <c r="L141" s="681"/>
      <c r="M141" s="681"/>
      <c r="N141" s="681"/>
      <c r="O141" s="681"/>
      <c r="P141" s="681"/>
      <c r="Q141" s="681"/>
      <c r="R141" s="681"/>
      <c r="T141" s="754"/>
      <c r="V141" s="701">
        <f>SUBTOTAL(9,V142:V148)</f>
        <v>0.41918995130000003</v>
      </c>
      <c r="W141" s="702">
        <f>SUBTOTAL(9,W142:W148)</f>
        <v>5</v>
      </c>
    </row>
    <row r="142" spans="1:23" outlineLevel="2">
      <c r="A142" s="376"/>
      <c r="B142" s="684" t="s">
        <v>898</v>
      </c>
      <c r="C142" s="684" t="s">
        <v>1099</v>
      </c>
      <c r="D142" s="684" t="s">
        <v>159</v>
      </c>
      <c r="E142" s="684"/>
      <c r="F142" s="685" t="s">
        <v>1022</v>
      </c>
      <c r="G142" s="713">
        <f>SUBTOTAL(9,G143:G144)</f>
        <v>0.25</v>
      </c>
      <c r="H142" s="714">
        <f>SUBTOTAL(9,H143:H144)</f>
        <v>2</v>
      </c>
      <c r="I142" s="626"/>
      <c r="J142" s="752"/>
      <c r="L142" s="685"/>
      <c r="M142" s="685"/>
      <c r="N142" s="685"/>
      <c r="O142" s="685"/>
      <c r="P142" s="685"/>
      <c r="Q142" s="685"/>
      <c r="R142" s="685"/>
      <c r="T142" s="752"/>
      <c r="V142" s="713">
        <f>SUBTOTAL(9,V143:V144)</f>
        <v>0.25</v>
      </c>
      <c r="W142" s="714">
        <f>SUBTOTAL(9,W143:W144)</f>
        <v>2</v>
      </c>
    </row>
    <row r="143" spans="1:23" ht="26.45" outlineLevel="3">
      <c r="A143" s="376"/>
      <c r="B143" s="376" t="s">
        <v>898</v>
      </c>
      <c r="C143" s="376" t="s">
        <v>1099</v>
      </c>
      <c r="D143" s="376" t="s">
        <v>159</v>
      </c>
      <c r="E143" s="376" t="s">
        <v>1100</v>
      </c>
      <c r="F143" s="608" t="s">
        <v>1094</v>
      </c>
      <c r="G143" s="695">
        <v>7.0000000000000007E-2</v>
      </c>
      <c r="H143" s="700">
        <v>1</v>
      </c>
      <c r="I143" s="626"/>
      <c r="J143" s="752"/>
      <c r="L143" s="608" t="s">
        <v>1100</v>
      </c>
      <c r="M143" s="608" t="s">
        <v>1090</v>
      </c>
      <c r="N143" s="608" t="s">
        <v>1101</v>
      </c>
      <c r="O143" s="608"/>
      <c r="P143" s="608"/>
      <c r="Q143" s="608"/>
      <c r="R143" s="608"/>
      <c r="T143" s="752"/>
      <c r="V143" s="609">
        <f>IF(W143=1,G143,0)</f>
        <v>7.0000000000000007E-2</v>
      </c>
      <c r="W143" s="700">
        <v>1</v>
      </c>
    </row>
    <row r="144" spans="1:23" ht="26.45" outlineLevel="3">
      <c r="A144" s="376"/>
      <c r="B144" s="376" t="s">
        <v>898</v>
      </c>
      <c r="C144" s="376" t="s">
        <v>1099</v>
      </c>
      <c r="D144" s="376" t="s">
        <v>159</v>
      </c>
      <c r="E144" s="376" t="s">
        <v>1100</v>
      </c>
      <c r="F144" s="608" t="s">
        <v>1102</v>
      </c>
      <c r="G144" s="695">
        <v>0.18</v>
      </c>
      <c r="H144" s="700">
        <v>1</v>
      </c>
      <c r="I144" s="626"/>
      <c r="J144" s="752"/>
      <c r="L144" s="608" t="s">
        <v>1100</v>
      </c>
      <c r="M144" s="608" t="s">
        <v>1103</v>
      </c>
      <c r="N144" s="608" t="s">
        <v>1104</v>
      </c>
      <c r="O144" s="608"/>
      <c r="P144" s="608"/>
      <c r="Q144" s="608"/>
      <c r="R144" s="608"/>
      <c r="T144" s="752"/>
      <c r="V144" s="609">
        <f>IF(W144=1,G144,0)</f>
        <v>0.18</v>
      </c>
      <c r="W144" s="700">
        <v>1</v>
      </c>
    </row>
    <row r="145" spans="1:23" outlineLevel="2">
      <c r="A145" s="376"/>
      <c r="B145" s="684" t="s">
        <v>898</v>
      </c>
      <c r="C145" s="684" t="s">
        <v>1099</v>
      </c>
      <c r="D145" s="684" t="s">
        <v>518</v>
      </c>
      <c r="E145" s="684"/>
      <c r="F145" s="685" t="s">
        <v>1022</v>
      </c>
      <c r="G145" s="713">
        <f>SUBTOTAL(9,G146:G148)</f>
        <v>0.16918995130000003</v>
      </c>
      <c r="H145" s="714">
        <f>SUBTOTAL(9,H146:H148)</f>
        <v>3</v>
      </c>
      <c r="I145" s="626"/>
      <c r="J145" s="752"/>
      <c r="L145" s="685"/>
      <c r="M145" s="685"/>
      <c r="N145" s="685"/>
      <c r="O145" s="685"/>
      <c r="P145" s="685"/>
      <c r="Q145" s="685"/>
      <c r="R145" s="685"/>
      <c r="T145" s="752"/>
      <c r="V145" s="713">
        <f>SUBTOTAL(9,V146:V148)</f>
        <v>0.16918995130000003</v>
      </c>
      <c r="W145" s="714">
        <f>SUBTOTAL(9,W146:W148)</f>
        <v>3</v>
      </c>
    </row>
    <row r="146" spans="1:23" outlineLevel="3" collapsed="1">
      <c r="A146" s="376"/>
      <c r="B146" s="376" t="s">
        <v>898</v>
      </c>
      <c r="C146" s="376" t="s">
        <v>1099</v>
      </c>
      <c r="D146" s="376" t="s">
        <v>518</v>
      </c>
      <c r="E146" s="376" t="s">
        <v>56</v>
      </c>
      <c r="F146" s="608" t="s">
        <v>1102</v>
      </c>
      <c r="G146" s="609">
        <v>7.0000000000000007E-2</v>
      </c>
      <c r="H146" s="692">
        <v>1</v>
      </c>
      <c r="I146" s="626"/>
      <c r="J146" s="752"/>
      <c r="L146" s="608" t="s">
        <v>56</v>
      </c>
      <c r="M146" s="608" t="s">
        <v>959</v>
      </c>
      <c r="N146" s="608" t="s">
        <v>1095</v>
      </c>
      <c r="O146" s="608">
        <v>0</v>
      </c>
      <c r="P146" s="608" t="s">
        <v>1105</v>
      </c>
      <c r="Q146" s="608"/>
      <c r="R146" s="608"/>
      <c r="T146" s="752"/>
      <c r="V146" s="609">
        <f>IF(W146=1,G146,0)</f>
        <v>7.0000000000000007E-2</v>
      </c>
      <c r="W146" s="692">
        <v>1</v>
      </c>
    </row>
    <row r="147" spans="1:23" outlineLevel="3">
      <c r="A147" s="376"/>
      <c r="B147" s="376" t="s">
        <v>898</v>
      </c>
      <c r="C147" s="376" t="s">
        <v>1099</v>
      </c>
      <c r="D147" s="376" t="s">
        <v>518</v>
      </c>
      <c r="E147" s="376" t="s">
        <v>56</v>
      </c>
      <c r="F147" s="608" t="s">
        <v>1094</v>
      </c>
      <c r="G147" s="695">
        <v>5.4103609800000001E-2</v>
      </c>
      <c r="H147" s="700">
        <v>1</v>
      </c>
      <c r="I147" s="626"/>
      <c r="J147" s="752"/>
      <c r="L147" s="608" t="s">
        <v>56</v>
      </c>
      <c r="M147" s="608" t="s">
        <v>959</v>
      </c>
      <c r="N147" s="608" t="s">
        <v>1095</v>
      </c>
      <c r="O147" s="608">
        <v>0</v>
      </c>
      <c r="P147" s="608" t="s">
        <v>1105</v>
      </c>
      <c r="Q147" s="608"/>
      <c r="R147" s="608"/>
      <c r="T147" s="752"/>
      <c r="V147" s="609">
        <f>IF(W147=1,G147,0)</f>
        <v>5.4103609800000001E-2</v>
      </c>
      <c r="W147" s="700">
        <v>1</v>
      </c>
    </row>
    <row r="148" spans="1:23" outlineLevel="3">
      <c r="A148" s="376"/>
      <c r="B148" s="376" t="s">
        <v>898</v>
      </c>
      <c r="C148" s="376" t="s">
        <v>1099</v>
      </c>
      <c r="D148" s="376" t="s">
        <v>518</v>
      </c>
      <c r="E148" s="376" t="s">
        <v>56</v>
      </c>
      <c r="F148" s="608" t="s">
        <v>1106</v>
      </c>
      <c r="G148" s="695">
        <v>4.5086341500000002E-2</v>
      </c>
      <c r="H148" s="700">
        <v>1</v>
      </c>
      <c r="I148" s="626"/>
      <c r="J148" s="752"/>
      <c r="L148" s="608" t="s">
        <v>56</v>
      </c>
      <c r="M148" s="608" t="s">
        <v>959</v>
      </c>
      <c r="N148" s="608" t="s">
        <v>1095</v>
      </c>
      <c r="O148" s="608">
        <v>0</v>
      </c>
      <c r="P148" s="608" t="s">
        <v>1105</v>
      </c>
      <c r="Q148" s="608"/>
      <c r="R148" s="608"/>
      <c r="T148" s="752"/>
      <c r="V148" s="609">
        <f>IF(W148=1,G148,0)</f>
        <v>4.5086341500000002E-2</v>
      </c>
      <c r="W148" s="700">
        <v>1</v>
      </c>
    </row>
    <row r="149" spans="1:23" s="612" customFormat="1" outlineLevel="1">
      <c r="A149" s="380"/>
      <c r="B149" s="665" t="s">
        <v>899</v>
      </c>
      <c r="C149" s="665" t="s">
        <v>1107</v>
      </c>
      <c r="D149" s="665"/>
      <c r="E149" s="665"/>
      <c r="F149" s="681" t="s">
        <v>947</v>
      </c>
      <c r="G149" s="701">
        <f>SUBTOTAL(9,G150:G172)</f>
        <v>3.0199999999999987</v>
      </c>
      <c r="H149" s="702">
        <f>SUBTOTAL(9,H150:H172)</f>
        <v>21</v>
      </c>
      <c r="I149" s="627"/>
      <c r="J149" s="754"/>
      <c r="L149" s="681"/>
      <c r="M149" s="681"/>
      <c r="N149" s="681"/>
      <c r="O149" s="681"/>
      <c r="P149" s="681"/>
      <c r="Q149" s="681"/>
      <c r="R149" s="681"/>
      <c r="T149" s="754"/>
      <c r="V149" s="701">
        <f>SUBTOTAL(9,V150:V172)</f>
        <v>0.7400000000000001</v>
      </c>
      <c r="W149" s="702">
        <f>SUBTOTAL(9,W150:W172)</f>
        <v>8</v>
      </c>
    </row>
    <row r="150" spans="1:23" ht="26.45" outlineLevel="2">
      <c r="A150" s="376"/>
      <c r="B150" s="684" t="s">
        <v>899</v>
      </c>
      <c r="C150" s="684" t="s">
        <v>1107</v>
      </c>
      <c r="D150" s="684" t="s">
        <v>159</v>
      </c>
      <c r="E150" s="684"/>
      <c r="F150" s="685" t="s">
        <v>1108</v>
      </c>
      <c r="G150" s="713">
        <f>SUBTOTAL(9,G151:G160)</f>
        <v>1.9500000000000002</v>
      </c>
      <c r="H150" s="714">
        <f>SUBTOTAL(9,H151:H160)</f>
        <v>10</v>
      </c>
      <c r="I150" s="626"/>
      <c r="J150" s="752"/>
      <c r="L150" s="685"/>
      <c r="M150" s="685"/>
      <c r="N150" s="685"/>
      <c r="O150" s="685"/>
      <c r="P150" s="685"/>
      <c r="Q150" s="685"/>
      <c r="R150" s="685"/>
      <c r="T150" s="752"/>
      <c r="V150" s="713">
        <f>SUBTOTAL(9,V151:V160)</f>
        <v>0.2</v>
      </c>
      <c r="W150" s="714">
        <f>SUBTOTAL(9,W151:W160)</f>
        <v>2</v>
      </c>
    </row>
    <row r="151" spans="1:23" ht="26.45" outlineLevel="3">
      <c r="A151" s="376"/>
      <c r="B151" s="376" t="s">
        <v>899</v>
      </c>
      <c r="C151" s="376" t="s">
        <v>1107</v>
      </c>
      <c r="D151" s="376" t="s">
        <v>159</v>
      </c>
      <c r="E151" s="376" t="s">
        <v>1100</v>
      </c>
      <c r="F151" s="608" t="s">
        <v>1109</v>
      </c>
      <c r="G151" s="695">
        <v>0.13</v>
      </c>
      <c r="H151" s="700">
        <v>1</v>
      </c>
      <c r="I151" s="626"/>
      <c r="J151" s="752"/>
      <c r="L151" s="608" t="s">
        <v>1100</v>
      </c>
      <c r="M151" s="608" t="s">
        <v>1090</v>
      </c>
      <c r="N151" s="608" t="s">
        <v>1110</v>
      </c>
      <c r="O151" s="608" t="s">
        <v>1111</v>
      </c>
      <c r="P151" s="608" t="s">
        <v>1112</v>
      </c>
      <c r="Q151" s="608"/>
      <c r="R151" s="608"/>
      <c r="T151" s="752"/>
      <c r="V151" s="609">
        <f t="shared" ref="V151:V160" si="6">IF(W151=1,G151,0)</f>
        <v>0</v>
      </c>
      <c r="W151" s="700"/>
    </row>
    <row r="152" spans="1:23" ht="26.45" outlineLevel="3">
      <c r="A152" s="376"/>
      <c r="B152" s="376" t="s">
        <v>899</v>
      </c>
      <c r="C152" s="376" t="s">
        <v>1107</v>
      </c>
      <c r="D152" s="376" t="s">
        <v>159</v>
      </c>
      <c r="E152" s="376" t="s">
        <v>1100</v>
      </c>
      <c r="F152" s="608" t="s">
        <v>1113</v>
      </c>
      <c r="G152" s="695">
        <v>0.13</v>
      </c>
      <c r="H152" s="700">
        <v>1</v>
      </c>
      <c r="I152" s="626"/>
      <c r="J152" s="752"/>
      <c r="L152" s="608" t="s">
        <v>1100</v>
      </c>
      <c r="M152" s="608" t="s">
        <v>1090</v>
      </c>
      <c r="N152" s="608" t="s">
        <v>1110</v>
      </c>
      <c r="O152" s="608" t="s">
        <v>1111</v>
      </c>
      <c r="P152" s="608" t="s">
        <v>1112</v>
      </c>
      <c r="Q152" s="608"/>
      <c r="R152" s="608"/>
      <c r="T152" s="752"/>
      <c r="V152" s="609">
        <f t="shared" si="6"/>
        <v>0</v>
      </c>
      <c r="W152" s="700"/>
    </row>
    <row r="153" spans="1:23" ht="26.45" outlineLevel="3">
      <c r="A153" s="376"/>
      <c r="B153" s="376" t="s">
        <v>899</v>
      </c>
      <c r="C153" s="376" t="s">
        <v>1107</v>
      </c>
      <c r="D153" s="376" t="s">
        <v>159</v>
      </c>
      <c r="E153" s="376" t="s">
        <v>1100</v>
      </c>
      <c r="F153" s="608" t="s">
        <v>1114</v>
      </c>
      <c r="G153" s="695">
        <v>0.22</v>
      </c>
      <c r="H153" s="700">
        <v>1</v>
      </c>
      <c r="I153" s="626"/>
      <c r="J153" s="752"/>
      <c r="L153" s="608" t="s">
        <v>1100</v>
      </c>
      <c r="M153" s="608" t="s">
        <v>1090</v>
      </c>
      <c r="N153" s="608" t="s">
        <v>1110</v>
      </c>
      <c r="O153" s="608" t="s">
        <v>1111</v>
      </c>
      <c r="P153" s="608" t="s">
        <v>1112</v>
      </c>
      <c r="Q153" s="608"/>
      <c r="R153" s="608"/>
      <c r="T153" s="752"/>
      <c r="V153" s="609">
        <f t="shared" si="6"/>
        <v>0</v>
      </c>
      <c r="W153" s="700"/>
    </row>
    <row r="154" spans="1:23" ht="26.45" outlineLevel="3">
      <c r="A154" s="376"/>
      <c r="B154" s="376" t="s">
        <v>899</v>
      </c>
      <c r="C154" s="376" t="s">
        <v>1107</v>
      </c>
      <c r="D154" s="376" t="s">
        <v>159</v>
      </c>
      <c r="E154" s="376" t="s">
        <v>1100</v>
      </c>
      <c r="F154" s="608" t="s">
        <v>1115</v>
      </c>
      <c r="G154" s="695">
        <v>0.22</v>
      </c>
      <c r="H154" s="700">
        <v>1</v>
      </c>
      <c r="I154" s="626"/>
      <c r="J154" s="752"/>
      <c r="L154" s="608" t="s">
        <v>1100</v>
      </c>
      <c r="M154" s="608" t="s">
        <v>1090</v>
      </c>
      <c r="N154" s="608" t="s">
        <v>1110</v>
      </c>
      <c r="O154" s="608" t="s">
        <v>1111</v>
      </c>
      <c r="P154" s="608" t="s">
        <v>1112</v>
      </c>
      <c r="Q154" s="608"/>
      <c r="R154" s="608"/>
      <c r="T154" s="752"/>
      <c r="V154" s="609">
        <f t="shared" si="6"/>
        <v>0</v>
      </c>
      <c r="W154" s="700"/>
    </row>
    <row r="155" spans="1:23" ht="26.45" outlineLevel="3">
      <c r="A155" s="376"/>
      <c r="B155" s="376" t="s">
        <v>899</v>
      </c>
      <c r="C155" s="376" t="s">
        <v>1107</v>
      </c>
      <c r="D155" s="376" t="s">
        <v>159</v>
      </c>
      <c r="E155" s="376" t="s">
        <v>1100</v>
      </c>
      <c r="F155" s="608" t="s">
        <v>1116</v>
      </c>
      <c r="G155" s="695">
        <v>0.22</v>
      </c>
      <c r="H155" s="700">
        <v>1</v>
      </c>
      <c r="I155" s="626"/>
      <c r="J155" s="752"/>
      <c r="L155" s="608" t="s">
        <v>1100</v>
      </c>
      <c r="M155" s="608" t="s">
        <v>1090</v>
      </c>
      <c r="N155" s="608" t="s">
        <v>1110</v>
      </c>
      <c r="O155" s="608" t="s">
        <v>1111</v>
      </c>
      <c r="P155" s="608" t="s">
        <v>1112</v>
      </c>
      <c r="Q155" s="608"/>
      <c r="R155" s="608"/>
      <c r="T155" s="752"/>
      <c r="V155" s="609">
        <f t="shared" si="6"/>
        <v>0</v>
      </c>
      <c r="W155" s="700"/>
    </row>
    <row r="156" spans="1:23" ht="26.45" outlineLevel="3">
      <c r="A156" s="376"/>
      <c r="B156" s="376" t="s">
        <v>899</v>
      </c>
      <c r="C156" s="376" t="s">
        <v>1107</v>
      </c>
      <c r="D156" s="376" t="s">
        <v>159</v>
      </c>
      <c r="E156" s="376" t="s">
        <v>1100</v>
      </c>
      <c r="F156" s="608" t="s">
        <v>1117</v>
      </c>
      <c r="G156" s="695">
        <v>0.03</v>
      </c>
      <c r="H156" s="700">
        <v>1</v>
      </c>
      <c r="I156" s="626"/>
      <c r="J156" s="752"/>
      <c r="L156" s="608" t="s">
        <v>1100</v>
      </c>
      <c r="M156" s="608" t="s">
        <v>1090</v>
      </c>
      <c r="N156" s="608" t="s">
        <v>1110</v>
      </c>
      <c r="O156" s="608" t="s">
        <v>1111</v>
      </c>
      <c r="P156" s="608" t="s">
        <v>1112</v>
      </c>
      <c r="Q156" s="608"/>
      <c r="R156" s="608"/>
      <c r="T156" s="752"/>
      <c r="V156" s="609">
        <f t="shared" si="6"/>
        <v>0</v>
      </c>
      <c r="W156" s="700"/>
    </row>
    <row r="157" spans="1:23" ht="26.45" outlineLevel="3">
      <c r="A157" s="376"/>
      <c r="B157" s="376" t="s">
        <v>899</v>
      </c>
      <c r="C157" s="376" t="s">
        <v>1107</v>
      </c>
      <c r="D157" s="376" t="s">
        <v>159</v>
      </c>
      <c r="E157" s="376" t="s">
        <v>1100</v>
      </c>
      <c r="F157" s="608" t="s">
        <v>1118</v>
      </c>
      <c r="G157" s="695">
        <v>0.1</v>
      </c>
      <c r="H157" s="700">
        <v>1</v>
      </c>
      <c r="I157" s="626"/>
      <c r="J157" s="752"/>
      <c r="L157" s="608" t="s">
        <v>1100</v>
      </c>
      <c r="M157" s="608" t="s">
        <v>1090</v>
      </c>
      <c r="N157" s="608" t="s">
        <v>1110</v>
      </c>
      <c r="O157" s="608" t="s">
        <v>1111</v>
      </c>
      <c r="P157" s="608" t="s">
        <v>1112</v>
      </c>
      <c r="Q157" s="608"/>
      <c r="R157" s="608"/>
      <c r="T157" s="752"/>
      <c r="V157" s="609">
        <f t="shared" si="6"/>
        <v>0.1</v>
      </c>
      <c r="W157" s="700">
        <v>1</v>
      </c>
    </row>
    <row r="158" spans="1:23" ht="26.45" outlineLevel="3">
      <c r="A158" s="376"/>
      <c r="B158" s="376" t="s">
        <v>899</v>
      </c>
      <c r="C158" s="376" t="s">
        <v>1107</v>
      </c>
      <c r="D158" s="376" t="s">
        <v>159</v>
      </c>
      <c r="E158" s="376" t="s">
        <v>1100</v>
      </c>
      <c r="F158" s="608" t="s">
        <v>1119</v>
      </c>
      <c r="G158" s="695">
        <v>0.1</v>
      </c>
      <c r="H158" s="700">
        <v>1</v>
      </c>
      <c r="I158" s="626"/>
      <c r="J158" s="752"/>
      <c r="L158" s="608" t="s">
        <v>1100</v>
      </c>
      <c r="M158" s="608" t="s">
        <v>1090</v>
      </c>
      <c r="N158" s="608" t="s">
        <v>1110</v>
      </c>
      <c r="O158" s="608" t="s">
        <v>1111</v>
      </c>
      <c r="P158" s="608" t="s">
        <v>1112</v>
      </c>
      <c r="Q158" s="608"/>
      <c r="R158" s="608"/>
      <c r="T158" s="752"/>
      <c r="V158" s="609">
        <f t="shared" si="6"/>
        <v>0.1</v>
      </c>
      <c r="W158" s="700">
        <v>1</v>
      </c>
    </row>
    <row r="159" spans="1:23" ht="26.45" outlineLevel="3">
      <c r="A159" s="376"/>
      <c r="B159" s="376" t="s">
        <v>899</v>
      </c>
      <c r="C159" s="376" t="s">
        <v>1107</v>
      </c>
      <c r="D159" s="376" t="s">
        <v>159</v>
      </c>
      <c r="E159" s="376" t="s">
        <v>1100</v>
      </c>
      <c r="F159" s="608" t="s">
        <v>1120</v>
      </c>
      <c r="G159" s="695">
        <v>0.4</v>
      </c>
      <c r="H159" s="700">
        <v>1</v>
      </c>
      <c r="I159" s="626"/>
      <c r="J159" s="752"/>
      <c r="L159" s="608" t="s">
        <v>1100</v>
      </c>
      <c r="M159" s="608" t="s">
        <v>1090</v>
      </c>
      <c r="N159" s="608" t="s">
        <v>1110</v>
      </c>
      <c r="O159" s="608" t="s">
        <v>1111</v>
      </c>
      <c r="P159" s="608" t="s">
        <v>1112</v>
      </c>
      <c r="Q159" s="608"/>
      <c r="R159" s="608"/>
      <c r="T159" s="752"/>
      <c r="V159" s="609">
        <f t="shared" si="6"/>
        <v>0</v>
      </c>
      <c r="W159" s="700"/>
    </row>
    <row r="160" spans="1:23" ht="26.45" outlineLevel="3">
      <c r="A160" s="376"/>
      <c r="B160" s="376" t="s">
        <v>899</v>
      </c>
      <c r="C160" s="376" t="s">
        <v>1107</v>
      </c>
      <c r="D160" s="376" t="s">
        <v>159</v>
      </c>
      <c r="E160" s="376" t="s">
        <v>1100</v>
      </c>
      <c r="F160" s="608" t="s">
        <v>1121</v>
      </c>
      <c r="G160" s="695">
        <v>0.4</v>
      </c>
      <c r="H160" s="700">
        <v>1</v>
      </c>
      <c r="I160" s="626"/>
      <c r="J160" s="752"/>
      <c r="L160" s="608" t="s">
        <v>1100</v>
      </c>
      <c r="M160" s="608" t="s">
        <v>1090</v>
      </c>
      <c r="N160" s="608" t="s">
        <v>1110</v>
      </c>
      <c r="O160" s="608" t="s">
        <v>1111</v>
      </c>
      <c r="P160" s="608" t="s">
        <v>1112</v>
      </c>
      <c r="Q160" s="608"/>
      <c r="R160" s="608"/>
      <c r="T160" s="752"/>
      <c r="V160" s="609">
        <f t="shared" si="6"/>
        <v>0</v>
      </c>
      <c r="W160" s="700"/>
    </row>
    <row r="161" spans="1:23" ht="26.45" outlineLevel="2">
      <c r="A161" s="376"/>
      <c r="B161" s="684" t="s">
        <v>899</v>
      </c>
      <c r="C161" s="684" t="s">
        <v>1107</v>
      </c>
      <c r="D161" s="684" t="s">
        <v>518</v>
      </c>
      <c r="E161" s="684"/>
      <c r="F161" s="685" t="s">
        <v>1122</v>
      </c>
      <c r="G161" s="713">
        <f>SUBTOTAL(9,G162:G172)</f>
        <v>1.0699999999999998</v>
      </c>
      <c r="H161" s="714">
        <f>SUBTOTAL(9,H162:H172)</f>
        <v>11</v>
      </c>
      <c r="I161" s="626"/>
      <c r="J161" s="752"/>
      <c r="L161" s="685"/>
      <c r="M161" s="685"/>
      <c r="N161" s="685"/>
      <c r="O161" s="685"/>
      <c r="P161" s="685"/>
      <c r="Q161" s="685"/>
      <c r="R161" s="685"/>
      <c r="T161" s="752"/>
      <c r="V161" s="713">
        <f>SUBTOTAL(9,V162:V172)</f>
        <v>0.54</v>
      </c>
      <c r="W161" s="714">
        <f>SUBTOTAL(9,W162:W172)</f>
        <v>6</v>
      </c>
    </row>
    <row r="162" spans="1:23" outlineLevel="3">
      <c r="A162" s="376"/>
      <c r="B162" s="376" t="s">
        <v>899</v>
      </c>
      <c r="C162" s="376" t="s">
        <v>1107</v>
      </c>
      <c r="D162" s="376" t="s">
        <v>518</v>
      </c>
      <c r="E162" s="376" t="s">
        <v>56</v>
      </c>
      <c r="F162" s="608" t="s">
        <v>1123</v>
      </c>
      <c r="G162" s="695">
        <v>7.0000000000000007E-2</v>
      </c>
      <c r="H162" s="700">
        <v>1</v>
      </c>
      <c r="I162" s="626"/>
      <c r="J162" s="752"/>
      <c r="L162" s="608" t="s">
        <v>56</v>
      </c>
      <c r="M162" s="608" t="s">
        <v>959</v>
      </c>
      <c r="N162" s="608" t="s">
        <v>1124</v>
      </c>
      <c r="O162" s="608"/>
      <c r="P162" s="608" t="s">
        <v>1105</v>
      </c>
      <c r="Q162" s="608"/>
      <c r="R162" s="608" t="s">
        <v>1125</v>
      </c>
      <c r="T162" s="752"/>
      <c r="V162" s="609">
        <f t="shared" ref="V162:V172" si="7">IF(W162=1,G162,0)</f>
        <v>7.0000000000000007E-2</v>
      </c>
      <c r="W162" s="700">
        <v>1</v>
      </c>
    </row>
    <row r="163" spans="1:23" outlineLevel="3">
      <c r="A163" s="376"/>
      <c r="B163" s="376" t="s">
        <v>899</v>
      </c>
      <c r="C163" s="376" t="s">
        <v>1107</v>
      </c>
      <c r="D163" s="376" t="s">
        <v>518</v>
      </c>
      <c r="E163" s="376" t="s">
        <v>56</v>
      </c>
      <c r="F163" s="608" t="s">
        <v>1126</v>
      </c>
      <c r="G163" s="695">
        <v>7.0000000000000007E-2</v>
      </c>
      <c r="H163" s="700">
        <v>1</v>
      </c>
      <c r="I163" s="626"/>
      <c r="J163" s="752"/>
      <c r="L163" s="608" t="s">
        <v>56</v>
      </c>
      <c r="M163" s="608" t="s">
        <v>959</v>
      </c>
      <c r="N163" s="608" t="s">
        <v>1124</v>
      </c>
      <c r="O163" s="608"/>
      <c r="P163" s="608" t="s">
        <v>1105</v>
      </c>
      <c r="Q163" s="608"/>
      <c r="R163" s="608" t="s">
        <v>1125</v>
      </c>
      <c r="T163" s="752"/>
      <c r="V163" s="609">
        <f t="shared" si="7"/>
        <v>7.0000000000000007E-2</v>
      </c>
      <c r="W163" s="700">
        <v>1</v>
      </c>
    </row>
    <row r="164" spans="1:23" outlineLevel="3">
      <c r="A164" s="376"/>
      <c r="B164" s="376" t="s">
        <v>899</v>
      </c>
      <c r="C164" s="376" t="s">
        <v>1107</v>
      </c>
      <c r="D164" s="376" t="s">
        <v>518</v>
      </c>
      <c r="E164" s="376" t="s">
        <v>56</v>
      </c>
      <c r="F164" s="608" t="s">
        <v>1127</v>
      </c>
      <c r="G164" s="695">
        <v>7.0000000000000007E-2</v>
      </c>
      <c r="H164" s="700">
        <v>1</v>
      </c>
      <c r="I164" s="626"/>
      <c r="J164" s="752"/>
      <c r="L164" s="608" t="s">
        <v>56</v>
      </c>
      <c r="M164" s="608" t="s">
        <v>959</v>
      </c>
      <c r="N164" s="608" t="s">
        <v>1124</v>
      </c>
      <c r="O164" s="608"/>
      <c r="P164" s="608" t="s">
        <v>1105</v>
      </c>
      <c r="Q164" s="608"/>
      <c r="R164" s="608">
        <v>0</v>
      </c>
      <c r="T164" s="752"/>
      <c r="V164" s="609">
        <f t="shared" si="7"/>
        <v>7.0000000000000007E-2</v>
      </c>
      <c r="W164" s="700">
        <v>1</v>
      </c>
    </row>
    <row r="165" spans="1:23" outlineLevel="3">
      <c r="A165" s="376"/>
      <c r="B165" s="376" t="s">
        <v>899</v>
      </c>
      <c r="C165" s="376" t="s">
        <v>1107</v>
      </c>
      <c r="D165" s="376" t="s">
        <v>518</v>
      </c>
      <c r="E165" s="376" t="s">
        <v>56</v>
      </c>
      <c r="F165" s="608" t="s">
        <v>1128</v>
      </c>
      <c r="G165" s="695">
        <v>7.0000000000000007E-2</v>
      </c>
      <c r="H165" s="700">
        <v>1</v>
      </c>
      <c r="I165" s="626"/>
      <c r="J165" s="752"/>
      <c r="L165" s="608" t="s">
        <v>56</v>
      </c>
      <c r="M165" s="608" t="s">
        <v>959</v>
      </c>
      <c r="N165" s="608" t="s">
        <v>1124</v>
      </c>
      <c r="O165" s="608"/>
      <c r="P165" s="608" t="s">
        <v>1105</v>
      </c>
      <c r="Q165" s="608"/>
      <c r="R165" s="608">
        <v>0</v>
      </c>
      <c r="T165" s="752"/>
      <c r="V165" s="609">
        <f t="shared" si="7"/>
        <v>7.0000000000000007E-2</v>
      </c>
      <c r="W165" s="700">
        <v>1</v>
      </c>
    </row>
    <row r="166" spans="1:23" outlineLevel="3">
      <c r="A166" s="376"/>
      <c r="B166" s="376" t="s">
        <v>899</v>
      </c>
      <c r="C166" s="376" t="s">
        <v>1107</v>
      </c>
      <c r="D166" s="376" t="s">
        <v>518</v>
      </c>
      <c r="E166" s="376" t="s">
        <v>56</v>
      </c>
      <c r="F166" s="608" t="s">
        <v>1129</v>
      </c>
      <c r="G166" s="695">
        <v>0.13</v>
      </c>
      <c r="H166" s="700">
        <v>1</v>
      </c>
      <c r="I166" s="626"/>
      <c r="J166" s="752"/>
      <c r="L166" s="608" t="s">
        <v>56</v>
      </c>
      <c r="M166" s="608" t="s">
        <v>959</v>
      </c>
      <c r="N166" s="608" t="s">
        <v>1130</v>
      </c>
      <c r="O166" s="608"/>
      <c r="P166" s="608" t="s">
        <v>1105</v>
      </c>
      <c r="Q166" s="608"/>
      <c r="R166" s="608">
        <v>0</v>
      </c>
      <c r="T166" s="752"/>
      <c r="V166" s="609">
        <f t="shared" si="7"/>
        <v>0.13</v>
      </c>
      <c r="W166" s="700">
        <v>1</v>
      </c>
    </row>
    <row r="167" spans="1:23" outlineLevel="3">
      <c r="A167" s="376"/>
      <c r="B167" s="376" t="s">
        <v>899</v>
      </c>
      <c r="C167" s="376" t="s">
        <v>1107</v>
      </c>
      <c r="D167" s="376" t="s">
        <v>518</v>
      </c>
      <c r="E167" s="376" t="s">
        <v>56</v>
      </c>
      <c r="F167" s="608" t="s">
        <v>1131</v>
      </c>
      <c r="G167" s="695">
        <v>0.13</v>
      </c>
      <c r="H167" s="700">
        <v>1</v>
      </c>
      <c r="I167" s="626"/>
      <c r="J167" s="752"/>
      <c r="L167" s="608" t="s">
        <v>56</v>
      </c>
      <c r="M167" s="608" t="s">
        <v>959</v>
      </c>
      <c r="N167" s="608" t="s">
        <v>1130</v>
      </c>
      <c r="O167" s="608"/>
      <c r="P167" s="608" t="s">
        <v>1105</v>
      </c>
      <c r="Q167" s="608"/>
      <c r="R167" s="608">
        <v>0</v>
      </c>
      <c r="T167" s="752"/>
      <c r="V167" s="609">
        <f t="shared" si="7"/>
        <v>0.13</v>
      </c>
      <c r="W167" s="700">
        <v>1</v>
      </c>
    </row>
    <row r="168" spans="1:23" outlineLevel="3">
      <c r="A168" s="376"/>
      <c r="B168" s="376" t="s">
        <v>899</v>
      </c>
      <c r="C168" s="376" t="s">
        <v>1107</v>
      </c>
      <c r="D168" s="376" t="s">
        <v>518</v>
      </c>
      <c r="E168" s="376" t="s">
        <v>56</v>
      </c>
      <c r="F168" s="608" t="s">
        <v>1132</v>
      </c>
      <c r="G168" s="695">
        <v>0.09</v>
      </c>
      <c r="H168" s="700">
        <v>1</v>
      </c>
      <c r="I168" s="626"/>
      <c r="J168" s="752"/>
      <c r="L168" s="608" t="s">
        <v>56</v>
      </c>
      <c r="M168" s="608" t="s">
        <v>959</v>
      </c>
      <c r="N168" s="608" t="s">
        <v>1124</v>
      </c>
      <c r="O168" s="608"/>
      <c r="P168" s="608" t="s">
        <v>1105</v>
      </c>
      <c r="Q168" s="608"/>
      <c r="R168" s="608">
        <v>0</v>
      </c>
      <c r="T168" s="752"/>
      <c r="V168" s="609">
        <f t="shared" si="7"/>
        <v>0</v>
      </c>
      <c r="W168" s="700"/>
    </row>
    <row r="169" spans="1:23" outlineLevel="3">
      <c r="A169" s="376"/>
      <c r="B169" s="376" t="s">
        <v>899</v>
      </c>
      <c r="C169" s="376" t="s">
        <v>1107</v>
      </c>
      <c r="D169" s="376" t="s">
        <v>518</v>
      </c>
      <c r="E169" s="376" t="s">
        <v>56</v>
      </c>
      <c r="F169" s="608" t="s">
        <v>1133</v>
      </c>
      <c r="G169" s="695">
        <v>0.09</v>
      </c>
      <c r="H169" s="700">
        <v>1</v>
      </c>
      <c r="I169" s="626"/>
      <c r="J169" s="752"/>
      <c r="L169" s="608" t="s">
        <v>56</v>
      </c>
      <c r="M169" s="608" t="s">
        <v>959</v>
      </c>
      <c r="N169" s="608" t="s">
        <v>1124</v>
      </c>
      <c r="O169" s="608"/>
      <c r="P169" s="608" t="s">
        <v>1105</v>
      </c>
      <c r="Q169" s="608"/>
      <c r="R169" s="608">
        <v>0</v>
      </c>
      <c r="T169" s="752"/>
      <c r="V169" s="609">
        <f t="shared" si="7"/>
        <v>0</v>
      </c>
      <c r="W169" s="700"/>
    </row>
    <row r="170" spans="1:23" outlineLevel="3">
      <c r="A170" s="376"/>
      <c r="B170" s="376" t="s">
        <v>899</v>
      </c>
      <c r="C170" s="376" t="s">
        <v>1107</v>
      </c>
      <c r="D170" s="376" t="s">
        <v>518</v>
      </c>
      <c r="E170" s="376" t="s">
        <v>56</v>
      </c>
      <c r="F170" s="608" t="s">
        <v>1134</v>
      </c>
      <c r="G170" s="695">
        <v>0.09</v>
      </c>
      <c r="H170" s="700">
        <v>1</v>
      </c>
      <c r="I170" s="626"/>
      <c r="J170" s="752"/>
      <c r="L170" s="608" t="s">
        <v>56</v>
      </c>
      <c r="M170" s="608" t="s">
        <v>959</v>
      </c>
      <c r="N170" s="608" t="s">
        <v>1124</v>
      </c>
      <c r="O170" s="608"/>
      <c r="P170" s="608" t="s">
        <v>1105</v>
      </c>
      <c r="Q170" s="608"/>
      <c r="R170" s="608">
        <v>0</v>
      </c>
      <c r="T170" s="752"/>
      <c r="V170" s="609">
        <f t="shared" si="7"/>
        <v>0</v>
      </c>
      <c r="W170" s="700"/>
    </row>
    <row r="171" spans="1:23" ht="79.150000000000006" outlineLevel="3">
      <c r="A171" s="376"/>
      <c r="B171" s="376" t="s">
        <v>899</v>
      </c>
      <c r="C171" s="376" t="s">
        <v>1107</v>
      </c>
      <c r="D171" s="376" t="s">
        <v>518</v>
      </c>
      <c r="E171" s="376" t="s">
        <v>56</v>
      </c>
      <c r="F171" s="608" t="s">
        <v>1135</v>
      </c>
      <c r="G171" s="695">
        <v>0.13</v>
      </c>
      <c r="H171" s="700">
        <v>1</v>
      </c>
      <c r="I171" s="626"/>
      <c r="J171" s="752"/>
      <c r="L171" s="608" t="s">
        <v>56</v>
      </c>
      <c r="M171" s="608" t="s">
        <v>959</v>
      </c>
      <c r="N171" s="608" t="s">
        <v>1136</v>
      </c>
      <c r="O171" s="608"/>
      <c r="P171" s="608" t="s">
        <v>1105</v>
      </c>
      <c r="Q171" s="608"/>
      <c r="R171" s="608">
        <v>0</v>
      </c>
      <c r="T171" s="752"/>
      <c r="V171" s="609">
        <f t="shared" si="7"/>
        <v>0</v>
      </c>
      <c r="W171" s="700"/>
    </row>
    <row r="172" spans="1:23" ht="79.150000000000006" outlineLevel="3">
      <c r="A172" s="376"/>
      <c r="B172" s="376" t="s">
        <v>899</v>
      </c>
      <c r="C172" s="376" t="s">
        <v>1107</v>
      </c>
      <c r="D172" s="376" t="s">
        <v>518</v>
      </c>
      <c r="E172" s="376" t="s">
        <v>56</v>
      </c>
      <c r="F172" s="608" t="s">
        <v>1119</v>
      </c>
      <c r="G172" s="695">
        <v>0.13</v>
      </c>
      <c r="H172" s="700">
        <v>1</v>
      </c>
      <c r="I172" s="626"/>
      <c r="J172" s="752"/>
      <c r="L172" s="608" t="s">
        <v>56</v>
      </c>
      <c r="M172" s="608" t="s">
        <v>959</v>
      </c>
      <c r="N172" s="608" t="s">
        <v>1136</v>
      </c>
      <c r="O172" s="608"/>
      <c r="P172" s="608" t="s">
        <v>1105</v>
      </c>
      <c r="Q172" s="608"/>
      <c r="R172" s="608">
        <v>0</v>
      </c>
      <c r="T172" s="752"/>
      <c r="V172" s="609">
        <f t="shared" si="7"/>
        <v>0</v>
      </c>
      <c r="W172" s="700"/>
    </row>
    <row r="173" spans="1:23" s="612" customFormat="1" outlineLevel="1">
      <c r="A173" s="380"/>
      <c r="B173" s="666" t="s">
        <v>1137</v>
      </c>
      <c r="C173" s="666" t="s">
        <v>956</v>
      </c>
      <c r="D173" s="666"/>
      <c r="E173" s="666"/>
      <c r="F173" s="681" t="s">
        <v>947</v>
      </c>
      <c r="G173" s="701">
        <f>SUBTOTAL(9,G174:G185)</f>
        <v>0.63298114171514996</v>
      </c>
      <c r="H173" s="702">
        <f>SUBTOTAL(9,H174:H185)</f>
        <v>9</v>
      </c>
      <c r="I173" s="627"/>
      <c r="J173" s="754"/>
      <c r="L173" s="761"/>
      <c r="M173" s="761"/>
      <c r="N173" s="761"/>
      <c r="O173" s="761"/>
      <c r="P173" s="761"/>
      <c r="Q173" s="761"/>
      <c r="R173" s="761"/>
      <c r="T173" s="754"/>
      <c r="V173" s="701">
        <f>SUBTOTAL(9,V174:V185)</f>
        <v>0</v>
      </c>
      <c r="W173" s="702">
        <f>SUBTOTAL(9,W174:W185)</f>
        <v>0</v>
      </c>
    </row>
    <row r="174" spans="1:23" ht="26.45" outlineLevel="2">
      <c r="A174" s="376"/>
      <c r="B174" s="684" t="s">
        <v>1137</v>
      </c>
      <c r="C174" s="684" t="s">
        <v>956</v>
      </c>
      <c r="D174" s="684" t="s">
        <v>159</v>
      </c>
      <c r="E174" s="684"/>
      <c r="F174" s="685" t="s">
        <v>1138</v>
      </c>
      <c r="G174" s="686">
        <f>SUBTOTAL(9,G175:G177)</f>
        <v>0.30105801900000001</v>
      </c>
      <c r="H174" s="691">
        <f>SUBTOTAL(9,H175:H177)</f>
        <v>3</v>
      </c>
      <c r="I174" s="626"/>
      <c r="J174" s="752"/>
      <c r="L174" s="685"/>
      <c r="M174" s="685"/>
      <c r="N174" s="685"/>
      <c r="O174" s="685"/>
      <c r="P174" s="685"/>
      <c r="Q174" s="685"/>
      <c r="R174" s="685"/>
      <c r="T174" s="752"/>
      <c r="V174" s="686">
        <f>SUBTOTAL(9,V175:V177)</f>
        <v>0</v>
      </c>
      <c r="W174" s="691">
        <f>SUBTOTAL(9,W175:W177)</f>
        <v>0</v>
      </c>
    </row>
    <row r="175" spans="1:23" ht="26.45" outlineLevel="3">
      <c r="A175" s="376"/>
      <c r="B175" s="376" t="s">
        <v>1137</v>
      </c>
      <c r="C175" s="376" t="s">
        <v>956</v>
      </c>
      <c r="D175" s="376" t="s">
        <v>159</v>
      </c>
      <c r="E175" s="376" t="s">
        <v>1100</v>
      </c>
      <c r="F175" s="608" t="s">
        <v>1139</v>
      </c>
      <c r="G175" s="609">
        <v>0.13060359000000002</v>
      </c>
      <c r="H175" s="692">
        <v>1</v>
      </c>
      <c r="I175" s="626"/>
      <c r="J175" s="752"/>
      <c r="L175" s="608" t="s">
        <v>1100</v>
      </c>
      <c r="M175" s="608" t="s">
        <v>1090</v>
      </c>
      <c r="N175" s="608" t="s">
        <v>1110</v>
      </c>
      <c r="O175" s="608" t="s">
        <v>1140</v>
      </c>
      <c r="P175" s="608" t="s">
        <v>1111</v>
      </c>
      <c r="Q175" s="608"/>
      <c r="R175" s="608"/>
      <c r="T175" s="752"/>
      <c r="V175" s="609">
        <f>IF(W175=1,G175,0)</f>
        <v>0</v>
      </c>
      <c r="W175" s="692"/>
    </row>
    <row r="176" spans="1:23" ht="26.45" outlineLevel="3">
      <c r="A176" s="376"/>
      <c r="B176" s="376" t="s">
        <v>1137</v>
      </c>
      <c r="C176" s="376" t="s">
        <v>956</v>
      </c>
      <c r="D176" s="376" t="s">
        <v>159</v>
      </c>
      <c r="E176" s="376" t="s">
        <v>1100</v>
      </c>
      <c r="F176" s="608" t="s">
        <v>1141</v>
      </c>
      <c r="G176" s="609">
        <v>7.8362154000000003E-2</v>
      </c>
      <c r="H176" s="692">
        <v>1</v>
      </c>
      <c r="I176" s="626"/>
      <c r="J176" s="752"/>
      <c r="L176" s="608" t="s">
        <v>1100</v>
      </c>
      <c r="M176" s="608" t="s">
        <v>1090</v>
      </c>
      <c r="N176" s="608" t="s">
        <v>1110</v>
      </c>
      <c r="O176" s="608" t="s">
        <v>1140</v>
      </c>
      <c r="P176" s="608" t="s">
        <v>1111</v>
      </c>
      <c r="Q176" s="608"/>
      <c r="R176" s="608"/>
      <c r="T176" s="752"/>
      <c r="V176" s="609">
        <f>IF(W176=1,G176,0)</f>
        <v>0</v>
      </c>
      <c r="W176" s="692"/>
    </row>
    <row r="177" spans="1:23" ht="26.45" outlineLevel="3">
      <c r="A177" s="376"/>
      <c r="B177" s="376" t="s">
        <v>1137</v>
      </c>
      <c r="C177" s="376" t="s">
        <v>956</v>
      </c>
      <c r="D177" s="376" t="s">
        <v>159</v>
      </c>
      <c r="E177" s="376" t="s">
        <v>1100</v>
      </c>
      <c r="F177" s="608" t="s">
        <v>1142</v>
      </c>
      <c r="G177" s="609">
        <v>9.2092275000000001E-2</v>
      </c>
      <c r="H177" s="692">
        <v>1</v>
      </c>
      <c r="I177" s="626"/>
      <c r="J177" s="752"/>
      <c r="L177" s="608" t="s">
        <v>1100</v>
      </c>
      <c r="M177" s="608" t="s">
        <v>1090</v>
      </c>
      <c r="N177" s="608" t="s">
        <v>1110</v>
      </c>
      <c r="O177" s="608" t="s">
        <v>1140</v>
      </c>
      <c r="P177" s="608" t="s">
        <v>1111</v>
      </c>
      <c r="Q177" s="608"/>
      <c r="R177" s="608"/>
      <c r="T177" s="752"/>
      <c r="V177" s="609">
        <f>IF(W177=1,G177,0)</f>
        <v>0</v>
      </c>
      <c r="W177" s="692"/>
    </row>
    <row r="178" spans="1:23" ht="26.45" outlineLevel="2">
      <c r="A178" s="376"/>
      <c r="B178" s="684" t="s">
        <v>1137</v>
      </c>
      <c r="C178" s="684" t="s">
        <v>956</v>
      </c>
      <c r="D178" s="684" t="s">
        <v>518</v>
      </c>
      <c r="E178" s="684"/>
      <c r="F178" s="685" t="s">
        <v>1138</v>
      </c>
      <c r="G178" s="686">
        <f>SUBTOTAL(9,G179:G182)</f>
        <v>0.28480034280014982</v>
      </c>
      <c r="H178" s="691">
        <f>SUBTOTAL(9,H179:H182)</f>
        <v>4</v>
      </c>
      <c r="I178" s="626"/>
      <c r="J178" s="752"/>
      <c r="L178" s="685"/>
      <c r="M178" s="685"/>
      <c r="N178" s="685"/>
      <c r="O178" s="685"/>
      <c r="P178" s="685"/>
      <c r="Q178" s="685"/>
      <c r="R178" s="685"/>
      <c r="T178" s="752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1137</v>
      </c>
      <c r="C179" s="376" t="s">
        <v>956</v>
      </c>
      <c r="D179" s="376" t="s">
        <v>518</v>
      </c>
      <c r="E179" s="376" t="s">
        <v>56</v>
      </c>
      <c r="F179" s="608" t="s">
        <v>1139</v>
      </c>
      <c r="G179" s="609">
        <v>0.11799571852507491</v>
      </c>
      <c r="H179" s="692">
        <v>1</v>
      </c>
      <c r="I179" s="626"/>
      <c r="J179" s="752"/>
      <c r="L179" s="608" t="s">
        <v>56</v>
      </c>
      <c r="M179" s="608" t="s">
        <v>959</v>
      </c>
      <c r="N179" s="608" t="s">
        <v>1095</v>
      </c>
      <c r="O179" s="608"/>
      <c r="P179" s="608" t="s">
        <v>1143</v>
      </c>
      <c r="Q179" s="608"/>
      <c r="R179" s="608">
        <v>0</v>
      </c>
      <c r="T179" s="752"/>
      <c r="V179" s="609">
        <f>IF(W179=1,G179,0)</f>
        <v>0</v>
      </c>
      <c r="W179" s="692"/>
    </row>
    <row r="180" spans="1:23" outlineLevel="3">
      <c r="A180" s="376"/>
      <c r="B180" s="376" t="s">
        <v>1137</v>
      </c>
      <c r="C180" s="376" t="s">
        <v>956</v>
      </c>
      <c r="D180" s="376" t="s">
        <v>518</v>
      </c>
      <c r="E180" s="376" t="s">
        <v>56</v>
      </c>
      <c r="F180" s="608" t="s">
        <v>1141</v>
      </c>
      <c r="G180" s="609">
        <v>0.11799571852507491</v>
      </c>
      <c r="H180" s="692">
        <v>1</v>
      </c>
      <c r="I180" s="626"/>
      <c r="J180" s="752"/>
      <c r="L180" s="608" t="s">
        <v>56</v>
      </c>
      <c r="M180" s="608" t="s">
        <v>959</v>
      </c>
      <c r="N180" s="608" t="s">
        <v>1095</v>
      </c>
      <c r="O180" s="608"/>
      <c r="P180" s="608" t="s">
        <v>1143</v>
      </c>
      <c r="Q180" s="608"/>
      <c r="R180" s="608">
        <v>0</v>
      </c>
      <c r="T180" s="752"/>
      <c r="V180" s="609">
        <f>IF(W180=1,G180,0)</f>
        <v>0</v>
      </c>
      <c r="W180" s="692"/>
    </row>
    <row r="181" spans="1:23" outlineLevel="3">
      <c r="A181" s="376"/>
      <c r="B181" s="376" t="s">
        <v>1137</v>
      </c>
      <c r="C181" s="376" t="s">
        <v>956</v>
      </c>
      <c r="D181" s="376" t="s">
        <v>518</v>
      </c>
      <c r="E181" s="376" t="s">
        <v>56</v>
      </c>
      <c r="F181" s="608" t="s">
        <v>1144</v>
      </c>
      <c r="G181" s="609">
        <v>9.7617811500000009E-3</v>
      </c>
      <c r="H181" s="692">
        <v>1</v>
      </c>
      <c r="I181" s="626"/>
      <c r="J181" s="752"/>
      <c r="L181" s="608" t="s">
        <v>56</v>
      </c>
      <c r="M181" s="608"/>
      <c r="N181" s="608" t="s">
        <v>1145</v>
      </c>
      <c r="O181" s="608"/>
      <c r="P181" s="608"/>
      <c r="Q181" s="608"/>
      <c r="R181" s="608">
        <v>0</v>
      </c>
      <c r="T181" s="752"/>
      <c r="V181" s="609">
        <f>IF(W181=1,G181,0)</f>
        <v>0</v>
      </c>
      <c r="W181" s="692"/>
    </row>
    <row r="182" spans="1:23" outlineLevel="3">
      <c r="A182" s="376"/>
      <c r="B182" s="376" t="s">
        <v>1137</v>
      </c>
      <c r="C182" s="376" t="s">
        <v>956</v>
      </c>
      <c r="D182" s="376" t="s">
        <v>518</v>
      </c>
      <c r="E182" s="376" t="s">
        <v>56</v>
      </c>
      <c r="F182" s="608" t="s">
        <v>1142</v>
      </c>
      <c r="G182" s="609">
        <v>3.9047124600000004E-2</v>
      </c>
      <c r="H182" s="692">
        <v>1</v>
      </c>
      <c r="I182" s="626"/>
      <c r="J182" s="752"/>
      <c r="L182" s="608" t="s">
        <v>56</v>
      </c>
      <c r="M182" s="608"/>
      <c r="N182" s="608" t="s">
        <v>1145</v>
      </c>
      <c r="O182" s="608"/>
      <c r="P182" s="608"/>
      <c r="Q182" s="608"/>
      <c r="R182" s="608">
        <v>0</v>
      </c>
      <c r="T182" s="752"/>
      <c r="V182" s="609">
        <f>IF(W182=1,G182,0)</f>
        <v>0</v>
      </c>
      <c r="W182" s="692"/>
    </row>
    <row r="183" spans="1:23" ht="26.45" outlineLevel="2">
      <c r="A183" s="376"/>
      <c r="B183" s="684" t="s">
        <v>1137</v>
      </c>
      <c r="C183" s="684" t="s">
        <v>956</v>
      </c>
      <c r="D183" s="684" t="s">
        <v>441</v>
      </c>
      <c r="E183" s="684"/>
      <c r="F183" s="685" t="s">
        <v>1146</v>
      </c>
      <c r="G183" s="686">
        <f>SUBTOTAL(9,G184:G185)</f>
        <v>4.7122779914999996E-2</v>
      </c>
      <c r="H183" s="691">
        <f>SUBTOTAL(9,H184:H185)</f>
        <v>2</v>
      </c>
      <c r="I183" s="626"/>
      <c r="J183" s="752"/>
      <c r="L183" s="685"/>
      <c r="M183" s="685"/>
      <c r="N183" s="685"/>
      <c r="O183" s="685"/>
      <c r="P183" s="685"/>
      <c r="Q183" s="685"/>
      <c r="R183" s="685"/>
      <c r="T183" s="752"/>
      <c r="V183" s="686">
        <f>SUBTOTAL(9,V184:V185)</f>
        <v>0</v>
      </c>
      <c r="W183" s="691">
        <f>SUBTOTAL(9,W184:W185)</f>
        <v>0</v>
      </c>
    </row>
    <row r="184" spans="1:23" ht="39.6" outlineLevel="3">
      <c r="A184" s="376"/>
      <c r="B184" s="376" t="s">
        <v>1137</v>
      </c>
      <c r="C184" s="376" t="s">
        <v>956</v>
      </c>
      <c r="D184" s="376" t="s">
        <v>441</v>
      </c>
      <c r="E184" s="376" t="s">
        <v>437</v>
      </c>
      <c r="F184" s="608" t="s">
        <v>1139</v>
      </c>
      <c r="G184" s="609">
        <v>3.0822447240000002E-2</v>
      </c>
      <c r="H184" s="692">
        <v>1</v>
      </c>
      <c r="I184" s="626"/>
      <c r="J184" s="752"/>
      <c r="L184" s="608" t="s">
        <v>437</v>
      </c>
      <c r="M184" s="608" t="s">
        <v>966</v>
      </c>
      <c r="N184" s="608" t="s">
        <v>1147</v>
      </c>
      <c r="O184" s="608" t="s">
        <v>1148</v>
      </c>
      <c r="P184" s="608"/>
      <c r="Q184" s="608"/>
      <c r="R184" s="608"/>
      <c r="T184" s="752"/>
      <c r="V184" s="609">
        <f>IF(W184=1,G184,0)</f>
        <v>0</v>
      </c>
      <c r="W184" s="692"/>
    </row>
    <row r="185" spans="1:23" ht="39.6" outlineLevel="3">
      <c r="A185" s="376"/>
      <c r="B185" s="376" t="s">
        <v>1137</v>
      </c>
      <c r="C185" s="376" t="s">
        <v>956</v>
      </c>
      <c r="D185" s="376" t="s">
        <v>441</v>
      </c>
      <c r="E185" s="376" t="s">
        <v>437</v>
      </c>
      <c r="F185" s="608" t="s">
        <v>1142</v>
      </c>
      <c r="G185" s="609">
        <v>1.6300332674999998E-2</v>
      </c>
      <c r="H185" s="692">
        <v>1</v>
      </c>
      <c r="I185" s="626"/>
      <c r="J185" s="752"/>
      <c r="L185" s="608" t="s">
        <v>437</v>
      </c>
      <c r="M185" s="608" t="s">
        <v>966</v>
      </c>
      <c r="N185" s="608" t="s">
        <v>1147</v>
      </c>
      <c r="O185" s="608" t="s">
        <v>1148</v>
      </c>
      <c r="P185" s="608"/>
      <c r="Q185" s="608"/>
      <c r="R185" s="608"/>
      <c r="T185" s="752"/>
      <c r="V185" s="609">
        <f>IF(W185=1,G185,0)</f>
        <v>0</v>
      </c>
      <c r="W185" s="692"/>
    </row>
    <row r="186" spans="1:23" outlineLevel="1">
      <c r="A186" s="376"/>
      <c r="B186" s="665" t="s">
        <v>901</v>
      </c>
      <c r="C186" s="665" t="s">
        <v>1089</v>
      </c>
      <c r="D186" s="665"/>
      <c r="E186" s="665"/>
      <c r="F186" s="681" t="s">
        <v>947</v>
      </c>
      <c r="G186" s="701">
        <f>SUBTOTAL(9,G187:G199)</f>
        <v>0.87000000000000011</v>
      </c>
      <c r="H186" s="702">
        <f>SUBTOTAL(9,H187:H199)</f>
        <v>10</v>
      </c>
      <c r="I186" s="626"/>
      <c r="J186" s="752"/>
      <c r="L186" s="681"/>
      <c r="M186" s="681"/>
      <c r="N186" s="681"/>
      <c r="O186" s="681"/>
      <c r="P186" s="681"/>
      <c r="Q186" s="681"/>
      <c r="R186" s="681"/>
      <c r="T186" s="752"/>
      <c r="V186" s="701">
        <f>SUBTOTAL(9,V187:V199)</f>
        <v>0.14000000000000001</v>
      </c>
      <c r="W186" s="702">
        <f>SUBTOTAL(9,W187:W199)</f>
        <v>3</v>
      </c>
    </row>
    <row r="187" spans="1:23" outlineLevel="2">
      <c r="A187" s="376"/>
      <c r="B187" s="684" t="s">
        <v>901</v>
      </c>
      <c r="C187" s="684" t="s">
        <v>1089</v>
      </c>
      <c r="D187" s="684" t="s">
        <v>159</v>
      </c>
      <c r="E187" s="684"/>
      <c r="F187" s="685" t="s">
        <v>1022</v>
      </c>
      <c r="G187" s="713">
        <f>SUBTOTAL(9,G188:G191)</f>
        <v>0.45000000000000007</v>
      </c>
      <c r="H187" s="714">
        <f>SUBTOTAL(9,H188:H191)</f>
        <v>4</v>
      </c>
      <c r="I187" s="626"/>
      <c r="J187" s="752"/>
      <c r="L187" s="685"/>
      <c r="M187" s="685"/>
      <c r="N187" s="685"/>
      <c r="O187" s="685"/>
      <c r="P187" s="685"/>
      <c r="Q187" s="685"/>
      <c r="R187" s="685"/>
      <c r="T187" s="752"/>
      <c r="V187" s="713">
        <f>SUBTOTAL(9,V188:V191)</f>
        <v>0.06</v>
      </c>
      <c r="W187" s="714">
        <f>SUBTOTAL(9,W188:W191)</f>
        <v>2</v>
      </c>
    </row>
    <row r="188" spans="1:23" ht="26.45" outlineLevel="3">
      <c r="A188" s="376"/>
      <c r="B188" s="376" t="s">
        <v>901</v>
      </c>
      <c r="C188" s="376" t="s">
        <v>1089</v>
      </c>
      <c r="D188" s="376" t="s">
        <v>159</v>
      </c>
      <c r="E188" s="376" t="s">
        <v>1100</v>
      </c>
      <c r="F188" s="608" t="s">
        <v>1149</v>
      </c>
      <c r="G188" s="695">
        <v>0.3</v>
      </c>
      <c r="H188" s="700">
        <v>1</v>
      </c>
      <c r="I188" s="626"/>
      <c r="J188" s="752"/>
      <c r="L188" s="608" t="s">
        <v>1100</v>
      </c>
      <c r="M188" s="608" t="s">
        <v>1090</v>
      </c>
      <c r="N188" s="608" t="s">
        <v>1150</v>
      </c>
      <c r="O188" s="608" t="s">
        <v>1151</v>
      </c>
      <c r="P188" s="608" t="s">
        <v>1152</v>
      </c>
      <c r="Q188" s="608"/>
      <c r="R188" s="608"/>
      <c r="T188" s="752"/>
      <c r="V188" s="609">
        <f>IF(W188=1,G188,0)</f>
        <v>0</v>
      </c>
      <c r="W188" s="700"/>
    </row>
    <row r="189" spans="1:23" ht="26.45" outlineLevel="3">
      <c r="A189" s="376"/>
      <c r="B189" s="376" t="s">
        <v>901</v>
      </c>
      <c r="C189" s="376" t="s">
        <v>1089</v>
      </c>
      <c r="D189" s="376" t="s">
        <v>159</v>
      </c>
      <c r="E189" s="376" t="s">
        <v>1100</v>
      </c>
      <c r="F189" s="608" t="s">
        <v>1117</v>
      </c>
      <c r="G189" s="695">
        <v>0.09</v>
      </c>
      <c r="H189" s="700">
        <v>1</v>
      </c>
      <c r="I189" s="626"/>
      <c r="J189" s="752"/>
      <c r="L189" s="608" t="s">
        <v>1100</v>
      </c>
      <c r="M189" s="608" t="s">
        <v>1090</v>
      </c>
      <c r="N189" s="608" t="s">
        <v>1150</v>
      </c>
      <c r="O189" s="608" t="s">
        <v>1151</v>
      </c>
      <c r="P189" s="608" t="s">
        <v>1152</v>
      </c>
      <c r="Q189" s="608"/>
      <c r="R189" s="608"/>
      <c r="T189" s="752"/>
      <c r="V189" s="609">
        <f>IF(W189=1,G189,0)</f>
        <v>0</v>
      </c>
      <c r="W189" s="700"/>
    </row>
    <row r="190" spans="1:23" ht="26.45" outlineLevel="3">
      <c r="A190" s="376"/>
      <c r="B190" s="376" t="s">
        <v>901</v>
      </c>
      <c r="C190" s="376" t="s">
        <v>1089</v>
      </c>
      <c r="D190" s="376" t="s">
        <v>159</v>
      </c>
      <c r="E190" s="376" t="s">
        <v>1100</v>
      </c>
      <c r="F190" s="608" t="s">
        <v>1094</v>
      </c>
      <c r="G190" s="695">
        <v>0.03</v>
      </c>
      <c r="H190" s="700">
        <v>1</v>
      </c>
      <c r="I190" s="626"/>
      <c r="J190" s="752"/>
      <c r="L190" s="608" t="s">
        <v>1100</v>
      </c>
      <c r="M190" s="608" t="s">
        <v>1090</v>
      </c>
      <c r="N190" s="608" t="s">
        <v>1150</v>
      </c>
      <c r="O190" s="608" t="s">
        <v>1151</v>
      </c>
      <c r="P190" s="608" t="s">
        <v>1152</v>
      </c>
      <c r="Q190" s="608"/>
      <c r="R190" s="608"/>
      <c r="T190" s="752"/>
      <c r="V190" s="609">
        <f>IF(W190=1,G190,0)</f>
        <v>0.03</v>
      </c>
      <c r="W190" s="700">
        <v>1</v>
      </c>
    </row>
    <row r="191" spans="1:23" ht="26.45" outlineLevel="3">
      <c r="A191" s="376"/>
      <c r="B191" s="376" t="s">
        <v>901</v>
      </c>
      <c r="C191" s="376" t="s">
        <v>1089</v>
      </c>
      <c r="D191" s="376" t="s">
        <v>159</v>
      </c>
      <c r="E191" s="376" t="s">
        <v>1100</v>
      </c>
      <c r="F191" s="608" t="s">
        <v>1106</v>
      </c>
      <c r="G191" s="695">
        <v>0.03</v>
      </c>
      <c r="H191" s="700">
        <v>1</v>
      </c>
      <c r="I191" s="626"/>
      <c r="J191" s="752"/>
      <c r="L191" s="608" t="s">
        <v>1100</v>
      </c>
      <c r="M191" s="608" t="s">
        <v>1090</v>
      </c>
      <c r="N191" s="608" t="s">
        <v>1150</v>
      </c>
      <c r="O191" s="608" t="s">
        <v>1151</v>
      </c>
      <c r="P191" s="608" t="s">
        <v>1152</v>
      </c>
      <c r="Q191" s="608"/>
      <c r="R191" s="608"/>
      <c r="T191" s="752"/>
      <c r="V191" s="609">
        <f>IF(W191=1,G191,0)</f>
        <v>0.03</v>
      </c>
      <c r="W191" s="700">
        <v>1</v>
      </c>
    </row>
    <row r="192" spans="1:23" outlineLevel="2">
      <c r="A192" s="376"/>
      <c r="B192" s="684" t="s">
        <v>901</v>
      </c>
      <c r="C192" s="684" t="s">
        <v>1089</v>
      </c>
      <c r="D192" s="684" t="s">
        <v>518</v>
      </c>
      <c r="E192" s="684"/>
      <c r="F192" s="685" t="s">
        <v>1022</v>
      </c>
      <c r="G192" s="713">
        <f>SUBTOTAL(9,G193:G197)</f>
        <v>0.38000000000000006</v>
      </c>
      <c r="H192" s="714">
        <f>SUBTOTAL(9,H193:H197)</f>
        <v>5</v>
      </c>
      <c r="I192" s="626"/>
      <c r="J192" s="752"/>
      <c r="L192" s="685"/>
      <c r="M192" s="685"/>
      <c r="N192" s="685"/>
      <c r="O192" s="685"/>
      <c r="P192" s="685"/>
      <c r="Q192" s="685"/>
      <c r="R192" s="685"/>
      <c r="T192" s="752"/>
      <c r="V192" s="713">
        <f>SUBTOTAL(9,V193:V197)</f>
        <v>0.08</v>
      </c>
      <c r="W192" s="714">
        <f>SUBTOTAL(9,W193:W197)</f>
        <v>1</v>
      </c>
    </row>
    <row r="193" spans="1:23" ht="26.45" outlineLevel="3">
      <c r="A193" s="376"/>
      <c r="B193" s="376" t="s">
        <v>901</v>
      </c>
      <c r="C193" s="376" t="s">
        <v>1089</v>
      </c>
      <c r="D193" s="376" t="s">
        <v>518</v>
      </c>
      <c r="E193" s="376" t="s">
        <v>56</v>
      </c>
      <c r="F193" s="608" t="s">
        <v>1153</v>
      </c>
      <c r="G193" s="695">
        <v>0.08</v>
      </c>
      <c r="H193" s="700">
        <v>1</v>
      </c>
      <c r="I193" s="626"/>
      <c r="J193" s="752"/>
      <c r="L193" s="608" t="s">
        <v>56</v>
      </c>
      <c r="M193" s="608" t="s">
        <v>959</v>
      </c>
      <c r="N193" s="608" t="s">
        <v>1154</v>
      </c>
      <c r="O193" s="608"/>
      <c r="P193" s="608" t="s">
        <v>1155</v>
      </c>
      <c r="Q193" s="608"/>
      <c r="R193" s="608">
        <v>0</v>
      </c>
      <c r="T193" s="752"/>
      <c r="V193" s="609">
        <f>IF(W193=1,G193,0)</f>
        <v>0.08</v>
      </c>
      <c r="W193" s="700">
        <v>1</v>
      </c>
    </row>
    <row r="194" spans="1:23" outlineLevel="3">
      <c r="A194" s="376"/>
      <c r="B194" s="376" t="s">
        <v>901</v>
      </c>
      <c r="C194" s="376" t="s">
        <v>1089</v>
      </c>
      <c r="D194" s="376" t="s">
        <v>518</v>
      </c>
      <c r="E194" s="376" t="s">
        <v>56</v>
      </c>
      <c r="F194" s="608" t="s">
        <v>1156</v>
      </c>
      <c r="G194" s="609">
        <v>0.17</v>
      </c>
      <c r="H194" s="700">
        <v>1</v>
      </c>
      <c r="I194" s="626"/>
      <c r="J194" s="752"/>
      <c r="L194" s="608" t="s">
        <v>56</v>
      </c>
      <c r="M194" s="608" t="s">
        <v>959</v>
      </c>
      <c r="N194" s="608" t="s">
        <v>1154</v>
      </c>
      <c r="O194" s="608"/>
      <c r="P194" s="608" t="s">
        <v>1155</v>
      </c>
      <c r="Q194" s="608"/>
      <c r="R194" s="608">
        <v>0</v>
      </c>
      <c r="T194" s="752"/>
      <c r="V194" s="609">
        <f>IF(W194=1,G194,0)</f>
        <v>0</v>
      </c>
      <c r="W194" s="700"/>
    </row>
    <row r="195" spans="1:23" outlineLevel="3">
      <c r="A195" s="376"/>
      <c r="B195" s="376" t="s">
        <v>901</v>
      </c>
      <c r="C195" s="376" t="s">
        <v>1089</v>
      </c>
      <c r="D195" s="376" t="s">
        <v>518</v>
      </c>
      <c r="E195" s="376" t="s">
        <v>56</v>
      </c>
      <c r="F195" s="608" t="s">
        <v>1094</v>
      </c>
      <c r="G195" s="695">
        <v>0.03</v>
      </c>
      <c r="H195" s="700">
        <v>1</v>
      </c>
      <c r="I195" s="626"/>
      <c r="J195" s="752"/>
      <c r="L195" s="608" t="s">
        <v>56</v>
      </c>
      <c r="M195" s="608" t="s">
        <v>959</v>
      </c>
      <c r="N195" s="608" t="s">
        <v>1154</v>
      </c>
      <c r="O195" s="608"/>
      <c r="P195" s="608" t="s">
        <v>1155</v>
      </c>
      <c r="Q195" s="608"/>
      <c r="R195" s="608">
        <v>0</v>
      </c>
      <c r="T195" s="752"/>
      <c r="V195" s="609">
        <f>IF(W195=1,G195,0)</f>
        <v>0</v>
      </c>
      <c r="W195" s="700"/>
    </row>
    <row r="196" spans="1:23" outlineLevel="3">
      <c r="A196" s="376"/>
      <c r="B196" s="376" t="s">
        <v>901</v>
      </c>
      <c r="C196" s="376" t="s">
        <v>1089</v>
      </c>
      <c r="D196" s="376" t="s">
        <v>518</v>
      </c>
      <c r="E196" s="376" t="s">
        <v>56</v>
      </c>
      <c r="F196" s="608" t="s">
        <v>1106</v>
      </c>
      <c r="G196" s="695">
        <v>0.03</v>
      </c>
      <c r="H196" s="700">
        <v>1</v>
      </c>
      <c r="I196" s="626"/>
      <c r="J196" s="752"/>
      <c r="L196" s="608" t="s">
        <v>56</v>
      </c>
      <c r="M196" s="608" t="s">
        <v>959</v>
      </c>
      <c r="N196" s="608" t="s">
        <v>1154</v>
      </c>
      <c r="O196" s="608"/>
      <c r="P196" s="608" t="s">
        <v>1155</v>
      </c>
      <c r="Q196" s="608"/>
      <c r="R196" s="608">
        <v>0</v>
      </c>
      <c r="T196" s="752"/>
      <c r="V196" s="609">
        <f>IF(W196=1,G196,0)</f>
        <v>0</v>
      </c>
      <c r="W196" s="700"/>
    </row>
    <row r="197" spans="1:23" ht="26.45" outlineLevel="3">
      <c r="A197" s="376"/>
      <c r="B197" s="376" t="s">
        <v>901</v>
      </c>
      <c r="C197" s="376" t="s">
        <v>1089</v>
      </c>
      <c r="D197" s="376" t="s">
        <v>518</v>
      </c>
      <c r="E197" s="376" t="s">
        <v>56</v>
      </c>
      <c r="F197" s="608" t="s">
        <v>1157</v>
      </c>
      <c r="G197" s="695">
        <v>7.0000000000000007E-2</v>
      </c>
      <c r="H197" s="700">
        <v>1</v>
      </c>
      <c r="I197" s="626"/>
      <c r="J197" s="752"/>
      <c r="L197" s="608" t="s">
        <v>56</v>
      </c>
      <c r="M197" s="608" t="s">
        <v>959</v>
      </c>
      <c r="N197" s="608" t="s">
        <v>1154</v>
      </c>
      <c r="O197" s="608"/>
      <c r="P197" s="608" t="s">
        <v>1155</v>
      </c>
      <c r="Q197" s="608"/>
      <c r="R197" s="608">
        <v>0</v>
      </c>
      <c r="T197" s="752"/>
      <c r="V197" s="609">
        <f>IF(W197=1,G197,0)</f>
        <v>0</v>
      </c>
      <c r="W197" s="700"/>
    </row>
    <row r="198" spans="1:23" outlineLevel="2">
      <c r="A198" s="376"/>
      <c r="B198" s="684" t="s">
        <v>901</v>
      </c>
      <c r="C198" s="684" t="s">
        <v>1089</v>
      </c>
      <c r="D198" s="684" t="s">
        <v>441</v>
      </c>
      <c r="E198" s="684"/>
      <c r="F198" s="685" t="s">
        <v>1022</v>
      </c>
      <c r="G198" s="713">
        <f>SUBTOTAL(9,G199)</f>
        <v>0.04</v>
      </c>
      <c r="H198" s="714">
        <f>SUBTOTAL(9,H199)</f>
        <v>1</v>
      </c>
      <c r="I198" s="626"/>
      <c r="J198" s="752"/>
      <c r="L198" s="685"/>
      <c r="M198" s="685"/>
      <c r="N198" s="685"/>
      <c r="O198" s="685"/>
      <c r="P198" s="685"/>
      <c r="Q198" s="685"/>
      <c r="R198" s="685"/>
      <c r="T198" s="752"/>
      <c r="V198" s="713">
        <f>SUBTOTAL(9,V199)</f>
        <v>0</v>
      </c>
      <c r="W198" s="714">
        <f>SUBTOTAL(9,W199)</f>
        <v>0</v>
      </c>
    </row>
    <row r="199" spans="1:23" ht="39.6" outlineLevel="3">
      <c r="A199" s="376"/>
      <c r="B199" s="376" t="s">
        <v>901</v>
      </c>
      <c r="C199" s="376" t="s">
        <v>1089</v>
      </c>
      <c r="D199" s="376" t="s">
        <v>441</v>
      </c>
      <c r="E199" s="376" t="s">
        <v>437</v>
      </c>
      <c r="F199" s="608" t="s">
        <v>1106</v>
      </c>
      <c r="G199" s="695">
        <v>0.04</v>
      </c>
      <c r="H199" s="700">
        <v>1</v>
      </c>
      <c r="I199" s="626"/>
      <c r="J199" s="752"/>
      <c r="L199" s="608" t="s">
        <v>437</v>
      </c>
      <c r="M199" s="608" t="s">
        <v>966</v>
      </c>
      <c r="N199" s="608" t="s">
        <v>967</v>
      </c>
      <c r="O199" s="608" t="s">
        <v>995</v>
      </c>
      <c r="P199" s="608"/>
      <c r="Q199" s="608"/>
      <c r="R199" s="608"/>
      <c r="T199" s="752"/>
      <c r="V199" s="609">
        <f>IF(W199=1,G199,0)</f>
        <v>0</v>
      </c>
      <c r="W199" s="700"/>
    </row>
    <row r="200" spans="1:23" outlineLevel="1">
      <c r="A200" s="376"/>
      <c r="B200" s="665" t="s">
        <v>162</v>
      </c>
      <c r="C200" s="665" t="s">
        <v>162</v>
      </c>
      <c r="D200" s="665"/>
      <c r="E200" s="665"/>
      <c r="F200" s="681" t="s">
        <v>947</v>
      </c>
      <c r="G200" s="701">
        <f>SUBTOTAL(9,G201:G212)</f>
        <v>2.6025837640930845</v>
      </c>
      <c r="H200" s="702">
        <f>SUBTOTAL(9,H201:H212)</f>
        <v>9</v>
      </c>
      <c r="I200" s="626"/>
      <c r="J200" s="752"/>
      <c r="L200" s="681"/>
      <c r="M200" s="681"/>
      <c r="N200" s="681"/>
      <c r="O200" s="681"/>
      <c r="P200" s="681"/>
      <c r="Q200" s="681"/>
      <c r="R200" s="681"/>
      <c r="T200" s="752"/>
      <c r="V200" s="701">
        <f>SUBTOTAL(9,V201:V212)</f>
        <v>4.9573986319083101E-2</v>
      </c>
      <c r="W200" s="702">
        <f>SUBTOTAL(9,W201:W212)</f>
        <v>1</v>
      </c>
    </row>
    <row r="201" spans="1:23" ht="26.45" outlineLevel="2">
      <c r="A201" s="376"/>
      <c r="B201" s="684" t="s">
        <v>162</v>
      </c>
      <c r="C201" s="684" t="s">
        <v>162</v>
      </c>
      <c r="D201" s="684" t="s">
        <v>159</v>
      </c>
      <c r="E201" s="684"/>
      <c r="F201" s="685" t="s">
        <v>1158</v>
      </c>
      <c r="G201" s="713">
        <f>SUBTOTAL(9,G202:G205)</f>
        <v>1.547754763030085</v>
      </c>
      <c r="H201" s="714">
        <f>SUBTOTAL(9,H202:H205)</f>
        <v>4</v>
      </c>
      <c r="I201" s="626"/>
      <c r="J201" s="752"/>
      <c r="L201" s="685"/>
      <c r="M201" s="685"/>
      <c r="N201" s="685"/>
      <c r="O201" s="685"/>
      <c r="P201" s="685"/>
      <c r="Q201" s="685"/>
      <c r="R201" s="685"/>
      <c r="T201" s="752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162</v>
      </c>
      <c r="C202" s="376" t="s">
        <v>162</v>
      </c>
      <c r="D202" s="376" t="s">
        <v>159</v>
      </c>
      <c r="E202" s="376" t="s">
        <v>1159</v>
      </c>
      <c r="F202" s="608" t="s">
        <v>1160</v>
      </c>
      <c r="G202" s="695">
        <v>0.61910190521203401</v>
      </c>
      <c r="H202" s="700">
        <v>1</v>
      </c>
      <c r="I202" s="626"/>
      <c r="J202" s="752"/>
      <c r="L202" s="608" t="s">
        <v>1159</v>
      </c>
      <c r="M202" s="608" t="s">
        <v>1161</v>
      </c>
      <c r="N202" s="608" t="s">
        <v>1162</v>
      </c>
      <c r="O202" s="608" t="s">
        <v>1163</v>
      </c>
      <c r="P202" s="608"/>
      <c r="Q202" s="608"/>
      <c r="R202" s="608"/>
      <c r="T202" s="752"/>
      <c r="V202" s="609">
        <f>IF(W202=1,G202,0)</f>
        <v>0</v>
      </c>
      <c r="W202" s="700"/>
    </row>
    <row r="203" spans="1:23" outlineLevel="3">
      <c r="A203" s="376"/>
      <c r="B203" s="376" t="s">
        <v>162</v>
      </c>
      <c r="C203" s="376" t="s">
        <v>162</v>
      </c>
      <c r="D203" s="376" t="s">
        <v>159</v>
      </c>
      <c r="E203" s="376" t="s">
        <v>1159</v>
      </c>
      <c r="F203" s="608" t="s">
        <v>1164</v>
      </c>
      <c r="G203" s="695">
        <v>0.61910190521203401</v>
      </c>
      <c r="H203" s="700">
        <v>1</v>
      </c>
      <c r="I203" s="626"/>
      <c r="J203" s="752"/>
      <c r="L203" s="608" t="s">
        <v>1159</v>
      </c>
      <c r="M203" s="608" t="s">
        <v>1161</v>
      </c>
      <c r="N203" s="608" t="s">
        <v>1162</v>
      </c>
      <c r="O203" s="608" t="s">
        <v>1163</v>
      </c>
      <c r="P203" s="608"/>
      <c r="Q203" s="608"/>
      <c r="R203" s="608"/>
      <c r="T203" s="752"/>
      <c r="V203" s="609">
        <f>IF(W203=1,G203,0)</f>
        <v>0</v>
      </c>
      <c r="W203" s="700"/>
    </row>
    <row r="204" spans="1:23" outlineLevel="3">
      <c r="A204" s="376"/>
      <c r="B204" s="376" t="s">
        <v>162</v>
      </c>
      <c r="C204" s="376" t="s">
        <v>162</v>
      </c>
      <c r="D204" s="376" t="s">
        <v>159</v>
      </c>
      <c r="E204" s="376" t="s">
        <v>1159</v>
      </c>
      <c r="F204" s="608" t="s">
        <v>1165</v>
      </c>
      <c r="G204" s="695">
        <v>0.1547754763030085</v>
      </c>
      <c r="H204" s="700">
        <v>1</v>
      </c>
      <c r="I204" s="626"/>
      <c r="J204" s="752"/>
      <c r="L204" s="608" t="s">
        <v>1159</v>
      </c>
      <c r="M204" s="608" t="s">
        <v>1161</v>
      </c>
      <c r="N204" s="608" t="s">
        <v>1162</v>
      </c>
      <c r="O204" s="608" t="s">
        <v>1163</v>
      </c>
      <c r="P204" s="608"/>
      <c r="Q204" s="608"/>
      <c r="R204" s="608"/>
      <c r="T204" s="752"/>
      <c r="V204" s="609">
        <f>IF(W204=1,G204,0)</f>
        <v>0</v>
      </c>
      <c r="W204" s="700"/>
    </row>
    <row r="205" spans="1:23" outlineLevel="3">
      <c r="A205" s="376"/>
      <c r="B205" s="376" t="s">
        <v>162</v>
      </c>
      <c r="C205" s="376" t="s">
        <v>162</v>
      </c>
      <c r="D205" s="376" t="s">
        <v>159</v>
      </c>
      <c r="E205" s="376" t="s">
        <v>1159</v>
      </c>
      <c r="F205" s="608" t="s">
        <v>245</v>
      </c>
      <c r="G205" s="609">
        <v>0.1547754763030085</v>
      </c>
      <c r="H205" s="692">
        <v>1</v>
      </c>
      <c r="J205" s="752"/>
      <c r="L205" s="608" t="s">
        <v>1159</v>
      </c>
      <c r="M205" s="608" t="s">
        <v>1161</v>
      </c>
      <c r="N205" s="608" t="s">
        <v>1162</v>
      </c>
      <c r="O205" s="608" t="s">
        <v>1163</v>
      </c>
      <c r="P205" s="608"/>
      <c r="Q205" s="608"/>
      <c r="R205" s="608"/>
      <c r="T205" s="752"/>
      <c r="V205" s="609">
        <f>IF(W205=1,G205,0)</f>
        <v>0</v>
      </c>
      <c r="W205" s="692"/>
    </row>
    <row r="206" spans="1:23" ht="26.45" outlineLevel="2">
      <c r="A206" s="376"/>
      <c r="B206" s="684" t="s">
        <v>162</v>
      </c>
      <c r="C206" s="684" t="s">
        <v>162</v>
      </c>
      <c r="D206" s="684" t="s">
        <v>518</v>
      </c>
      <c r="E206" s="684"/>
      <c r="F206" s="685" t="s">
        <v>1166</v>
      </c>
      <c r="G206" s="713">
        <f>SUBTOTAL(9,G207:G210)</f>
        <v>1.005255014743917</v>
      </c>
      <c r="H206" s="714">
        <f>SUBTOTAL(9,H207:H210)</f>
        <v>4</v>
      </c>
      <c r="I206" s="626"/>
      <c r="J206" s="752"/>
      <c r="L206" s="685"/>
      <c r="M206" s="685"/>
      <c r="N206" s="685"/>
      <c r="O206" s="685"/>
      <c r="P206" s="685"/>
      <c r="Q206" s="685"/>
      <c r="R206" s="685"/>
      <c r="T206" s="752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162</v>
      </c>
      <c r="C207" s="376" t="s">
        <v>162</v>
      </c>
      <c r="D207" s="376" t="s">
        <v>518</v>
      </c>
      <c r="E207" s="376" t="s">
        <v>56</v>
      </c>
      <c r="F207" s="608" t="s">
        <v>1167</v>
      </c>
      <c r="G207" s="695">
        <v>0.40295193575893268</v>
      </c>
      <c r="H207" s="700">
        <v>1</v>
      </c>
      <c r="I207" s="626"/>
      <c r="J207" s="752"/>
      <c r="L207" s="608" t="s">
        <v>56</v>
      </c>
      <c r="M207" s="608" t="s">
        <v>959</v>
      </c>
      <c r="N207" s="608" t="s">
        <v>960</v>
      </c>
      <c r="O207" s="608"/>
      <c r="P207" s="608" t="s">
        <v>1168</v>
      </c>
      <c r="Q207" s="608"/>
      <c r="R207" s="608">
        <v>0</v>
      </c>
      <c r="T207" s="752"/>
      <c r="V207" s="609">
        <f>IF(W207=1,G207,0)</f>
        <v>0</v>
      </c>
      <c r="W207" s="700"/>
    </row>
    <row r="208" spans="1:23" outlineLevel="3">
      <c r="A208" s="376"/>
      <c r="B208" s="376" t="s">
        <v>162</v>
      </c>
      <c r="C208" s="376" t="s">
        <v>162</v>
      </c>
      <c r="D208" s="376" t="s">
        <v>518</v>
      </c>
      <c r="E208" s="376" t="s">
        <v>56</v>
      </c>
      <c r="F208" s="608" t="s">
        <v>104</v>
      </c>
      <c r="G208" s="695">
        <v>0.33579327979911056</v>
      </c>
      <c r="H208" s="700">
        <v>1</v>
      </c>
      <c r="I208" s="626"/>
      <c r="J208" s="752"/>
      <c r="L208" s="608" t="s">
        <v>56</v>
      </c>
      <c r="M208" s="608" t="s">
        <v>959</v>
      </c>
      <c r="N208" s="608" t="s">
        <v>960</v>
      </c>
      <c r="O208" s="608"/>
      <c r="P208" s="608" t="s">
        <v>1168</v>
      </c>
      <c r="Q208" s="608"/>
      <c r="R208" s="608">
        <v>0</v>
      </c>
      <c r="T208" s="752"/>
      <c r="V208" s="609">
        <f>IF(W208=1,G208,0)</f>
        <v>0</v>
      </c>
      <c r="W208" s="700"/>
    </row>
    <row r="209" spans="1:23" outlineLevel="3">
      <c r="A209" s="376"/>
      <c r="B209" s="376" t="s">
        <v>162</v>
      </c>
      <c r="C209" s="376" t="s">
        <v>162</v>
      </c>
      <c r="D209" s="376" t="s">
        <v>518</v>
      </c>
      <c r="E209" s="376" t="s">
        <v>56</v>
      </c>
      <c r="F209" s="608" t="s">
        <v>1160</v>
      </c>
      <c r="G209" s="695">
        <v>0.21693581286679067</v>
      </c>
      <c r="H209" s="700">
        <v>1</v>
      </c>
      <c r="I209" s="626"/>
      <c r="J209" s="752"/>
      <c r="L209" s="608" t="s">
        <v>56</v>
      </c>
      <c r="M209" s="608" t="s">
        <v>959</v>
      </c>
      <c r="N209" s="608" t="s">
        <v>1169</v>
      </c>
      <c r="O209" s="608"/>
      <c r="P209" s="608" t="s">
        <v>1168</v>
      </c>
      <c r="Q209" s="608"/>
      <c r="R209" s="608">
        <v>0</v>
      </c>
      <c r="T209" s="752"/>
      <c r="V209" s="609">
        <f>IF(W209=1,G209,0)</f>
        <v>0</v>
      </c>
      <c r="W209" s="700"/>
    </row>
    <row r="210" spans="1:23" outlineLevel="3">
      <c r="A210" s="376"/>
      <c r="B210" s="376" t="s">
        <v>162</v>
      </c>
      <c r="C210" s="376" t="s">
        <v>162</v>
      </c>
      <c r="D210" s="376" t="s">
        <v>518</v>
      </c>
      <c r="E210" s="376" t="s">
        <v>56</v>
      </c>
      <c r="F210" s="608" t="s">
        <v>1170</v>
      </c>
      <c r="G210" s="609">
        <v>4.9573986319083066E-2</v>
      </c>
      <c r="H210" s="692">
        <v>1</v>
      </c>
      <c r="I210" s="626"/>
      <c r="J210" s="752"/>
      <c r="L210" s="608" t="s">
        <v>56</v>
      </c>
      <c r="M210" s="608" t="s">
        <v>959</v>
      </c>
      <c r="N210" s="608" t="s">
        <v>1169</v>
      </c>
      <c r="O210" s="608"/>
      <c r="P210" s="608" t="s">
        <v>1168</v>
      </c>
      <c r="Q210" s="608"/>
      <c r="R210" s="608">
        <v>0</v>
      </c>
      <c r="T210" s="752"/>
      <c r="V210" s="609">
        <f>IF(W210=1,G210,0)</f>
        <v>0</v>
      </c>
      <c r="W210" s="692"/>
    </row>
    <row r="211" spans="1:23" outlineLevel="2">
      <c r="A211" s="376"/>
      <c r="B211" s="684" t="s">
        <v>162</v>
      </c>
      <c r="C211" s="684" t="s">
        <v>162</v>
      </c>
      <c r="D211" s="684" t="s">
        <v>441</v>
      </c>
      <c r="E211" s="684"/>
      <c r="F211" s="685" t="s">
        <v>1171</v>
      </c>
      <c r="G211" s="713">
        <f>SUBTOTAL(9,G212)</f>
        <v>4.9573986319083101E-2</v>
      </c>
      <c r="H211" s="714">
        <f>SUBTOTAL(9,H212)</f>
        <v>1</v>
      </c>
      <c r="I211" s="626"/>
      <c r="J211" s="752"/>
      <c r="L211" s="685"/>
      <c r="M211" s="685"/>
      <c r="N211" s="685"/>
      <c r="O211" s="685"/>
      <c r="P211" s="685"/>
      <c r="Q211" s="685"/>
      <c r="R211" s="685"/>
      <c r="T211" s="752"/>
      <c r="V211" s="713">
        <f>SUBTOTAL(9,V212)</f>
        <v>4.9573986319083101E-2</v>
      </c>
      <c r="W211" s="714">
        <f>SUBTOTAL(9,W212)</f>
        <v>1</v>
      </c>
    </row>
    <row r="212" spans="1:23" ht="39.6" outlineLevel="3">
      <c r="A212" s="376"/>
      <c r="B212" s="376" t="s">
        <v>162</v>
      </c>
      <c r="C212" s="376" t="s">
        <v>162</v>
      </c>
      <c r="D212" s="376" t="s">
        <v>441</v>
      </c>
      <c r="E212" s="376" t="s">
        <v>437</v>
      </c>
      <c r="F212" s="608" t="s">
        <v>1172</v>
      </c>
      <c r="G212" s="695">
        <v>4.9573986319083101E-2</v>
      </c>
      <c r="H212" s="700">
        <v>1</v>
      </c>
      <c r="I212" s="626"/>
      <c r="J212" s="752"/>
      <c r="L212" s="608" t="s">
        <v>437</v>
      </c>
      <c r="M212" s="608" t="s">
        <v>966</v>
      </c>
      <c r="N212" s="608" t="s">
        <v>1173</v>
      </c>
      <c r="O212" s="608" t="s">
        <v>1174</v>
      </c>
      <c r="P212" s="608"/>
      <c r="Q212" s="608"/>
      <c r="R212" s="608"/>
      <c r="T212" s="752"/>
      <c r="V212" s="609">
        <f>IF(W212=1,G212,0)</f>
        <v>4.9573986319083101E-2</v>
      </c>
      <c r="W212" s="700">
        <v>1</v>
      </c>
    </row>
    <row r="213" spans="1:23" outlineLevel="1">
      <c r="A213" s="376"/>
      <c r="B213" s="665" t="s">
        <v>1175</v>
      </c>
      <c r="C213" s="665" t="s">
        <v>1018</v>
      </c>
      <c r="D213" s="665"/>
      <c r="E213" s="665"/>
      <c r="F213" s="681" t="s">
        <v>947</v>
      </c>
      <c r="G213" s="701">
        <f>SUBTOTAL(9,G214:G215)</f>
        <v>0.03</v>
      </c>
      <c r="H213" s="702">
        <f>SUBTOTAL(9,H214:H215)</f>
        <v>1</v>
      </c>
      <c r="I213" s="626"/>
      <c r="J213" s="752"/>
      <c r="L213" s="681"/>
      <c r="M213" s="681"/>
      <c r="N213" s="681"/>
      <c r="O213" s="681"/>
      <c r="P213" s="681"/>
      <c r="Q213" s="681"/>
      <c r="R213" s="681"/>
      <c r="T213" s="752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1175</v>
      </c>
      <c r="C214" s="684" t="s">
        <v>1018</v>
      </c>
      <c r="D214" s="684" t="s">
        <v>518</v>
      </c>
      <c r="E214" s="684"/>
      <c r="F214" s="685" t="s">
        <v>1022</v>
      </c>
      <c r="G214" s="713">
        <f>SUBTOTAL(9,G215)</f>
        <v>0.03</v>
      </c>
      <c r="H214" s="714">
        <f>SUBTOTAL(9,H215)</f>
        <v>1</v>
      </c>
      <c r="I214" s="626"/>
      <c r="J214" s="752"/>
      <c r="L214" s="685"/>
      <c r="M214" s="685"/>
      <c r="N214" s="685"/>
      <c r="O214" s="685"/>
      <c r="P214" s="685"/>
      <c r="Q214" s="685"/>
      <c r="R214" s="685"/>
      <c r="T214" s="752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1175</v>
      </c>
      <c r="C215" s="376" t="s">
        <v>1018</v>
      </c>
      <c r="D215" s="376" t="s">
        <v>518</v>
      </c>
      <c r="E215" s="376" t="s">
        <v>56</v>
      </c>
      <c r="F215" s="608" t="s">
        <v>1167</v>
      </c>
      <c r="G215" s="695">
        <v>0.03</v>
      </c>
      <c r="H215" s="700">
        <v>1</v>
      </c>
      <c r="I215" s="626"/>
      <c r="J215" s="752"/>
      <c r="L215" s="608" t="s">
        <v>56</v>
      </c>
      <c r="M215" s="608" t="s">
        <v>1008</v>
      </c>
      <c r="N215" s="608" t="s">
        <v>1078</v>
      </c>
      <c r="O215" s="608"/>
      <c r="P215" s="608" t="s">
        <v>1155</v>
      </c>
      <c r="Q215" s="608"/>
      <c r="R215" s="608">
        <v>0</v>
      </c>
      <c r="T215" s="752"/>
      <c r="V215" s="609">
        <f>IF(W215=1,G215,0)</f>
        <v>0.03</v>
      </c>
      <c r="W215" s="700">
        <v>1</v>
      </c>
    </row>
    <row r="216" spans="1:23" outlineLevel="1">
      <c r="A216" s="376"/>
      <c r="B216" s="666" t="s">
        <v>252</v>
      </c>
      <c r="C216" s="666" t="s">
        <v>252</v>
      </c>
      <c r="D216" s="666"/>
      <c r="E216" s="666"/>
      <c r="F216" s="681" t="s">
        <v>947</v>
      </c>
      <c r="G216" s="701">
        <f>SUBTOTAL(9,G217:G252)</f>
        <v>7.528195722463928</v>
      </c>
      <c r="H216" s="702">
        <f>SUBTOTAL(9,H217:H252)</f>
        <v>33</v>
      </c>
      <c r="I216" s="626"/>
      <c r="J216" s="752"/>
      <c r="L216" s="761"/>
      <c r="M216" s="761"/>
      <c r="N216" s="761"/>
      <c r="O216" s="761"/>
      <c r="P216" s="761"/>
      <c r="Q216" s="761"/>
      <c r="R216" s="761"/>
      <c r="T216" s="752"/>
      <c r="V216" s="701">
        <f>SUBTOTAL(9,V217:V252)</f>
        <v>0.4333573200000001</v>
      </c>
      <c r="W216" s="702">
        <f>SUBTOTAL(9,W217:W252)</f>
        <v>4</v>
      </c>
    </row>
    <row r="217" spans="1:23" outlineLevel="2">
      <c r="A217" s="376"/>
      <c r="B217" s="684" t="s">
        <v>252</v>
      </c>
      <c r="C217" s="684" t="s">
        <v>252</v>
      </c>
      <c r="D217" s="684" t="s">
        <v>159</v>
      </c>
      <c r="E217" s="687"/>
      <c r="F217" s="685" t="s">
        <v>1176</v>
      </c>
      <c r="G217" s="713">
        <f>SUBTOTAL(9,G218:G228)</f>
        <v>5.7305795176560004</v>
      </c>
      <c r="H217" s="714">
        <f>SUBTOTAL(9,H218:H228)</f>
        <v>11</v>
      </c>
      <c r="I217" s="626"/>
      <c r="J217" s="752"/>
      <c r="L217" s="717"/>
      <c r="M217" s="717"/>
      <c r="N217" s="717"/>
      <c r="O217" s="717"/>
      <c r="P217" s="717"/>
      <c r="Q217" s="717"/>
      <c r="R217" s="717"/>
      <c r="T217" s="752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252</v>
      </c>
      <c r="C218" s="376" t="s">
        <v>252</v>
      </c>
      <c r="D218" s="376" t="s">
        <v>159</v>
      </c>
      <c r="E218" s="387" t="s">
        <v>1159</v>
      </c>
      <c r="F218" s="608" t="s">
        <v>75</v>
      </c>
      <c r="G218" s="609">
        <v>7.3716905132000007E-2</v>
      </c>
      <c r="H218" s="692">
        <v>1</v>
      </c>
      <c r="I218" s="626"/>
      <c r="J218" s="752"/>
      <c r="L218" s="705" t="s">
        <v>1159</v>
      </c>
      <c r="M218" s="705" t="s">
        <v>1177</v>
      </c>
      <c r="N218" s="705" t="s">
        <v>1178</v>
      </c>
      <c r="O218" s="705" t="s">
        <v>1179</v>
      </c>
      <c r="P218" s="705"/>
      <c r="Q218" s="705"/>
      <c r="R218" s="705"/>
      <c r="T218" s="752"/>
      <c r="V218" s="609">
        <f t="shared" ref="V218:V228" si="8">IF(W218=1,G218,0)</f>
        <v>0</v>
      </c>
      <c r="W218" s="692"/>
    </row>
    <row r="219" spans="1:23" s="728" customFormat="1" outlineLevel="3">
      <c r="A219" s="376" t="s">
        <v>1180</v>
      </c>
      <c r="B219" s="376" t="s">
        <v>252</v>
      </c>
      <c r="C219" s="376" t="s">
        <v>252</v>
      </c>
      <c r="D219" s="376" t="s">
        <v>159</v>
      </c>
      <c r="E219" s="387" t="s">
        <v>1159</v>
      </c>
      <c r="F219" s="608" t="s">
        <v>957</v>
      </c>
      <c r="G219" s="609">
        <v>7.3716905132000007E-2</v>
      </c>
      <c r="H219" s="692">
        <v>1</v>
      </c>
      <c r="I219" s="626"/>
      <c r="J219" s="752"/>
      <c r="K219" s="416"/>
      <c r="L219" s="705" t="s">
        <v>1159</v>
      </c>
      <c r="M219" s="705" t="s">
        <v>1177</v>
      </c>
      <c r="N219" s="705" t="s">
        <v>1178</v>
      </c>
      <c r="O219" s="705" t="s">
        <v>1179</v>
      </c>
      <c r="P219" s="705"/>
      <c r="Q219" s="705"/>
      <c r="R219" s="705"/>
      <c r="S219" s="416"/>
      <c r="T219" s="752"/>
      <c r="U219" s="416"/>
      <c r="V219" s="609">
        <f t="shared" si="8"/>
        <v>0</v>
      </c>
      <c r="W219" s="692"/>
    </row>
    <row r="220" spans="1:23" outlineLevel="3">
      <c r="A220" s="376"/>
      <c r="B220" s="376" t="s">
        <v>252</v>
      </c>
      <c r="C220" s="376" t="s">
        <v>252</v>
      </c>
      <c r="D220" s="376" t="s">
        <v>159</v>
      </c>
      <c r="E220" s="387" t="s">
        <v>1159</v>
      </c>
      <c r="F220" s="608" t="s">
        <v>1004</v>
      </c>
      <c r="G220" s="609">
        <v>7.3716905132000007E-2</v>
      </c>
      <c r="H220" s="700">
        <v>1</v>
      </c>
      <c r="I220" s="626"/>
      <c r="J220" s="752"/>
      <c r="L220" s="705" t="s">
        <v>1159</v>
      </c>
      <c r="M220" s="705" t="s">
        <v>1177</v>
      </c>
      <c r="N220" s="705" t="s">
        <v>1178</v>
      </c>
      <c r="O220" s="705" t="s">
        <v>1179</v>
      </c>
      <c r="P220" s="705"/>
      <c r="Q220" s="705"/>
      <c r="R220" s="705"/>
      <c r="T220" s="752"/>
      <c r="V220" s="609">
        <f t="shared" si="8"/>
        <v>0</v>
      </c>
      <c r="W220" s="700"/>
    </row>
    <row r="221" spans="1:23" outlineLevel="3">
      <c r="A221" s="376"/>
      <c r="B221" s="376" t="s">
        <v>252</v>
      </c>
      <c r="C221" s="376" t="s">
        <v>252</v>
      </c>
      <c r="D221" s="376" t="s">
        <v>159</v>
      </c>
      <c r="E221" s="387" t="s">
        <v>1159</v>
      </c>
      <c r="F221" s="608" t="s">
        <v>1181</v>
      </c>
      <c r="G221" s="609">
        <v>6.4031962499999998E-2</v>
      </c>
      <c r="H221" s="700">
        <v>1</v>
      </c>
      <c r="I221" s="626"/>
      <c r="J221" s="752"/>
      <c r="L221" s="705" t="s">
        <v>1159</v>
      </c>
      <c r="M221" s="705" t="s">
        <v>1177</v>
      </c>
      <c r="N221" s="705" t="s">
        <v>1178</v>
      </c>
      <c r="O221" s="705" t="s">
        <v>1179</v>
      </c>
      <c r="P221" s="705"/>
      <c r="Q221" s="705"/>
      <c r="R221" s="705"/>
      <c r="T221" s="752"/>
      <c r="V221" s="609">
        <f t="shared" si="8"/>
        <v>0</v>
      </c>
      <c r="W221" s="700"/>
    </row>
    <row r="222" spans="1:23" outlineLevel="3">
      <c r="A222" s="376"/>
      <c r="B222" s="376" t="s">
        <v>252</v>
      </c>
      <c r="C222" s="376" t="s">
        <v>252</v>
      </c>
      <c r="D222" s="376" t="s">
        <v>159</v>
      </c>
      <c r="E222" s="387" t="s">
        <v>1159</v>
      </c>
      <c r="F222" s="608" t="s">
        <v>1182</v>
      </c>
      <c r="G222" s="609">
        <v>0.54994955184000005</v>
      </c>
      <c r="H222" s="700">
        <v>1</v>
      </c>
      <c r="I222" s="626"/>
      <c r="J222" s="752"/>
      <c r="L222" s="705" t="s">
        <v>1159</v>
      </c>
      <c r="M222" s="705" t="s">
        <v>1177</v>
      </c>
      <c r="N222" s="705" t="s">
        <v>1178</v>
      </c>
      <c r="O222" s="705" t="s">
        <v>1179</v>
      </c>
      <c r="P222" s="705"/>
      <c r="Q222" s="705"/>
      <c r="R222" s="705"/>
      <c r="T222" s="752"/>
      <c r="V222" s="609">
        <f t="shared" si="8"/>
        <v>0</v>
      </c>
      <c r="W222" s="700"/>
    </row>
    <row r="223" spans="1:23" outlineLevel="3">
      <c r="A223" s="376"/>
      <c r="B223" s="376" t="s">
        <v>252</v>
      </c>
      <c r="C223" s="376" t="s">
        <v>252</v>
      </c>
      <c r="D223" s="376" t="s">
        <v>159</v>
      </c>
      <c r="E223" s="387" t="s">
        <v>1159</v>
      </c>
      <c r="F223" s="608" t="s">
        <v>1183</v>
      </c>
      <c r="G223" s="609">
        <v>0.27497477592000003</v>
      </c>
      <c r="H223" s="700">
        <v>1</v>
      </c>
      <c r="I223" s="626"/>
      <c r="J223" s="752"/>
      <c r="L223" s="705" t="s">
        <v>1159</v>
      </c>
      <c r="M223" s="705" t="s">
        <v>1177</v>
      </c>
      <c r="N223" s="705" t="s">
        <v>1178</v>
      </c>
      <c r="O223" s="705" t="s">
        <v>1179</v>
      </c>
      <c r="P223" s="705"/>
      <c r="Q223" s="705"/>
      <c r="R223" s="705"/>
      <c r="T223" s="752"/>
      <c r="V223" s="609">
        <f t="shared" si="8"/>
        <v>0</v>
      </c>
      <c r="W223" s="700"/>
    </row>
    <row r="224" spans="1:23" outlineLevel="3">
      <c r="A224" s="376"/>
      <c r="B224" s="376" t="s">
        <v>252</v>
      </c>
      <c r="C224" s="376" t="s">
        <v>252</v>
      </c>
      <c r="D224" s="376" t="s">
        <v>159</v>
      </c>
      <c r="E224" s="387" t="s">
        <v>1159</v>
      </c>
      <c r="F224" s="608" t="s">
        <v>1184</v>
      </c>
      <c r="G224" s="609">
        <v>2.2352362560000003</v>
      </c>
      <c r="H224" s="700">
        <v>1</v>
      </c>
      <c r="I224" s="626"/>
      <c r="J224" s="752"/>
      <c r="L224" s="705" t="s">
        <v>1159</v>
      </c>
      <c r="M224" s="705" t="s">
        <v>1177</v>
      </c>
      <c r="N224" s="705" t="s">
        <v>1178</v>
      </c>
      <c r="O224" s="705" t="s">
        <v>1179</v>
      </c>
      <c r="P224" s="705"/>
      <c r="Q224" s="705"/>
      <c r="R224" s="705"/>
      <c r="T224" s="752"/>
      <c r="V224" s="609">
        <f t="shared" si="8"/>
        <v>0</v>
      </c>
      <c r="W224" s="700"/>
    </row>
    <row r="225" spans="1:23" outlineLevel="3">
      <c r="A225" s="376"/>
      <c r="B225" s="376" t="s">
        <v>252</v>
      </c>
      <c r="C225" s="376" t="s">
        <v>252</v>
      </c>
      <c r="D225" s="376" t="s">
        <v>159</v>
      </c>
      <c r="E225" s="387" t="s">
        <v>1159</v>
      </c>
      <c r="F225" s="608" t="s">
        <v>1185</v>
      </c>
      <c r="G225" s="609">
        <v>2.2352362560000003</v>
      </c>
      <c r="H225" s="700">
        <v>1</v>
      </c>
      <c r="I225" s="626"/>
      <c r="J225" s="752"/>
      <c r="L225" s="705" t="s">
        <v>1159</v>
      </c>
      <c r="M225" s="705" t="s">
        <v>1177</v>
      </c>
      <c r="N225" s="705" t="s">
        <v>1178</v>
      </c>
      <c r="O225" s="705" t="s">
        <v>1179</v>
      </c>
      <c r="P225" s="705"/>
      <c r="Q225" s="705"/>
      <c r="R225" s="705"/>
      <c r="T225" s="752"/>
      <c r="V225" s="609">
        <f t="shared" si="8"/>
        <v>0</v>
      </c>
      <c r="W225" s="700"/>
    </row>
    <row r="226" spans="1:23" outlineLevel="3">
      <c r="A226" s="376"/>
      <c r="B226" s="376" t="s">
        <v>252</v>
      </c>
      <c r="C226" s="376" t="s">
        <v>252</v>
      </c>
      <c r="D226" s="376" t="s">
        <v>159</v>
      </c>
      <c r="E226" s="387" t="s">
        <v>1159</v>
      </c>
      <c r="F226" s="608" t="s">
        <v>1186</v>
      </c>
      <c r="G226" s="609"/>
      <c r="H226" s="700">
        <v>1</v>
      </c>
      <c r="I226" s="626"/>
      <c r="J226" s="752"/>
      <c r="L226" s="705" t="s">
        <v>1159</v>
      </c>
      <c r="M226" s="705" t="s">
        <v>1177</v>
      </c>
      <c r="N226" s="705" t="s">
        <v>1178</v>
      </c>
      <c r="O226" s="705" t="s">
        <v>1179</v>
      </c>
      <c r="P226" s="705"/>
      <c r="Q226" s="705"/>
      <c r="R226" s="705"/>
      <c r="T226" s="752"/>
      <c r="V226" s="609">
        <f t="shared" si="8"/>
        <v>0</v>
      </c>
      <c r="W226" s="700"/>
    </row>
    <row r="227" spans="1:23" outlineLevel="3">
      <c r="A227" s="376"/>
      <c r="B227" s="376" t="s">
        <v>252</v>
      </c>
      <c r="C227" s="376" t="s">
        <v>252</v>
      </c>
      <c r="D227" s="376" t="s">
        <v>159</v>
      </c>
      <c r="E227" s="387" t="s">
        <v>1159</v>
      </c>
      <c r="F227" s="608" t="s">
        <v>1160</v>
      </c>
      <c r="G227" s="609">
        <v>0.1125</v>
      </c>
      <c r="H227" s="700">
        <v>1</v>
      </c>
      <c r="I227" s="626"/>
      <c r="J227" s="752"/>
      <c r="L227" s="705" t="s">
        <v>1159</v>
      </c>
      <c r="M227" s="705" t="s">
        <v>1177</v>
      </c>
      <c r="N227" s="705" t="s">
        <v>1178</v>
      </c>
      <c r="O227" s="705" t="s">
        <v>1179</v>
      </c>
      <c r="P227" s="705"/>
      <c r="Q227" s="705"/>
      <c r="R227" s="705"/>
      <c r="T227" s="752"/>
      <c r="V227" s="609">
        <f t="shared" si="8"/>
        <v>0</v>
      </c>
      <c r="W227" s="700"/>
    </row>
    <row r="228" spans="1:23" outlineLevel="3">
      <c r="A228" s="376"/>
      <c r="B228" s="376" t="s">
        <v>252</v>
      </c>
      <c r="C228" s="376" t="s">
        <v>252</v>
      </c>
      <c r="D228" s="376" t="s">
        <v>159</v>
      </c>
      <c r="E228" s="387" t="s">
        <v>1159</v>
      </c>
      <c r="F228" s="608" t="s">
        <v>1170</v>
      </c>
      <c r="G228" s="609">
        <v>3.7499999999999999E-2</v>
      </c>
      <c r="H228" s="700">
        <v>1</v>
      </c>
      <c r="I228" s="626"/>
      <c r="J228" s="752"/>
      <c r="L228" s="705" t="s">
        <v>1159</v>
      </c>
      <c r="M228" s="705" t="s">
        <v>1177</v>
      </c>
      <c r="N228" s="705" t="s">
        <v>1178</v>
      </c>
      <c r="O228" s="705" t="s">
        <v>1179</v>
      </c>
      <c r="P228" s="705"/>
      <c r="Q228" s="705"/>
      <c r="R228" s="705"/>
      <c r="T228" s="752"/>
      <c r="V228" s="609">
        <f t="shared" si="8"/>
        <v>0</v>
      </c>
      <c r="W228" s="700"/>
    </row>
    <row r="229" spans="1:23" outlineLevel="2">
      <c r="A229" s="376"/>
      <c r="B229" s="684" t="s">
        <v>252</v>
      </c>
      <c r="C229" s="684" t="s">
        <v>252</v>
      </c>
      <c r="D229" s="684" t="s">
        <v>518</v>
      </c>
      <c r="E229" s="684"/>
      <c r="F229" s="685" t="s">
        <v>1176</v>
      </c>
      <c r="G229" s="713">
        <f>SUBTOTAL(9,G230:G250)</f>
        <v>1.7607628699200004</v>
      </c>
      <c r="H229" s="714">
        <f>SUBTOTAL(9,H230:H250)</f>
        <v>21</v>
      </c>
      <c r="I229" s="626"/>
      <c r="J229" s="752"/>
      <c r="L229" s="685"/>
      <c r="M229" s="685"/>
      <c r="N229" s="685"/>
      <c r="O229" s="685"/>
      <c r="P229" s="685"/>
      <c r="Q229" s="685"/>
      <c r="R229" s="685"/>
      <c r="T229" s="752"/>
      <c r="V229" s="713">
        <f>SUBTOTAL(9,V230:V250)</f>
        <v>0.4333573200000001</v>
      </c>
      <c r="W229" s="714">
        <f>SUBTOTAL(9,W230:W250)</f>
        <v>4</v>
      </c>
    </row>
    <row r="230" spans="1:23" outlineLevel="3">
      <c r="A230" s="376"/>
      <c r="B230" s="376" t="s">
        <v>252</v>
      </c>
      <c r="C230" s="376" t="s">
        <v>252</v>
      </c>
      <c r="D230" s="376" t="s">
        <v>518</v>
      </c>
      <c r="E230" s="376" t="s">
        <v>56</v>
      </c>
      <c r="F230" s="608" t="s">
        <v>1182</v>
      </c>
      <c r="G230" s="609">
        <v>0.5295810499200001</v>
      </c>
      <c r="H230" s="700">
        <v>1</v>
      </c>
      <c r="I230" s="626"/>
      <c r="J230" s="752"/>
      <c r="L230" s="608" t="s">
        <v>56</v>
      </c>
      <c r="M230" s="608" t="s">
        <v>959</v>
      </c>
      <c r="N230" s="608" t="s">
        <v>960</v>
      </c>
      <c r="O230" s="608" t="s">
        <v>1187</v>
      </c>
      <c r="P230" s="608" t="s">
        <v>965</v>
      </c>
      <c r="Q230" s="608"/>
      <c r="R230" s="608">
        <v>0</v>
      </c>
      <c r="T230" s="752"/>
      <c r="V230" s="609">
        <f t="shared" ref="V230:V250" si="9">IF(W230=1,G230,0)</f>
        <v>0</v>
      </c>
      <c r="W230" s="700"/>
    </row>
    <row r="231" spans="1:23" outlineLevel="3">
      <c r="A231" s="376"/>
      <c r="B231" s="376" t="s">
        <v>252</v>
      </c>
      <c r="C231" s="376" t="s">
        <v>252</v>
      </c>
      <c r="D231" s="376" t="s">
        <v>518</v>
      </c>
      <c r="E231" s="376" t="s">
        <v>56</v>
      </c>
      <c r="F231" s="608" t="s">
        <v>1188</v>
      </c>
      <c r="G231" s="609">
        <v>2.5612785000000002E-2</v>
      </c>
      <c r="H231" s="700">
        <v>1</v>
      </c>
      <c r="I231" s="626"/>
      <c r="J231" s="752"/>
      <c r="L231" s="608" t="s">
        <v>56</v>
      </c>
      <c r="M231" s="608" t="s">
        <v>959</v>
      </c>
      <c r="N231" s="608" t="s">
        <v>960</v>
      </c>
      <c r="O231" s="608" t="s">
        <v>1187</v>
      </c>
      <c r="P231" s="608" t="s">
        <v>965</v>
      </c>
      <c r="Q231" s="608"/>
      <c r="R231" s="608">
        <v>0</v>
      </c>
      <c r="T231" s="752"/>
      <c r="V231" s="609">
        <f t="shared" si="9"/>
        <v>0</v>
      </c>
      <c r="W231" s="700"/>
    </row>
    <row r="232" spans="1:23" outlineLevel="3">
      <c r="A232" s="376"/>
      <c r="B232" s="376" t="s">
        <v>252</v>
      </c>
      <c r="C232" s="376" t="s">
        <v>252</v>
      </c>
      <c r="D232" s="376" t="s">
        <v>518</v>
      </c>
      <c r="E232" s="376" t="s">
        <v>56</v>
      </c>
      <c r="F232" s="608" t="s">
        <v>1189</v>
      </c>
      <c r="G232" s="609">
        <v>2.5612785000000002E-2</v>
      </c>
      <c r="H232" s="700">
        <v>1</v>
      </c>
      <c r="I232" s="626"/>
      <c r="J232" s="752"/>
      <c r="L232" s="608" t="s">
        <v>56</v>
      </c>
      <c r="M232" s="608" t="s">
        <v>959</v>
      </c>
      <c r="N232" s="608" t="s">
        <v>960</v>
      </c>
      <c r="O232" s="608" t="s">
        <v>1187</v>
      </c>
      <c r="P232" s="608" t="s">
        <v>965</v>
      </c>
      <c r="Q232" s="608"/>
      <c r="R232" s="608">
        <v>0</v>
      </c>
      <c r="T232" s="752"/>
      <c r="V232" s="609">
        <f t="shared" si="9"/>
        <v>0</v>
      </c>
      <c r="W232" s="700"/>
    </row>
    <row r="233" spans="1:23" outlineLevel="3">
      <c r="A233" s="376">
        <v>1</v>
      </c>
      <c r="B233" s="376" t="s">
        <v>252</v>
      </c>
      <c r="C233" s="376" t="s">
        <v>252</v>
      </c>
      <c r="D233" s="376" t="s">
        <v>518</v>
      </c>
      <c r="E233" s="376" t="s">
        <v>56</v>
      </c>
      <c r="F233" s="608" t="s">
        <v>1190</v>
      </c>
      <c r="G233" s="609">
        <v>0.10833933000000003</v>
      </c>
      <c r="H233" s="700">
        <v>1</v>
      </c>
      <c r="I233" s="626"/>
      <c r="J233" s="752"/>
      <c r="L233" s="608" t="s">
        <v>56</v>
      </c>
      <c r="M233" s="608" t="s">
        <v>959</v>
      </c>
      <c r="N233" s="608" t="s">
        <v>960</v>
      </c>
      <c r="O233" s="608" t="s">
        <v>1187</v>
      </c>
      <c r="P233" s="608" t="s">
        <v>965</v>
      </c>
      <c r="Q233" s="608"/>
      <c r="R233" s="608">
        <v>0</v>
      </c>
      <c r="T233" s="752"/>
      <c r="V233" s="609">
        <f t="shared" si="9"/>
        <v>0.10833933000000003</v>
      </c>
      <c r="W233" s="787">
        <v>1</v>
      </c>
    </row>
    <row r="234" spans="1:23" outlineLevel="3">
      <c r="A234" s="376"/>
      <c r="B234" s="376" t="s">
        <v>252</v>
      </c>
      <c r="C234" s="376" t="s">
        <v>252</v>
      </c>
      <c r="D234" s="376" t="s">
        <v>518</v>
      </c>
      <c r="E234" s="376" t="s">
        <v>56</v>
      </c>
      <c r="F234" s="608" t="s">
        <v>1191</v>
      </c>
      <c r="G234" s="609">
        <v>5.4169665000000013E-2</v>
      </c>
      <c r="H234" s="700">
        <v>1</v>
      </c>
      <c r="I234" s="626"/>
      <c r="J234" s="752"/>
      <c r="L234" s="608" t="s">
        <v>56</v>
      </c>
      <c r="M234" s="608" t="s">
        <v>959</v>
      </c>
      <c r="N234" s="608" t="s">
        <v>960</v>
      </c>
      <c r="O234" s="608" t="s">
        <v>1187</v>
      </c>
      <c r="P234" s="608" t="s">
        <v>965</v>
      </c>
      <c r="Q234" s="608"/>
      <c r="R234" s="608">
        <v>0</v>
      </c>
      <c r="T234" s="752"/>
      <c r="V234" s="609">
        <f t="shared" si="9"/>
        <v>0</v>
      </c>
      <c r="W234" s="700"/>
    </row>
    <row r="235" spans="1:23" outlineLevel="3">
      <c r="A235" s="376"/>
      <c r="B235" s="376" t="s">
        <v>252</v>
      </c>
      <c r="C235" s="376" t="s">
        <v>252</v>
      </c>
      <c r="D235" s="376" t="s">
        <v>518</v>
      </c>
      <c r="E235" s="376" t="s">
        <v>56</v>
      </c>
      <c r="F235" s="608" t="s">
        <v>1192</v>
      </c>
      <c r="G235" s="609">
        <v>5.4169665000000013E-2</v>
      </c>
      <c r="H235" s="700">
        <v>1</v>
      </c>
      <c r="I235" s="626"/>
      <c r="J235" s="752"/>
      <c r="L235" s="608" t="s">
        <v>56</v>
      </c>
      <c r="M235" s="608" t="s">
        <v>959</v>
      </c>
      <c r="N235" s="608" t="s">
        <v>960</v>
      </c>
      <c r="O235" s="608" t="s">
        <v>1187</v>
      </c>
      <c r="P235" s="608" t="s">
        <v>965</v>
      </c>
      <c r="Q235" s="608"/>
      <c r="R235" s="608">
        <v>0</v>
      </c>
      <c r="T235" s="752"/>
      <c r="V235" s="609">
        <f t="shared" si="9"/>
        <v>0</v>
      </c>
      <c r="W235" s="700"/>
    </row>
    <row r="236" spans="1:23" outlineLevel="3">
      <c r="A236" s="376"/>
      <c r="B236" s="376" t="s">
        <v>252</v>
      </c>
      <c r="C236" s="376" t="s">
        <v>252</v>
      </c>
      <c r="D236" s="376" t="s">
        <v>518</v>
      </c>
      <c r="E236" s="376" t="s">
        <v>56</v>
      </c>
      <c r="F236" s="608" t="s">
        <v>1193</v>
      </c>
      <c r="G236" s="609">
        <v>0.10833933000000003</v>
      </c>
      <c r="H236" s="700">
        <v>1</v>
      </c>
      <c r="I236" s="626"/>
      <c r="J236" s="752"/>
      <c r="L236" s="608" t="s">
        <v>56</v>
      </c>
      <c r="M236" s="608" t="s">
        <v>959</v>
      </c>
      <c r="N236" s="608" t="s">
        <v>960</v>
      </c>
      <c r="O236" s="608" t="s">
        <v>1187</v>
      </c>
      <c r="P236" s="608" t="s">
        <v>965</v>
      </c>
      <c r="Q236" s="608"/>
      <c r="R236" s="608">
        <v>0</v>
      </c>
      <c r="T236" s="752"/>
      <c r="V236" s="609">
        <f t="shared" si="9"/>
        <v>0.10833933000000003</v>
      </c>
      <c r="W236" s="788">
        <v>1</v>
      </c>
    </row>
    <row r="237" spans="1:23" outlineLevel="3">
      <c r="A237" s="376"/>
      <c r="B237" s="376" t="s">
        <v>252</v>
      </c>
      <c r="C237" s="376" t="s">
        <v>252</v>
      </c>
      <c r="D237" s="376" t="s">
        <v>518</v>
      </c>
      <c r="E237" s="376" t="s">
        <v>56</v>
      </c>
      <c r="F237" s="608" t="s">
        <v>1194</v>
      </c>
      <c r="G237" s="609">
        <v>5.4169665000000013E-2</v>
      </c>
      <c r="H237" s="700">
        <v>1</v>
      </c>
      <c r="I237" s="626"/>
      <c r="J237" s="752"/>
      <c r="L237" s="608" t="s">
        <v>56</v>
      </c>
      <c r="M237" s="608" t="s">
        <v>959</v>
      </c>
      <c r="N237" s="608" t="s">
        <v>960</v>
      </c>
      <c r="O237" s="608" t="s">
        <v>1187</v>
      </c>
      <c r="P237" s="608" t="s">
        <v>965</v>
      </c>
      <c r="Q237" s="608"/>
      <c r="R237" s="608">
        <v>0</v>
      </c>
      <c r="T237" s="752"/>
      <c r="V237" s="609">
        <f t="shared" si="9"/>
        <v>0</v>
      </c>
      <c r="W237" s="700"/>
    </row>
    <row r="238" spans="1:23" outlineLevel="3">
      <c r="A238" s="376"/>
      <c r="B238" s="376" t="s">
        <v>252</v>
      </c>
      <c r="C238" s="376" t="s">
        <v>252</v>
      </c>
      <c r="D238" s="376" t="s">
        <v>518</v>
      </c>
      <c r="E238" s="376" t="s">
        <v>56</v>
      </c>
      <c r="F238" s="608" t="s">
        <v>1195</v>
      </c>
      <c r="G238" s="609">
        <v>5.4169665000000013E-2</v>
      </c>
      <c r="H238" s="700">
        <v>1</v>
      </c>
      <c r="I238" s="626"/>
      <c r="J238" s="752"/>
      <c r="L238" s="608" t="s">
        <v>56</v>
      </c>
      <c r="M238" s="608" t="s">
        <v>959</v>
      </c>
      <c r="N238" s="608" t="s">
        <v>960</v>
      </c>
      <c r="O238" s="608" t="s">
        <v>1187</v>
      </c>
      <c r="P238" s="608" t="s">
        <v>965</v>
      </c>
      <c r="Q238" s="608"/>
      <c r="R238" s="608">
        <v>0</v>
      </c>
      <c r="T238" s="752"/>
      <c r="V238" s="609">
        <f t="shared" si="9"/>
        <v>0</v>
      </c>
      <c r="W238" s="700"/>
    </row>
    <row r="239" spans="1:23" outlineLevel="3">
      <c r="A239" s="376"/>
      <c r="B239" s="376" t="s">
        <v>252</v>
      </c>
      <c r="C239" s="376" t="s">
        <v>252</v>
      </c>
      <c r="D239" s="376" t="s">
        <v>518</v>
      </c>
      <c r="E239" s="376" t="s">
        <v>56</v>
      </c>
      <c r="F239" s="608" t="s">
        <v>1196</v>
      </c>
      <c r="G239" s="609">
        <v>0.10833933000000003</v>
      </c>
      <c r="H239" s="700">
        <v>1</v>
      </c>
      <c r="I239" s="626"/>
      <c r="J239" s="752"/>
      <c r="L239" s="608" t="s">
        <v>56</v>
      </c>
      <c r="M239" s="608" t="s">
        <v>959</v>
      </c>
      <c r="N239" s="608" t="s">
        <v>960</v>
      </c>
      <c r="O239" s="608" t="s">
        <v>1187</v>
      </c>
      <c r="P239" s="608" t="s">
        <v>965</v>
      </c>
      <c r="Q239" s="608"/>
      <c r="R239" s="608">
        <v>0</v>
      </c>
      <c r="T239" s="752"/>
      <c r="V239" s="609">
        <f t="shared" si="9"/>
        <v>0.10833933000000003</v>
      </c>
      <c r="W239" s="788">
        <v>1</v>
      </c>
    </row>
    <row r="240" spans="1:23" outlineLevel="3">
      <c r="A240" s="376"/>
      <c r="B240" s="376" t="s">
        <v>252</v>
      </c>
      <c r="C240" s="376" t="s">
        <v>252</v>
      </c>
      <c r="D240" s="376" t="s">
        <v>518</v>
      </c>
      <c r="E240" s="376" t="s">
        <v>56</v>
      </c>
      <c r="F240" s="608" t="s">
        <v>1197</v>
      </c>
      <c r="G240" s="609">
        <v>5.4169665000000013E-2</v>
      </c>
      <c r="H240" s="700">
        <v>1</v>
      </c>
      <c r="I240" s="626"/>
      <c r="J240" s="752"/>
      <c r="L240" s="608" t="s">
        <v>56</v>
      </c>
      <c r="M240" s="608" t="s">
        <v>959</v>
      </c>
      <c r="N240" s="608" t="s">
        <v>960</v>
      </c>
      <c r="O240" s="608" t="s">
        <v>1187</v>
      </c>
      <c r="P240" s="608" t="s">
        <v>1168</v>
      </c>
      <c r="Q240" s="608"/>
      <c r="R240" s="608">
        <v>0</v>
      </c>
      <c r="T240" s="752"/>
      <c r="V240" s="609">
        <f t="shared" si="9"/>
        <v>0</v>
      </c>
      <c r="W240" s="700"/>
    </row>
    <row r="241" spans="1:23" outlineLevel="3">
      <c r="A241" s="376"/>
      <c r="B241" s="376" t="s">
        <v>252</v>
      </c>
      <c r="C241" s="376" t="s">
        <v>252</v>
      </c>
      <c r="D241" s="376" t="s">
        <v>518</v>
      </c>
      <c r="E241" s="376" t="s">
        <v>56</v>
      </c>
      <c r="F241" s="608" t="s">
        <v>1198</v>
      </c>
      <c r="G241" s="609">
        <v>5.4169665000000013E-2</v>
      </c>
      <c r="H241" s="700">
        <v>1</v>
      </c>
      <c r="I241" s="626"/>
      <c r="J241" s="752"/>
      <c r="L241" s="608" t="s">
        <v>56</v>
      </c>
      <c r="M241" s="608" t="s">
        <v>959</v>
      </c>
      <c r="N241" s="608" t="s">
        <v>960</v>
      </c>
      <c r="O241" s="608" t="s">
        <v>1187</v>
      </c>
      <c r="P241" s="608" t="s">
        <v>1168</v>
      </c>
      <c r="Q241" s="608"/>
      <c r="R241" s="608">
        <v>0</v>
      </c>
      <c r="T241" s="752"/>
      <c r="V241" s="609">
        <f t="shared" si="9"/>
        <v>0</v>
      </c>
      <c r="W241" s="700"/>
    </row>
    <row r="242" spans="1:23" outlineLevel="3">
      <c r="A242" s="376"/>
      <c r="B242" s="376" t="s">
        <v>252</v>
      </c>
      <c r="C242" s="376" t="s">
        <v>252</v>
      </c>
      <c r="D242" s="376" t="s">
        <v>518</v>
      </c>
      <c r="E242" s="376" t="s">
        <v>56</v>
      </c>
      <c r="F242" s="608" t="s">
        <v>1199</v>
      </c>
      <c r="G242" s="609">
        <v>0.10833933000000003</v>
      </c>
      <c r="H242" s="700">
        <v>1</v>
      </c>
      <c r="I242" s="626"/>
      <c r="J242" s="752"/>
      <c r="L242" s="608" t="s">
        <v>56</v>
      </c>
      <c r="M242" s="608" t="s">
        <v>959</v>
      </c>
      <c r="N242" s="608" t="s">
        <v>960</v>
      </c>
      <c r="O242" s="608" t="s">
        <v>1187</v>
      </c>
      <c r="P242" s="608" t="s">
        <v>1168</v>
      </c>
      <c r="Q242" s="608"/>
      <c r="R242" s="608">
        <v>0</v>
      </c>
      <c r="T242" s="752"/>
      <c r="V242" s="609">
        <f t="shared" si="9"/>
        <v>0</v>
      </c>
      <c r="W242" s="700"/>
    </row>
    <row r="243" spans="1:23" outlineLevel="3">
      <c r="A243" s="376"/>
      <c r="B243" s="376" t="s">
        <v>252</v>
      </c>
      <c r="C243" s="376" t="s">
        <v>252</v>
      </c>
      <c r="D243" s="376" t="s">
        <v>518</v>
      </c>
      <c r="E243" s="376" t="s">
        <v>56</v>
      </c>
      <c r="F243" s="608" t="s">
        <v>1200</v>
      </c>
      <c r="G243" s="609">
        <v>0.10833933000000003</v>
      </c>
      <c r="H243" s="700">
        <v>1</v>
      </c>
      <c r="I243" s="626"/>
      <c r="J243" s="752"/>
      <c r="L243" s="608" t="s">
        <v>56</v>
      </c>
      <c r="M243" s="608" t="s">
        <v>959</v>
      </c>
      <c r="N243" s="608" t="s">
        <v>960</v>
      </c>
      <c r="O243" s="608" t="s">
        <v>1187</v>
      </c>
      <c r="P243" s="608" t="s">
        <v>1168</v>
      </c>
      <c r="Q243" s="608"/>
      <c r="R243" s="608">
        <v>0</v>
      </c>
      <c r="T243" s="752"/>
      <c r="V243" s="609">
        <f t="shared" si="9"/>
        <v>0.10833933000000003</v>
      </c>
      <c r="W243" s="788">
        <v>1</v>
      </c>
    </row>
    <row r="244" spans="1:23" outlineLevel="3">
      <c r="A244" s="376"/>
      <c r="B244" s="376" t="s">
        <v>252</v>
      </c>
      <c r="C244" s="376" t="s">
        <v>252</v>
      </c>
      <c r="D244" s="376" t="s">
        <v>518</v>
      </c>
      <c r="E244" s="376" t="s">
        <v>56</v>
      </c>
      <c r="F244" s="608" t="s">
        <v>1201</v>
      </c>
      <c r="G244" s="609">
        <v>5.4169665000000013E-2</v>
      </c>
      <c r="H244" s="700">
        <v>1</v>
      </c>
      <c r="I244" s="626"/>
      <c r="J244" s="752"/>
      <c r="L244" s="608" t="s">
        <v>56</v>
      </c>
      <c r="M244" s="608" t="s">
        <v>959</v>
      </c>
      <c r="N244" s="608" t="s">
        <v>960</v>
      </c>
      <c r="O244" s="608" t="s">
        <v>1187</v>
      </c>
      <c r="P244" s="608" t="s">
        <v>1168</v>
      </c>
      <c r="Q244" s="608"/>
      <c r="R244" s="608">
        <v>0</v>
      </c>
      <c r="T244" s="752"/>
      <c r="V244" s="609">
        <f t="shared" si="9"/>
        <v>0</v>
      </c>
      <c r="W244" s="700"/>
    </row>
    <row r="245" spans="1:23" outlineLevel="3">
      <c r="A245" s="376"/>
      <c r="B245" s="376" t="s">
        <v>252</v>
      </c>
      <c r="C245" s="376" t="s">
        <v>252</v>
      </c>
      <c r="D245" s="376" t="s">
        <v>518</v>
      </c>
      <c r="E245" s="376" t="s">
        <v>56</v>
      </c>
      <c r="F245" s="608" t="s">
        <v>1202</v>
      </c>
      <c r="G245" s="609">
        <v>5.4169665000000013E-2</v>
      </c>
      <c r="H245" s="700">
        <v>1</v>
      </c>
      <c r="I245" s="626"/>
      <c r="J245" s="752"/>
      <c r="L245" s="608" t="s">
        <v>56</v>
      </c>
      <c r="M245" s="608" t="s">
        <v>959</v>
      </c>
      <c r="N245" s="608" t="s">
        <v>960</v>
      </c>
      <c r="O245" s="608" t="s">
        <v>1187</v>
      </c>
      <c r="P245" s="608" t="s">
        <v>1168</v>
      </c>
      <c r="Q245" s="608"/>
      <c r="R245" s="608">
        <v>0</v>
      </c>
      <c r="T245" s="752"/>
      <c r="V245" s="609">
        <f t="shared" si="9"/>
        <v>0</v>
      </c>
      <c r="W245" s="700"/>
    </row>
    <row r="246" spans="1:23" outlineLevel="3">
      <c r="A246" s="376"/>
      <c r="B246" s="376" t="s">
        <v>252</v>
      </c>
      <c r="C246" s="376" t="s">
        <v>252</v>
      </c>
      <c r="D246" s="376" t="s">
        <v>518</v>
      </c>
      <c r="E246" s="376" t="s">
        <v>56</v>
      </c>
      <c r="F246" s="608" t="s">
        <v>1203</v>
      </c>
      <c r="G246" s="609">
        <v>5.1225570000000005E-2</v>
      </c>
      <c r="H246" s="700">
        <v>1</v>
      </c>
      <c r="I246" s="626"/>
      <c r="J246" s="752"/>
      <c r="L246" s="608" t="s">
        <v>56</v>
      </c>
      <c r="M246" s="608" t="s">
        <v>959</v>
      </c>
      <c r="N246" s="608" t="s">
        <v>960</v>
      </c>
      <c r="O246" s="608" t="s">
        <v>1187</v>
      </c>
      <c r="P246" s="608" t="s">
        <v>1168</v>
      </c>
      <c r="Q246" s="608"/>
      <c r="R246" s="608">
        <v>0</v>
      </c>
      <c r="T246" s="752"/>
      <c r="V246" s="609">
        <f t="shared" si="9"/>
        <v>0</v>
      </c>
      <c r="W246" s="700"/>
    </row>
    <row r="247" spans="1:23" outlineLevel="3">
      <c r="A247" s="376"/>
      <c r="B247" s="376" t="s">
        <v>252</v>
      </c>
      <c r="C247" s="376" t="s">
        <v>252</v>
      </c>
      <c r="D247" s="376" t="s">
        <v>518</v>
      </c>
      <c r="E247" s="376" t="s">
        <v>56</v>
      </c>
      <c r="F247" s="608" t="s">
        <v>1204</v>
      </c>
      <c r="G247" s="609">
        <v>5.1225570000000005E-2</v>
      </c>
      <c r="H247" s="700">
        <v>1</v>
      </c>
      <c r="I247" s="626"/>
      <c r="J247" s="752"/>
      <c r="L247" s="608" t="s">
        <v>56</v>
      </c>
      <c r="M247" s="608" t="s">
        <v>959</v>
      </c>
      <c r="N247" s="608" t="s">
        <v>960</v>
      </c>
      <c r="O247" s="608" t="s">
        <v>1187</v>
      </c>
      <c r="P247" s="608" t="s">
        <v>1168</v>
      </c>
      <c r="Q247" s="608"/>
      <c r="R247" s="608">
        <v>0</v>
      </c>
      <c r="T247" s="752"/>
      <c r="V247" s="609">
        <f t="shared" si="9"/>
        <v>0</v>
      </c>
      <c r="W247" s="700"/>
    </row>
    <row r="248" spans="1:23" outlineLevel="3">
      <c r="A248" s="376"/>
      <c r="B248" s="376" t="s">
        <v>252</v>
      </c>
      <c r="C248" s="376" t="s">
        <v>252</v>
      </c>
      <c r="D248" s="376" t="s">
        <v>518</v>
      </c>
      <c r="E248" s="376" t="s">
        <v>56</v>
      </c>
      <c r="F248" s="608" t="s">
        <v>1205</v>
      </c>
      <c r="G248" s="609">
        <v>5.1225570000000005E-2</v>
      </c>
      <c r="H248" s="700">
        <v>1</v>
      </c>
      <c r="I248" s="626"/>
      <c r="J248" s="752"/>
      <c r="L248" s="608" t="s">
        <v>56</v>
      </c>
      <c r="M248" s="608" t="s">
        <v>959</v>
      </c>
      <c r="N248" s="608" t="s">
        <v>960</v>
      </c>
      <c r="O248" s="608" t="s">
        <v>1187</v>
      </c>
      <c r="P248" s="608" t="s">
        <v>1168</v>
      </c>
      <c r="Q248" s="608"/>
      <c r="R248" s="608">
        <v>0</v>
      </c>
      <c r="T248" s="752"/>
      <c r="V248" s="609">
        <f t="shared" si="9"/>
        <v>0</v>
      </c>
      <c r="W248" s="700"/>
    </row>
    <row r="249" spans="1:23" outlineLevel="3">
      <c r="A249" s="376"/>
      <c r="B249" s="376" t="s">
        <v>252</v>
      </c>
      <c r="C249" s="376" t="s">
        <v>252</v>
      </c>
      <c r="D249" s="376" t="s">
        <v>518</v>
      </c>
      <c r="E249" s="376" t="s">
        <v>56</v>
      </c>
      <c r="F249" s="608" t="s">
        <v>1206</v>
      </c>
      <c r="G249" s="609">
        <v>2.5612785000000002E-2</v>
      </c>
      <c r="H249" s="700">
        <v>1</v>
      </c>
      <c r="I249" s="626"/>
      <c r="J249" s="752"/>
      <c r="L249" s="608" t="s">
        <v>56</v>
      </c>
      <c r="M249" s="608" t="s">
        <v>959</v>
      </c>
      <c r="N249" s="608" t="s">
        <v>960</v>
      </c>
      <c r="O249" s="608" t="s">
        <v>1187</v>
      </c>
      <c r="P249" s="608" t="s">
        <v>1168</v>
      </c>
      <c r="Q249" s="608"/>
      <c r="R249" s="608">
        <v>0</v>
      </c>
      <c r="T249" s="752"/>
      <c r="V249" s="609">
        <f t="shared" si="9"/>
        <v>0</v>
      </c>
      <c r="W249" s="700"/>
    </row>
    <row r="250" spans="1:23" outlineLevel="3">
      <c r="A250" s="376"/>
      <c r="B250" s="376" t="s">
        <v>252</v>
      </c>
      <c r="C250" s="376" t="s">
        <v>252</v>
      </c>
      <c r="D250" s="376" t="s">
        <v>518</v>
      </c>
      <c r="E250" s="376" t="s">
        <v>56</v>
      </c>
      <c r="F250" s="608" t="s">
        <v>1207</v>
      </c>
      <c r="G250" s="609">
        <v>2.5612785000000002E-2</v>
      </c>
      <c r="H250" s="700">
        <v>1</v>
      </c>
      <c r="I250" s="626"/>
      <c r="J250" s="752"/>
      <c r="L250" s="608" t="s">
        <v>56</v>
      </c>
      <c r="M250" s="608" t="s">
        <v>959</v>
      </c>
      <c r="N250" s="608" t="s">
        <v>960</v>
      </c>
      <c r="O250" s="608" t="s">
        <v>1187</v>
      </c>
      <c r="P250" s="608" t="s">
        <v>1168</v>
      </c>
      <c r="Q250" s="608"/>
      <c r="R250" s="608">
        <v>0</v>
      </c>
      <c r="T250" s="752"/>
      <c r="V250" s="609">
        <f t="shared" si="9"/>
        <v>0</v>
      </c>
      <c r="W250" s="700"/>
    </row>
    <row r="251" spans="1:23" outlineLevel="2">
      <c r="A251" s="376"/>
      <c r="B251" s="684" t="s">
        <v>252</v>
      </c>
      <c r="C251" s="684" t="s">
        <v>252</v>
      </c>
      <c r="D251" s="684" t="s">
        <v>441</v>
      </c>
      <c r="E251" s="684"/>
      <c r="F251" s="685" t="s">
        <v>1176</v>
      </c>
      <c r="G251" s="713">
        <f>SUBTOTAL(9,G252)</f>
        <v>3.6853334887931043E-2</v>
      </c>
      <c r="H251" s="714">
        <f>SUBTOTAL(9,H252)</f>
        <v>1</v>
      </c>
      <c r="I251" s="626"/>
      <c r="J251" s="752"/>
      <c r="L251" s="685"/>
      <c r="M251" s="685"/>
      <c r="N251" s="685"/>
      <c r="O251" s="685"/>
      <c r="P251" s="685"/>
      <c r="Q251" s="685"/>
      <c r="R251" s="685"/>
      <c r="T251" s="752"/>
      <c r="V251" s="713">
        <f>SUBTOTAL(9,V252)</f>
        <v>0</v>
      </c>
      <c r="W251" s="714">
        <f>SUBTOTAL(9,W252)</f>
        <v>0</v>
      </c>
    </row>
    <row r="252" spans="1:23" ht="52.9" outlineLevel="3">
      <c r="A252" s="376"/>
      <c r="B252" s="376" t="s">
        <v>252</v>
      </c>
      <c r="C252" s="376" t="s">
        <v>252</v>
      </c>
      <c r="D252" s="376" t="s">
        <v>441</v>
      </c>
      <c r="E252" s="376" t="s">
        <v>437</v>
      </c>
      <c r="F252" s="608" t="s">
        <v>1208</v>
      </c>
      <c r="G252" s="609">
        <v>3.6853334887931043E-2</v>
      </c>
      <c r="H252" s="700">
        <v>1</v>
      </c>
      <c r="I252" s="626"/>
      <c r="J252" s="752"/>
      <c r="L252" s="608" t="s">
        <v>437</v>
      </c>
      <c r="M252" s="608" t="s">
        <v>966</v>
      </c>
      <c r="N252" s="608" t="s">
        <v>1209</v>
      </c>
      <c r="O252" s="608" t="s">
        <v>1210</v>
      </c>
      <c r="P252" s="608"/>
      <c r="Q252" s="608"/>
      <c r="R252" s="608"/>
      <c r="T252" s="752"/>
      <c r="V252" s="609">
        <f>IF(W252=1,G252,0)</f>
        <v>0</v>
      </c>
      <c r="W252" s="700"/>
    </row>
    <row r="253" spans="1:23" outlineLevel="1">
      <c r="A253" s="376"/>
      <c r="B253" s="665" t="s">
        <v>903</v>
      </c>
      <c r="C253" s="665" t="s">
        <v>903</v>
      </c>
      <c r="D253" s="665"/>
      <c r="E253" s="665"/>
      <c r="F253" s="681" t="s">
        <v>947</v>
      </c>
      <c r="G253" s="701">
        <f>SUBTOTAL(9,G254:G273)</f>
        <v>1.0950933246486447</v>
      </c>
      <c r="H253" s="702">
        <f>SUBTOTAL(9,H254:H273)</f>
        <v>15</v>
      </c>
      <c r="I253" s="626"/>
      <c r="J253" s="752"/>
      <c r="L253" s="681"/>
      <c r="M253" s="681"/>
      <c r="N253" s="681"/>
      <c r="O253" s="681"/>
      <c r="P253" s="681"/>
      <c r="Q253" s="681"/>
      <c r="R253" s="681"/>
      <c r="T253" s="752"/>
      <c r="V253" s="701">
        <f>SUBTOTAL(9,V254:V273)</f>
        <v>0</v>
      </c>
      <c r="W253" s="702">
        <f>SUBTOTAL(9,W254:W273)</f>
        <v>0</v>
      </c>
    </row>
    <row r="254" spans="1:23" ht="26.45" outlineLevel="2">
      <c r="A254" s="376"/>
      <c r="B254" s="684" t="s">
        <v>903</v>
      </c>
      <c r="C254" s="684" t="s">
        <v>903</v>
      </c>
      <c r="D254" s="684" t="s">
        <v>159</v>
      </c>
      <c r="E254" s="684"/>
      <c r="F254" s="685" t="s">
        <v>1211</v>
      </c>
      <c r="G254" s="713">
        <f>SUBTOTAL(9,G255:G263)</f>
        <v>0.72823846611302523</v>
      </c>
      <c r="H254" s="714">
        <f>SUBTOTAL(9,H255:H263)</f>
        <v>7</v>
      </c>
      <c r="I254" s="626"/>
      <c r="J254" s="752"/>
      <c r="L254" s="685"/>
      <c r="M254" s="685"/>
      <c r="N254" s="685"/>
      <c r="O254" s="685"/>
      <c r="P254" s="685"/>
      <c r="Q254" s="685"/>
      <c r="R254" s="685"/>
      <c r="T254" s="752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903</v>
      </c>
      <c r="C255" s="376" t="s">
        <v>903</v>
      </c>
      <c r="D255" s="376" t="s">
        <v>159</v>
      </c>
      <c r="E255" s="376" t="s">
        <v>1159</v>
      </c>
      <c r="F255" s="705" t="s">
        <v>1212</v>
      </c>
      <c r="G255" s="695">
        <v>0.25575333042562204</v>
      </c>
      <c r="H255" s="700">
        <v>1</v>
      </c>
      <c r="I255" s="626"/>
      <c r="J255" s="752"/>
      <c r="L255" s="608" t="s">
        <v>1159</v>
      </c>
      <c r="M255" s="608" t="s">
        <v>1177</v>
      </c>
      <c r="N255" s="608" t="s">
        <v>1179</v>
      </c>
      <c r="O255" s="608" t="s">
        <v>1213</v>
      </c>
      <c r="P255" s="608"/>
      <c r="Q255" s="608"/>
      <c r="R255" s="608"/>
      <c r="T255" s="752"/>
      <c r="V255" s="609">
        <f t="shared" ref="V255:V260" si="10">IF(W255=1,G255,0)</f>
        <v>0</v>
      </c>
      <c r="W255" s="700"/>
    </row>
    <row r="256" spans="1:23" outlineLevel="3">
      <c r="A256" s="376"/>
      <c r="B256" s="376" t="s">
        <v>903</v>
      </c>
      <c r="C256" s="376" t="s">
        <v>903</v>
      </c>
      <c r="D256" s="376" t="s">
        <v>159</v>
      </c>
      <c r="E256" s="376" t="s">
        <v>1159</v>
      </c>
      <c r="F256" s="608" t="s">
        <v>1214</v>
      </c>
      <c r="G256" s="695">
        <v>8.1564148364617506E-2</v>
      </c>
      <c r="H256" s="700">
        <v>1</v>
      </c>
      <c r="I256" s="626"/>
      <c r="J256" s="752"/>
      <c r="L256" s="608" t="s">
        <v>1159</v>
      </c>
      <c r="M256" s="608" t="s">
        <v>1177</v>
      </c>
      <c r="N256" s="608" t="s">
        <v>1179</v>
      </c>
      <c r="O256" s="608" t="s">
        <v>1213</v>
      </c>
      <c r="P256" s="608"/>
      <c r="Q256" s="608"/>
      <c r="R256" s="608"/>
      <c r="T256" s="752"/>
      <c r="V256" s="609">
        <f t="shared" si="10"/>
        <v>0</v>
      </c>
      <c r="W256" s="700"/>
    </row>
    <row r="257" spans="1:23" outlineLevel="3">
      <c r="A257" s="376"/>
      <c r="B257" s="376" t="s">
        <v>903</v>
      </c>
      <c r="C257" s="376" t="s">
        <v>903</v>
      </c>
      <c r="D257" s="376" t="s">
        <v>159</v>
      </c>
      <c r="E257" s="376" t="s">
        <v>1159</v>
      </c>
      <c r="F257" s="608" t="s">
        <v>1215</v>
      </c>
      <c r="G257" s="695">
        <v>0.18696938245168926</v>
      </c>
      <c r="H257" s="700">
        <v>1</v>
      </c>
      <c r="I257" s="626"/>
      <c r="J257" s="752"/>
      <c r="L257" s="608" t="s">
        <v>1159</v>
      </c>
      <c r="M257" s="608" t="s">
        <v>1177</v>
      </c>
      <c r="N257" s="608" t="s">
        <v>1179</v>
      </c>
      <c r="O257" s="608" t="s">
        <v>1213</v>
      </c>
      <c r="P257" s="608"/>
      <c r="Q257" s="608"/>
      <c r="R257" s="608"/>
      <c r="T257" s="752"/>
      <c r="V257" s="609">
        <f t="shared" si="10"/>
        <v>0</v>
      </c>
      <c r="W257" s="700"/>
    </row>
    <row r="258" spans="1:23" outlineLevel="3">
      <c r="A258" s="376"/>
      <c r="B258" s="376" t="s">
        <v>903</v>
      </c>
      <c r="C258" s="376" t="s">
        <v>903</v>
      </c>
      <c r="D258" s="376" t="s">
        <v>159</v>
      </c>
      <c r="E258" s="376" t="s">
        <v>1159</v>
      </c>
      <c r="F258" s="608" t="s">
        <v>1216</v>
      </c>
      <c r="G258" s="695">
        <v>2.7188049454872507E-2</v>
      </c>
      <c r="H258" s="700">
        <v>1</v>
      </c>
      <c r="I258" s="626"/>
      <c r="J258" s="752"/>
      <c r="L258" s="608" t="s">
        <v>1159</v>
      </c>
      <c r="M258" s="608" t="s">
        <v>1177</v>
      </c>
      <c r="N258" s="608" t="s">
        <v>1179</v>
      </c>
      <c r="O258" s="608" t="s">
        <v>1213</v>
      </c>
      <c r="P258" s="608"/>
      <c r="Q258" s="608"/>
      <c r="R258" s="608"/>
      <c r="T258" s="752"/>
      <c r="V258" s="609">
        <f t="shared" si="10"/>
        <v>0</v>
      </c>
      <c r="W258" s="700"/>
    </row>
    <row r="259" spans="1:23" outlineLevel="3">
      <c r="A259" s="376"/>
      <c r="B259" s="376" t="s">
        <v>903</v>
      </c>
      <c r="C259" s="376" t="s">
        <v>903</v>
      </c>
      <c r="D259" s="376" t="s">
        <v>159</v>
      </c>
      <c r="E259" s="376" t="s">
        <v>1159</v>
      </c>
      <c r="F259" s="608" t="s">
        <v>1217</v>
      </c>
      <c r="G259" s="695">
        <v>0.11218162947101355</v>
      </c>
      <c r="H259" s="700">
        <v>1</v>
      </c>
      <c r="I259" s="626"/>
      <c r="J259" s="752"/>
      <c r="L259" s="608" t="s">
        <v>1159</v>
      </c>
      <c r="M259" s="608" t="s">
        <v>1177</v>
      </c>
      <c r="N259" s="608" t="s">
        <v>1179</v>
      </c>
      <c r="O259" s="608" t="s">
        <v>1213</v>
      </c>
      <c r="P259" s="608"/>
      <c r="Q259" s="608"/>
      <c r="R259" s="608"/>
      <c r="T259" s="752"/>
      <c r="V259" s="609">
        <f t="shared" si="10"/>
        <v>0</v>
      </c>
      <c r="W259" s="700"/>
    </row>
    <row r="260" spans="1:23" outlineLevel="3">
      <c r="A260" s="376"/>
      <c r="B260" s="376" t="s">
        <v>903</v>
      </c>
      <c r="C260" s="376" t="s">
        <v>903</v>
      </c>
      <c r="D260" s="376" t="s">
        <v>159</v>
      </c>
      <c r="E260" s="376" t="s">
        <v>1159</v>
      </c>
      <c r="F260" s="608" t="s">
        <v>1218</v>
      </c>
      <c r="G260" s="695">
        <v>3.7393876490337853E-2</v>
      </c>
      <c r="H260" s="700">
        <v>1</v>
      </c>
      <c r="I260" s="626"/>
      <c r="J260" s="752"/>
      <c r="L260" s="608" t="s">
        <v>1159</v>
      </c>
      <c r="M260" s="608" t="s">
        <v>1177</v>
      </c>
      <c r="N260" s="608" t="s">
        <v>1179</v>
      </c>
      <c r="O260" s="608" t="s">
        <v>1213</v>
      </c>
      <c r="P260" s="608"/>
      <c r="Q260" s="608"/>
      <c r="R260" s="608"/>
      <c r="T260" s="752"/>
      <c r="V260" s="609">
        <f t="shared" si="10"/>
        <v>0</v>
      </c>
      <c r="W260" s="700"/>
    </row>
    <row r="261" spans="1:23" outlineLevel="3">
      <c r="A261" s="376"/>
      <c r="B261" s="376" t="s">
        <v>903</v>
      </c>
      <c r="C261" s="376" t="s">
        <v>903</v>
      </c>
      <c r="D261" s="376" t="s">
        <v>159</v>
      </c>
      <c r="E261" s="376" t="s">
        <v>1159</v>
      </c>
      <c r="F261" s="760" t="s">
        <v>1219</v>
      </c>
      <c r="G261" s="695"/>
      <c r="H261" s="700"/>
      <c r="I261" s="626"/>
      <c r="J261" s="752"/>
      <c r="L261" s="608" t="s">
        <v>1159</v>
      </c>
      <c r="M261" s="608"/>
      <c r="N261" s="608"/>
      <c r="O261" s="608"/>
      <c r="P261" s="608"/>
      <c r="Q261" s="608"/>
      <c r="R261" s="608"/>
      <c r="T261" s="752"/>
      <c r="V261" s="695"/>
      <c r="W261" s="700"/>
    </row>
    <row r="262" spans="1:23" outlineLevel="3">
      <c r="A262" s="376"/>
      <c r="B262" s="376" t="s">
        <v>903</v>
      </c>
      <c r="C262" s="376" t="s">
        <v>903</v>
      </c>
      <c r="D262" s="376" t="s">
        <v>159</v>
      </c>
      <c r="E262" s="376" t="s">
        <v>1159</v>
      </c>
      <c r="F262" s="608" t="s">
        <v>1220</v>
      </c>
      <c r="G262" s="695">
        <v>2.7188049454872507E-2</v>
      </c>
      <c r="H262" s="700">
        <v>1</v>
      </c>
      <c r="I262" s="626"/>
      <c r="J262" s="752"/>
      <c r="L262" s="608" t="s">
        <v>1159</v>
      </c>
      <c r="M262" s="608" t="s">
        <v>1177</v>
      </c>
      <c r="N262" s="608" t="s">
        <v>1179</v>
      </c>
      <c r="O262" s="608" t="s">
        <v>1213</v>
      </c>
      <c r="P262" s="608"/>
      <c r="Q262" s="608"/>
      <c r="R262" s="608"/>
      <c r="T262" s="752"/>
      <c r="V262" s="609">
        <f>IF(W262=1,G262,0)</f>
        <v>0</v>
      </c>
      <c r="W262" s="700"/>
    </row>
    <row r="263" spans="1:23" outlineLevel="3">
      <c r="A263" s="376"/>
      <c r="B263" s="376" t="s">
        <v>903</v>
      </c>
      <c r="C263" s="376" t="s">
        <v>903</v>
      </c>
      <c r="D263" s="376" t="s">
        <v>159</v>
      </c>
      <c r="E263" s="376" t="s">
        <v>1159</v>
      </c>
      <c r="F263" s="760" t="s">
        <v>1221</v>
      </c>
      <c r="G263" s="729"/>
      <c r="H263" s="700"/>
      <c r="I263" s="626"/>
      <c r="J263" s="752"/>
      <c r="L263" s="608" t="s">
        <v>1159</v>
      </c>
      <c r="M263" s="608"/>
      <c r="N263" s="608"/>
      <c r="O263" s="608"/>
      <c r="P263" s="608"/>
      <c r="Q263" s="608"/>
      <c r="R263" s="608"/>
      <c r="T263" s="752"/>
      <c r="V263" s="729"/>
      <c r="W263" s="700"/>
    </row>
    <row r="264" spans="1:23" outlineLevel="2">
      <c r="A264" s="376"/>
      <c r="B264" s="684" t="s">
        <v>903</v>
      </c>
      <c r="C264" s="684" t="s">
        <v>903</v>
      </c>
      <c r="D264" s="684" t="s">
        <v>518</v>
      </c>
      <c r="E264" s="684"/>
      <c r="F264" s="685" t="s">
        <v>1222</v>
      </c>
      <c r="G264" s="713">
        <f>SUBTOTAL(9,G265:G270)</f>
        <v>0.34545700083561953</v>
      </c>
      <c r="H264" s="714">
        <f>SUBTOTAL(9,H265:H270)</f>
        <v>6</v>
      </c>
      <c r="I264" s="626"/>
      <c r="J264" s="752"/>
      <c r="L264" s="685"/>
      <c r="M264" s="685"/>
      <c r="N264" s="685"/>
      <c r="O264" s="685"/>
      <c r="P264" s="685"/>
      <c r="Q264" s="685"/>
      <c r="R264" s="685"/>
      <c r="T264" s="752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903</v>
      </c>
      <c r="C265" s="376" t="s">
        <v>903</v>
      </c>
      <c r="D265" s="376" t="s">
        <v>518</v>
      </c>
      <c r="E265" s="376" t="s">
        <v>56</v>
      </c>
      <c r="F265" s="608" t="s">
        <v>1223</v>
      </c>
      <c r="G265" s="695">
        <v>0.20115878538561949</v>
      </c>
      <c r="H265" s="692">
        <v>1</v>
      </c>
      <c r="I265" s="626"/>
      <c r="J265" s="752"/>
      <c r="L265" s="608" t="s">
        <v>56</v>
      </c>
      <c r="M265" s="608" t="s">
        <v>1008</v>
      </c>
      <c r="N265" s="608" t="s">
        <v>1224</v>
      </c>
      <c r="O265" s="608" t="s">
        <v>1012</v>
      </c>
      <c r="P265" s="608" t="s">
        <v>1225</v>
      </c>
      <c r="Q265" s="608"/>
      <c r="R265" s="608">
        <v>0</v>
      </c>
      <c r="T265" s="752"/>
      <c r="V265" s="609">
        <f t="shared" ref="V265:V270" si="11">IF(W265=1,G265,0)</f>
        <v>0</v>
      </c>
      <c r="W265" s="692"/>
    </row>
    <row r="266" spans="1:23" ht="26.45" outlineLevel="3">
      <c r="A266" s="376"/>
      <c r="B266" s="376" t="s">
        <v>903</v>
      </c>
      <c r="C266" s="376" t="s">
        <v>903</v>
      </c>
      <c r="D266" s="376" t="s">
        <v>518</v>
      </c>
      <c r="E266" s="376" t="s">
        <v>56</v>
      </c>
      <c r="F266" s="608" t="s">
        <v>1217</v>
      </c>
      <c r="G266" s="695">
        <v>5.8456730700000001E-2</v>
      </c>
      <c r="H266" s="692">
        <v>1</v>
      </c>
      <c r="I266" s="626"/>
      <c r="J266" s="752"/>
      <c r="L266" s="608" t="s">
        <v>56</v>
      </c>
      <c r="M266" s="608" t="s">
        <v>959</v>
      </c>
      <c r="N266" s="608" t="s">
        <v>1226</v>
      </c>
      <c r="O266" s="608"/>
      <c r="P266" s="608" t="s">
        <v>1225</v>
      </c>
      <c r="Q266" s="608"/>
      <c r="R266" s="608">
        <v>0</v>
      </c>
      <c r="T266" s="752"/>
      <c r="V266" s="609">
        <f t="shared" si="11"/>
        <v>0</v>
      </c>
      <c r="W266" s="692"/>
    </row>
    <row r="267" spans="1:23" ht="26.45" outlineLevel="3">
      <c r="A267" s="376"/>
      <c r="B267" s="376" t="s">
        <v>903</v>
      </c>
      <c r="C267" s="376" t="s">
        <v>903</v>
      </c>
      <c r="D267" s="376" t="s">
        <v>518</v>
      </c>
      <c r="E267" s="376" t="s">
        <v>56</v>
      </c>
      <c r="F267" s="608" t="s">
        <v>1218</v>
      </c>
      <c r="G267" s="695">
        <v>4.8713942250000003E-2</v>
      </c>
      <c r="H267" s="692">
        <v>1</v>
      </c>
      <c r="I267" s="626"/>
      <c r="J267" s="752"/>
      <c r="L267" s="608" t="s">
        <v>56</v>
      </c>
      <c r="M267" s="608" t="s">
        <v>959</v>
      </c>
      <c r="N267" s="608" t="s">
        <v>1226</v>
      </c>
      <c r="O267" s="608"/>
      <c r="P267" s="608" t="s">
        <v>1225</v>
      </c>
      <c r="Q267" s="608"/>
      <c r="R267" s="608">
        <v>0</v>
      </c>
      <c r="T267" s="752"/>
      <c r="V267" s="609">
        <f t="shared" si="11"/>
        <v>0</v>
      </c>
      <c r="W267" s="692"/>
    </row>
    <row r="268" spans="1:23" outlineLevel="3">
      <c r="A268" s="376"/>
      <c r="B268" s="376" t="s">
        <v>903</v>
      </c>
      <c r="C268" s="376" t="s">
        <v>903</v>
      </c>
      <c r="D268" s="376" t="s">
        <v>518</v>
      </c>
      <c r="E268" s="376" t="s">
        <v>56</v>
      </c>
      <c r="F268" s="608" t="s">
        <v>1214</v>
      </c>
      <c r="G268" s="695">
        <v>2.5989279749999997E-2</v>
      </c>
      <c r="H268" s="692">
        <v>1</v>
      </c>
      <c r="I268" s="626"/>
      <c r="J268" s="752"/>
      <c r="L268" s="608" t="s">
        <v>56</v>
      </c>
      <c r="M268" s="608" t="s">
        <v>959</v>
      </c>
      <c r="N268" s="608" t="s">
        <v>1227</v>
      </c>
      <c r="O268" s="608"/>
      <c r="P268" s="608" t="s">
        <v>1096</v>
      </c>
      <c r="Q268" s="608"/>
      <c r="R268" s="608">
        <v>0</v>
      </c>
      <c r="T268" s="752"/>
      <c r="V268" s="609">
        <f t="shared" si="11"/>
        <v>0</v>
      </c>
      <c r="W268" s="692"/>
    </row>
    <row r="269" spans="1:23" outlineLevel="3">
      <c r="A269" s="376"/>
      <c r="B269" s="376" t="s">
        <v>903</v>
      </c>
      <c r="C269" s="376" t="s">
        <v>903</v>
      </c>
      <c r="D269" s="376" t="s">
        <v>518</v>
      </c>
      <c r="E269" s="376" t="s">
        <v>56</v>
      </c>
      <c r="F269" s="608" t="s">
        <v>1216</v>
      </c>
      <c r="G269" s="695">
        <v>3.7127542499999998E-3</v>
      </c>
      <c r="H269" s="692">
        <v>1</v>
      </c>
      <c r="I269" s="626"/>
      <c r="J269" s="752"/>
      <c r="L269" s="608" t="s">
        <v>56</v>
      </c>
      <c r="M269" s="608" t="s">
        <v>959</v>
      </c>
      <c r="N269" s="608" t="s">
        <v>1095</v>
      </c>
      <c r="O269" s="608"/>
      <c r="P269" s="608" t="s">
        <v>1096</v>
      </c>
      <c r="Q269" s="608"/>
      <c r="R269" s="608">
        <v>0</v>
      </c>
      <c r="T269" s="752"/>
      <c r="V269" s="609">
        <f t="shared" si="11"/>
        <v>0</v>
      </c>
      <c r="W269" s="692"/>
    </row>
    <row r="270" spans="1:23" ht="39.6" outlineLevel="3">
      <c r="A270" s="376"/>
      <c r="B270" s="376" t="s">
        <v>903</v>
      </c>
      <c r="C270" s="376" t="s">
        <v>903</v>
      </c>
      <c r="D270" s="376" t="s">
        <v>518</v>
      </c>
      <c r="E270" s="376" t="s">
        <v>56</v>
      </c>
      <c r="F270" s="608" t="s">
        <v>1220</v>
      </c>
      <c r="G270" s="695">
        <v>7.4255085000000005E-3</v>
      </c>
      <c r="H270" s="692">
        <v>1</v>
      </c>
      <c r="I270" s="626"/>
      <c r="J270" s="752"/>
      <c r="L270" s="608" t="s">
        <v>56</v>
      </c>
      <c r="M270" s="608" t="s">
        <v>959</v>
      </c>
      <c r="N270" s="608" t="s">
        <v>1228</v>
      </c>
      <c r="O270" s="608"/>
      <c r="P270" s="608" t="s">
        <v>1096</v>
      </c>
      <c r="Q270" s="608"/>
      <c r="R270" s="608">
        <v>0</v>
      </c>
      <c r="T270" s="752"/>
      <c r="V270" s="609">
        <f t="shared" si="11"/>
        <v>0</v>
      </c>
      <c r="W270" s="692"/>
    </row>
    <row r="271" spans="1:23" outlineLevel="2">
      <c r="A271" s="376"/>
      <c r="B271" s="684" t="s">
        <v>903</v>
      </c>
      <c r="C271" s="684" t="s">
        <v>903</v>
      </c>
      <c r="D271" s="684" t="s">
        <v>441</v>
      </c>
      <c r="E271" s="684"/>
      <c r="F271" s="685" t="s">
        <v>1222</v>
      </c>
      <c r="G271" s="713">
        <f>SUBTOTAL(9,G272:G273)</f>
        <v>2.1397857699999998E-2</v>
      </c>
      <c r="H271" s="714">
        <f>SUBTOTAL(9,H272:H273)</f>
        <v>2</v>
      </c>
      <c r="I271" s="626"/>
      <c r="J271" s="752"/>
      <c r="L271" s="685"/>
      <c r="M271" s="685"/>
      <c r="N271" s="685"/>
      <c r="O271" s="685"/>
      <c r="P271" s="685"/>
      <c r="Q271" s="685"/>
      <c r="R271" s="685"/>
      <c r="T271" s="752"/>
      <c r="V271" s="713">
        <f>SUBTOTAL(9,V272:V273)</f>
        <v>0</v>
      </c>
      <c r="W271" s="714">
        <f>SUBTOTAL(9,W272:W273)</f>
        <v>0</v>
      </c>
    </row>
    <row r="272" spans="1:23" ht="39.6" outlineLevel="3">
      <c r="A272" s="376"/>
      <c r="B272" s="376" t="s">
        <v>903</v>
      </c>
      <c r="C272" s="376" t="s">
        <v>903</v>
      </c>
      <c r="D272" s="376" t="s">
        <v>441</v>
      </c>
      <c r="E272" s="376" t="s">
        <v>437</v>
      </c>
      <c r="F272" s="608" t="s">
        <v>1218</v>
      </c>
      <c r="G272" s="730">
        <v>2.0842521999999999E-2</v>
      </c>
      <c r="H272" s="700">
        <v>1</v>
      </c>
      <c r="I272" s="626"/>
      <c r="J272" s="752"/>
      <c r="L272" s="608" t="s">
        <v>437</v>
      </c>
      <c r="M272" s="608" t="s">
        <v>966</v>
      </c>
      <c r="N272" s="608" t="s">
        <v>1173</v>
      </c>
      <c r="O272" s="608" t="s">
        <v>1229</v>
      </c>
      <c r="P272" s="608"/>
      <c r="Q272" s="608"/>
      <c r="R272" s="608"/>
      <c r="T272" s="752"/>
      <c r="V272" s="609">
        <f>IF(W272=1,G272,0)</f>
        <v>0</v>
      </c>
      <c r="W272" s="700"/>
    </row>
    <row r="273" spans="1:23" ht="39.6" outlineLevel="3">
      <c r="A273" s="376"/>
      <c r="B273" s="376" t="s">
        <v>903</v>
      </c>
      <c r="C273" s="376" t="s">
        <v>903</v>
      </c>
      <c r="D273" s="376" t="s">
        <v>441</v>
      </c>
      <c r="E273" s="376" t="s">
        <v>437</v>
      </c>
      <c r="F273" s="608" t="s">
        <v>1220</v>
      </c>
      <c r="G273" s="730">
        <v>5.5533570000000003E-4</v>
      </c>
      <c r="H273" s="700">
        <v>1</v>
      </c>
      <c r="I273" s="626"/>
      <c r="J273" s="752"/>
      <c r="L273" s="608" t="s">
        <v>437</v>
      </c>
      <c r="M273" s="608" t="s">
        <v>966</v>
      </c>
      <c r="N273" s="608" t="s">
        <v>1173</v>
      </c>
      <c r="O273" s="608" t="s">
        <v>1229</v>
      </c>
      <c r="P273" s="608"/>
      <c r="Q273" s="608"/>
      <c r="R273" s="608"/>
      <c r="T273" s="752"/>
      <c r="V273" s="609">
        <f>IF(W273=1,G273,0)</f>
        <v>0</v>
      </c>
      <c r="W273" s="700"/>
    </row>
    <row r="274" spans="1:23" outlineLevel="1">
      <c r="A274" s="376"/>
      <c r="B274" s="665" t="s">
        <v>502</v>
      </c>
      <c r="C274" s="665" t="s">
        <v>502</v>
      </c>
      <c r="D274" s="665"/>
      <c r="E274" s="665"/>
      <c r="F274" s="681" t="s">
        <v>947</v>
      </c>
      <c r="G274" s="701">
        <f>SUBTOTAL(9,G275:G283)</f>
        <v>0.47795692392</v>
      </c>
      <c r="H274" s="702">
        <f>SUBTOTAL(9,H275:H283)</f>
        <v>5</v>
      </c>
      <c r="I274" s="626"/>
      <c r="J274" s="752"/>
      <c r="L274" s="681"/>
      <c r="M274" s="681"/>
      <c r="N274" s="681"/>
      <c r="O274" s="681"/>
      <c r="P274" s="681"/>
      <c r="Q274" s="681"/>
      <c r="R274" s="681"/>
      <c r="T274" s="752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502</v>
      </c>
      <c r="C275" s="684" t="s">
        <v>502</v>
      </c>
      <c r="D275" s="684" t="s">
        <v>159</v>
      </c>
      <c r="E275" s="684"/>
      <c r="F275" s="685" t="s">
        <v>1230</v>
      </c>
      <c r="G275" s="686">
        <f>SUBTOTAL(9,G276:G277)</f>
        <v>0.38041780000000003</v>
      </c>
      <c r="H275" s="691">
        <f>SUBTOTAL(9,H276:H277)</f>
        <v>2</v>
      </c>
      <c r="I275" s="626"/>
      <c r="J275" s="752"/>
      <c r="L275" s="685"/>
      <c r="M275" s="685"/>
      <c r="N275" s="685"/>
      <c r="O275" s="685"/>
      <c r="P275" s="685"/>
      <c r="Q275" s="685"/>
      <c r="R275" s="685"/>
      <c r="T275" s="752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502</v>
      </c>
      <c r="C276" s="376" t="s">
        <v>502</v>
      </c>
      <c r="D276" s="376" t="s">
        <v>159</v>
      </c>
      <c r="E276" s="376" t="s">
        <v>1159</v>
      </c>
      <c r="F276" s="608" t="s">
        <v>1231</v>
      </c>
      <c r="G276" s="609">
        <v>0.15216712000000002</v>
      </c>
      <c r="H276" s="692">
        <v>1</v>
      </c>
      <c r="I276" s="626"/>
      <c r="J276" s="752"/>
      <c r="L276" s="608" t="s">
        <v>1159</v>
      </c>
      <c r="M276" s="608" t="s">
        <v>1161</v>
      </c>
      <c r="N276" s="608" t="s">
        <v>1162</v>
      </c>
      <c r="O276" s="608"/>
      <c r="P276" s="608"/>
      <c r="Q276" s="608"/>
      <c r="R276" s="608"/>
      <c r="T276" s="752"/>
      <c r="V276" s="609">
        <f>IF(W276=1,G276,0)</f>
        <v>0</v>
      </c>
      <c r="W276" s="692"/>
    </row>
    <row r="277" spans="1:23" outlineLevel="3">
      <c r="A277" s="376"/>
      <c r="B277" s="376" t="s">
        <v>502</v>
      </c>
      <c r="C277" s="376" t="s">
        <v>502</v>
      </c>
      <c r="D277" s="376" t="s">
        <v>159</v>
      </c>
      <c r="E277" s="376" t="s">
        <v>1159</v>
      </c>
      <c r="F277" s="608" t="s">
        <v>36</v>
      </c>
      <c r="G277" s="609">
        <v>0.22825067999999998</v>
      </c>
      <c r="H277" s="692">
        <v>1</v>
      </c>
      <c r="I277" s="626"/>
      <c r="J277" s="752"/>
      <c r="L277" s="608" t="s">
        <v>1159</v>
      </c>
      <c r="M277" s="608" t="s">
        <v>1161</v>
      </c>
      <c r="N277" s="608" t="s">
        <v>1162</v>
      </c>
      <c r="O277" s="608"/>
      <c r="P277" s="608"/>
      <c r="Q277" s="608"/>
      <c r="R277" s="608"/>
      <c r="T277" s="752"/>
      <c r="V277" s="609">
        <f>IF(W277=1,G277,0)</f>
        <v>0</v>
      </c>
      <c r="W277" s="692"/>
    </row>
    <row r="278" spans="1:23" outlineLevel="2">
      <c r="A278" s="376"/>
      <c r="B278" s="684" t="s">
        <v>502</v>
      </c>
      <c r="C278" s="684" t="s">
        <v>502</v>
      </c>
      <c r="D278" s="684" t="s">
        <v>518</v>
      </c>
      <c r="E278" s="684"/>
      <c r="F278" s="685" t="s">
        <v>1230</v>
      </c>
      <c r="G278" s="686">
        <f>SUBTOTAL(9,G279)</f>
        <v>6.4518858880000002E-2</v>
      </c>
      <c r="H278" s="691">
        <f>SUBTOTAL(9,H279)</f>
        <v>1</v>
      </c>
      <c r="I278" s="626"/>
      <c r="J278" s="752"/>
      <c r="L278" s="685"/>
      <c r="M278" s="685"/>
      <c r="N278" s="685"/>
      <c r="O278" s="685"/>
      <c r="P278" s="685"/>
      <c r="Q278" s="685"/>
      <c r="R278" s="685"/>
      <c r="T278" s="752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502</v>
      </c>
      <c r="C279" s="376" t="s">
        <v>502</v>
      </c>
      <c r="D279" s="376" t="s">
        <v>518</v>
      </c>
      <c r="E279" s="376" t="s">
        <v>56</v>
      </c>
      <c r="F279" s="608" t="s">
        <v>36</v>
      </c>
      <c r="G279" s="609">
        <v>6.4518858880000002E-2</v>
      </c>
      <c r="H279" s="692">
        <v>1</v>
      </c>
      <c r="I279" s="626"/>
      <c r="J279" s="752"/>
      <c r="L279" s="608" t="s">
        <v>56</v>
      </c>
      <c r="M279" s="608" t="s">
        <v>1008</v>
      </c>
      <c r="N279" s="608" t="s">
        <v>1232</v>
      </c>
      <c r="O279" s="608" t="s">
        <v>1012</v>
      </c>
      <c r="P279" s="608" t="s">
        <v>1233</v>
      </c>
      <c r="Q279" s="608"/>
      <c r="R279" s="608">
        <v>0</v>
      </c>
      <c r="T279" s="752"/>
      <c r="V279" s="609">
        <f>IF(W279=1,G279,0)</f>
        <v>0</v>
      </c>
      <c r="W279" s="692"/>
    </row>
    <row r="280" spans="1:23" outlineLevel="2">
      <c r="A280" s="376"/>
      <c r="B280" s="684" t="s">
        <v>502</v>
      </c>
      <c r="C280" s="684" t="s">
        <v>502</v>
      </c>
      <c r="D280" s="684" t="s">
        <v>441</v>
      </c>
      <c r="E280" s="684"/>
      <c r="F280" s="685" t="s">
        <v>1230</v>
      </c>
      <c r="G280" s="686">
        <f>SUBTOTAL(9,G281)</f>
        <v>1.7955720160000004E-2</v>
      </c>
      <c r="H280" s="691">
        <f>SUBTOTAL(9,H281)</f>
        <v>1</v>
      </c>
      <c r="I280" s="626"/>
      <c r="J280" s="752"/>
      <c r="L280" s="685"/>
      <c r="M280" s="685"/>
      <c r="N280" s="685"/>
      <c r="O280" s="685"/>
      <c r="P280" s="685"/>
      <c r="Q280" s="685"/>
      <c r="R280" s="685"/>
      <c r="T280" s="752"/>
      <c r="V280" s="686">
        <f>SUBTOTAL(9,V281)</f>
        <v>0</v>
      </c>
      <c r="W280" s="691">
        <f>SUBTOTAL(9,W281)</f>
        <v>0</v>
      </c>
    </row>
    <row r="281" spans="1:23" ht="92.45" outlineLevel="3">
      <c r="A281" s="376"/>
      <c r="B281" s="376" t="s">
        <v>502</v>
      </c>
      <c r="C281" s="376" t="s">
        <v>502</v>
      </c>
      <c r="D281" s="376" t="s">
        <v>441</v>
      </c>
      <c r="E281" s="376" t="s">
        <v>437</v>
      </c>
      <c r="F281" s="608" t="s">
        <v>36</v>
      </c>
      <c r="G281" s="609">
        <v>1.7955720160000004E-2</v>
      </c>
      <c r="H281" s="692">
        <v>1</v>
      </c>
      <c r="I281" s="626"/>
      <c r="J281" s="752"/>
      <c r="L281" s="608" t="s">
        <v>437</v>
      </c>
      <c r="M281" s="608" t="s">
        <v>1234</v>
      </c>
      <c r="N281" s="608"/>
      <c r="O281" s="608"/>
      <c r="P281" s="608"/>
      <c r="Q281" s="608"/>
      <c r="R281" s="608"/>
      <c r="T281" s="752"/>
      <c r="V281" s="609">
        <f>IF(W281=1,G281,0)</f>
        <v>0</v>
      </c>
      <c r="W281" s="692"/>
    </row>
    <row r="282" spans="1:23" outlineLevel="2">
      <c r="A282" s="376"/>
      <c r="B282" s="684" t="s">
        <v>502</v>
      </c>
      <c r="C282" s="684" t="s">
        <v>502</v>
      </c>
      <c r="D282" s="684" t="s">
        <v>860</v>
      </c>
      <c r="E282" s="684"/>
      <c r="F282" s="685" t="s">
        <v>1230</v>
      </c>
      <c r="G282" s="686">
        <f>SUBTOTAL(9,G283)</f>
        <v>1.5064544879999999E-2</v>
      </c>
      <c r="H282" s="691">
        <f>SUBTOTAL(9,H283)</f>
        <v>1</v>
      </c>
      <c r="I282" s="626"/>
      <c r="J282" s="752"/>
      <c r="L282" s="685"/>
      <c r="M282" s="685"/>
      <c r="N282" s="685"/>
      <c r="O282" s="685"/>
      <c r="P282" s="685"/>
      <c r="Q282" s="685"/>
      <c r="R282" s="685"/>
      <c r="T282" s="752"/>
      <c r="V282" s="686">
        <f>SUBTOTAL(9,V283)</f>
        <v>0</v>
      </c>
      <c r="W282" s="691">
        <f>SUBTOTAL(9,W283)</f>
        <v>0</v>
      </c>
    </row>
    <row r="283" spans="1:23" ht="92.45" outlineLevel="3">
      <c r="A283" s="376"/>
      <c r="B283" s="376" t="s">
        <v>502</v>
      </c>
      <c r="C283" s="376" t="s">
        <v>502</v>
      </c>
      <c r="D283" s="376" t="s">
        <v>860</v>
      </c>
      <c r="E283" s="376" t="s">
        <v>437</v>
      </c>
      <c r="F283" s="608" t="s">
        <v>36</v>
      </c>
      <c r="G283" s="609">
        <v>1.5064544879999999E-2</v>
      </c>
      <c r="H283" s="692">
        <v>1</v>
      </c>
      <c r="I283" s="626"/>
      <c r="J283" s="752"/>
      <c r="L283" s="608" t="s">
        <v>437</v>
      </c>
      <c r="M283" s="608" t="s">
        <v>1234</v>
      </c>
      <c r="N283" s="608"/>
      <c r="O283" s="608"/>
      <c r="P283" s="608"/>
      <c r="Q283" s="608"/>
      <c r="R283" s="608"/>
      <c r="T283" s="752"/>
      <c r="V283" s="609">
        <f>IF(W283=1,G283,0)</f>
        <v>0</v>
      </c>
      <c r="W283" s="692"/>
    </row>
    <row r="284" spans="1:23" outlineLevel="1">
      <c r="A284" s="376"/>
      <c r="B284" s="665" t="s">
        <v>612</v>
      </c>
      <c r="C284" s="665" t="s">
        <v>612</v>
      </c>
      <c r="D284" s="665"/>
      <c r="E284" s="665"/>
      <c r="F284" s="681" t="s">
        <v>947</v>
      </c>
      <c r="G284" s="701">
        <f>SUBTOTAL(9,G285:G301)</f>
        <v>1.2668018749999996</v>
      </c>
      <c r="H284" s="702">
        <f>SUBTOTAL(9,H285:H301)</f>
        <v>13</v>
      </c>
      <c r="I284" s="626"/>
      <c r="J284" s="752"/>
      <c r="L284" s="681"/>
      <c r="M284" s="681"/>
      <c r="N284" s="681"/>
      <c r="O284" s="681"/>
      <c r="P284" s="681"/>
      <c r="Q284" s="681"/>
      <c r="R284" s="681"/>
      <c r="T284" s="752"/>
      <c r="V284" s="701">
        <f>SUBTOTAL(9,V285:V301)</f>
        <v>0</v>
      </c>
      <c r="W284" s="702">
        <f>SUBTOTAL(9,W285:W301)</f>
        <v>0</v>
      </c>
    </row>
    <row r="285" spans="1:23" ht="26.45" outlineLevel="2">
      <c r="A285" s="376"/>
      <c r="B285" s="684" t="s">
        <v>612</v>
      </c>
      <c r="C285" s="684" t="s">
        <v>612</v>
      </c>
      <c r="D285" s="684" t="s">
        <v>159</v>
      </c>
      <c r="E285" s="684"/>
      <c r="F285" s="685" t="s">
        <v>1235</v>
      </c>
      <c r="G285" s="686">
        <f>SUBTOTAL(9,G286:G290)</f>
        <v>1.0156737499999999</v>
      </c>
      <c r="H285" s="691">
        <f>SUBTOTAL(9,H286:H290)</f>
        <v>5</v>
      </c>
      <c r="I285" s="626"/>
      <c r="J285" s="752"/>
      <c r="L285" s="685"/>
      <c r="M285" s="685"/>
      <c r="N285" s="685"/>
      <c r="O285" s="685"/>
      <c r="P285" s="685"/>
      <c r="Q285" s="685"/>
      <c r="R285" s="685"/>
      <c r="T285" s="752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612</v>
      </c>
      <c r="C286" s="376" t="s">
        <v>612</v>
      </c>
      <c r="D286" s="376" t="s">
        <v>159</v>
      </c>
      <c r="E286" s="376" t="s">
        <v>1236</v>
      </c>
      <c r="F286" s="608" t="s">
        <v>1231</v>
      </c>
      <c r="G286" s="609">
        <v>0.15625749999999999</v>
      </c>
      <c r="H286" s="692">
        <v>1</v>
      </c>
      <c r="I286" s="626"/>
      <c r="J286" s="752"/>
      <c r="L286" s="608" t="s">
        <v>1236</v>
      </c>
      <c r="M286" s="608"/>
      <c r="N286" s="608"/>
      <c r="O286" s="608"/>
      <c r="P286" s="608"/>
      <c r="Q286" s="608"/>
      <c r="R286" s="608"/>
      <c r="T286" s="752"/>
      <c r="V286" s="609">
        <f>IF(W286=1,G286,0)</f>
        <v>0</v>
      </c>
      <c r="W286" s="692"/>
    </row>
    <row r="287" spans="1:23" outlineLevel="3">
      <c r="A287" s="376"/>
      <c r="B287" s="376" t="s">
        <v>612</v>
      </c>
      <c r="C287" s="376" t="s">
        <v>612</v>
      </c>
      <c r="D287" s="376" t="s">
        <v>159</v>
      </c>
      <c r="E287" s="376" t="s">
        <v>1236</v>
      </c>
      <c r="F287" s="608" t="s">
        <v>36</v>
      </c>
      <c r="G287" s="609">
        <v>0.23438624999999996</v>
      </c>
      <c r="H287" s="692">
        <v>1</v>
      </c>
      <c r="I287" s="626"/>
      <c r="J287" s="752"/>
      <c r="L287" s="608" t="s">
        <v>1236</v>
      </c>
      <c r="M287" s="608"/>
      <c r="N287" s="608"/>
      <c r="O287" s="608"/>
      <c r="P287" s="608"/>
      <c r="Q287" s="608"/>
      <c r="R287" s="608"/>
      <c r="T287" s="752"/>
      <c r="V287" s="609">
        <f>IF(W287=1,G287,0)</f>
        <v>0</v>
      </c>
      <c r="W287" s="692"/>
    </row>
    <row r="288" spans="1:23" outlineLevel="3">
      <c r="A288" s="376"/>
      <c r="B288" s="376" t="s">
        <v>612</v>
      </c>
      <c r="C288" s="376" t="s">
        <v>612</v>
      </c>
      <c r="D288" s="376" t="s">
        <v>159</v>
      </c>
      <c r="E288" s="376" t="s">
        <v>1236</v>
      </c>
      <c r="F288" s="608" t="s">
        <v>1237</v>
      </c>
      <c r="G288" s="609">
        <v>0.15625749999999999</v>
      </c>
      <c r="H288" s="692">
        <v>1</v>
      </c>
      <c r="I288" s="626"/>
      <c r="J288" s="752"/>
      <c r="L288" s="608" t="s">
        <v>1236</v>
      </c>
      <c r="M288" s="608"/>
      <c r="N288" s="608"/>
      <c r="O288" s="608"/>
      <c r="P288" s="608"/>
      <c r="Q288" s="608"/>
      <c r="R288" s="608"/>
      <c r="T288" s="752"/>
      <c r="V288" s="609">
        <f>IF(W288=1,G288,0)</f>
        <v>0</v>
      </c>
      <c r="W288" s="692"/>
    </row>
    <row r="289" spans="1:23" outlineLevel="3">
      <c r="A289" s="376"/>
      <c r="B289" s="376" t="s">
        <v>612</v>
      </c>
      <c r="C289" s="376" t="s">
        <v>612</v>
      </c>
      <c r="D289" s="376" t="s">
        <v>159</v>
      </c>
      <c r="E289" s="376" t="s">
        <v>1236</v>
      </c>
      <c r="F289" s="608" t="s">
        <v>1238</v>
      </c>
      <c r="G289" s="609">
        <v>0.15625749999999999</v>
      </c>
      <c r="H289" s="692">
        <v>1</v>
      </c>
      <c r="I289" s="626"/>
      <c r="J289" s="752"/>
      <c r="L289" s="608" t="s">
        <v>1236</v>
      </c>
      <c r="M289" s="608"/>
      <c r="N289" s="608"/>
      <c r="O289" s="608"/>
      <c r="P289" s="608"/>
      <c r="Q289" s="608"/>
      <c r="R289" s="608"/>
      <c r="T289" s="752"/>
      <c r="V289" s="609">
        <f>IF(W289=1,G289,0)</f>
        <v>0</v>
      </c>
      <c r="W289" s="692"/>
    </row>
    <row r="290" spans="1:23" outlineLevel="3">
      <c r="A290" s="376"/>
      <c r="B290" s="376" t="s">
        <v>612</v>
      </c>
      <c r="C290" s="376" t="s">
        <v>612</v>
      </c>
      <c r="D290" s="376" t="s">
        <v>159</v>
      </c>
      <c r="E290" s="376" t="s">
        <v>1236</v>
      </c>
      <c r="F290" s="608" t="s">
        <v>1239</v>
      </c>
      <c r="G290" s="609">
        <v>0.31251499999999999</v>
      </c>
      <c r="H290" s="692">
        <v>1</v>
      </c>
      <c r="I290" s="626"/>
      <c r="J290" s="752"/>
      <c r="L290" s="608" t="s">
        <v>1236</v>
      </c>
      <c r="M290" s="608"/>
      <c r="N290" s="608"/>
      <c r="O290" s="608"/>
      <c r="P290" s="608"/>
      <c r="Q290" s="608"/>
      <c r="R290" s="608"/>
      <c r="T290" s="752"/>
      <c r="V290" s="609">
        <f>IF(W290=1,G290,0)</f>
        <v>0</v>
      </c>
      <c r="W290" s="692"/>
    </row>
    <row r="291" spans="1:23" outlineLevel="2">
      <c r="A291" s="376"/>
      <c r="B291" s="684" t="s">
        <v>612</v>
      </c>
      <c r="C291" s="684" t="s">
        <v>612</v>
      </c>
      <c r="D291" s="684" t="s">
        <v>518</v>
      </c>
      <c r="E291" s="684"/>
      <c r="F291" s="685" t="s">
        <v>1240</v>
      </c>
      <c r="G291" s="686">
        <f>SUBTOTAL(9,G292:G293)</f>
        <v>0.14286399999999999</v>
      </c>
      <c r="H291" s="691">
        <f>SUBTOTAL(9,H292:H293)</f>
        <v>2</v>
      </c>
      <c r="I291" s="626"/>
      <c r="J291" s="752"/>
      <c r="L291" s="685"/>
      <c r="M291" s="685"/>
      <c r="N291" s="685"/>
      <c r="O291" s="685"/>
      <c r="P291" s="685"/>
      <c r="Q291" s="685"/>
      <c r="R291" s="685"/>
      <c r="T291" s="752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612</v>
      </c>
      <c r="C292" s="376" t="s">
        <v>612</v>
      </c>
      <c r="D292" s="376" t="s">
        <v>518</v>
      </c>
      <c r="E292" s="376" t="s">
        <v>1236</v>
      </c>
      <c r="F292" s="608" t="s">
        <v>36</v>
      </c>
      <c r="G292" s="609">
        <v>7.1431999999999995E-2</v>
      </c>
      <c r="H292" s="692">
        <v>1</v>
      </c>
      <c r="I292" s="626"/>
      <c r="J292" s="752"/>
      <c r="L292" s="608" t="s">
        <v>1236</v>
      </c>
      <c r="M292" s="608"/>
      <c r="N292" s="608"/>
      <c r="O292" s="608"/>
      <c r="P292" s="608"/>
      <c r="Q292" s="608"/>
      <c r="R292" s="608"/>
      <c r="T292" s="752"/>
      <c r="V292" s="609">
        <f>IF(W292=1,G292,0)</f>
        <v>0</v>
      </c>
      <c r="W292" s="692"/>
    </row>
    <row r="293" spans="1:23" outlineLevel="3">
      <c r="A293" s="376"/>
      <c r="B293" s="376" t="s">
        <v>612</v>
      </c>
      <c r="C293" s="376" t="s">
        <v>612</v>
      </c>
      <c r="D293" s="376" t="s">
        <v>518</v>
      </c>
      <c r="E293" s="376" t="s">
        <v>1236</v>
      </c>
      <c r="F293" s="608" t="s">
        <v>1238</v>
      </c>
      <c r="G293" s="609">
        <v>7.1431999999999995E-2</v>
      </c>
      <c r="H293" s="692">
        <v>1</v>
      </c>
      <c r="I293" s="626"/>
      <c r="J293" s="752"/>
      <c r="L293" s="608" t="s">
        <v>1236</v>
      </c>
      <c r="M293" s="608"/>
      <c r="N293" s="608"/>
      <c r="O293" s="608"/>
      <c r="P293" s="608"/>
      <c r="Q293" s="608"/>
      <c r="R293" s="608"/>
      <c r="T293" s="752"/>
      <c r="V293" s="609">
        <f>IF(W293=1,G293,0)</f>
        <v>0</v>
      </c>
      <c r="W293" s="692"/>
    </row>
    <row r="294" spans="1:23" outlineLevel="2">
      <c r="A294" s="376"/>
      <c r="B294" s="684" t="s">
        <v>612</v>
      </c>
      <c r="C294" s="684" t="s">
        <v>612</v>
      </c>
      <c r="D294" s="684" t="s">
        <v>441</v>
      </c>
      <c r="E294" s="684"/>
      <c r="F294" s="685" t="s">
        <v>1240</v>
      </c>
      <c r="G294" s="686">
        <f>SUBTOTAL(9,G295:G297)</f>
        <v>6.0270749999999998E-2</v>
      </c>
      <c r="H294" s="691">
        <f>SUBTOTAL(9,H295:H297)</f>
        <v>3</v>
      </c>
      <c r="I294" s="626"/>
      <c r="J294" s="752"/>
      <c r="L294" s="685"/>
      <c r="M294" s="685"/>
      <c r="N294" s="685"/>
      <c r="O294" s="685"/>
      <c r="P294" s="685"/>
      <c r="Q294" s="685"/>
      <c r="R294" s="685"/>
      <c r="T294" s="752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612</v>
      </c>
      <c r="C295" s="376" t="s">
        <v>612</v>
      </c>
      <c r="D295" s="376" t="s">
        <v>441</v>
      </c>
      <c r="E295" s="376" t="s">
        <v>1236</v>
      </c>
      <c r="F295" s="608" t="s">
        <v>36</v>
      </c>
      <c r="G295" s="609">
        <v>2.009025E-2</v>
      </c>
      <c r="H295" s="692">
        <v>1</v>
      </c>
      <c r="I295" s="626"/>
      <c r="J295" s="752"/>
      <c r="L295" s="608" t="s">
        <v>1236</v>
      </c>
      <c r="M295" s="608"/>
      <c r="N295" s="608"/>
      <c r="O295" s="608"/>
      <c r="P295" s="608"/>
      <c r="Q295" s="608"/>
      <c r="R295" s="608"/>
      <c r="T295" s="752"/>
      <c r="V295" s="609">
        <f>IF(W295=1,G295,0)</f>
        <v>0</v>
      </c>
      <c r="W295" s="692"/>
    </row>
    <row r="296" spans="1:23" outlineLevel="3">
      <c r="A296" s="376"/>
      <c r="B296" s="376" t="s">
        <v>612</v>
      </c>
      <c r="C296" s="376" t="s">
        <v>612</v>
      </c>
      <c r="D296" s="376" t="s">
        <v>441</v>
      </c>
      <c r="E296" s="376" t="s">
        <v>1236</v>
      </c>
      <c r="F296" s="608" t="s">
        <v>1237</v>
      </c>
      <c r="G296" s="609">
        <v>2.009025E-2</v>
      </c>
      <c r="H296" s="692">
        <v>1</v>
      </c>
      <c r="I296" s="626"/>
      <c r="J296" s="752"/>
      <c r="L296" s="608" t="s">
        <v>1236</v>
      </c>
      <c r="M296" s="608"/>
      <c r="N296" s="608"/>
      <c r="O296" s="608"/>
      <c r="P296" s="608"/>
      <c r="Q296" s="608"/>
      <c r="R296" s="608"/>
      <c r="T296" s="752"/>
      <c r="V296" s="609">
        <f>IF(W296=1,G296,0)</f>
        <v>0</v>
      </c>
      <c r="W296" s="692"/>
    </row>
    <row r="297" spans="1:23" outlineLevel="3">
      <c r="A297" s="376"/>
      <c r="B297" s="376" t="s">
        <v>612</v>
      </c>
      <c r="C297" s="376" t="s">
        <v>612</v>
      </c>
      <c r="D297" s="376" t="s">
        <v>441</v>
      </c>
      <c r="E297" s="376" t="s">
        <v>1236</v>
      </c>
      <c r="F297" s="608" t="s">
        <v>1238</v>
      </c>
      <c r="G297" s="609">
        <v>2.009025E-2</v>
      </c>
      <c r="H297" s="692">
        <v>1</v>
      </c>
      <c r="I297" s="626"/>
      <c r="J297" s="752"/>
      <c r="L297" s="608" t="s">
        <v>1236</v>
      </c>
      <c r="M297" s="608"/>
      <c r="N297" s="608"/>
      <c r="O297" s="608"/>
      <c r="P297" s="608"/>
      <c r="Q297" s="608"/>
      <c r="R297" s="608"/>
      <c r="T297" s="752"/>
      <c r="V297" s="609">
        <f>IF(W297=1,G297,0)</f>
        <v>0</v>
      </c>
      <c r="W297" s="692"/>
    </row>
    <row r="298" spans="1:23" outlineLevel="2">
      <c r="A298" s="376"/>
      <c r="B298" s="684" t="s">
        <v>612</v>
      </c>
      <c r="C298" s="684" t="s">
        <v>612</v>
      </c>
      <c r="D298" s="684" t="s">
        <v>860</v>
      </c>
      <c r="E298" s="684"/>
      <c r="F298" s="685" t="s">
        <v>1240</v>
      </c>
      <c r="G298" s="686">
        <f>SUBTOTAL(9,G299:G301)</f>
        <v>4.7993374999999998E-2</v>
      </c>
      <c r="H298" s="691">
        <f>SUBTOTAL(9,H299:H301)</f>
        <v>3</v>
      </c>
      <c r="I298" s="626"/>
      <c r="J298" s="752"/>
      <c r="L298" s="685"/>
      <c r="M298" s="685"/>
      <c r="N298" s="685"/>
      <c r="O298" s="685"/>
      <c r="P298" s="685"/>
      <c r="Q298" s="685"/>
      <c r="R298" s="685"/>
      <c r="T298" s="752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612</v>
      </c>
      <c r="C299" s="376" t="s">
        <v>612</v>
      </c>
      <c r="D299" s="376" t="s">
        <v>860</v>
      </c>
      <c r="E299" s="376" t="s">
        <v>1236</v>
      </c>
      <c r="F299" s="608" t="s">
        <v>36</v>
      </c>
      <c r="G299" s="609">
        <v>1.6741875E-2</v>
      </c>
      <c r="H299" s="692">
        <v>1</v>
      </c>
      <c r="I299" s="626"/>
      <c r="J299" s="752"/>
      <c r="L299" s="608" t="s">
        <v>1236</v>
      </c>
      <c r="M299" s="608"/>
      <c r="N299" s="608"/>
      <c r="O299" s="608"/>
      <c r="P299" s="608"/>
      <c r="Q299" s="608"/>
      <c r="R299" s="608"/>
      <c r="T299" s="752"/>
      <c r="V299" s="609">
        <f>IF(W299=1,G299,0)</f>
        <v>0</v>
      </c>
      <c r="W299" s="692"/>
    </row>
    <row r="300" spans="1:23" outlineLevel="3">
      <c r="A300" s="376"/>
      <c r="B300" s="376" t="s">
        <v>612</v>
      </c>
      <c r="C300" s="376" t="s">
        <v>612</v>
      </c>
      <c r="D300" s="376" t="s">
        <v>860</v>
      </c>
      <c r="E300" s="376" t="s">
        <v>1236</v>
      </c>
      <c r="F300" s="608" t="s">
        <v>1237</v>
      </c>
      <c r="G300" s="609">
        <v>2.009025E-2</v>
      </c>
      <c r="H300" s="692">
        <v>1</v>
      </c>
      <c r="I300" s="626"/>
      <c r="J300" s="752"/>
      <c r="L300" s="608" t="s">
        <v>1236</v>
      </c>
      <c r="M300" s="608"/>
      <c r="N300" s="608"/>
      <c r="O300" s="608"/>
      <c r="P300" s="608"/>
      <c r="Q300" s="608"/>
      <c r="R300" s="608"/>
      <c r="T300" s="752"/>
      <c r="V300" s="609">
        <f>IF(W300=1,G300,0)</f>
        <v>0</v>
      </c>
      <c r="W300" s="692"/>
    </row>
    <row r="301" spans="1:23" outlineLevel="3">
      <c r="A301" s="376"/>
      <c r="B301" s="376" t="s">
        <v>612</v>
      </c>
      <c r="C301" s="376" t="s">
        <v>612</v>
      </c>
      <c r="D301" s="376" t="s">
        <v>860</v>
      </c>
      <c r="E301" s="376" t="s">
        <v>1236</v>
      </c>
      <c r="F301" s="608" t="s">
        <v>1238</v>
      </c>
      <c r="G301" s="609">
        <v>1.1161249999999999E-2</v>
      </c>
      <c r="H301" s="692">
        <v>1</v>
      </c>
      <c r="I301" s="626"/>
      <c r="J301" s="752"/>
      <c r="L301" s="608" t="s">
        <v>1236</v>
      </c>
      <c r="M301" s="608"/>
      <c r="N301" s="608"/>
      <c r="O301" s="608"/>
      <c r="P301" s="608"/>
      <c r="Q301" s="608"/>
      <c r="R301" s="608"/>
      <c r="T301" s="752"/>
      <c r="V301" s="609">
        <f>IF(W301=1,G301,0)</f>
        <v>0</v>
      </c>
      <c r="W301" s="692"/>
    </row>
    <row r="302" spans="1:23" outlineLevel="1">
      <c r="A302" s="376"/>
      <c r="B302" s="665" t="s">
        <v>225</v>
      </c>
      <c r="C302" s="665" t="s">
        <v>1241</v>
      </c>
      <c r="D302" s="665"/>
      <c r="E302" s="665"/>
      <c r="F302" s="681" t="s">
        <v>947</v>
      </c>
      <c r="G302" s="701">
        <f>SUBTOTAL(9,G303:G314)</f>
        <v>9.3600000000000003E-2</v>
      </c>
      <c r="H302" s="702">
        <f>SUBTOTAL(9,H303:H314)</f>
        <v>8</v>
      </c>
      <c r="I302" s="626"/>
      <c r="J302" s="752"/>
      <c r="L302" s="681"/>
      <c r="M302" s="681"/>
      <c r="N302" s="681"/>
      <c r="O302" s="681"/>
      <c r="P302" s="681"/>
      <c r="Q302" s="681"/>
      <c r="R302" s="681"/>
      <c r="T302" s="752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225</v>
      </c>
      <c r="C303" s="684" t="s">
        <v>1241</v>
      </c>
      <c r="D303" s="684" t="s">
        <v>159</v>
      </c>
      <c r="E303" s="684"/>
      <c r="F303" s="685" t="s">
        <v>1242</v>
      </c>
      <c r="G303" s="713">
        <f>SUBTOTAL(9,G304:G305)</f>
        <v>6.3E-2</v>
      </c>
      <c r="H303" s="714">
        <f>SUBTOTAL(9,H304:H305)</f>
        <v>2</v>
      </c>
      <c r="I303" s="626"/>
      <c r="J303" s="752"/>
      <c r="L303" s="685"/>
      <c r="M303" s="685"/>
      <c r="N303" s="685"/>
      <c r="O303" s="685"/>
      <c r="P303" s="685"/>
      <c r="Q303" s="685"/>
      <c r="R303" s="685"/>
      <c r="T303" s="752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225</v>
      </c>
      <c r="C304" s="376" t="s">
        <v>1241</v>
      </c>
      <c r="D304" s="376" t="s">
        <v>159</v>
      </c>
      <c r="E304" s="376" t="s">
        <v>1100</v>
      </c>
      <c r="F304" s="608" t="s">
        <v>36</v>
      </c>
      <c r="G304" s="695">
        <v>6.3E-2</v>
      </c>
      <c r="H304" s="700">
        <v>1</v>
      </c>
      <c r="I304" s="626"/>
      <c r="J304" s="752"/>
      <c r="L304" s="608" t="s">
        <v>1100</v>
      </c>
      <c r="M304" s="608" t="s">
        <v>1150</v>
      </c>
      <c r="N304" s="608" t="s">
        <v>1101</v>
      </c>
      <c r="O304" s="608"/>
      <c r="P304" s="608"/>
      <c r="Q304" s="608"/>
      <c r="R304" s="608"/>
      <c r="T304" s="752"/>
      <c r="V304" s="609">
        <f>IF(W304=1,G304,0)</f>
        <v>0</v>
      </c>
      <c r="W304" s="700"/>
    </row>
    <row r="305" spans="1:23" outlineLevel="3">
      <c r="A305" s="376"/>
      <c r="B305" s="376" t="s">
        <v>225</v>
      </c>
      <c r="C305" s="376" t="s">
        <v>1241</v>
      </c>
      <c r="D305" s="376" t="s">
        <v>159</v>
      </c>
      <c r="E305" s="376" t="s">
        <v>1100</v>
      </c>
      <c r="F305" s="608" t="s">
        <v>1238</v>
      </c>
      <c r="G305" s="695"/>
      <c r="H305" s="700">
        <v>1</v>
      </c>
      <c r="I305" s="626"/>
      <c r="J305" s="752"/>
      <c r="L305" s="608" t="s">
        <v>1100</v>
      </c>
      <c r="M305" s="608" t="s">
        <v>1150</v>
      </c>
      <c r="N305" s="608" t="s">
        <v>1101</v>
      </c>
      <c r="O305" s="608"/>
      <c r="P305" s="608"/>
      <c r="Q305" s="608"/>
      <c r="R305" s="608"/>
      <c r="T305" s="752"/>
      <c r="V305" s="609">
        <f>IF(W305=1,G305,0)</f>
        <v>0</v>
      </c>
      <c r="W305" s="700"/>
    </row>
    <row r="306" spans="1:23" outlineLevel="2">
      <c r="A306" s="376"/>
      <c r="B306" s="684" t="s">
        <v>225</v>
      </c>
      <c r="C306" s="684" t="s">
        <v>1241</v>
      </c>
      <c r="D306" s="684" t="s">
        <v>518</v>
      </c>
      <c r="E306" s="684"/>
      <c r="F306" s="685" t="s">
        <v>1230</v>
      </c>
      <c r="G306" s="713">
        <f>SUBTOTAL(9,G307:G308)</f>
        <v>1.9200000000000002E-2</v>
      </c>
      <c r="H306" s="714">
        <f>SUBTOTAL(9,H307:H308)</f>
        <v>2</v>
      </c>
      <c r="I306" s="626"/>
      <c r="J306" s="752"/>
      <c r="L306" s="685"/>
      <c r="M306" s="685"/>
      <c r="N306" s="685"/>
      <c r="O306" s="685"/>
      <c r="P306" s="685"/>
      <c r="Q306" s="685"/>
      <c r="R306" s="685"/>
      <c r="T306" s="752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225</v>
      </c>
      <c r="C307" s="376" t="s">
        <v>1241</v>
      </c>
      <c r="D307" s="376" t="s">
        <v>518</v>
      </c>
      <c r="E307" s="376" t="s">
        <v>56</v>
      </c>
      <c r="F307" s="608" t="s">
        <v>36</v>
      </c>
      <c r="G307" s="609">
        <v>1.9200000000000002E-2</v>
      </c>
      <c r="H307" s="692">
        <v>1</v>
      </c>
      <c r="I307" s="626"/>
      <c r="J307" s="752"/>
      <c r="L307" s="608" t="s">
        <v>56</v>
      </c>
      <c r="M307" s="608" t="s">
        <v>1038</v>
      </c>
      <c r="N307" s="608" t="s">
        <v>1039</v>
      </c>
      <c r="O307" s="608" t="s">
        <v>1043</v>
      </c>
      <c r="P307" s="608" t="s">
        <v>1040</v>
      </c>
      <c r="Q307" s="608"/>
      <c r="R307" s="608">
        <v>0</v>
      </c>
      <c r="T307" s="752"/>
      <c r="V307" s="609">
        <f>IF(W307=1,G307,0)</f>
        <v>0</v>
      </c>
      <c r="W307" s="692"/>
    </row>
    <row r="308" spans="1:23" outlineLevel="3">
      <c r="A308" s="376"/>
      <c r="B308" s="376" t="s">
        <v>225</v>
      </c>
      <c r="C308" s="376" t="s">
        <v>1241</v>
      </c>
      <c r="D308" s="376" t="s">
        <v>518</v>
      </c>
      <c r="E308" s="376" t="s">
        <v>56</v>
      </c>
      <c r="F308" s="608" t="s">
        <v>1238</v>
      </c>
      <c r="G308" s="609"/>
      <c r="H308" s="692">
        <v>1</v>
      </c>
      <c r="I308" s="626"/>
      <c r="J308" s="752"/>
      <c r="L308" s="608" t="s">
        <v>56</v>
      </c>
      <c r="M308" s="608" t="s">
        <v>1038</v>
      </c>
      <c r="N308" s="608" t="s">
        <v>1039</v>
      </c>
      <c r="O308" s="608" t="s">
        <v>1043</v>
      </c>
      <c r="P308" s="608" t="s">
        <v>1040</v>
      </c>
      <c r="Q308" s="608"/>
      <c r="R308" s="608">
        <v>0</v>
      </c>
      <c r="T308" s="752"/>
      <c r="V308" s="609">
        <f>IF(W308=1,G308,0)</f>
        <v>0</v>
      </c>
      <c r="W308" s="692"/>
    </row>
    <row r="309" spans="1:23" outlineLevel="2">
      <c r="A309" s="376"/>
      <c r="B309" s="684" t="s">
        <v>225</v>
      </c>
      <c r="C309" s="684" t="s">
        <v>1241</v>
      </c>
      <c r="D309" s="684" t="s">
        <v>441</v>
      </c>
      <c r="E309" s="684"/>
      <c r="F309" s="685" t="s">
        <v>1242</v>
      </c>
      <c r="G309" s="713">
        <f>SUBTOTAL(9,G310:G311)</f>
        <v>5.4000000000000003E-3</v>
      </c>
      <c r="H309" s="714">
        <f>SUBTOTAL(9,H310:H311)</f>
        <v>2</v>
      </c>
      <c r="I309" s="626"/>
      <c r="J309" s="752"/>
      <c r="L309" s="685"/>
      <c r="M309" s="685"/>
      <c r="N309" s="685"/>
      <c r="O309" s="685"/>
      <c r="P309" s="685"/>
      <c r="Q309" s="685"/>
      <c r="R309" s="685"/>
      <c r="T309" s="752"/>
      <c r="V309" s="713">
        <f>SUBTOTAL(9,V310:V311)</f>
        <v>0</v>
      </c>
      <c r="W309" s="714">
        <f>SUBTOTAL(9,W310:W311)</f>
        <v>0</v>
      </c>
    </row>
    <row r="310" spans="1:23" ht="39.6" outlineLevel="3">
      <c r="A310" s="376"/>
      <c r="B310" s="376" t="s">
        <v>225</v>
      </c>
      <c r="C310" s="376" t="s">
        <v>1241</v>
      </c>
      <c r="D310" s="376" t="s">
        <v>441</v>
      </c>
      <c r="E310" s="376" t="s">
        <v>437</v>
      </c>
      <c r="F310" s="608" t="s">
        <v>36</v>
      </c>
      <c r="G310" s="609">
        <v>5.4000000000000003E-3</v>
      </c>
      <c r="H310" s="692">
        <v>1</v>
      </c>
      <c r="I310" s="626"/>
      <c r="J310" s="752"/>
      <c r="L310" s="608" t="s">
        <v>437</v>
      </c>
      <c r="M310" s="608" t="s">
        <v>966</v>
      </c>
      <c r="N310" s="608" t="s">
        <v>967</v>
      </c>
      <c r="O310" s="608" t="s">
        <v>1243</v>
      </c>
      <c r="P310" s="608"/>
      <c r="Q310" s="608"/>
      <c r="R310" s="608"/>
      <c r="T310" s="752"/>
      <c r="V310" s="609">
        <f>IF(W310=1,G310,0)</f>
        <v>0</v>
      </c>
      <c r="W310" s="692"/>
    </row>
    <row r="311" spans="1:23" ht="39.6" outlineLevel="3">
      <c r="A311" s="376"/>
      <c r="B311" s="376" t="s">
        <v>225</v>
      </c>
      <c r="C311" s="376" t="s">
        <v>1241</v>
      </c>
      <c r="D311" s="376" t="s">
        <v>441</v>
      </c>
      <c r="E311" s="376" t="s">
        <v>437</v>
      </c>
      <c r="F311" s="608" t="s">
        <v>1238</v>
      </c>
      <c r="G311" s="609"/>
      <c r="H311" s="692">
        <v>1</v>
      </c>
      <c r="I311" s="626"/>
      <c r="J311" s="752"/>
      <c r="L311" s="608" t="s">
        <v>437</v>
      </c>
      <c r="M311" s="608" t="s">
        <v>966</v>
      </c>
      <c r="N311" s="608" t="s">
        <v>967</v>
      </c>
      <c r="O311" s="608" t="s">
        <v>1243</v>
      </c>
      <c r="P311" s="608"/>
      <c r="Q311" s="608"/>
      <c r="R311" s="608"/>
      <c r="T311" s="752"/>
      <c r="V311" s="609">
        <f>IF(W311=1,G311,0)</f>
        <v>0</v>
      </c>
      <c r="W311" s="692"/>
    </row>
    <row r="312" spans="1:23" outlineLevel="2">
      <c r="A312" s="376"/>
      <c r="B312" s="684" t="s">
        <v>225</v>
      </c>
      <c r="C312" s="684" t="s">
        <v>1241</v>
      </c>
      <c r="D312" s="684" t="s">
        <v>860</v>
      </c>
      <c r="E312" s="684"/>
      <c r="F312" s="685" t="s">
        <v>1230</v>
      </c>
      <c r="G312" s="713">
        <f>SUBTOTAL(9,G313:G314)</f>
        <v>6.0000000000000001E-3</v>
      </c>
      <c r="H312" s="714">
        <f>SUBTOTAL(9,H313:H314)</f>
        <v>2</v>
      </c>
      <c r="I312" s="626"/>
      <c r="J312" s="752"/>
      <c r="L312" s="685"/>
      <c r="M312" s="685"/>
      <c r="N312" s="685"/>
      <c r="O312" s="685"/>
      <c r="P312" s="685"/>
      <c r="Q312" s="685"/>
      <c r="R312" s="685"/>
      <c r="T312" s="752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225</v>
      </c>
      <c r="C313" s="376" t="s">
        <v>1241</v>
      </c>
      <c r="D313" s="376" t="s">
        <v>860</v>
      </c>
      <c r="E313" s="376" t="s">
        <v>437</v>
      </c>
      <c r="F313" s="608" t="s">
        <v>36</v>
      </c>
      <c r="G313" s="609">
        <v>6.0000000000000001E-3</v>
      </c>
      <c r="H313" s="692">
        <v>1</v>
      </c>
      <c r="I313" s="626"/>
      <c r="J313" s="752"/>
      <c r="L313" s="608" t="s">
        <v>437</v>
      </c>
      <c r="M313" s="608" t="s">
        <v>996</v>
      </c>
      <c r="N313" s="608" t="s">
        <v>1244</v>
      </c>
      <c r="O313" s="608"/>
      <c r="P313" s="608"/>
      <c r="Q313" s="608"/>
      <c r="R313" s="608"/>
      <c r="T313" s="752"/>
      <c r="V313" s="609">
        <f>IF(W313=1,G313,0)</f>
        <v>0</v>
      </c>
      <c r="W313" s="692"/>
    </row>
    <row r="314" spans="1:23" outlineLevel="3">
      <c r="A314" s="376"/>
      <c r="B314" s="376" t="s">
        <v>225</v>
      </c>
      <c r="C314" s="376" t="s">
        <v>1241</v>
      </c>
      <c r="D314" s="376" t="s">
        <v>860</v>
      </c>
      <c r="E314" s="376" t="s">
        <v>437</v>
      </c>
      <c r="F314" s="608" t="s">
        <v>1238</v>
      </c>
      <c r="G314" s="609"/>
      <c r="H314" s="692">
        <v>1</v>
      </c>
      <c r="I314" s="626"/>
      <c r="J314" s="752"/>
      <c r="L314" s="608" t="s">
        <v>437</v>
      </c>
      <c r="M314" s="608" t="s">
        <v>996</v>
      </c>
      <c r="N314" s="608" t="s">
        <v>1244</v>
      </c>
      <c r="O314" s="608"/>
      <c r="P314" s="608"/>
      <c r="Q314" s="608"/>
      <c r="R314" s="608"/>
      <c r="T314" s="752"/>
      <c r="V314" s="609">
        <f>IF(W314=1,G314,0)</f>
        <v>0</v>
      </c>
      <c r="W314" s="692"/>
    </row>
    <row r="315" spans="1:23" outlineLevel="1">
      <c r="A315" s="376"/>
      <c r="B315" s="665" t="s">
        <v>229</v>
      </c>
      <c r="C315" s="665" t="s">
        <v>1245</v>
      </c>
      <c r="D315" s="665"/>
      <c r="E315" s="665"/>
      <c r="F315" s="681" t="s">
        <v>947</v>
      </c>
      <c r="G315" s="701">
        <f>SUBTOTAL(9,G316:G332)</f>
        <v>1.1977650000000002</v>
      </c>
      <c r="H315" s="702">
        <f>SUBTOTAL(9,H316:H332)</f>
        <v>13</v>
      </c>
      <c r="I315" s="626"/>
      <c r="J315" s="752"/>
      <c r="L315" s="681"/>
      <c r="M315" s="681"/>
      <c r="N315" s="681"/>
      <c r="O315" s="681"/>
      <c r="P315" s="681"/>
      <c r="Q315" s="681"/>
      <c r="R315" s="681"/>
      <c r="T315" s="752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229</v>
      </c>
      <c r="C316" s="684" t="s">
        <v>1245</v>
      </c>
      <c r="D316" s="684" t="s">
        <v>159</v>
      </c>
      <c r="E316" s="684"/>
      <c r="F316" s="685" t="s">
        <v>1022</v>
      </c>
      <c r="G316" s="713">
        <f>SUBTOTAL(9,G317:G320)</f>
        <v>0.77993999999999997</v>
      </c>
      <c r="H316" s="714">
        <f>SUBTOTAL(9,H317:H320)</f>
        <v>4</v>
      </c>
      <c r="I316" s="626"/>
      <c r="J316" s="752"/>
      <c r="L316" s="685"/>
      <c r="M316" s="685"/>
      <c r="N316" s="685"/>
      <c r="O316" s="685"/>
      <c r="P316" s="685"/>
      <c r="Q316" s="685"/>
      <c r="R316" s="685"/>
      <c r="T316" s="752"/>
      <c r="V316" s="713">
        <f>SUBTOTAL(9,V317:V320)</f>
        <v>0</v>
      </c>
      <c r="W316" s="714">
        <f>SUBTOTAL(9,W317:W320)</f>
        <v>0</v>
      </c>
    </row>
    <row r="317" spans="1:23" ht="26.45" outlineLevel="3">
      <c r="A317" s="376"/>
      <c r="B317" s="376" t="s">
        <v>229</v>
      </c>
      <c r="C317" s="376" t="s">
        <v>1245</v>
      </c>
      <c r="D317" s="376" t="s">
        <v>159</v>
      </c>
      <c r="E317" s="376" t="s">
        <v>1100</v>
      </c>
      <c r="F317" s="608" t="s">
        <v>1238</v>
      </c>
      <c r="G317" s="609">
        <v>0.12999000000000002</v>
      </c>
      <c r="H317" s="700">
        <v>1</v>
      </c>
      <c r="I317" s="626"/>
      <c r="J317" s="752"/>
      <c r="L317" s="608" t="s">
        <v>1100</v>
      </c>
      <c r="M317" s="608" t="s">
        <v>1103</v>
      </c>
      <c r="N317" s="608" t="s">
        <v>1091</v>
      </c>
      <c r="O317" s="608" t="s">
        <v>1104</v>
      </c>
      <c r="P317" s="608"/>
      <c r="Q317" s="608"/>
      <c r="R317" s="608"/>
      <c r="T317" s="752"/>
      <c r="V317" s="609">
        <f>IF(W317=1,G317,0)</f>
        <v>0</v>
      </c>
      <c r="W317" s="700"/>
    </row>
    <row r="318" spans="1:23" ht="26.45" outlineLevel="3">
      <c r="A318" s="376"/>
      <c r="B318" s="376" t="s">
        <v>229</v>
      </c>
      <c r="C318" s="376" t="s">
        <v>1245</v>
      </c>
      <c r="D318" s="376" t="s">
        <v>159</v>
      </c>
      <c r="E318" s="376" t="s">
        <v>1100</v>
      </c>
      <c r="F318" s="608" t="s">
        <v>1239</v>
      </c>
      <c r="G318" s="695">
        <v>0.25998000000000004</v>
      </c>
      <c r="H318" s="700">
        <v>1</v>
      </c>
      <c r="I318" s="626"/>
      <c r="J318" s="752"/>
      <c r="L318" s="608" t="s">
        <v>1100</v>
      </c>
      <c r="M318" s="608" t="s">
        <v>1103</v>
      </c>
      <c r="N318" s="608" t="s">
        <v>1091</v>
      </c>
      <c r="O318" s="608" t="s">
        <v>1104</v>
      </c>
      <c r="P318" s="608"/>
      <c r="Q318" s="608"/>
      <c r="R318" s="608"/>
      <c r="T318" s="752"/>
      <c r="V318" s="609">
        <f>IF(W318=1,G318,0)</f>
        <v>0</v>
      </c>
      <c r="W318" s="700"/>
    </row>
    <row r="319" spans="1:23" ht="26.45" outlineLevel="3">
      <c r="A319" s="376"/>
      <c r="B319" s="376" t="s">
        <v>229</v>
      </c>
      <c r="C319" s="376" t="s">
        <v>1245</v>
      </c>
      <c r="D319" s="376" t="s">
        <v>159</v>
      </c>
      <c r="E319" s="376" t="s">
        <v>1100</v>
      </c>
      <c r="F319" s="608" t="s">
        <v>1246</v>
      </c>
      <c r="G319" s="695">
        <v>0.19498499999999999</v>
      </c>
      <c r="H319" s="700">
        <v>1</v>
      </c>
      <c r="I319" s="626"/>
      <c r="J319" s="752"/>
      <c r="L319" s="608" t="s">
        <v>1100</v>
      </c>
      <c r="M319" s="608" t="s">
        <v>1103</v>
      </c>
      <c r="N319" s="608" t="s">
        <v>1091</v>
      </c>
      <c r="O319" s="608" t="s">
        <v>1104</v>
      </c>
      <c r="P319" s="608"/>
      <c r="Q319" s="608"/>
      <c r="R319" s="608"/>
      <c r="T319" s="752"/>
      <c r="V319" s="609">
        <f>IF(W319=1,G319,0)</f>
        <v>0</v>
      </c>
      <c r="W319" s="700"/>
    </row>
    <row r="320" spans="1:23" ht="26.45" outlineLevel="3">
      <c r="A320" s="376"/>
      <c r="B320" s="376" t="s">
        <v>229</v>
      </c>
      <c r="C320" s="376" t="s">
        <v>1245</v>
      </c>
      <c r="D320" s="376" t="s">
        <v>159</v>
      </c>
      <c r="E320" s="376" t="s">
        <v>1100</v>
      </c>
      <c r="F320" s="608" t="s">
        <v>1247</v>
      </c>
      <c r="G320" s="695">
        <v>0.19498499999999999</v>
      </c>
      <c r="H320" s="700">
        <v>1</v>
      </c>
      <c r="I320" s="626"/>
      <c r="J320" s="752"/>
      <c r="L320" s="608" t="s">
        <v>1100</v>
      </c>
      <c r="M320" s="608" t="s">
        <v>1103</v>
      </c>
      <c r="N320" s="608" t="s">
        <v>1091</v>
      </c>
      <c r="O320" s="608" t="s">
        <v>1104</v>
      </c>
      <c r="P320" s="608"/>
      <c r="Q320" s="608"/>
      <c r="R320" s="608"/>
      <c r="T320" s="752"/>
      <c r="V320" s="609">
        <f>IF(W320=1,G320,0)</f>
        <v>0</v>
      </c>
      <c r="W320" s="700"/>
    </row>
    <row r="321" spans="1:23" outlineLevel="2">
      <c r="A321" s="376"/>
      <c r="B321" s="684" t="s">
        <v>229</v>
      </c>
      <c r="C321" s="684" t="s">
        <v>1245</v>
      </c>
      <c r="D321" s="684" t="s">
        <v>518</v>
      </c>
      <c r="E321" s="684"/>
      <c r="F321" s="685" t="s">
        <v>1022</v>
      </c>
      <c r="G321" s="713">
        <f>SUBTOTAL(9,G322:G324)</f>
        <v>0.22284000000000001</v>
      </c>
      <c r="H321" s="714">
        <f>SUBTOTAL(9,H322:H324)</f>
        <v>3</v>
      </c>
      <c r="I321" s="626"/>
      <c r="J321" s="752"/>
      <c r="L321" s="685"/>
      <c r="M321" s="685"/>
      <c r="N321" s="685"/>
      <c r="O321" s="685"/>
      <c r="P321" s="685"/>
      <c r="Q321" s="685"/>
      <c r="R321" s="685"/>
      <c r="T321" s="752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229</v>
      </c>
      <c r="C322" s="376" t="s">
        <v>1245</v>
      </c>
      <c r="D322" s="376" t="s">
        <v>518</v>
      </c>
      <c r="E322" s="376" t="s">
        <v>56</v>
      </c>
      <c r="F322" s="608" t="s">
        <v>1238</v>
      </c>
      <c r="G322" s="609">
        <v>5.9424000000000005E-2</v>
      </c>
      <c r="H322" s="692">
        <v>1</v>
      </c>
      <c r="I322" s="626"/>
      <c r="J322" s="752"/>
      <c r="L322" s="608" t="s">
        <v>56</v>
      </c>
      <c r="M322" s="608" t="s">
        <v>1038</v>
      </c>
      <c r="N322" s="608" t="s">
        <v>1043</v>
      </c>
      <c r="O322" s="608" t="s">
        <v>1039</v>
      </c>
      <c r="P322" s="608" t="s">
        <v>1040</v>
      </c>
      <c r="Q322" s="608"/>
      <c r="R322" s="608">
        <v>0</v>
      </c>
      <c r="T322" s="752"/>
      <c r="V322" s="609">
        <f>IF(W322=1,G322,0)</f>
        <v>0</v>
      </c>
      <c r="W322" s="692"/>
    </row>
    <row r="323" spans="1:23" outlineLevel="3">
      <c r="A323" s="376"/>
      <c r="B323" s="376" t="s">
        <v>229</v>
      </c>
      <c r="C323" s="376" t="s">
        <v>1245</v>
      </c>
      <c r="D323" s="376" t="s">
        <v>518</v>
      </c>
      <c r="E323" s="376" t="s">
        <v>56</v>
      </c>
      <c r="F323" s="608" t="s">
        <v>1239</v>
      </c>
      <c r="G323" s="609">
        <v>0.14856</v>
      </c>
      <c r="H323" s="692">
        <v>1</v>
      </c>
      <c r="I323" s="626"/>
      <c r="J323" s="752"/>
      <c r="L323" s="608" t="s">
        <v>56</v>
      </c>
      <c r="M323" s="608" t="s">
        <v>1038</v>
      </c>
      <c r="N323" s="608" t="s">
        <v>1043</v>
      </c>
      <c r="O323" s="608" t="s">
        <v>1039</v>
      </c>
      <c r="P323" s="608" t="s">
        <v>1040</v>
      </c>
      <c r="Q323" s="608"/>
      <c r="R323" s="608">
        <v>0</v>
      </c>
      <c r="T323" s="752"/>
      <c r="V323" s="609">
        <f>IF(W323=1,G323,0)</f>
        <v>0</v>
      </c>
      <c r="W323" s="692"/>
    </row>
    <row r="324" spans="1:23" outlineLevel="3">
      <c r="A324" s="376"/>
      <c r="B324" s="376" t="s">
        <v>229</v>
      </c>
      <c r="C324" s="376" t="s">
        <v>1245</v>
      </c>
      <c r="D324" s="376" t="s">
        <v>518</v>
      </c>
      <c r="E324" s="376" t="s">
        <v>56</v>
      </c>
      <c r="F324" s="608" t="s">
        <v>1246</v>
      </c>
      <c r="G324" s="609">
        <v>1.4856000000000001E-2</v>
      </c>
      <c r="H324" s="692">
        <v>1</v>
      </c>
      <c r="I324" s="626"/>
      <c r="J324" s="752"/>
      <c r="L324" s="608" t="s">
        <v>56</v>
      </c>
      <c r="M324" s="608" t="s">
        <v>1038</v>
      </c>
      <c r="N324" s="608" t="s">
        <v>1043</v>
      </c>
      <c r="O324" s="608" t="s">
        <v>1039</v>
      </c>
      <c r="P324" s="608" t="s">
        <v>1040</v>
      </c>
      <c r="Q324" s="608"/>
      <c r="R324" s="608">
        <v>0</v>
      </c>
      <c r="T324" s="752"/>
      <c r="V324" s="609">
        <f>IF(W324=1,G324,0)</f>
        <v>0</v>
      </c>
      <c r="W324" s="692"/>
    </row>
    <row r="325" spans="1:23" outlineLevel="2">
      <c r="A325" s="376"/>
      <c r="B325" s="684" t="s">
        <v>229</v>
      </c>
      <c r="C325" s="684" t="s">
        <v>1245</v>
      </c>
      <c r="D325" s="684" t="s">
        <v>441</v>
      </c>
      <c r="E325" s="684"/>
      <c r="F325" s="685" t="s">
        <v>1022</v>
      </c>
      <c r="G325" s="713">
        <f>SUBTOTAL(9,G326:G329)</f>
        <v>0.1253475</v>
      </c>
      <c r="H325" s="714">
        <f>SUBTOTAL(9,H326:H329)</f>
        <v>4</v>
      </c>
      <c r="I325" s="626"/>
      <c r="J325" s="752"/>
      <c r="L325" s="685"/>
      <c r="M325" s="685"/>
      <c r="N325" s="685"/>
      <c r="O325" s="685"/>
      <c r="P325" s="685"/>
      <c r="Q325" s="685"/>
      <c r="R325" s="685"/>
      <c r="T325" s="752"/>
      <c r="V325" s="713">
        <f>SUBTOTAL(9,V326:V329)</f>
        <v>0</v>
      </c>
      <c r="W325" s="714">
        <f>SUBTOTAL(9,W326:W329)</f>
        <v>0</v>
      </c>
    </row>
    <row r="326" spans="1:23" ht="39.6" outlineLevel="3">
      <c r="A326" s="376"/>
      <c r="B326" s="376" t="s">
        <v>229</v>
      </c>
      <c r="C326" s="376" t="s">
        <v>1245</v>
      </c>
      <c r="D326" s="376" t="s">
        <v>441</v>
      </c>
      <c r="E326" s="376" t="s">
        <v>437</v>
      </c>
      <c r="F326" s="608" t="s">
        <v>1238</v>
      </c>
      <c r="G326" s="609">
        <v>1.6713000000000002E-2</v>
      </c>
      <c r="H326" s="692">
        <v>1</v>
      </c>
      <c r="I326" s="626"/>
      <c r="J326" s="752"/>
      <c r="L326" s="608" t="s">
        <v>437</v>
      </c>
      <c r="M326" s="608" t="s">
        <v>966</v>
      </c>
      <c r="N326" s="608" t="s">
        <v>1173</v>
      </c>
      <c r="O326" s="608" t="s">
        <v>1248</v>
      </c>
      <c r="P326" s="608"/>
      <c r="Q326" s="608"/>
      <c r="R326" s="608"/>
      <c r="T326" s="752"/>
      <c r="V326" s="609">
        <f>IF(W326=1,G326,0)</f>
        <v>0</v>
      </c>
      <c r="W326" s="692"/>
    </row>
    <row r="327" spans="1:23" ht="39.6" outlineLevel="3">
      <c r="A327" s="376"/>
      <c r="B327" s="376" t="s">
        <v>229</v>
      </c>
      <c r="C327" s="376" t="s">
        <v>1245</v>
      </c>
      <c r="D327" s="376" t="s">
        <v>441</v>
      </c>
      <c r="E327" s="376" t="s">
        <v>437</v>
      </c>
      <c r="F327" s="608" t="s">
        <v>1239</v>
      </c>
      <c r="G327" s="609">
        <v>5.8495499999999999E-2</v>
      </c>
      <c r="H327" s="692">
        <v>1</v>
      </c>
      <c r="I327" s="626"/>
      <c r="J327" s="752"/>
      <c r="L327" s="608" t="s">
        <v>437</v>
      </c>
      <c r="M327" s="608" t="s">
        <v>966</v>
      </c>
      <c r="N327" s="608" t="s">
        <v>1173</v>
      </c>
      <c r="O327" s="608" t="s">
        <v>1248</v>
      </c>
      <c r="P327" s="608"/>
      <c r="Q327" s="608"/>
      <c r="R327" s="608"/>
      <c r="T327" s="752"/>
      <c r="V327" s="609">
        <f>IF(W327=1,G327,0)</f>
        <v>0</v>
      </c>
      <c r="W327" s="692"/>
    </row>
    <row r="328" spans="1:23" ht="39.6" outlineLevel="3">
      <c r="A328" s="376"/>
      <c r="B328" s="376" t="s">
        <v>229</v>
      </c>
      <c r="C328" s="376" t="s">
        <v>1245</v>
      </c>
      <c r="D328" s="376" t="s">
        <v>441</v>
      </c>
      <c r="E328" s="376" t="s">
        <v>437</v>
      </c>
      <c r="F328" s="608" t="s">
        <v>1246</v>
      </c>
      <c r="G328" s="609">
        <v>2.5069499999999998E-2</v>
      </c>
      <c r="H328" s="692">
        <v>1</v>
      </c>
      <c r="I328" s="626"/>
      <c r="J328" s="752"/>
      <c r="L328" s="608" t="s">
        <v>437</v>
      </c>
      <c r="M328" s="608" t="s">
        <v>966</v>
      </c>
      <c r="N328" s="608" t="s">
        <v>1173</v>
      </c>
      <c r="O328" s="608" t="s">
        <v>1248</v>
      </c>
      <c r="P328" s="608"/>
      <c r="Q328" s="608"/>
      <c r="R328" s="608"/>
      <c r="T328" s="752"/>
      <c r="V328" s="609">
        <f>IF(W328=1,G328,0)</f>
        <v>0</v>
      </c>
      <c r="W328" s="692"/>
    </row>
    <row r="329" spans="1:23" ht="39.6" outlineLevel="3">
      <c r="A329" s="376"/>
      <c r="B329" s="376" t="s">
        <v>229</v>
      </c>
      <c r="C329" s="376" t="s">
        <v>1245</v>
      </c>
      <c r="D329" s="376" t="s">
        <v>441</v>
      </c>
      <c r="E329" s="376" t="s">
        <v>437</v>
      </c>
      <c r="F329" s="608" t="s">
        <v>1247</v>
      </c>
      <c r="G329" s="609">
        <v>2.5069499999999998E-2</v>
      </c>
      <c r="H329" s="692">
        <v>1</v>
      </c>
      <c r="I329" s="626"/>
      <c r="J329" s="752"/>
      <c r="L329" s="608" t="s">
        <v>437</v>
      </c>
      <c r="M329" s="608" t="s">
        <v>966</v>
      </c>
      <c r="N329" s="608" t="s">
        <v>1173</v>
      </c>
      <c r="O329" s="608" t="s">
        <v>1248</v>
      </c>
      <c r="P329" s="608"/>
      <c r="Q329" s="608"/>
      <c r="R329" s="608"/>
      <c r="T329" s="752"/>
      <c r="V329" s="609">
        <f>IF(W329=1,G329,0)</f>
        <v>0</v>
      </c>
      <c r="W329" s="692"/>
    </row>
    <row r="330" spans="1:23" outlineLevel="2">
      <c r="A330" s="376"/>
      <c r="B330" s="684" t="s">
        <v>229</v>
      </c>
      <c r="C330" s="684" t="s">
        <v>1245</v>
      </c>
      <c r="D330" s="684" t="s">
        <v>860</v>
      </c>
      <c r="E330" s="684"/>
      <c r="F330" s="685" t="s">
        <v>1022</v>
      </c>
      <c r="G330" s="713">
        <f>SUBTOTAL(9,G331:G332)</f>
        <v>6.9637500000000005E-2</v>
      </c>
      <c r="H330" s="714">
        <f>SUBTOTAL(9,H331:H332)</f>
        <v>2</v>
      </c>
      <c r="I330" s="626"/>
      <c r="J330" s="752"/>
      <c r="L330" s="685"/>
      <c r="M330" s="685"/>
      <c r="N330" s="685"/>
      <c r="O330" s="685"/>
      <c r="P330" s="685"/>
      <c r="Q330" s="685"/>
      <c r="R330" s="685"/>
      <c r="T330" s="752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229</v>
      </c>
      <c r="C331" s="376" t="s">
        <v>1245</v>
      </c>
      <c r="D331" s="376" t="s">
        <v>860</v>
      </c>
      <c r="E331" s="376" t="s">
        <v>437</v>
      </c>
      <c r="F331" s="608" t="s">
        <v>1238</v>
      </c>
      <c r="G331" s="609">
        <v>1.857E-2</v>
      </c>
      <c r="H331" s="692">
        <v>1</v>
      </c>
      <c r="I331" s="626"/>
      <c r="J331" s="752"/>
      <c r="L331" s="608" t="s">
        <v>437</v>
      </c>
      <c r="M331" s="608" t="s">
        <v>996</v>
      </c>
      <c r="N331" s="608" t="s">
        <v>1244</v>
      </c>
      <c r="O331" s="608" t="s">
        <v>1249</v>
      </c>
      <c r="P331" s="608"/>
      <c r="Q331" s="608"/>
      <c r="R331" s="608"/>
      <c r="T331" s="752"/>
      <c r="V331" s="609">
        <f>IF(W331=1,G331,0)</f>
        <v>0</v>
      </c>
      <c r="W331" s="692"/>
    </row>
    <row r="332" spans="1:23" outlineLevel="3">
      <c r="A332" s="376"/>
      <c r="B332" s="376" t="s">
        <v>229</v>
      </c>
      <c r="C332" s="376" t="s">
        <v>1245</v>
      </c>
      <c r="D332" s="376" t="s">
        <v>860</v>
      </c>
      <c r="E332" s="376" t="s">
        <v>437</v>
      </c>
      <c r="F332" s="608" t="s">
        <v>1246</v>
      </c>
      <c r="G332" s="609">
        <v>5.1067500000000002E-2</v>
      </c>
      <c r="H332" s="692">
        <v>1</v>
      </c>
      <c r="I332" s="626"/>
      <c r="J332" s="752"/>
      <c r="L332" s="608" t="s">
        <v>437</v>
      </c>
      <c r="M332" s="608" t="s">
        <v>996</v>
      </c>
      <c r="N332" s="608" t="s">
        <v>1244</v>
      </c>
      <c r="O332" s="608" t="s">
        <v>1249</v>
      </c>
      <c r="P332" s="608"/>
      <c r="Q332" s="608"/>
      <c r="R332" s="608"/>
      <c r="T332" s="752"/>
      <c r="V332" s="609">
        <f>IF(W332=1,G332,0)</f>
        <v>0</v>
      </c>
      <c r="W332" s="692"/>
    </row>
    <row r="333" spans="1:23" outlineLevel="1">
      <c r="A333" s="376"/>
      <c r="B333" s="665" t="s">
        <v>918</v>
      </c>
      <c r="C333" s="665" t="s">
        <v>1250</v>
      </c>
      <c r="D333" s="665"/>
      <c r="E333" s="665"/>
      <c r="F333" s="681" t="s">
        <v>947</v>
      </c>
      <c r="G333" s="701">
        <f>SUBTOTAL(9,G334:G342)</f>
        <v>4.9130000000000007E-3</v>
      </c>
      <c r="H333" s="702">
        <f>SUBTOTAL(9,H334:H342)</f>
        <v>6</v>
      </c>
      <c r="I333" s="626"/>
      <c r="J333" s="752"/>
      <c r="L333" s="681"/>
      <c r="M333" s="681"/>
      <c r="N333" s="681"/>
      <c r="O333" s="681"/>
      <c r="P333" s="681"/>
      <c r="Q333" s="681"/>
      <c r="R333" s="681"/>
      <c r="T333" s="752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918</v>
      </c>
      <c r="C334" s="684" t="s">
        <v>1250</v>
      </c>
      <c r="D334" s="684" t="s">
        <v>159</v>
      </c>
      <c r="E334" s="684"/>
      <c r="F334" s="685" t="s">
        <v>1251</v>
      </c>
      <c r="G334" s="713">
        <f>SUBTOTAL(9,G335:G338)</f>
        <v>4.0000000000000001E-3</v>
      </c>
      <c r="H334" s="714">
        <f>SUBTOTAL(9,H335:H338)</f>
        <v>4</v>
      </c>
      <c r="I334" s="626"/>
      <c r="J334" s="752"/>
      <c r="L334" s="685"/>
      <c r="M334" s="685"/>
      <c r="N334" s="685"/>
      <c r="O334" s="685"/>
      <c r="P334" s="685"/>
      <c r="Q334" s="685"/>
      <c r="R334" s="685"/>
      <c r="T334" s="752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918</v>
      </c>
      <c r="C335" s="376" t="s">
        <v>1250</v>
      </c>
      <c r="D335" s="376" t="s">
        <v>159</v>
      </c>
      <c r="E335" s="376" t="s">
        <v>1236</v>
      </c>
      <c r="F335" s="608" t="s">
        <v>1252</v>
      </c>
      <c r="G335" s="609">
        <v>2.0999999999999999E-3</v>
      </c>
      <c r="H335" s="700">
        <v>1</v>
      </c>
      <c r="I335" s="626"/>
      <c r="J335" s="752"/>
      <c r="L335" s="608" t="s">
        <v>1236</v>
      </c>
      <c r="M335" s="608"/>
      <c r="N335" s="608"/>
      <c r="O335" s="608"/>
      <c r="P335" s="608"/>
      <c r="Q335" s="608"/>
      <c r="R335" s="608"/>
      <c r="T335" s="752"/>
      <c r="V335" s="609">
        <f>IF(W335=1,G335,0)</f>
        <v>0</v>
      </c>
      <c r="W335" s="700"/>
    </row>
    <row r="336" spans="1:23" outlineLevel="3">
      <c r="A336" s="376"/>
      <c r="B336" s="376" t="s">
        <v>918</v>
      </c>
      <c r="C336" s="376" t="s">
        <v>1250</v>
      </c>
      <c r="D336" s="376" t="s">
        <v>159</v>
      </c>
      <c r="E336" s="376" t="s">
        <v>1236</v>
      </c>
      <c r="F336" s="608" t="s">
        <v>1253</v>
      </c>
      <c r="G336" s="609">
        <v>8.7500000000000002E-4</v>
      </c>
      <c r="H336" s="700">
        <v>1</v>
      </c>
      <c r="I336" s="626"/>
      <c r="J336" s="752"/>
      <c r="L336" s="608" t="s">
        <v>1236</v>
      </c>
      <c r="M336" s="608"/>
      <c r="N336" s="608"/>
      <c r="O336" s="608"/>
      <c r="P336" s="608"/>
      <c r="Q336" s="608"/>
      <c r="R336" s="608"/>
      <c r="T336" s="752"/>
      <c r="V336" s="609">
        <f>IF(W336=1,G336,0)</f>
        <v>0</v>
      </c>
      <c r="W336" s="700"/>
    </row>
    <row r="337" spans="1:23" outlineLevel="3">
      <c r="A337" s="376"/>
      <c r="B337" s="376" t="s">
        <v>918</v>
      </c>
      <c r="C337" s="376" t="s">
        <v>1250</v>
      </c>
      <c r="D337" s="376" t="s">
        <v>159</v>
      </c>
      <c r="E337" s="376" t="s">
        <v>1236</v>
      </c>
      <c r="F337" s="608" t="s">
        <v>1254</v>
      </c>
      <c r="G337" s="609">
        <v>5.2499999999999997E-4</v>
      </c>
      <c r="H337" s="700">
        <v>1</v>
      </c>
      <c r="I337" s="626"/>
      <c r="J337" s="752"/>
      <c r="L337" s="608" t="s">
        <v>1236</v>
      </c>
      <c r="M337" s="608"/>
      <c r="N337" s="608"/>
      <c r="O337" s="608"/>
      <c r="P337" s="608"/>
      <c r="Q337" s="608"/>
      <c r="R337" s="608"/>
      <c r="T337" s="752"/>
      <c r="V337" s="609">
        <f>IF(W337=1,G337,0)</f>
        <v>0</v>
      </c>
      <c r="W337" s="700"/>
    </row>
    <row r="338" spans="1:23" outlineLevel="3">
      <c r="A338" s="376"/>
      <c r="B338" s="376" t="s">
        <v>918</v>
      </c>
      <c r="C338" s="376" t="s">
        <v>1250</v>
      </c>
      <c r="D338" s="376" t="s">
        <v>159</v>
      </c>
      <c r="E338" s="376" t="s">
        <v>1236</v>
      </c>
      <c r="F338" s="608" t="s">
        <v>1255</v>
      </c>
      <c r="G338" s="609">
        <v>5.0000000000000001E-4</v>
      </c>
      <c r="H338" s="700">
        <v>1</v>
      </c>
      <c r="I338" s="626"/>
      <c r="J338" s="752"/>
      <c r="L338" s="608" t="s">
        <v>1236</v>
      </c>
      <c r="M338" s="608"/>
      <c r="N338" s="608"/>
      <c r="O338" s="608"/>
      <c r="P338" s="608"/>
      <c r="Q338" s="608"/>
      <c r="R338" s="608"/>
      <c r="T338" s="752"/>
      <c r="V338" s="609">
        <f>IF(W338=1,G338,0)</f>
        <v>0</v>
      </c>
      <c r="W338" s="700"/>
    </row>
    <row r="339" spans="1:23" outlineLevel="2">
      <c r="A339" s="376"/>
      <c r="B339" s="684" t="s">
        <v>918</v>
      </c>
      <c r="C339" s="684" t="s">
        <v>1250</v>
      </c>
      <c r="D339" s="684" t="s">
        <v>860</v>
      </c>
      <c r="E339" s="684"/>
      <c r="F339" s="685" t="s">
        <v>1251</v>
      </c>
      <c r="G339" s="713">
        <f>SUBTOTAL(9,G340)</f>
        <v>1.13E-4</v>
      </c>
      <c r="H339" s="714">
        <f>SUBTOTAL(9,H340)</f>
        <v>1</v>
      </c>
      <c r="I339" s="626"/>
      <c r="J339" s="752"/>
      <c r="L339" s="685"/>
      <c r="M339" s="685"/>
      <c r="N339" s="685"/>
      <c r="O339" s="685"/>
      <c r="P339" s="685"/>
      <c r="Q339" s="685"/>
      <c r="R339" s="685"/>
      <c r="T339" s="752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918</v>
      </c>
      <c r="C340" s="376" t="s">
        <v>1250</v>
      </c>
      <c r="D340" s="376" t="s">
        <v>860</v>
      </c>
      <c r="E340" s="376" t="s">
        <v>437</v>
      </c>
      <c r="F340" s="608" t="s">
        <v>1256</v>
      </c>
      <c r="G340" s="609">
        <v>1.13E-4</v>
      </c>
      <c r="H340" s="700">
        <v>1</v>
      </c>
      <c r="I340" s="626"/>
      <c r="J340" s="752"/>
      <c r="L340" s="608" t="s">
        <v>437</v>
      </c>
      <c r="M340" s="608" t="s">
        <v>996</v>
      </c>
      <c r="N340" s="608" t="s">
        <v>1249</v>
      </c>
      <c r="O340" s="608"/>
      <c r="P340" s="608"/>
      <c r="Q340" s="608"/>
      <c r="R340" s="608"/>
      <c r="T340" s="752"/>
      <c r="V340" s="609">
        <f>IF(W340=1,G340,0)</f>
        <v>0</v>
      </c>
      <c r="W340" s="700"/>
    </row>
    <row r="341" spans="1:23" outlineLevel="2">
      <c r="A341" s="376"/>
      <c r="B341" s="684" t="s">
        <v>918</v>
      </c>
      <c r="C341" s="684" t="s">
        <v>1250</v>
      </c>
      <c r="D341" s="684" t="s">
        <v>518</v>
      </c>
      <c r="E341" s="684"/>
      <c r="F341" s="685" t="s">
        <v>1251</v>
      </c>
      <c r="G341" s="713">
        <f>SUBTOTAL(9,G342)</f>
        <v>8.0000000000000004E-4</v>
      </c>
      <c r="H341" s="714">
        <f>SUBTOTAL(9,H342)</f>
        <v>1</v>
      </c>
      <c r="I341" s="626"/>
      <c r="J341" s="752"/>
      <c r="L341" s="685"/>
      <c r="M341" s="685"/>
      <c r="N341" s="685"/>
      <c r="O341" s="685"/>
      <c r="P341" s="685"/>
      <c r="Q341" s="685"/>
      <c r="R341" s="685"/>
      <c r="T341" s="752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918</v>
      </c>
      <c r="C342" s="376" t="s">
        <v>1250</v>
      </c>
      <c r="D342" s="376" t="s">
        <v>518</v>
      </c>
      <c r="E342" s="376" t="s">
        <v>56</v>
      </c>
      <c r="F342" s="608" t="s">
        <v>1255</v>
      </c>
      <c r="G342" s="609">
        <v>8.0000000000000004E-4</v>
      </c>
      <c r="H342" s="700">
        <v>1</v>
      </c>
      <c r="I342" s="626"/>
      <c r="J342" s="752"/>
      <c r="L342" s="608" t="s">
        <v>56</v>
      </c>
      <c r="M342" s="608" t="s">
        <v>1257</v>
      </c>
      <c r="N342" s="608"/>
      <c r="O342" s="608">
        <v>0</v>
      </c>
      <c r="P342" s="608" t="s">
        <v>1096</v>
      </c>
      <c r="Q342" s="608"/>
      <c r="R342" s="608">
        <v>0</v>
      </c>
      <c r="T342" s="752"/>
      <c r="V342" s="609">
        <f>IF(W342=1,G342,0)</f>
        <v>0</v>
      </c>
      <c r="W342" s="700"/>
    </row>
    <row r="343" spans="1:23" outlineLevel="1">
      <c r="A343" s="376"/>
      <c r="B343" s="665" t="s">
        <v>498</v>
      </c>
      <c r="C343" s="665" t="s">
        <v>1258</v>
      </c>
      <c r="D343" s="665"/>
      <c r="E343" s="665"/>
      <c r="F343" s="681" t="s">
        <v>947</v>
      </c>
      <c r="G343" s="701">
        <f>SUBTOTAL(9,G344:G352)</f>
        <v>0.56189180207999989</v>
      </c>
      <c r="H343" s="702">
        <f>SUBTOTAL(9,H344:H352)</f>
        <v>5</v>
      </c>
      <c r="I343" s="626"/>
      <c r="J343" s="752"/>
      <c r="L343" s="681"/>
      <c r="M343" s="681"/>
      <c r="N343" s="681"/>
      <c r="O343" s="681"/>
      <c r="P343" s="681"/>
      <c r="Q343" s="681"/>
      <c r="R343" s="681"/>
      <c r="T343" s="752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498</v>
      </c>
      <c r="C344" s="684" t="s">
        <v>1258</v>
      </c>
      <c r="D344" s="684" t="s">
        <v>159</v>
      </c>
      <c r="E344" s="684"/>
      <c r="F344" s="685" t="s">
        <v>1259</v>
      </c>
      <c r="G344" s="686">
        <f>SUBTOTAL(9,G345:G346)</f>
        <v>0.43996002400000001</v>
      </c>
      <c r="H344" s="691">
        <f>SUBTOTAL(9,H345:H346)</f>
        <v>2</v>
      </c>
      <c r="I344" s="626"/>
      <c r="J344" s="752"/>
      <c r="L344" s="685"/>
      <c r="M344" s="685"/>
      <c r="N344" s="685"/>
      <c r="O344" s="685"/>
      <c r="P344" s="685"/>
      <c r="Q344" s="685"/>
      <c r="R344" s="685"/>
      <c r="T344" s="752"/>
      <c r="V344" s="686">
        <f>SUBTOTAL(9,V345:V346)</f>
        <v>0</v>
      </c>
      <c r="W344" s="691">
        <f>SUBTOTAL(9,W345:W346)</f>
        <v>0</v>
      </c>
    </row>
    <row r="345" spans="1:23" ht="26.45" outlineLevel="3">
      <c r="A345" s="376"/>
      <c r="B345" s="376" t="s">
        <v>498</v>
      </c>
      <c r="C345" s="376" t="s">
        <v>1258</v>
      </c>
      <c r="D345" s="376" t="s">
        <v>159</v>
      </c>
      <c r="E345" s="376" t="s">
        <v>1100</v>
      </c>
      <c r="F345" s="608" t="s">
        <v>1231</v>
      </c>
      <c r="G345" s="609">
        <v>0.17598400959999999</v>
      </c>
      <c r="H345" s="692">
        <v>1</v>
      </c>
      <c r="I345" s="626"/>
      <c r="J345" s="752"/>
      <c r="L345" s="608" t="s">
        <v>1100</v>
      </c>
      <c r="M345" s="608" t="s">
        <v>1090</v>
      </c>
      <c r="N345" s="608" t="s">
        <v>1150</v>
      </c>
      <c r="O345" s="608" t="s">
        <v>1152</v>
      </c>
      <c r="P345" s="608"/>
      <c r="Q345" s="608"/>
      <c r="R345" s="608"/>
      <c r="T345" s="752"/>
      <c r="V345" s="609">
        <f>IF(W345=1,G345,0)</f>
        <v>0</v>
      </c>
      <c r="W345" s="692"/>
    </row>
    <row r="346" spans="1:23" ht="26.45" outlineLevel="3">
      <c r="A346" s="376"/>
      <c r="B346" s="376" t="s">
        <v>498</v>
      </c>
      <c r="C346" s="376" t="s">
        <v>1258</v>
      </c>
      <c r="D346" s="376" t="s">
        <v>159</v>
      </c>
      <c r="E346" s="376" t="s">
        <v>1100</v>
      </c>
      <c r="F346" s="608" t="s">
        <v>36</v>
      </c>
      <c r="G346" s="609">
        <v>0.26397601440000001</v>
      </c>
      <c r="H346" s="692">
        <v>1</v>
      </c>
      <c r="I346" s="626"/>
      <c r="J346" s="752"/>
      <c r="L346" s="608" t="s">
        <v>1100</v>
      </c>
      <c r="M346" s="608" t="s">
        <v>1090</v>
      </c>
      <c r="N346" s="608" t="s">
        <v>1150</v>
      </c>
      <c r="O346" s="608" t="s">
        <v>1152</v>
      </c>
      <c r="P346" s="608"/>
      <c r="Q346" s="608"/>
      <c r="R346" s="608"/>
      <c r="T346" s="752"/>
      <c r="V346" s="609">
        <f>IF(W346=1,G346,0)</f>
        <v>0</v>
      </c>
      <c r="W346" s="692"/>
    </row>
    <row r="347" spans="1:23" outlineLevel="2">
      <c r="A347" s="376"/>
      <c r="B347" s="684" t="s">
        <v>498</v>
      </c>
      <c r="C347" s="684" t="s">
        <v>1258</v>
      </c>
      <c r="D347" s="684" t="s">
        <v>518</v>
      </c>
      <c r="E347" s="684"/>
      <c r="F347" s="685" t="s">
        <v>1259</v>
      </c>
      <c r="G347" s="686">
        <f>SUBTOTAL(9,G348)</f>
        <v>8.0449832960000009E-2</v>
      </c>
      <c r="H347" s="691">
        <f>SUBTOTAL(9,H348)</f>
        <v>1</v>
      </c>
      <c r="I347" s="626"/>
      <c r="J347" s="752"/>
      <c r="L347" s="685"/>
      <c r="M347" s="685"/>
      <c r="N347" s="685"/>
      <c r="O347" s="685"/>
      <c r="P347" s="685"/>
      <c r="Q347" s="685"/>
      <c r="R347" s="685"/>
      <c r="T347" s="752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498</v>
      </c>
      <c r="C348" s="376" t="s">
        <v>1258</v>
      </c>
      <c r="D348" s="376" t="s">
        <v>518</v>
      </c>
      <c r="E348" s="376" t="s">
        <v>56</v>
      </c>
      <c r="F348" s="608" t="s">
        <v>36</v>
      </c>
      <c r="G348" s="609">
        <v>8.0449832960000009E-2</v>
      </c>
      <c r="H348" s="692">
        <v>1</v>
      </c>
      <c r="I348" s="626"/>
      <c r="J348" s="752"/>
      <c r="L348" s="608" t="s">
        <v>56</v>
      </c>
      <c r="M348" s="608" t="s">
        <v>959</v>
      </c>
      <c r="N348" s="608" t="s">
        <v>1154</v>
      </c>
      <c r="O348" s="608"/>
      <c r="P348" s="608"/>
      <c r="Q348" s="608"/>
      <c r="R348" s="608"/>
      <c r="T348" s="752"/>
      <c r="V348" s="609">
        <f>IF(W348=1,G348,0)</f>
        <v>0</v>
      </c>
      <c r="W348" s="692"/>
    </row>
    <row r="349" spans="1:23" outlineLevel="2">
      <c r="A349" s="376"/>
      <c r="B349" s="684" t="s">
        <v>498</v>
      </c>
      <c r="C349" s="684" t="s">
        <v>1258</v>
      </c>
      <c r="D349" s="684" t="s">
        <v>441</v>
      </c>
      <c r="E349" s="684"/>
      <c r="F349" s="685" t="s">
        <v>1259</v>
      </c>
      <c r="G349" s="686">
        <f>SUBTOTAL(9,G350)</f>
        <v>2.2626515519999998E-2</v>
      </c>
      <c r="H349" s="691">
        <f>SUBTOTAL(9,H350)</f>
        <v>1</v>
      </c>
      <c r="I349" s="626"/>
      <c r="J349" s="752"/>
      <c r="L349" s="685"/>
      <c r="M349" s="685"/>
      <c r="N349" s="685"/>
      <c r="O349" s="685"/>
      <c r="P349" s="685"/>
      <c r="Q349" s="685"/>
      <c r="R349" s="685"/>
      <c r="T349" s="752"/>
      <c r="V349" s="686">
        <f>SUBTOTAL(9,V350)</f>
        <v>0</v>
      </c>
      <c r="W349" s="691">
        <f>SUBTOTAL(9,W350)</f>
        <v>0</v>
      </c>
    </row>
    <row r="350" spans="1:23" ht="92.45" outlineLevel="3">
      <c r="A350" s="376"/>
      <c r="B350" s="376" t="s">
        <v>498</v>
      </c>
      <c r="C350" s="376" t="s">
        <v>1258</v>
      </c>
      <c r="D350" s="376" t="s">
        <v>441</v>
      </c>
      <c r="E350" s="376" t="s">
        <v>437</v>
      </c>
      <c r="F350" s="608" t="s">
        <v>36</v>
      </c>
      <c r="G350" s="609">
        <v>2.2626515519999998E-2</v>
      </c>
      <c r="H350" s="692">
        <v>1</v>
      </c>
      <c r="I350" s="626"/>
      <c r="J350" s="752"/>
      <c r="L350" s="608" t="s">
        <v>437</v>
      </c>
      <c r="M350" s="608" t="s">
        <v>1234</v>
      </c>
      <c r="N350" s="608"/>
      <c r="O350" s="608"/>
      <c r="P350" s="608"/>
      <c r="Q350" s="608"/>
      <c r="R350" s="608"/>
      <c r="T350" s="752"/>
      <c r="V350" s="609">
        <f>IF(W350=1,G350,0)</f>
        <v>0</v>
      </c>
      <c r="W350" s="692"/>
    </row>
    <row r="351" spans="1:23" outlineLevel="2">
      <c r="A351" s="376"/>
      <c r="B351" s="684" t="s">
        <v>498</v>
      </c>
      <c r="C351" s="684" t="s">
        <v>1258</v>
      </c>
      <c r="D351" s="684" t="s">
        <v>860</v>
      </c>
      <c r="E351" s="684"/>
      <c r="F351" s="685" t="s">
        <v>1259</v>
      </c>
      <c r="G351" s="686">
        <f>SUBTOTAL(9,G352)</f>
        <v>1.8855429600000001E-2</v>
      </c>
      <c r="H351" s="691">
        <f>SUBTOTAL(9,H352)</f>
        <v>1</v>
      </c>
      <c r="I351" s="626"/>
      <c r="J351" s="752"/>
      <c r="L351" s="685"/>
      <c r="M351" s="685"/>
      <c r="N351" s="685"/>
      <c r="O351" s="685"/>
      <c r="P351" s="685"/>
      <c r="Q351" s="685"/>
      <c r="R351" s="685"/>
      <c r="T351" s="752"/>
      <c r="V351" s="686">
        <f>SUBTOTAL(9,V352)</f>
        <v>0</v>
      </c>
      <c r="W351" s="691">
        <f>SUBTOTAL(9,W352)</f>
        <v>0</v>
      </c>
    </row>
    <row r="352" spans="1:23" ht="92.45" outlineLevel="3">
      <c r="A352" s="376"/>
      <c r="B352" s="376" t="s">
        <v>498</v>
      </c>
      <c r="C352" s="376" t="s">
        <v>1258</v>
      </c>
      <c r="D352" s="376" t="s">
        <v>860</v>
      </c>
      <c r="E352" s="376" t="s">
        <v>437</v>
      </c>
      <c r="F352" s="608" t="s">
        <v>36</v>
      </c>
      <c r="G352" s="609">
        <v>1.8855429600000001E-2</v>
      </c>
      <c r="H352" s="692">
        <v>1</v>
      </c>
      <c r="I352" s="626"/>
      <c r="J352" s="752"/>
      <c r="L352" s="608" t="s">
        <v>437</v>
      </c>
      <c r="M352" s="608" t="s">
        <v>1234</v>
      </c>
      <c r="N352" s="608"/>
      <c r="O352" s="608"/>
      <c r="P352" s="608"/>
      <c r="Q352" s="608"/>
      <c r="R352" s="608"/>
      <c r="T352" s="752"/>
      <c r="V352" s="609">
        <f>IF(W352=1,G352,0)</f>
        <v>0</v>
      </c>
      <c r="W352" s="692"/>
    </row>
    <row r="353" spans="1:23" outlineLevel="1">
      <c r="A353" s="376"/>
      <c r="B353" s="665" t="s">
        <v>1260</v>
      </c>
      <c r="C353" s="666" t="s">
        <v>160</v>
      </c>
      <c r="D353" s="666"/>
      <c r="E353" s="666"/>
      <c r="F353" s="681" t="s">
        <v>947</v>
      </c>
      <c r="G353" s="724">
        <f>SUBTOTAL(9,G354:G387)</f>
        <v>0</v>
      </c>
      <c r="H353" s="725">
        <f>SUBTOTAL(9,H354:H387)</f>
        <v>23</v>
      </c>
      <c r="I353" s="626"/>
      <c r="J353" s="752"/>
      <c r="L353" s="761"/>
      <c r="M353" s="761"/>
      <c r="N353" s="761"/>
      <c r="O353" s="761"/>
      <c r="P353" s="761"/>
      <c r="Q353" s="761"/>
      <c r="R353" s="761"/>
      <c r="T353" s="752"/>
      <c r="V353" s="724">
        <f>SUBTOTAL(9,V354:V387)</f>
        <v>0</v>
      </c>
      <c r="W353" s="725">
        <f>SUBTOTAL(9,W354:W387)</f>
        <v>1</v>
      </c>
    </row>
    <row r="354" spans="1:23" outlineLevel="2">
      <c r="A354" s="376"/>
      <c r="B354" s="684" t="s">
        <v>162</v>
      </c>
      <c r="C354" s="684" t="s">
        <v>1261</v>
      </c>
      <c r="D354" s="684" t="s">
        <v>159</v>
      </c>
      <c r="E354" s="684"/>
      <c r="F354" s="685" t="s">
        <v>1261</v>
      </c>
      <c r="G354" s="691">
        <f>SUBTOTAL(9,G355:G357)</f>
        <v>0</v>
      </c>
      <c r="H354" s="714">
        <f>SUBTOTAL(9,H355:H357)</f>
        <v>3</v>
      </c>
      <c r="I354" s="626"/>
      <c r="J354" s="752"/>
      <c r="L354" s="685"/>
      <c r="M354" s="685"/>
      <c r="N354" s="685"/>
      <c r="O354" s="685"/>
      <c r="P354" s="685"/>
      <c r="Q354" s="685"/>
      <c r="R354" s="685"/>
      <c r="T354" s="752"/>
      <c r="V354" s="691">
        <f>SUBTOTAL(9,V355:V357)</f>
        <v>0</v>
      </c>
      <c r="W354" s="714">
        <f>SUBTOTAL(9,W355:W357)</f>
        <v>1</v>
      </c>
    </row>
    <row r="355" spans="1:23" outlineLevel="3">
      <c r="A355" s="376"/>
      <c r="B355" s="376" t="s">
        <v>162</v>
      </c>
      <c r="C355" s="387" t="s">
        <v>160</v>
      </c>
      <c r="D355" s="376" t="s">
        <v>159</v>
      </c>
      <c r="E355" s="376" t="s">
        <v>47</v>
      </c>
      <c r="F355" s="705" t="s">
        <v>1262</v>
      </c>
      <c r="H355" s="769">
        <v>1</v>
      </c>
      <c r="I355" s="626"/>
      <c r="J355" s="752"/>
      <c r="L355" s="608" t="s">
        <v>47</v>
      </c>
      <c r="M355" s="608"/>
      <c r="N355" s="608"/>
      <c r="O355" s="608"/>
      <c r="P355" s="608"/>
      <c r="Q355" s="608"/>
      <c r="R355" s="608"/>
      <c r="T355" s="752"/>
      <c r="W355" s="696">
        <v>1</v>
      </c>
    </row>
    <row r="356" spans="1:23" outlineLevel="3">
      <c r="A356" s="376"/>
      <c r="B356" s="376" t="s">
        <v>162</v>
      </c>
      <c r="C356" s="387" t="s">
        <v>160</v>
      </c>
      <c r="D356" s="376" t="s">
        <v>159</v>
      </c>
      <c r="E356" s="376" t="s">
        <v>47</v>
      </c>
      <c r="F356" s="705" t="s">
        <v>1263</v>
      </c>
      <c r="H356" s="769">
        <v>1</v>
      </c>
      <c r="I356" s="626"/>
      <c r="J356" s="752"/>
      <c r="L356" s="608" t="s">
        <v>47</v>
      </c>
      <c r="M356" s="608"/>
      <c r="N356" s="608"/>
      <c r="O356" s="608"/>
      <c r="P356" s="608"/>
      <c r="Q356" s="608"/>
      <c r="R356" s="608"/>
      <c r="T356" s="752"/>
      <c r="W356" s="696"/>
    </row>
    <row r="357" spans="1:23" outlineLevel="3">
      <c r="A357" s="376"/>
      <c r="B357" s="376" t="s">
        <v>162</v>
      </c>
      <c r="C357" s="387" t="s">
        <v>160</v>
      </c>
      <c r="D357" s="376" t="s">
        <v>159</v>
      </c>
      <c r="E357" s="376" t="s">
        <v>47</v>
      </c>
      <c r="F357" s="705" t="s">
        <v>1264</v>
      </c>
      <c r="H357" s="769">
        <v>1</v>
      </c>
      <c r="I357" s="626"/>
      <c r="J357" s="752"/>
      <c r="L357" s="608" t="s">
        <v>47</v>
      </c>
      <c r="M357" s="608"/>
      <c r="N357" s="608"/>
      <c r="O357" s="608"/>
      <c r="P357" s="608"/>
      <c r="Q357" s="608"/>
      <c r="R357" s="608"/>
      <c r="T357" s="752"/>
      <c r="W357" s="696"/>
    </row>
    <row r="358" spans="1:23" outlineLevel="2">
      <c r="A358" s="376"/>
      <c r="B358" s="684" t="s">
        <v>162</v>
      </c>
      <c r="C358" s="684" t="s">
        <v>1265</v>
      </c>
      <c r="D358" s="684" t="s">
        <v>159</v>
      </c>
      <c r="E358" s="684"/>
      <c r="F358" s="685" t="s">
        <v>1265</v>
      </c>
      <c r="G358" s="691"/>
      <c r="H358" s="714">
        <f>SUBTOTAL(9,H359:H361)</f>
        <v>3</v>
      </c>
      <c r="I358" s="626"/>
      <c r="J358" s="752"/>
      <c r="L358" s="685"/>
      <c r="M358" s="685"/>
      <c r="N358" s="685"/>
      <c r="O358" s="685"/>
      <c r="P358" s="685"/>
      <c r="Q358" s="685"/>
      <c r="R358" s="685"/>
      <c r="T358" s="752"/>
      <c r="V358" s="691"/>
      <c r="W358" s="714">
        <f>SUBTOTAL(9,W359:W361)</f>
        <v>0</v>
      </c>
    </row>
    <row r="359" spans="1:23" outlineLevel="3">
      <c r="A359" s="376"/>
      <c r="B359" s="376" t="s">
        <v>162</v>
      </c>
      <c r="C359" s="387" t="s">
        <v>160</v>
      </c>
      <c r="D359" s="376" t="s">
        <v>159</v>
      </c>
      <c r="E359" s="376" t="s">
        <v>47</v>
      </c>
      <c r="F359" s="705" t="s">
        <v>1262</v>
      </c>
      <c r="G359" s="695"/>
      <c r="H359" s="769">
        <v>1</v>
      </c>
      <c r="I359" s="626"/>
      <c r="J359" s="752"/>
      <c r="L359" s="608" t="s">
        <v>47</v>
      </c>
      <c r="M359" s="608"/>
      <c r="N359" s="608"/>
      <c r="O359" s="608"/>
      <c r="P359" s="608"/>
      <c r="Q359" s="608"/>
      <c r="R359" s="608"/>
      <c r="T359" s="752"/>
      <c r="V359" s="695"/>
      <c r="W359" s="696"/>
    </row>
    <row r="360" spans="1:23" outlineLevel="3">
      <c r="A360" s="376"/>
      <c r="B360" s="376" t="s">
        <v>162</v>
      </c>
      <c r="C360" s="387" t="s">
        <v>160</v>
      </c>
      <c r="D360" s="376" t="s">
        <v>159</v>
      </c>
      <c r="E360" s="376" t="s">
        <v>47</v>
      </c>
      <c r="F360" s="705" t="s">
        <v>1263</v>
      </c>
      <c r="G360" s="695"/>
      <c r="H360" s="769">
        <v>1</v>
      </c>
      <c r="I360" s="626"/>
      <c r="J360" s="752"/>
      <c r="L360" s="608" t="s">
        <v>47</v>
      </c>
      <c r="M360" s="608"/>
      <c r="N360" s="608"/>
      <c r="O360" s="608"/>
      <c r="P360" s="608"/>
      <c r="Q360" s="608"/>
      <c r="R360" s="608"/>
      <c r="T360" s="752"/>
      <c r="V360" s="695"/>
      <c r="W360" s="696"/>
    </row>
    <row r="361" spans="1:23" outlineLevel="3">
      <c r="A361" s="376"/>
      <c r="B361" s="376" t="s">
        <v>162</v>
      </c>
      <c r="C361" s="387" t="s">
        <v>160</v>
      </c>
      <c r="D361" s="376" t="s">
        <v>159</v>
      </c>
      <c r="E361" s="376" t="s">
        <v>47</v>
      </c>
      <c r="F361" s="705" t="s">
        <v>1264</v>
      </c>
      <c r="G361" s="695"/>
      <c r="H361" s="769">
        <v>1</v>
      </c>
      <c r="I361" s="626"/>
      <c r="J361" s="752"/>
      <c r="L361" s="608" t="s">
        <v>47</v>
      </c>
      <c r="M361" s="608"/>
      <c r="N361" s="608"/>
      <c r="O361" s="608"/>
      <c r="P361" s="608"/>
      <c r="Q361" s="608"/>
      <c r="R361" s="608"/>
      <c r="T361" s="752"/>
      <c r="V361" s="695"/>
      <c r="W361" s="696"/>
    </row>
    <row r="362" spans="1:23" outlineLevel="2">
      <c r="A362" s="376"/>
      <c r="B362" s="684" t="s">
        <v>162</v>
      </c>
      <c r="C362" s="684" t="s">
        <v>1266</v>
      </c>
      <c r="D362" s="684" t="s">
        <v>159</v>
      </c>
      <c r="E362" s="684"/>
      <c r="F362" s="685" t="s">
        <v>1266</v>
      </c>
      <c r="G362" s="691"/>
      <c r="H362" s="714">
        <f>SUBTOTAL(9,H363:H365)</f>
        <v>3</v>
      </c>
      <c r="I362" s="626"/>
      <c r="J362" s="752"/>
      <c r="L362" s="685"/>
      <c r="M362" s="685"/>
      <c r="N362" s="685"/>
      <c r="O362" s="685"/>
      <c r="P362" s="685"/>
      <c r="Q362" s="685"/>
      <c r="R362" s="685"/>
      <c r="T362" s="752"/>
      <c r="V362" s="691"/>
      <c r="W362" s="714">
        <f>SUBTOTAL(9,W363:W365)</f>
        <v>0</v>
      </c>
    </row>
    <row r="363" spans="1:23" outlineLevel="3">
      <c r="A363" s="376"/>
      <c r="B363" s="376" t="s">
        <v>162</v>
      </c>
      <c r="C363" s="387" t="s">
        <v>160</v>
      </c>
      <c r="D363" s="376" t="s">
        <v>159</v>
      </c>
      <c r="E363" s="376" t="s">
        <v>47</v>
      </c>
      <c r="F363" s="705" t="s">
        <v>1262</v>
      </c>
      <c r="G363" s="695"/>
      <c r="H363" s="769">
        <v>1</v>
      </c>
      <c r="I363" s="626"/>
      <c r="J363" s="752"/>
      <c r="L363" s="608" t="s">
        <v>47</v>
      </c>
      <c r="M363" s="608"/>
      <c r="N363" s="608"/>
      <c r="O363" s="608"/>
      <c r="P363" s="608"/>
      <c r="Q363" s="608"/>
      <c r="R363" s="608"/>
      <c r="T363" s="752"/>
      <c r="V363" s="695"/>
      <c r="W363" s="696"/>
    </row>
    <row r="364" spans="1:23" outlineLevel="3">
      <c r="A364" s="376"/>
      <c r="B364" s="376" t="s">
        <v>162</v>
      </c>
      <c r="C364" s="387" t="s">
        <v>160</v>
      </c>
      <c r="D364" s="376" t="s">
        <v>159</v>
      </c>
      <c r="E364" s="376" t="s">
        <v>47</v>
      </c>
      <c r="F364" s="705" t="s">
        <v>1263</v>
      </c>
      <c r="G364" s="695"/>
      <c r="H364" s="769">
        <v>1</v>
      </c>
      <c r="I364" s="626"/>
      <c r="J364" s="752"/>
      <c r="L364" s="608" t="s">
        <v>47</v>
      </c>
      <c r="M364" s="608"/>
      <c r="N364" s="608"/>
      <c r="O364" s="608"/>
      <c r="P364" s="608"/>
      <c r="Q364" s="608"/>
      <c r="R364" s="608"/>
      <c r="T364" s="752"/>
      <c r="V364" s="695"/>
      <c r="W364" s="696"/>
    </row>
    <row r="365" spans="1:23" outlineLevel="3">
      <c r="A365" s="376"/>
      <c r="B365" s="376" t="s">
        <v>162</v>
      </c>
      <c r="C365" s="387" t="s">
        <v>160</v>
      </c>
      <c r="D365" s="376" t="s">
        <v>159</v>
      </c>
      <c r="E365" s="376" t="s">
        <v>47</v>
      </c>
      <c r="F365" s="705" t="s">
        <v>1264</v>
      </c>
      <c r="G365" s="695"/>
      <c r="H365" s="769">
        <v>1</v>
      </c>
      <c r="I365" s="626"/>
      <c r="J365" s="752"/>
      <c r="L365" s="608" t="s">
        <v>47</v>
      </c>
      <c r="M365" s="608"/>
      <c r="N365" s="608"/>
      <c r="O365" s="608"/>
      <c r="P365" s="608"/>
      <c r="Q365" s="608"/>
      <c r="R365" s="608"/>
      <c r="T365" s="752"/>
      <c r="V365" s="695"/>
      <c r="W365" s="696"/>
    </row>
    <row r="366" spans="1:23" outlineLevel="2">
      <c r="A366" s="376"/>
      <c r="B366" s="684" t="s">
        <v>163</v>
      </c>
      <c r="C366" s="685" t="s">
        <v>1267</v>
      </c>
      <c r="D366" s="684" t="s">
        <v>159</v>
      </c>
      <c r="E366" s="684"/>
      <c r="F366" s="685" t="s">
        <v>1267</v>
      </c>
      <c r="G366" s="691">
        <f>SUBTOTAL(9,G367:G368)</f>
        <v>0</v>
      </c>
      <c r="H366" s="714">
        <f>SUBTOTAL(9,H367:H368)</f>
        <v>2</v>
      </c>
      <c r="I366" s="626"/>
      <c r="J366" s="752"/>
      <c r="L366" s="685"/>
      <c r="M366" s="685"/>
      <c r="N366" s="685"/>
      <c r="O366" s="685"/>
      <c r="P366" s="685"/>
      <c r="Q366" s="685"/>
      <c r="R366" s="685"/>
      <c r="T366" s="752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163</v>
      </c>
      <c r="C367" s="387" t="s">
        <v>160</v>
      </c>
      <c r="D367" s="376" t="s">
        <v>159</v>
      </c>
      <c r="E367" s="376" t="s">
        <v>47</v>
      </c>
      <c r="F367" s="705" t="s">
        <v>1262</v>
      </c>
      <c r="H367" s="769">
        <v>1</v>
      </c>
      <c r="I367" s="626"/>
      <c r="J367" s="752"/>
      <c r="L367" s="608" t="s">
        <v>47</v>
      </c>
      <c r="M367" s="608"/>
      <c r="N367" s="608"/>
      <c r="O367" s="608"/>
      <c r="P367" s="608"/>
      <c r="Q367" s="608"/>
      <c r="R367" s="608"/>
      <c r="T367" s="752"/>
      <c r="W367" s="696"/>
    </row>
    <row r="368" spans="1:23" outlineLevel="3">
      <c r="A368" s="376"/>
      <c r="B368" s="376" t="s">
        <v>163</v>
      </c>
      <c r="C368" s="387" t="s">
        <v>160</v>
      </c>
      <c r="D368" s="376" t="s">
        <v>159</v>
      </c>
      <c r="E368" s="376" t="s">
        <v>47</v>
      </c>
      <c r="F368" s="705" t="s">
        <v>1263</v>
      </c>
      <c r="H368" s="769">
        <v>1</v>
      </c>
      <c r="I368" s="626"/>
      <c r="J368" s="752"/>
      <c r="L368" s="608" t="s">
        <v>47</v>
      </c>
      <c r="M368" s="608"/>
      <c r="N368" s="608"/>
      <c r="O368" s="608"/>
      <c r="P368" s="608"/>
      <c r="Q368" s="608"/>
      <c r="R368" s="608"/>
      <c r="T368" s="752"/>
      <c r="W368" s="696"/>
    </row>
    <row r="369" spans="1:23" outlineLevel="2">
      <c r="A369" s="376"/>
      <c r="B369" s="684" t="s">
        <v>163</v>
      </c>
      <c r="C369" s="685" t="s">
        <v>1268</v>
      </c>
      <c r="D369" s="684" t="s">
        <v>159</v>
      </c>
      <c r="E369" s="684"/>
      <c r="F369" s="685" t="s">
        <v>1268</v>
      </c>
      <c r="G369" s="691"/>
      <c r="H369" s="714">
        <f>SUBTOTAL(9,H370:H371)</f>
        <v>2</v>
      </c>
      <c r="I369" s="626"/>
      <c r="J369" s="752"/>
      <c r="L369" s="685"/>
      <c r="M369" s="685"/>
      <c r="N369" s="685"/>
      <c r="O369" s="685"/>
      <c r="P369" s="685"/>
      <c r="Q369" s="685"/>
      <c r="R369" s="685"/>
      <c r="T369" s="752"/>
      <c r="V369" s="691"/>
      <c r="W369" s="714">
        <f>SUBTOTAL(9,W370:W371)</f>
        <v>0</v>
      </c>
    </row>
    <row r="370" spans="1:23" outlineLevel="3">
      <c r="A370" s="376"/>
      <c r="B370" s="376" t="s">
        <v>163</v>
      </c>
      <c r="C370" s="387" t="s">
        <v>160</v>
      </c>
      <c r="D370" s="376" t="s">
        <v>159</v>
      </c>
      <c r="E370" s="376" t="s">
        <v>47</v>
      </c>
      <c r="F370" s="705" t="s">
        <v>1262</v>
      </c>
      <c r="G370" s="695"/>
      <c r="H370" s="769">
        <v>1</v>
      </c>
      <c r="I370" s="626"/>
      <c r="J370" s="752"/>
      <c r="L370" s="608" t="s">
        <v>47</v>
      </c>
      <c r="M370" s="608"/>
      <c r="N370" s="608"/>
      <c r="O370" s="608"/>
      <c r="P370" s="608"/>
      <c r="Q370" s="608"/>
      <c r="R370" s="608"/>
      <c r="T370" s="752"/>
      <c r="V370" s="695"/>
      <c r="W370" s="696"/>
    </row>
    <row r="371" spans="1:23" outlineLevel="3">
      <c r="A371" s="376"/>
      <c r="B371" s="376" t="s">
        <v>163</v>
      </c>
      <c r="C371" s="387" t="s">
        <v>160</v>
      </c>
      <c r="D371" s="376" t="s">
        <v>159</v>
      </c>
      <c r="E371" s="376" t="s">
        <v>47</v>
      </c>
      <c r="F371" s="705" t="s">
        <v>1263</v>
      </c>
      <c r="G371" s="695"/>
      <c r="H371" s="769">
        <v>1</v>
      </c>
      <c r="I371" s="626"/>
      <c r="J371" s="752"/>
      <c r="L371" s="608" t="s">
        <v>47</v>
      </c>
      <c r="M371" s="608"/>
      <c r="N371" s="608"/>
      <c r="O371" s="608"/>
      <c r="P371" s="608"/>
      <c r="Q371" s="608"/>
      <c r="R371" s="608"/>
      <c r="T371" s="752"/>
      <c r="V371" s="695"/>
      <c r="W371" s="696"/>
    </row>
    <row r="372" spans="1:23" outlineLevel="2">
      <c r="A372" s="376"/>
      <c r="B372" s="684" t="s">
        <v>163</v>
      </c>
      <c r="C372" s="685" t="s">
        <v>1269</v>
      </c>
      <c r="D372" s="684" t="s">
        <v>159</v>
      </c>
      <c r="E372" s="684"/>
      <c r="F372" s="685" t="s">
        <v>1269</v>
      </c>
      <c r="G372" s="691"/>
      <c r="H372" s="714">
        <f>SUBTOTAL(9,H373:H374)</f>
        <v>2</v>
      </c>
      <c r="I372" s="626"/>
      <c r="J372" s="752"/>
      <c r="L372" s="685"/>
      <c r="M372" s="685"/>
      <c r="N372" s="685"/>
      <c r="O372" s="685"/>
      <c r="P372" s="685"/>
      <c r="Q372" s="685"/>
      <c r="R372" s="685"/>
      <c r="T372" s="752"/>
      <c r="V372" s="691"/>
      <c r="W372" s="714">
        <f>SUBTOTAL(9,W373:W374)</f>
        <v>0</v>
      </c>
    </row>
    <row r="373" spans="1:23" outlineLevel="3">
      <c r="A373" s="376"/>
      <c r="B373" s="376" t="s">
        <v>163</v>
      </c>
      <c r="C373" s="387" t="s">
        <v>160</v>
      </c>
      <c r="D373" s="376" t="s">
        <v>159</v>
      </c>
      <c r="E373" s="376" t="s">
        <v>47</v>
      </c>
      <c r="F373" s="705" t="s">
        <v>1262</v>
      </c>
      <c r="G373" s="695"/>
      <c r="H373" s="769">
        <v>1</v>
      </c>
      <c r="I373" s="626"/>
      <c r="J373" s="752"/>
      <c r="L373" s="608" t="s">
        <v>47</v>
      </c>
      <c r="M373" s="608"/>
      <c r="N373" s="608"/>
      <c r="O373" s="608"/>
      <c r="P373" s="608"/>
      <c r="Q373" s="608"/>
      <c r="R373" s="608"/>
      <c r="T373" s="752"/>
      <c r="V373" s="695"/>
      <c r="W373" s="696"/>
    </row>
    <row r="374" spans="1:23" outlineLevel="3">
      <c r="A374" s="376"/>
      <c r="B374" s="376" t="s">
        <v>163</v>
      </c>
      <c r="C374" s="387" t="s">
        <v>160</v>
      </c>
      <c r="D374" s="376" t="s">
        <v>159</v>
      </c>
      <c r="E374" s="376" t="s">
        <v>47</v>
      </c>
      <c r="F374" s="705" t="s">
        <v>1263</v>
      </c>
      <c r="G374" s="695"/>
      <c r="H374" s="769">
        <v>1</v>
      </c>
      <c r="I374" s="626"/>
      <c r="J374" s="752"/>
      <c r="L374" s="608" t="s">
        <v>47</v>
      </c>
      <c r="M374" s="608"/>
      <c r="N374" s="608"/>
      <c r="O374" s="608"/>
      <c r="P374" s="608"/>
      <c r="Q374" s="608"/>
      <c r="R374" s="608"/>
      <c r="T374" s="752"/>
      <c r="V374" s="695"/>
      <c r="W374" s="696"/>
    </row>
    <row r="375" spans="1:23" outlineLevel="2">
      <c r="A375" s="376"/>
      <c r="B375" s="684" t="s">
        <v>164</v>
      </c>
      <c r="C375" s="685" t="s">
        <v>1270</v>
      </c>
      <c r="D375" s="684" t="s">
        <v>159</v>
      </c>
      <c r="E375" s="684"/>
      <c r="F375" s="685" t="s">
        <v>1270</v>
      </c>
      <c r="G375" s="691"/>
      <c r="H375" s="714" t="e">
        <f>SUBTOTAL(9,#REF!)</f>
        <v>#REF!</v>
      </c>
      <c r="I375" s="626"/>
      <c r="J375" s="752"/>
      <c r="L375" s="685"/>
      <c r="M375" s="685"/>
      <c r="N375" s="685"/>
      <c r="O375" s="685"/>
      <c r="P375" s="685"/>
      <c r="Q375" s="685"/>
      <c r="R375" s="685"/>
      <c r="T375" s="752"/>
      <c r="V375" s="691"/>
      <c r="W375" s="714" t="e">
        <f>SUBTOTAL(9,#REF!)</f>
        <v>#REF!</v>
      </c>
    </row>
    <row r="376" spans="1:23" outlineLevel="2">
      <c r="A376" s="376"/>
      <c r="B376" s="684" t="s">
        <v>164</v>
      </c>
      <c r="C376" s="685" t="s">
        <v>1271</v>
      </c>
      <c r="D376" s="684" t="s">
        <v>159</v>
      </c>
      <c r="E376" s="684"/>
      <c r="F376" s="685" t="s">
        <v>1271</v>
      </c>
      <c r="G376" s="691"/>
      <c r="H376" s="714">
        <f>SUBTOTAL(9,H377:H379)</f>
        <v>3</v>
      </c>
      <c r="I376" s="626"/>
      <c r="J376" s="752"/>
      <c r="L376" s="685"/>
      <c r="M376" s="685"/>
      <c r="N376" s="685"/>
      <c r="O376" s="685"/>
      <c r="P376" s="685"/>
      <c r="Q376" s="685"/>
      <c r="R376" s="685"/>
      <c r="T376" s="752"/>
      <c r="V376" s="691"/>
      <c r="W376" s="714">
        <f>SUBTOTAL(9,W377:W379)</f>
        <v>0</v>
      </c>
    </row>
    <row r="377" spans="1:23" outlineLevel="3">
      <c r="A377" s="376"/>
      <c r="B377" s="376" t="s">
        <v>164</v>
      </c>
      <c r="C377" s="387" t="s">
        <v>160</v>
      </c>
      <c r="D377" s="376" t="s">
        <v>159</v>
      </c>
      <c r="E377" s="376" t="s">
        <v>47</v>
      </c>
      <c r="F377" s="705" t="s">
        <v>1262</v>
      </c>
      <c r="G377" s="695"/>
      <c r="H377" s="769">
        <v>1</v>
      </c>
      <c r="I377" s="626"/>
      <c r="J377" s="752"/>
      <c r="L377" s="608" t="s">
        <v>47</v>
      </c>
      <c r="M377" s="608"/>
      <c r="N377" s="608"/>
      <c r="O377" s="608"/>
      <c r="P377" s="608"/>
      <c r="Q377" s="608"/>
      <c r="R377" s="608"/>
      <c r="T377" s="752"/>
      <c r="V377" s="695"/>
      <c r="W377" s="696"/>
    </row>
    <row r="378" spans="1:23" outlineLevel="3">
      <c r="A378" s="376"/>
      <c r="B378" s="376" t="s">
        <v>164</v>
      </c>
      <c r="C378" s="387" t="s">
        <v>160</v>
      </c>
      <c r="D378" s="376" t="s">
        <v>159</v>
      </c>
      <c r="E378" s="376" t="s">
        <v>47</v>
      </c>
      <c r="F378" s="705" t="s">
        <v>1263</v>
      </c>
      <c r="G378" s="695"/>
      <c r="H378" s="769">
        <v>1</v>
      </c>
      <c r="I378" s="626"/>
      <c r="J378" s="752"/>
      <c r="L378" s="608" t="s">
        <v>47</v>
      </c>
      <c r="M378" s="608"/>
      <c r="N378" s="608"/>
      <c r="O378" s="608"/>
      <c r="P378" s="608"/>
      <c r="Q378" s="608"/>
      <c r="R378" s="608"/>
      <c r="T378" s="752"/>
      <c r="V378" s="695"/>
      <c r="W378" s="696"/>
    </row>
    <row r="379" spans="1:23" s="732" customFormat="1" outlineLevel="3">
      <c r="A379" s="376"/>
      <c r="B379" s="376" t="s">
        <v>164</v>
      </c>
      <c r="C379" s="387" t="s">
        <v>160</v>
      </c>
      <c r="D379" s="376" t="s">
        <v>159</v>
      </c>
      <c r="E379" s="376" t="s">
        <v>47</v>
      </c>
      <c r="F379" s="705" t="s">
        <v>1264</v>
      </c>
      <c r="G379" s="609"/>
      <c r="H379" s="770">
        <v>1</v>
      </c>
      <c r="I379" s="626"/>
      <c r="J379" s="752"/>
      <c r="K379" s="416"/>
      <c r="L379" s="608" t="s">
        <v>47</v>
      </c>
      <c r="M379" s="608"/>
      <c r="N379" s="608"/>
      <c r="O379" s="608"/>
      <c r="P379" s="608"/>
      <c r="Q379" s="608"/>
      <c r="R379" s="608"/>
      <c r="S379" s="416"/>
      <c r="T379" s="752"/>
      <c r="U379" s="416"/>
      <c r="V379" s="609"/>
      <c r="W379" s="727"/>
    </row>
    <row r="380" spans="1:23" ht="18" customHeight="1" outlineLevel="2">
      <c r="A380" s="376"/>
      <c r="B380" s="684" t="s">
        <v>165</v>
      </c>
      <c r="C380" s="685" t="s">
        <v>1272</v>
      </c>
      <c r="D380" s="684" t="s">
        <v>159</v>
      </c>
      <c r="E380" s="684"/>
      <c r="F380" s="685" t="s">
        <v>1272</v>
      </c>
      <c r="G380" s="691"/>
      <c r="H380" s="731">
        <f>SUBTOTAL(9,H381)</f>
        <v>1</v>
      </c>
      <c r="I380" s="626"/>
      <c r="J380" s="752"/>
      <c r="L380" s="685"/>
      <c r="M380" s="685"/>
      <c r="N380" s="685"/>
      <c r="O380" s="685"/>
      <c r="P380" s="685"/>
      <c r="Q380" s="685"/>
      <c r="R380" s="685"/>
      <c r="T380" s="752"/>
      <c r="V380" s="691"/>
      <c r="W380" s="731">
        <f>SUBTOTAL(9,W381)</f>
        <v>0</v>
      </c>
    </row>
    <row r="381" spans="1:23" outlineLevel="3">
      <c r="A381" s="376"/>
      <c r="B381" s="376" t="s">
        <v>165</v>
      </c>
      <c r="C381" s="387" t="s">
        <v>160</v>
      </c>
      <c r="D381" s="376" t="s">
        <v>159</v>
      </c>
      <c r="E381" s="376" t="s">
        <v>47</v>
      </c>
      <c r="F381" s="705" t="s">
        <v>1262</v>
      </c>
      <c r="G381" s="695"/>
      <c r="H381" s="769">
        <v>1</v>
      </c>
      <c r="I381" s="626"/>
      <c r="J381" s="752"/>
      <c r="L381" s="608" t="s">
        <v>47</v>
      </c>
      <c r="M381" s="608"/>
      <c r="N381" s="608"/>
      <c r="O381" s="608"/>
      <c r="P381" s="608"/>
      <c r="Q381" s="608"/>
      <c r="R381" s="608"/>
      <c r="T381" s="752"/>
      <c r="V381" s="695"/>
      <c r="W381" s="696"/>
    </row>
    <row r="382" spans="1:23" outlineLevel="2">
      <c r="A382" s="376"/>
      <c r="B382" s="684" t="s">
        <v>1273</v>
      </c>
      <c r="C382" s="684" t="s">
        <v>1274</v>
      </c>
      <c r="D382" s="684" t="s">
        <v>159</v>
      </c>
      <c r="E382" s="684"/>
      <c r="F382" s="685" t="s">
        <v>1274</v>
      </c>
      <c r="G382" s="686"/>
      <c r="H382" s="714">
        <f>SUBTOTAL(9,H383:H384)</f>
        <v>2</v>
      </c>
      <c r="I382" s="626"/>
      <c r="J382" s="752"/>
      <c r="L382" s="685"/>
      <c r="M382" s="685"/>
      <c r="N382" s="685"/>
      <c r="O382" s="685"/>
      <c r="P382" s="685"/>
      <c r="Q382" s="685"/>
      <c r="R382" s="685"/>
      <c r="T382" s="752"/>
      <c r="V382" s="686"/>
      <c r="W382" s="714">
        <f>SUBTOTAL(9,W383:W384)</f>
        <v>0</v>
      </c>
    </row>
    <row r="383" spans="1:23" outlineLevel="3">
      <c r="A383" s="376"/>
      <c r="B383" s="376" t="s">
        <v>1273</v>
      </c>
      <c r="C383" s="387" t="s">
        <v>160</v>
      </c>
      <c r="D383" s="376" t="s">
        <v>159</v>
      </c>
      <c r="E383" s="376" t="s">
        <v>47</v>
      </c>
      <c r="F383" s="705" t="s">
        <v>1262</v>
      </c>
      <c r="H383" s="770">
        <v>1</v>
      </c>
      <c r="I383" s="626"/>
      <c r="J383" s="752"/>
      <c r="L383" s="608" t="s">
        <v>47</v>
      </c>
      <c r="M383" s="608"/>
      <c r="N383" s="608"/>
      <c r="O383" s="608"/>
      <c r="P383" s="608"/>
      <c r="Q383" s="608"/>
      <c r="R383" s="608"/>
      <c r="T383" s="752"/>
      <c r="W383" s="727"/>
    </row>
    <row r="384" spans="1:23" outlineLevel="3">
      <c r="A384" s="376"/>
      <c r="B384" s="376" t="s">
        <v>1273</v>
      </c>
      <c r="C384" s="387" t="s">
        <v>160</v>
      </c>
      <c r="D384" s="376" t="s">
        <v>159</v>
      </c>
      <c r="E384" s="376" t="s">
        <v>47</v>
      </c>
      <c r="F384" s="705" t="s">
        <v>1263</v>
      </c>
      <c r="H384" s="770">
        <v>1</v>
      </c>
      <c r="I384" s="626"/>
      <c r="J384" s="752"/>
      <c r="L384" s="608" t="s">
        <v>47</v>
      </c>
      <c r="M384" s="608"/>
      <c r="N384" s="608"/>
      <c r="O384" s="608"/>
      <c r="P384" s="608"/>
      <c r="Q384" s="608"/>
      <c r="R384" s="608"/>
      <c r="T384" s="752"/>
      <c r="W384" s="727"/>
    </row>
    <row r="385" spans="1:23" outlineLevel="2">
      <c r="A385" s="376"/>
      <c r="B385" s="684" t="s">
        <v>1273</v>
      </c>
      <c r="C385" s="684" t="s">
        <v>1275</v>
      </c>
      <c r="D385" s="684" t="s">
        <v>159</v>
      </c>
      <c r="E385" s="684"/>
      <c r="F385" s="685" t="s">
        <v>1275</v>
      </c>
      <c r="G385" s="686"/>
      <c r="H385" s="714">
        <f>SUBTOTAL(9,H386:H387)</f>
        <v>2</v>
      </c>
      <c r="I385" s="626"/>
      <c r="J385" s="752"/>
      <c r="L385" s="685"/>
      <c r="M385" s="685"/>
      <c r="N385" s="685"/>
      <c r="O385" s="685"/>
      <c r="P385" s="685"/>
      <c r="Q385" s="685"/>
      <c r="R385" s="685"/>
      <c r="T385" s="752"/>
      <c r="V385" s="686"/>
      <c r="W385" s="714">
        <f>SUBTOTAL(9,W386:W387)</f>
        <v>0</v>
      </c>
    </row>
    <row r="386" spans="1:23" outlineLevel="3">
      <c r="A386" s="376"/>
      <c r="B386" s="376" t="s">
        <v>1273</v>
      </c>
      <c r="C386" s="387" t="s">
        <v>160</v>
      </c>
      <c r="D386" s="376" t="s">
        <v>159</v>
      </c>
      <c r="E386" s="376" t="s">
        <v>47</v>
      </c>
      <c r="F386" s="705" t="s">
        <v>1262</v>
      </c>
      <c r="G386" s="609"/>
      <c r="H386" s="770">
        <v>1</v>
      </c>
      <c r="I386" s="626"/>
      <c r="J386" s="752"/>
      <c r="L386" s="608" t="s">
        <v>47</v>
      </c>
      <c r="M386" s="608"/>
      <c r="N386" s="608"/>
      <c r="O386" s="608"/>
      <c r="P386" s="608"/>
      <c r="Q386" s="608"/>
      <c r="R386" s="608"/>
      <c r="T386" s="752"/>
      <c r="V386" s="609"/>
      <c r="W386" s="727"/>
    </row>
    <row r="387" spans="1:23" outlineLevel="3">
      <c r="A387" s="376"/>
      <c r="B387" s="376" t="s">
        <v>1273</v>
      </c>
      <c r="C387" s="387" t="s">
        <v>160</v>
      </c>
      <c r="D387" s="376" t="s">
        <v>159</v>
      </c>
      <c r="E387" s="376" t="s">
        <v>47</v>
      </c>
      <c r="F387" s="705" t="s">
        <v>1263</v>
      </c>
      <c r="G387" s="609"/>
      <c r="H387" s="770">
        <v>1</v>
      </c>
      <c r="I387" s="626"/>
      <c r="J387" s="752"/>
      <c r="L387" s="608" t="s">
        <v>47</v>
      </c>
      <c r="M387" s="608"/>
      <c r="N387" s="608"/>
      <c r="O387" s="608"/>
      <c r="P387" s="608"/>
      <c r="Q387" s="608"/>
      <c r="R387" s="608"/>
      <c r="T387" s="752"/>
      <c r="V387" s="609"/>
      <c r="W387" s="727"/>
    </row>
    <row r="388" spans="1:23" outlineLevel="1">
      <c r="A388" s="376"/>
      <c r="B388" s="667" t="s">
        <v>1276</v>
      </c>
      <c r="C388" s="665" t="s">
        <v>1277</v>
      </c>
      <c r="D388" s="665"/>
      <c r="E388" s="665"/>
      <c r="F388" s="681"/>
      <c r="G388" s="724">
        <f>SUBTOTAL(9,G389:G390)</f>
        <v>0.44</v>
      </c>
      <c r="H388" s="725">
        <f>SUBTOTAL(9,H389:H390)</f>
        <v>2</v>
      </c>
      <c r="I388" s="626"/>
      <c r="J388" s="752"/>
      <c r="L388" s="681"/>
      <c r="M388" s="681"/>
      <c r="N388" s="681"/>
      <c r="O388" s="681"/>
      <c r="P388" s="681"/>
      <c r="Q388" s="681"/>
      <c r="R388" s="681"/>
      <c r="T388" s="752"/>
      <c r="V388" s="724">
        <f>SUBTOTAL(9,V389:V390)</f>
        <v>0</v>
      </c>
      <c r="W388" s="725">
        <f>SUBTOTAL(9,W389:W390)</f>
        <v>0</v>
      </c>
    </row>
    <row r="389" spans="1:23" outlineLevel="2">
      <c r="A389" s="376"/>
      <c r="B389" s="376" t="s">
        <v>469</v>
      </c>
      <c r="C389" s="376" t="s">
        <v>1049</v>
      </c>
      <c r="D389" s="376" t="s">
        <v>518</v>
      </c>
      <c r="E389" s="376" t="s">
        <v>56</v>
      </c>
      <c r="F389" s="608" t="s">
        <v>1278</v>
      </c>
      <c r="G389" s="695">
        <v>0.4</v>
      </c>
      <c r="H389" s="700">
        <v>1</v>
      </c>
      <c r="I389" s="626"/>
      <c r="J389" s="752"/>
      <c r="L389" s="608" t="s">
        <v>56</v>
      </c>
      <c r="M389" s="608" t="s">
        <v>1038</v>
      </c>
      <c r="N389" s="608" t="s">
        <v>1279</v>
      </c>
      <c r="O389" s="608"/>
      <c r="P389" s="608" t="s">
        <v>1040</v>
      </c>
      <c r="Q389" s="608"/>
      <c r="R389" s="608"/>
      <c r="T389" s="752"/>
      <c r="V389" s="609">
        <f>IF(W389=1,G389,0)</f>
        <v>0</v>
      </c>
      <c r="W389" s="700"/>
    </row>
    <row r="390" spans="1:23" outlineLevel="2">
      <c r="A390" s="733" t="s">
        <v>1280</v>
      </c>
      <c r="B390" s="733" t="s">
        <v>1281</v>
      </c>
      <c r="C390" s="733" t="s">
        <v>1282</v>
      </c>
      <c r="D390" s="733" t="s">
        <v>518</v>
      </c>
      <c r="E390" s="733" t="s">
        <v>56</v>
      </c>
      <c r="F390" s="734" t="s">
        <v>1283</v>
      </c>
      <c r="G390" s="735">
        <v>0.04</v>
      </c>
      <c r="H390" s="736">
        <v>1</v>
      </c>
      <c r="I390" s="737"/>
      <c r="J390" s="757"/>
      <c r="K390" s="738"/>
      <c r="L390" s="734" t="s">
        <v>56</v>
      </c>
      <c r="M390" s="734" t="s">
        <v>1284</v>
      </c>
      <c r="N390" s="734" t="s">
        <v>1124</v>
      </c>
      <c r="O390" s="734"/>
      <c r="P390" s="734" t="s">
        <v>1168</v>
      </c>
      <c r="Q390" s="734"/>
      <c r="R390" s="734"/>
      <c r="S390" s="738"/>
      <c r="T390" s="757"/>
      <c r="U390" s="738"/>
      <c r="V390" s="609">
        <f>IF(W390=1,G390,0)</f>
        <v>0</v>
      </c>
      <c r="W390" s="736"/>
    </row>
    <row r="391" spans="1:23" ht="3" customHeight="1" outlineLevel="1">
      <c r="A391" s="376"/>
      <c r="B391" s="392"/>
      <c r="C391" s="376"/>
      <c r="D391" s="392"/>
      <c r="E391" s="392"/>
      <c r="F391" s="608"/>
      <c r="G391" s="695"/>
      <c r="H391" s="700"/>
      <c r="I391" s="626"/>
      <c r="J391" s="752"/>
      <c r="L391" s="760"/>
      <c r="M391" s="760"/>
      <c r="N391" s="760"/>
      <c r="O391" s="760"/>
      <c r="P391" s="760"/>
      <c r="Q391" s="760"/>
      <c r="R391" s="760"/>
      <c r="T391" s="752"/>
      <c r="V391" s="695"/>
      <c r="W391" s="700"/>
    </row>
    <row r="392" spans="1:23" ht="15">
      <c r="A392" s="376"/>
      <c r="B392" s="430" t="s">
        <v>1285</v>
      </c>
      <c r="C392" s="430"/>
      <c r="D392" s="430"/>
      <c r="E392" s="430"/>
      <c r="F392" s="697"/>
      <c r="G392" s="739">
        <f>SUBTOTAL(9,G394:G650)</f>
        <v>140.70723681580915</v>
      </c>
      <c r="H392" s="740">
        <f>SUBTOTAL(9,H394:H650)</f>
        <v>166</v>
      </c>
      <c r="I392" s="626"/>
      <c r="J392" s="752"/>
      <c r="L392" s="697"/>
      <c r="M392" s="697"/>
      <c r="N392" s="697"/>
      <c r="O392" s="697"/>
      <c r="P392" s="697"/>
      <c r="Q392" s="697"/>
      <c r="R392" s="697"/>
      <c r="T392" s="752"/>
      <c r="V392" s="739">
        <f>SUBTOTAL(9,V394:V650)</f>
        <v>0.46227636158490004</v>
      </c>
      <c r="W392" s="740">
        <f>SUBTOTAL(9,W394:W650)</f>
        <v>3</v>
      </c>
    </row>
    <row r="393" spans="1:23" ht="3" customHeight="1" outlineLevel="1">
      <c r="A393" s="376"/>
      <c r="B393" s="376"/>
      <c r="C393" s="376"/>
      <c r="D393" s="376"/>
      <c r="E393" s="376"/>
      <c r="F393" s="608"/>
      <c r="G393" s="609"/>
      <c r="H393" s="692"/>
      <c r="I393" s="626"/>
      <c r="J393" s="752"/>
      <c r="L393" s="608"/>
      <c r="M393" s="608"/>
      <c r="N393" s="608"/>
      <c r="O393" s="608"/>
      <c r="P393" s="608"/>
      <c r="Q393" s="608"/>
      <c r="R393" s="608"/>
      <c r="T393" s="752"/>
      <c r="V393" s="609"/>
      <c r="W393" s="692"/>
    </row>
    <row r="394" spans="1:23" outlineLevel="1">
      <c r="A394" s="376"/>
      <c r="B394" s="665" t="s">
        <v>902</v>
      </c>
      <c r="C394" s="665" t="s">
        <v>1018</v>
      </c>
      <c r="D394" s="665"/>
      <c r="E394" s="665"/>
      <c r="F394" s="681" t="s">
        <v>947</v>
      </c>
      <c r="G394" s="724">
        <f>SUBTOTAL(9,G395:G408)</f>
        <v>1.6885800000000002</v>
      </c>
      <c r="H394" s="725">
        <f>SUBTOTAL(9,H395:H408)</f>
        <v>10</v>
      </c>
      <c r="I394" s="626"/>
      <c r="J394" s="752"/>
      <c r="L394" s="681"/>
      <c r="M394" s="681"/>
      <c r="N394" s="681"/>
      <c r="O394" s="681"/>
      <c r="P394" s="681"/>
      <c r="Q394" s="681"/>
      <c r="R394" s="681"/>
      <c r="T394" s="752"/>
      <c r="V394" s="724">
        <f>SUBTOTAL(9,V395:V408)</f>
        <v>0</v>
      </c>
      <c r="W394" s="725">
        <f>SUBTOTAL(9,W395:W408)</f>
        <v>0</v>
      </c>
    </row>
    <row r="395" spans="1:23" outlineLevel="2">
      <c r="A395" s="376"/>
      <c r="B395" s="684" t="s">
        <v>902</v>
      </c>
      <c r="C395" s="684" t="s">
        <v>1018</v>
      </c>
      <c r="D395" s="684" t="s">
        <v>159</v>
      </c>
      <c r="E395" s="684"/>
      <c r="F395" s="685" t="s">
        <v>1286</v>
      </c>
      <c r="G395" s="686">
        <f>SUBTOTAL(9,G396:G400)</f>
        <v>1.35</v>
      </c>
      <c r="H395" s="691">
        <f>SUBTOTAL(9,H396:H400)</f>
        <v>5</v>
      </c>
      <c r="I395" s="626"/>
      <c r="J395" s="752"/>
      <c r="L395" s="685"/>
      <c r="M395" s="685"/>
      <c r="N395" s="685"/>
      <c r="O395" s="685"/>
      <c r="P395" s="685"/>
      <c r="Q395" s="685"/>
      <c r="R395" s="685"/>
      <c r="T395" s="752"/>
      <c r="V395" s="686">
        <f>SUBTOTAL(9,V396:V400)</f>
        <v>0</v>
      </c>
      <c r="W395" s="691">
        <f>SUBTOTAL(9,W396:W400)</f>
        <v>0</v>
      </c>
    </row>
    <row r="396" spans="1:23" ht="26.45" outlineLevel="3">
      <c r="A396" s="376"/>
      <c r="B396" s="376" t="s">
        <v>902</v>
      </c>
      <c r="C396" s="376" t="s">
        <v>1018</v>
      </c>
      <c r="D396" s="376" t="s">
        <v>159</v>
      </c>
      <c r="E396" s="376" t="s">
        <v>1100</v>
      </c>
      <c r="F396" s="608" t="s">
        <v>17</v>
      </c>
      <c r="G396" s="609">
        <v>0.54</v>
      </c>
      <c r="H396" s="692">
        <v>1</v>
      </c>
      <c r="I396" s="626"/>
      <c r="J396" s="752"/>
      <c r="L396" s="608" t="s">
        <v>1100</v>
      </c>
      <c r="M396" s="608" t="s">
        <v>1090</v>
      </c>
      <c r="N396" s="608" t="s">
        <v>1150</v>
      </c>
      <c r="O396" s="608" t="s">
        <v>1152</v>
      </c>
      <c r="P396" s="608"/>
      <c r="Q396" s="608"/>
      <c r="R396" s="608"/>
      <c r="T396" s="752"/>
      <c r="V396" s="609">
        <f>IF(W396=1,G396,0)</f>
        <v>0</v>
      </c>
      <c r="W396" s="692"/>
    </row>
    <row r="397" spans="1:23" ht="26.45" outlineLevel="3">
      <c r="A397" s="376"/>
      <c r="B397" s="376" t="s">
        <v>902</v>
      </c>
      <c r="C397" s="376" t="s">
        <v>1018</v>
      </c>
      <c r="D397" s="376" t="s">
        <v>159</v>
      </c>
      <c r="E397" s="376" t="s">
        <v>1100</v>
      </c>
      <c r="F397" s="608" t="s">
        <v>36</v>
      </c>
      <c r="G397" s="609">
        <v>0.43</v>
      </c>
      <c r="H397" s="692">
        <v>1</v>
      </c>
      <c r="I397" s="626"/>
      <c r="J397" s="752"/>
      <c r="L397" s="608" t="s">
        <v>1100</v>
      </c>
      <c r="M397" s="608" t="s">
        <v>1090</v>
      </c>
      <c r="N397" s="608" t="s">
        <v>1150</v>
      </c>
      <c r="O397" s="608" t="s">
        <v>1152</v>
      </c>
      <c r="P397" s="608"/>
      <c r="Q397" s="608"/>
      <c r="R397" s="608"/>
      <c r="T397" s="752"/>
      <c r="V397" s="609">
        <f>IF(W397=1,G397,0)</f>
        <v>0</v>
      </c>
      <c r="W397" s="692"/>
    </row>
    <row r="398" spans="1:23" ht="26.45" outlineLevel="3">
      <c r="A398" s="376"/>
      <c r="B398" s="376" t="s">
        <v>902</v>
      </c>
      <c r="C398" s="376" t="s">
        <v>1018</v>
      </c>
      <c r="D398" s="376" t="s">
        <v>159</v>
      </c>
      <c r="E398" s="376" t="s">
        <v>1100</v>
      </c>
      <c r="F398" s="608" t="s">
        <v>208</v>
      </c>
      <c r="G398" s="609">
        <v>0.21</v>
      </c>
      <c r="H398" s="692">
        <v>1</v>
      </c>
      <c r="I398" s="626"/>
      <c r="J398" s="752"/>
      <c r="L398" s="608" t="s">
        <v>1100</v>
      </c>
      <c r="M398" s="608" t="s">
        <v>1090</v>
      </c>
      <c r="N398" s="608" t="s">
        <v>1150</v>
      </c>
      <c r="O398" s="608" t="s">
        <v>1152</v>
      </c>
      <c r="P398" s="608"/>
      <c r="Q398" s="608"/>
      <c r="R398" s="608"/>
      <c r="T398" s="752"/>
      <c r="V398" s="609">
        <f>IF(W398=1,G398,0)</f>
        <v>0</v>
      </c>
      <c r="W398" s="692"/>
    </row>
    <row r="399" spans="1:23" ht="26.45" outlineLevel="3">
      <c r="A399" s="376"/>
      <c r="B399" s="376" t="s">
        <v>902</v>
      </c>
      <c r="C399" s="376" t="s">
        <v>1018</v>
      </c>
      <c r="D399" s="376" t="s">
        <v>159</v>
      </c>
      <c r="E399" s="376" t="s">
        <v>1159</v>
      </c>
      <c r="F399" s="608" t="s">
        <v>38</v>
      </c>
      <c r="G399" s="609">
        <v>0.11</v>
      </c>
      <c r="H399" s="692">
        <v>1</v>
      </c>
      <c r="I399" s="626"/>
      <c r="J399" s="752"/>
      <c r="L399" s="608" t="s">
        <v>1159</v>
      </c>
      <c r="M399" s="608" t="s">
        <v>1090</v>
      </c>
      <c r="N399" s="608" t="s">
        <v>1150</v>
      </c>
      <c r="O399" s="608" t="s">
        <v>1152</v>
      </c>
      <c r="P399" s="608"/>
      <c r="Q399" s="608"/>
      <c r="R399" s="608"/>
      <c r="T399" s="752"/>
      <c r="V399" s="609">
        <f>IF(W399=1,G399,0)</f>
        <v>0</v>
      </c>
      <c r="W399" s="692"/>
    </row>
    <row r="400" spans="1:23" ht="26.45" outlineLevel="3">
      <c r="A400" s="376"/>
      <c r="B400" s="376" t="s">
        <v>902</v>
      </c>
      <c r="C400" s="376" t="s">
        <v>1018</v>
      </c>
      <c r="D400" s="376" t="s">
        <v>159</v>
      </c>
      <c r="E400" s="376" t="s">
        <v>1159</v>
      </c>
      <c r="F400" s="608" t="s">
        <v>1287</v>
      </c>
      <c r="G400" s="609">
        <v>0.06</v>
      </c>
      <c r="H400" s="692">
        <v>1</v>
      </c>
      <c r="I400" s="626"/>
      <c r="J400" s="752"/>
      <c r="L400" s="608" t="s">
        <v>1159</v>
      </c>
      <c r="M400" s="608" t="s">
        <v>1090</v>
      </c>
      <c r="N400" s="608" t="s">
        <v>1150</v>
      </c>
      <c r="O400" s="608" t="s">
        <v>1152</v>
      </c>
      <c r="P400" s="608"/>
      <c r="Q400" s="608"/>
      <c r="R400" s="608"/>
      <c r="T400" s="752"/>
      <c r="V400" s="609">
        <f>IF(W400=1,G400,0)</f>
        <v>0</v>
      </c>
      <c r="W400" s="692"/>
    </row>
    <row r="401" spans="1:23" outlineLevel="2">
      <c r="A401" s="376"/>
      <c r="B401" s="684" t="s">
        <v>902</v>
      </c>
      <c r="C401" s="684" t="s">
        <v>1018</v>
      </c>
      <c r="D401" s="684" t="s">
        <v>518</v>
      </c>
      <c r="E401" s="684"/>
      <c r="F401" s="685" t="s">
        <v>1259</v>
      </c>
      <c r="G401" s="686">
        <f>SUBTOTAL(9,G402)</f>
        <v>0.17172000000000001</v>
      </c>
      <c r="H401" s="691">
        <f>SUBTOTAL(9,H402)</f>
        <v>1</v>
      </c>
      <c r="I401" s="626"/>
      <c r="J401" s="752"/>
      <c r="L401" s="685"/>
      <c r="M401" s="685"/>
      <c r="N401" s="685"/>
      <c r="O401" s="685"/>
      <c r="P401" s="685"/>
      <c r="Q401" s="685"/>
      <c r="R401" s="685"/>
      <c r="T401" s="752"/>
      <c r="V401" s="686">
        <f>SUBTOTAL(9,V402)</f>
        <v>0</v>
      </c>
      <c r="W401" s="691">
        <f>SUBTOTAL(9,W402)</f>
        <v>0</v>
      </c>
    </row>
    <row r="402" spans="1:23" ht="66" outlineLevel="4">
      <c r="A402" s="376"/>
      <c r="B402" s="376" t="s">
        <v>902</v>
      </c>
      <c r="C402" s="376" t="s">
        <v>1018</v>
      </c>
      <c r="D402" s="376" t="s">
        <v>518</v>
      </c>
      <c r="E402" s="376" t="s">
        <v>56</v>
      </c>
      <c r="F402" s="608" t="s">
        <v>36</v>
      </c>
      <c r="G402" s="609">
        <v>0.17172000000000001</v>
      </c>
      <c r="H402" s="692">
        <v>1</v>
      </c>
      <c r="I402" s="626"/>
      <c r="J402" s="752"/>
      <c r="L402" s="608" t="s">
        <v>56</v>
      </c>
      <c r="M402" s="608" t="s">
        <v>1284</v>
      </c>
      <c r="N402" s="608" t="s">
        <v>1288</v>
      </c>
      <c r="O402" s="608"/>
      <c r="P402" s="608" t="s">
        <v>1155</v>
      </c>
      <c r="Q402" s="608"/>
      <c r="R402" s="608">
        <v>0</v>
      </c>
      <c r="T402" s="752"/>
      <c r="V402" s="609">
        <f>IF(W402=1,G402,0)</f>
        <v>0</v>
      </c>
      <c r="W402" s="692"/>
    </row>
    <row r="403" spans="1:23" outlineLevel="2">
      <c r="A403" s="376"/>
      <c r="B403" s="684" t="s">
        <v>902</v>
      </c>
      <c r="C403" s="684" t="s">
        <v>1018</v>
      </c>
      <c r="D403" s="684" t="s">
        <v>441</v>
      </c>
      <c r="E403" s="684"/>
      <c r="F403" s="685" t="s">
        <v>1286</v>
      </c>
      <c r="G403" s="686">
        <f>SUBTOTAL(9,G404:G405)</f>
        <v>9.5579999999999998E-2</v>
      </c>
      <c r="H403" s="691">
        <f>SUBTOTAL(9,H404:H405)</f>
        <v>2</v>
      </c>
      <c r="I403" s="626"/>
      <c r="J403" s="752"/>
      <c r="L403" s="685"/>
      <c r="M403" s="685"/>
      <c r="N403" s="685"/>
      <c r="O403" s="685"/>
      <c r="P403" s="685"/>
      <c r="Q403" s="685"/>
      <c r="R403" s="685"/>
      <c r="T403" s="752"/>
      <c r="V403" s="686">
        <f>SUBTOTAL(9,V404:V405)</f>
        <v>0</v>
      </c>
      <c r="W403" s="691">
        <f>SUBTOTAL(9,W404:W405)</f>
        <v>0</v>
      </c>
    </row>
    <row r="404" spans="1:23" ht="39.6" outlineLevel="4">
      <c r="A404" s="376"/>
      <c r="B404" s="376" t="s">
        <v>902</v>
      </c>
      <c r="C404" s="376" t="s">
        <v>1018</v>
      </c>
      <c r="D404" s="376" t="s">
        <v>441</v>
      </c>
      <c r="E404" s="376" t="s">
        <v>437</v>
      </c>
      <c r="F404" s="608" t="s">
        <v>36</v>
      </c>
      <c r="G404" s="609">
        <v>6.3719999999999999E-2</v>
      </c>
      <c r="H404" s="692">
        <v>1</v>
      </c>
      <c r="I404" s="626"/>
      <c r="J404" s="752"/>
      <c r="L404" s="608" t="s">
        <v>437</v>
      </c>
      <c r="M404" s="608" t="s">
        <v>966</v>
      </c>
      <c r="N404" s="608" t="s">
        <v>967</v>
      </c>
      <c r="O404" s="608" t="s">
        <v>1289</v>
      </c>
      <c r="P404" s="608"/>
      <c r="Q404" s="608"/>
      <c r="R404" s="608"/>
      <c r="T404" s="752"/>
      <c r="V404" s="609">
        <f>IF(W404=1,G404,0)</f>
        <v>0</v>
      </c>
      <c r="W404" s="692"/>
    </row>
    <row r="405" spans="1:23" ht="39.6" outlineLevel="4">
      <c r="A405" s="376"/>
      <c r="B405" s="376" t="s">
        <v>902</v>
      </c>
      <c r="C405" s="376" t="s">
        <v>1018</v>
      </c>
      <c r="D405" s="376" t="s">
        <v>441</v>
      </c>
      <c r="E405" s="376" t="s">
        <v>437</v>
      </c>
      <c r="F405" s="608" t="s">
        <v>208</v>
      </c>
      <c r="G405" s="609">
        <v>3.1859999999999999E-2</v>
      </c>
      <c r="H405" s="692">
        <v>1</v>
      </c>
      <c r="I405" s="626"/>
      <c r="J405" s="752"/>
      <c r="L405" s="608" t="s">
        <v>437</v>
      </c>
      <c r="M405" s="608" t="s">
        <v>966</v>
      </c>
      <c r="N405" s="608" t="s">
        <v>967</v>
      </c>
      <c r="O405" s="608" t="s">
        <v>1289</v>
      </c>
      <c r="P405" s="608"/>
      <c r="Q405" s="608"/>
      <c r="R405" s="608"/>
      <c r="T405" s="752"/>
      <c r="V405" s="609">
        <f>IF(W405=1,G405,0)</f>
        <v>0</v>
      </c>
      <c r="W405" s="692"/>
    </row>
    <row r="406" spans="1:23" outlineLevel="2">
      <c r="A406" s="376"/>
      <c r="B406" s="684" t="s">
        <v>902</v>
      </c>
      <c r="C406" s="684" t="s">
        <v>1018</v>
      </c>
      <c r="D406" s="684" t="s">
        <v>860</v>
      </c>
      <c r="E406" s="684"/>
      <c r="F406" s="685" t="s">
        <v>1286</v>
      </c>
      <c r="G406" s="686">
        <f>SUBTOTAL(9,G407:G408)</f>
        <v>7.1279999999999996E-2</v>
      </c>
      <c r="H406" s="691">
        <f>SUBTOTAL(9,H407:H408)</f>
        <v>2</v>
      </c>
      <c r="I406" s="626"/>
      <c r="J406" s="752"/>
      <c r="L406" s="685"/>
      <c r="M406" s="685"/>
      <c r="N406" s="685"/>
      <c r="O406" s="685"/>
      <c r="P406" s="685"/>
      <c r="Q406" s="685"/>
      <c r="R406" s="685"/>
      <c r="T406" s="752"/>
      <c r="V406" s="686">
        <f>SUBTOTAL(9,V407:V408)</f>
        <v>0</v>
      </c>
      <c r="W406" s="691">
        <f>SUBTOTAL(9,W407:W408)</f>
        <v>0</v>
      </c>
    </row>
    <row r="407" spans="1:23" outlineLevel="4">
      <c r="A407" s="376"/>
      <c r="B407" s="376" t="s">
        <v>902</v>
      </c>
      <c r="C407" s="376" t="s">
        <v>1018</v>
      </c>
      <c r="D407" s="376" t="s">
        <v>860</v>
      </c>
      <c r="E407" s="376" t="s">
        <v>437</v>
      </c>
      <c r="F407" s="608" t="s">
        <v>36</v>
      </c>
      <c r="G407" s="609">
        <v>5.3460000000000001E-2</v>
      </c>
      <c r="H407" s="692">
        <v>1</v>
      </c>
      <c r="I407" s="626"/>
      <c r="J407" s="752"/>
      <c r="L407" s="608" t="s">
        <v>437</v>
      </c>
      <c r="M407" s="608" t="s">
        <v>996</v>
      </c>
      <c r="N407" s="608" t="s">
        <v>1048</v>
      </c>
      <c r="O407" s="608"/>
      <c r="P407" s="608"/>
      <c r="Q407" s="608"/>
      <c r="R407" s="608"/>
      <c r="T407" s="752"/>
      <c r="V407" s="609">
        <f>IF(W407=1,G407,0)</f>
        <v>0</v>
      </c>
      <c r="W407" s="692"/>
    </row>
    <row r="408" spans="1:23" outlineLevel="4">
      <c r="A408" s="376"/>
      <c r="B408" s="376" t="s">
        <v>902</v>
      </c>
      <c r="C408" s="376" t="s">
        <v>1018</v>
      </c>
      <c r="D408" s="376" t="s">
        <v>860</v>
      </c>
      <c r="E408" s="376" t="s">
        <v>437</v>
      </c>
      <c r="F408" s="608" t="s">
        <v>208</v>
      </c>
      <c r="G408" s="609">
        <v>1.7819999999999999E-2</v>
      </c>
      <c r="H408" s="692">
        <v>1</v>
      </c>
      <c r="I408" s="626"/>
      <c r="J408" s="752"/>
      <c r="L408" s="608" t="s">
        <v>437</v>
      </c>
      <c r="M408" s="608" t="s">
        <v>996</v>
      </c>
      <c r="N408" s="608" t="s">
        <v>1048</v>
      </c>
      <c r="O408" s="608"/>
      <c r="P408" s="608"/>
      <c r="Q408" s="608"/>
      <c r="R408" s="608"/>
      <c r="T408" s="752"/>
      <c r="V408" s="609">
        <f>IF(W408=1,G408,0)</f>
        <v>0</v>
      </c>
      <c r="W408" s="692"/>
    </row>
    <row r="409" spans="1:23" outlineLevel="1">
      <c r="A409" s="376"/>
      <c r="B409" s="665" t="s">
        <v>1290</v>
      </c>
      <c r="C409" s="665" t="s">
        <v>969</v>
      </c>
      <c r="D409" s="665"/>
      <c r="E409" s="665"/>
      <c r="F409" s="681" t="s">
        <v>947</v>
      </c>
      <c r="G409" s="724">
        <f>SUBTOTAL(9,G410:G418)</f>
        <v>0.62685480000000016</v>
      </c>
      <c r="H409" s="725">
        <f>SUBTOTAL(9,H410:H418)</f>
        <v>5</v>
      </c>
      <c r="I409" s="626"/>
      <c r="J409" s="752"/>
      <c r="L409" s="681"/>
      <c r="M409" s="681"/>
      <c r="N409" s="681"/>
      <c r="O409" s="681"/>
      <c r="P409" s="681"/>
      <c r="Q409" s="681"/>
      <c r="R409" s="681"/>
      <c r="T409" s="752"/>
      <c r="V409" s="724">
        <f>SUBTOTAL(9,V410:V418)</f>
        <v>0</v>
      </c>
      <c r="W409" s="725">
        <f>SUBTOTAL(9,W410:W418)</f>
        <v>0</v>
      </c>
    </row>
    <row r="410" spans="1:23" ht="79.150000000000006" outlineLevel="2">
      <c r="A410" s="376"/>
      <c r="B410" s="684" t="s">
        <v>1290</v>
      </c>
      <c r="C410" s="684" t="s">
        <v>969</v>
      </c>
      <c r="D410" s="684" t="s">
        <v>159</v>
      </c>
      <c r="E410" s="684"/>
      <c r="F410" s="685" t="s">
        <v>1291</v>
      </c>
      <c r="G410" s="686">
        <f>SUBTOTAL(9,G411:G412)</f>
        <v>0.49456000000000011</v>
      </c>
      <c r="H410" s="691">
        <f>SUBTOTAL(9,H411:H412)</f>
        <v>2</v>
      </c>
      <c r="I410" s="626"/>
      <c r="J410" s="752"/>
      <c r="L410" s="685"/>
      <c r="M410" s="685" t="s">
        <v>1292</v>
      </c>
      <c r="N410" s="685"/>
      <c r="O410" s="685"/>
      <c r="P410" s="685"/>
      <c r="Q410" s="685"/>
      <c r="R410" s="685"/>
      <c r="T410" s="752"/>
      <c r="V410" s="686">
        <f>SUBTOTAL(9,V411:V412)</f>
        <v>0</v>
      </c>
      <c r="W410" s="691">
        <f>SUBTOTAL(9,W411:W412)</f>
        <v>0</v>
      </c>
    </row>
    <row r="411" spans="1:23" outlineLevel="3">
      <c r="A411" s="376"/>
      <c r="B411" s="376" t="s">
        <v>1290</v>
      </c>
      <c r="C411" s="376" t="s">
        <v>969</v>
      </c>
      <c r="D411" s="376" t="s">
        <v>159</v>
      </c>
      <c r="E411" s="376" t="s">
        <v>664</v>
      </c>
      <c r="F411" s="608" t="s">
        <v>17</v>
      </c>
      <c r="G411" s="609">
        <v>0.24728000000000006</v>
      </c>
      <c r="H411" s="692">
        <v>1</v>
      </c>
      <c r="I411" s="626"/>
      <c r="J411" s="752"/>
      <c r="L411" s="608" t="s">
        <v>1159</v>
      </c>
      <c r="M411" s="608"/>
      <c r="N411" s="608"/>
      <c r="O411" s="608"/>
      <c r="P411" s="608"/>
      <c r="Q411" s="608"/>
      <c r="R411" s="608"/>
      <c r="T411" s="752"/>
      <c r="V411" s="609">
        <f>IF(W411=1,G411,0)</f>
        <v>0</v>
      </c>
      <c r="W411" s="692"/>
    </row>
    <row r="412" spans="1:23" outlineLevel="3">
      <c r="A412" s="376"/>
      <c r="B412" s="376" t="s">
        <v>1290</v>
      </c>
      <c r="C412" s="376" t="s">
        <v>969</v>
      </c>
      <c r="D412" s="376" t="s">
        <v>159</v>
      </c>
      <c r="E412" s="376" t="s">
        <v>664</v>
      </c>
      <c r="F412" s="608" t="s">
        <v>36</v>
      </c>
      <c r="G412" s="609">
        <v>0.24728000000000006</v>
      </c>
      <c r="H412" s="692">
        <v>1</v>
      </c>
      <c r="I412" s="626"/>
      <c r="J412" s="752"/>
      <c r="L412" s="608" t="s">
        <v>1159</v>
      </c>
      <c r="M412" s="608"/>
      <c r="N412" s="608"/>
      <c r="O412" s="608"/>
      <c r="P412" s="608"/>
      <c r="Q412" s="608"/>
      <c r="R412" s="608"/>
      <c r="T412" s="752"/>
      <c r="V412" s="609">
        <f>IF(W412=1,G412,0)</f>
        <v>0</v>
      </c>
      <c r="W412" s="692"/>
    </row>
    <row r="413" spans="1:23" outlineLevel="2">
      <c r="A413" s="376"/>
      <c r="B413" s="684" t="s">
        <v>1290</v>
      </c>
      <c r="C413" s="684" t="s">
        <v>969</v>
      </c>
      <c r="D413" s="684" t="s">
        <v>518</v>
      </c>
      <c r="E413" s="684"/>
      <c r="F413" s="685" t="s">
        <v>1293</v>
      </c>
      <c r="G413" s="686">
        <f>SUBTOTAL(9,G414)</f>
        <v>7.8635040000000003E-2</v>
      </c>
      <c r="H413" s="691">
        <f>SUBTOTAL(9,H414)</f>
        <v>1</v>
      </c>
      <c r="I413" s="626"/>
      <c r="J413" s="752"/>
      <c r="L413" s="685"/>
      <c r="M413" s="685"/>
      <c r="N413" s="685"/>
      <c r="O413" s="685"/>
      <c r="P413" s="685"/>
      <c r="Q413" s="685"/>
      <c r="R413" s="685"/>
      <c r="T413" s="752"/>
      <c r="V413" s="686">
        <f>SUBTOTAL(9,V414)</f>
        <v>0</v>
      </c>
      <c r="W413" s="691">
        <f>SUBTOTAL(9,W414)</f>
        <v>0</v>
      </c>
    </row>
    <row r="414" spans="1:23" outlineLevel="3">
      <c r="A414" s="376"/>
      <c r="B414" s="376" t="s">
        <v>1290</v>
      </c>
      <c r="C414" s="376" t="s">
        <v>969</v>
      </c>
      <c r="D414" s="376" t="s">
        <v>518</v>
      </c>
      <c r="E414" s="376" t="s">
        <v>56</v>
      </c>
      <c r="F414" s="608" t="s">
        <v>36</v>
      </c>
      <c r="G414" s="609">
        <v>7.8635040000000003E-2</v>
      </c>
      <c r="H414" s="692">
        <v>1</v>
      </c>
      <c r="I414" s="626"/>
      <c r="J414" s="752"/>
      <c r="L414" s="608" t="s">
        <v>56</v>
      </c>
      <c r="M414" s="608" t="s">
        <v>1008</v>
      </c>
      <c r="N414" s="608" t="s">
        <v>1294</v>
      </c>
      <c r="O414" s="608" t="s">
        <v>1010</v>
      </c>
      <c r="P414" s="608" t="s">
        <v>1295</v>
      </c>
      <c r="Q414" s="608"/>
      <c r="R414" s="608">
        <v>0</v>
      </c>
      <c r="T414" s="752"/>
      <c r="V414" s="609">
        <f>IF(W414=1,G414,0)</f>
        <v>0</v>
      </c>
      <c r="W414" s="692"/>
    </row>
    <row r="415" spans="1:23" ht="92.45" outlineLevel="2">
      <c r="A415" s="376"/>
      <c r="B415" s="684" t="s">
        <v>1290</v>
      </c>
      <c r="C415" s="684" t="s">
        <v>969</v>
      </c>
      <c r="D415" s="684" t="s">
        <v>441</v>
      </c>
      <c r="E415" s="684"/>
      <c r="F415" s="685" t="s">
        <v>1296</v>
      </c>
      <c r="G415" s="686">
        <f>SUBTOTAL(9,G416)</f>
        <v>2.9179040000000003E-2</v>
      </c>
      <c r="H415" s="691">
        <f>SUBTOTAL(9,H416)</f>
        <v>1</v>
      </c>
      <c r="I415" s="626"/>
      <c r="J415" s="752"/>
      <c r="L415" s="685"/>
      <c r="M415" s="685" t="s">
        <v>1234</v>
      </c>
      <c r="N415" s="685"/>
      <c r="O415" s="685"/>
      <c r="P415" s="685"/>
      <c r="Q415" s="685"/>
      <c r="R415" s="685"/>
      <c r="T415" s="752"/>
      <c r="V415" s="686">
        <f>SUBTOTAL(9,V416)</f>
        <v>0</v>
      </c>
      <c r="W415" s="691">
        <f>SUBTOTAL(9,W416)</f>
        <v>0</v>
      </c>
    </row>
    <row r="416" spans="1:23" ht="39.6" outlineLevel="3" collapsed="1">
      <c r="A416" s="376"/>
      <c r="B416" s="376" t="s">
        <v>1290</v>
      </c>
      <c r="C416" s="376" t="s">
        <v>969</v>
      </c>
      <c r="D416" s="376" t="s">
        <v>441</v>
      </c>
      <c r="E416" s="376" t="s">
        <v>437</v>
      </c>
      <c r="F416" s="608" t="s">
        <v>36</v>
      </c>
      <c r="G416" s="609">
        <v>2.9179040000000003E-2</v>
      </c>
      <c r="H416" s="692">
        <v>1</v>
      </c>
      <c r="I416" s="626"/>
      <c r="J416" s="752"/>
      <c r="L416" s="608" t="s">
        <v>437</v>
      </c>
      <c r="M416" s="608" t="s">
        <v>966</v>
      </c>
      <c r="N416" s="608" t="s">
        <v>1173</v>
      </c>
      <c r="O416" s="608" t="s">
        <v>1297</v>
      </c>
      <c r="P416" s="608"/>
      <c r="Q416" s="608"/>
      <c r="R416" s="608"/>
      <c r="T416" s="752"/>
      <c r="V416" s="609">
        <f>IF(W416=1,G416,0)</f>
        <v>0</v>
      </c>
      <c r="W416" s="692"/>
    </row>
    <row r="417" spans="1:23" ht="92.45" outlineLevel="2">
      <c r="A417" s="376"/>
      <c r="B417" s="684" t="s">
        <v>1290</v>
      </c>
      <c r="C417" s="684" t="s">
        <v>969</v>
      </c>
      <c r="D417" s="684" t="s">
        <v>860</v>
      </c>
      <c r="E417" s="684"/>
      <c r="F417" s="685" t="s">
        <v>1298</v>
      </c>
      <c r="G417" s="686">
        <f>SUBTOTAL(9,G418)</f>
        <v>2.4480720000000001E-2</v>
      </c>
      <c r="H417" s="691">
        <f>SUBTOTAL(9,H418)</f>
        <v>1</v>
      </c>
      <c r="I417" s="626"/>
      <c r="J417" s="752"/>
      <c r="L417" s="685"/>
      <c r="M417" s="685" t="s">
        <v>1234</v>
      </c>
      <c r="N417" s="685"/>
      <c r="O417" s="685"/>
      <c r="P417" s="685"/>
      <c r="Q417" s="685"/>
      <c r="R417" s="685"/>
      <c r="T417" s="752"/>
      <c r="V417" s="686">
        <f>SUBTOTAL(9,V418)</f>
        <v>0</v>
      </c>
      <c r="W417" s="691">
        <f>SUBTOTAL(9,W418)</f>
        <v>0</v>
      </c>
    </row>
    <row r="418" spans="1:23" outlineLevel="3">
      <c r="A418" s="376"/>
      <c r="B418" s="376" t="s">
        <v>1290</v>
      </c>
      <c r="C418" s="376" t="s">
        <v>969</v>
      </c>
      <c r="D418" s="376" t="s">
        <v>860</v>
      </c>
      <c r="E418" s="376" t="s">
        <v>437</v>
      </c>
      <c r="F418" s="608" t="s">
        <v>36</v>
      </c>
      <c r="G418" s="609">
        <v>2.4480720000000001E-2</v>
      </c>
      <c r="H418" s="692">
        <v>1</v>
      </c>
      <c r="I418" s="626"/>
      <c r="J418" s="752"/>
      <c r="L418" s="608" t="s">
        <v>437</v>
      </c>
      <c r="M418" s="608" t="s">
        <v>996</v>
      </c>
      <c r="N418" s="608" t="s">
        <v>1249</v>
      </c>
      <c r="O418" s="608"/>
      <c r="P418" s="608"/>
      <c r="Q418" s="608"/>
      <c r="R418" s="608"/>
      <c r="T418" s="752"/>
      <c r="V418" s="609">
        <f>IF(W418=1,G418,0)</f>
        <v>0</v>
      </c>
      <c r="W418" s="692"/>
    </row>
    <row r="419" spans="1:23" s="612" customFormat="1" outlineLevel="1">
      <c r="A419" s="380"/>
      <c r="B419" s="666" t="s">
        <v>1299</v>
      </c>
      <c r="C419" s="666" t="s">
        <v>1300</v>
      </c>
      <c r="D419" s="666"/>
      <c r="E419" s="666"/>
      <c r="F419" s="681" t="s">
        <v>947</v>
      </c>
      <c r="G419" s="724">
        <f>SUBTOTAL(9,G420:G430)</f>
        <v>13.33454795889083</v>
      </c>
      <c r="H419" s="725">
        <f>SUBTOTAL(9,H420:H430)</f>
        <v>8</v>
      </c>
      <c r="I419" s="627"/>
      <c r="J419" s="754"/>
      <c r="L419" s="761"/>
      <c r="M419" s="761"/>
      <c r="N419" s="761"/>
      <c r="O419" s="761"/>
      <c r="P419" s="761"/>
      <c r="Q419" s="761"/>
      <c r="R419" s="761"/>
      <c r="T419" s="754"/>
      <c r="V419" s="724">
        <f>SUBTOTAL(9,V420:V430)</f>
        <v>0</v>
      </c>
      <c r="W419" s="725">
        <f>SUBTOTAL(9,W420:W430)</f>
        <v>0</v>
      </c>
    </row>
    <row r="420" spans="1:23" ht="26.45" outlineLevel="2">
      <c r="A420" s="376"/>
      <c r="B420" s="684" t="s">
        <v>1299</v>
      </c>
      <c r="C420" s="684" t="s">
        <v>1300</v>
      </c>
      <c r="D420" s="684" t="s">
        <v>159</v>
      </c>
      <c r="E420" s="684"/>
      <c r="F420" s="685" t="s">
        <v>1301</v>
      </c>
      <c r="G420" s="686">
        <f>SUBTOTAL(9,G421:G423)</f>
        <v>8.7813947704253064</v>
      </c>
      <c r="H420" s="691">
        <f>SUBTOTAL(9,H421:H423)</f>
        <v>3</v>
      </c>
      <c r="I420" s="626"/>
      <c r="J420" s="752"/>
      <c r="L420" s="685"/>
      <c r="M420" s="685"/>
      <c r="N420" s="685"/>
      <c r="O420" s="685"/>
      <c r="P420" s="685"/>
      <c r="Q420" s="685"/>
      <c r="R420" s="685"/>
      <c r="T420" s="752"/>
      <c r="V420" s="686">
        <f>SUBTOTAL(9,V421:V423)</f>
        <v>0</v>
      </c>
      <c r="W420" s="691">
        <f>SUBTOTAL(9,W421:W423)</f>
        <v>0</v>
      </c>
    </row>
    <row r="421" spans="1:23" ht="26.45" outlineLevel="3">
      <c r="A421" s="376"/>
      <c r="B421" s="376" t="s">
        <v>1299</v>
      </c>
      <c r="C421" s="376" t="s">
        <v>1300</v>
      </c>
      <c r="D421" s="376" t="s">
        <v>159</v>
      </c>
      <c r="E421" s="376" t="s">
        <v>1100</v>
      </c>
      <c r="F421" s="608" t="s">
        <v>971</v>
      </c>
      <c r="G421" s="609">
        <v>4.3906973852126532</v>
      </c>
      <c r="H421" s="692">
        <v>1</v>
      </c>
      <c r="I421" s="626"/>
      <c r="J421" s="752"/>
      <c r="L421" s="608" t="s">
        <v>1100</v>
      </c>
      <c r="M421" s="608" t="s">
        <v>1090</v>
      </c>
      <c r="N421" s="608" t="s">
        <v>1110</v>
      </c>
      <c r="O421" s="608" t="s">
        <v>1302</v>
      </c>
      <c r="P421" s="608" t="s">
        <v>1111</v>
      </c>
      <c r="Q421" s="608"/>
      <c r="R421" s="608"/>
      <c r="T421" s="752"/>
      <c r="V421" s="609">
        <f>IF(W421=1,G421,0)</f>
        <v>0</v>
      </c>
      <c r="W421" s="692"/>
    </row>
    <row r="422" spans="1:23" ht="26.45" outlineLevel="3">
      <c r="A422" s="376"/>
      <c r="B422" s="376" t="s">
        <v>1299</v>
      </c>
      <c r="C422" s="376" t="s">
        <v>1300</v>
      </c>
      <c r="D422" s="376" t="s">
        <v>159</v>
      </c>
      <c r="E422" s="376" t="s">
        <v>1100</v>
      </c>
      <c r="F422" s="608" t="s">
        <v>1303</v>
      </c>
      <c r="G422" s="609">
        <v>2.1953486926063266</v>
      </c>
      <c r="H422" s="692">
        <v>1</v>
      </c>
      <c r="I422" s="626"/>
      <c r="J422" s="752"/>
      <c r="L422" s="608" t="s">
        <v>1100</v>
      </c>
      <c r="M422" s="608" t="s">
        <v>1090</v>
      </c>
      <c r="N422" s="608" t="s">
        <v>1110</v>
      </c>
      <c r="O422" s="608" t="s">
        <v>1302</v>
      </c>
      <c r="P422" s="608" t="s">
        <v>1111</v>
      </c>
      <c r="Q422" s="608"/>
      <c r="R422" s="608"/>
      <c r="T422" s="752"/>
      <c r="V422" s="609">
        <f>IF(W422=1,G422,0)</f>
        <v>0</v>
      </c>
      <c r="W422" s="692"/>
    </row>
    <row r="423" spans="1:23" ht="26.45" outlineLevel="3">
      <c r="A423" s="376"/>
      <c r="B423" s="376" t="s">
        <v>1299</v>
      </c>
      <c r="C423" s="376" t="s">
        <v>1300</v>
      </c>
      <c r="D423" s="376" t="s">
        <v>159</v>
      </c>
      <c r="E423" s="376" t="s">
        <v>1100</v>
      </c>
      <c r="F423" s="608" t="s">
        <v>1304</v>
      </c>
      <c r="G423" s="609">
        <v>2.1953486926063266</v>
      </c>
      <c r="H423" s="692">
        <v>1</v>
      </c>
      <c r="I423" s="626"/>
      <c r="J423" s="752"/>
      <c r="L423" s="608" t="s">
        <v>1100</v>
      </c>
      <c r="M423" s="608" t="s">
        <v>1090</v>
      </c>
      <c r="N423" s="608" t="s">
        <v>1110</v>
      </c>
      <c r="O423" s="608" t="s">
        <v>1302</v>
      </c>
      <c r="P423" s="608" t="s">
        <v>1111</v>
      </c>
      <c r="Q423" s="608"/>
      <c r="R423" s="608"/>
      <c r="T423" s="752"/>
      <c r="V423" s="609">
        <f>IF(W423=1,G423,0)</f>
        <v>0</v>
      </c>
      <c r="W423" s="692"/>
    </row>
    <row r="424" spans="1:23" ht="26.45" outlineLevel="2">
      <c r="A424" s="376"/>
      <c r="B424" s="684" t="s">
        <v>1299</v>
      </c>
      <c r="C424" s="684" t="s">
        <v>1300</v>
      </c>
      <c r="D424" s="684" t="s">
        <v>518</v>
      </c>
      <c r="E424" s="684"/>
      <c r="F424" s="685" t="s">
        <v>1305</v>
      </c>
      <c r="G424" s="686">
        <f>SUBTOTAL(9,G425:G426)</f>
        <v>3.257897459827789</v>
      </c>
      <c r="H424" s="691">
        <f>SUBTOTAL(9,H425:H426)</f>
        <v>2</v>
      </c>
      <c r="I424" s="626"/>
      <c r="J424" s="752"/>
      <c r="L424" s="685"/>
      <c r="M424" s="685"/>
      <c r="N424" s="685"/>
      <c r="O424" s="685"/>
      <c r="P424" s="685"/>
      <c r="Q424" s="685"/>
      <c r="R424" s="685"/>
      <c r="T424" s="752"/>
      <c r="V424" s="686">
        <f>SUBTOTAL(9,V425:V426)</f>
        <v>0</v>
      </c>
      <c r="W424" s="691">
        <f>SUBTOTAL(9,W425:W426)</f>
        <v>0</v>
      </c>
    </row>
    <row r="425" spans="1:23" ht="26.45" outlineLevel="3">
      <c r="A425" s="376"/>
      <c r="B425" s="376" t="s">
        <v>1299</v>
      </c>
      <c r="C425" s="376" t="s">
        <v>1300</v>
      </c>
      <c r="D425" s="376" t="s">
        <v>518</v>
      </c>
      <c r="E425" s="376" t="s">
        <v>56</v>
      </c>
      <c r="F425" s="608" t="s">
        <v>36</v>
      </c>
      <c r="G425" s="609">
        <v>1.3962417684976238</v>
      </c>
      <c r="H425" s="692">
        <v>1</v>
      </c>
      <c r="I425" s="626"/>
      <c r="J425" s="752"/>
      <c r="L425" s="608" t="s">
        <v>56</v>
      </c>
      <c r="M425" s="608" t="s">
        <v>1284</v>
      </c>
      <c r="N425" s="608" t="s">
        <v>1306</v>
      </c>
      <c r="O425" s="608"/>
      <c r="P425" s="608" t="s">
        <v>1096</v>
      </c>
      <c r="Q425" s="608"/>
      <c r="R425" s="608">
        <v>0</v>
      </c>
      <c r="T425" s="752"/>
      <c r="V425" s="609">
        <f>IF(W425=1,G425,0)</f>
        <v>0</v>
      </c>
      <c r="W425" s="692"/>
    </row>
    <row r="426" spans="1:23" ht="26.45" outlineLevel="3">
      <c r="A426" s="376"/>
      <c r="B426" s="376" t="s">
        <v>1299</v>
      </c>
      <c r="C426" s="376" t="s">
        <v>1300</v>
      </c>
      <c r="D426" s="376" t="s">
        <v>518</v>
      </c>
      <c r="E426" s="376" t="s">
        <v>56</v>
      </c>
      <c r="F426" s="608" t="s">
        <v>971</v>
      </c>
      <c r="G426" s="609">
        <v>1.8616556913301652</v>
      </c>
      <c r="H426" s="692">
        <v>1</v>
      </c>
      <c r="I426" s="626"/>
      <c r="J426" s="752"/>
      <c r="L426" s="608" t="s">
        <v>56</v>
      </c>
      <c r="M426" s="608" t="s">
        <v>1284</v>
      </c>
      <c r="N426" s="608" t="s">
        <v>1306</v>
      </c>
      <c r="O426" s="608"/>
      <c r="P426" s="608" t="s">
        <v>1096</v>
      </c>
      <c r="Q426" s="608"/>
      <c r="R426" s="608">
        <v>0</v>
      </c>
      <c r="T426" s="752"/>
      <c r="V426" s="609">
        <f>IF(W426=1,G426,0)</f>
        <v>0</v>
      </c>
      <c r="W426" s="692"/>
    </row>
    <row r="427" spans="1:23" ht="39.6" outlineLevel="2">
      <c r="A427" s="376"/>
      <c r="B427" s="684" t="s">
        <v>1299</v>
      </c>
      <c r="C427" s="684" t="s">
        <v>1300</v>
      </c>
      <c r="D427" s="684" t="s">
        <v>441</v>
      </c>
      <c r="E427" s="684"/>
      <c r="F427" s="685" t="s">
        <v>1307</v>
      </c>
      <c r="G427" s="686">
        <f>SUBTOTAL(9,G428:G430)</f>
        <v>1.2952557286377333</v>
      </c>
      <c r="H427" s="691">
        <f>SUBTOTAL(9,H428:H430)</f>
        <v>3</v>
      </c>
      <c r="I427" s="626"/>
      <c r="J427" s="752"/>
      <c r="L427" s="685"/>
      <c r="M427" s="685"/>
      <c r="N427" s="685"/>
      <c r="O427" s="685"/>
      <c r="P427" s="685"/>
      <c r="Q427" s="685"/>
      <c r="R427" s="685"/>
      <c r="T427" s="752"/>
      <c r="V427" s="686">
        <f>SUBTOTAL(9,V428:V430)</f>
        <v>0</v>
      </c>
      <c r="W427" s="691">
        <f>SUBTOTAL(9,W428:W430)</f>
        <v>0</v>
      </c>
    </row>
    <row r="428" spans="1:23" ht="39.6" outlineLevel="3">
      <c r="A428" s="376"/>
      <c r="B428" s="376" t="s">
        <v>1299</v>
      </c>
      <c r="C428" s="376" t="s">
        <v>1300</v>
      </c>
      <c r="D428" s="376" t="s">
        <v>441</v>
      </c>
      <c r="E428" s="376" t="s">
        <v>437</v>
      </c>
      <c r="F428" s="608" t="s">
        <v>36</v>
      </c>
      <c r="G428" s="609">
        <v>0.51810229145509312</v>
      </c>
      <c r="H428" s="692">
        <v>1</v>
      </c>
      <c r="I428" s="626"/>
      <c r="J428" s="752"/>
      <c r="L428" s="608" t="s">
        <v>437</v>
      </c>
      <c r="M428" s="608" t="s">
        <v>966</v>
      </c>
      <c r="N428" s="608" t="s">
        <v>1209</v>
      </c>
      <c r="O428" s="608" t="s">
        <v>1308</v>
      </c>
      <c r="P428" s="608"/>
      <c r="Q428" s="608"/>
      <c r="R428" s="608"/>
      <c r="T428" s="752"/>
      <c r="V428" s="609">
        <f>IF(W428=1,G428,0)</f>
        <v>0</v>
      </c>
      <c r="W428" s="692"/>
    </row>
    <row r="429" spans="1:23" ht="39.6" outlineLevel="3">
      <c r="A429" s="376"/>
      <c r="B429" s="376" t="s">
        <v>1299</v>
      </c>
      <c r="C429" s="376" t="s">
        <v>1300</v>
      </c>
      <c r="D429" s="376" t="s">
        <v>441</v>
      </c>
      <c r="E429" s="376" t="s">
        <v>437</v>
      </c>
      <c r="F429" s="608" t="s">
        <v>971</v>
      </c>
      <c r="G429" s="609">
        <v>0.51810229145509312</v>
      </c>
      <c r="H429" s="692">
        <v>1</v>
      </c>
      <c r="I429" s="626"/>
      <c r="J429" s="752"/>
      <c r="L429" s="608" t="s">
        <v>437</v>
      </c>
      <c r="M429" s="608" t="s">
        <v>966</v>
      </c>
      <c r="N429" s="608" t="s">
        <v>1209</v>
      </c>
      <c r="O429" s="608" t="s">
        <v>1308</v>
      </c>
      <c r="P429" s="608"/>
      <c r="Q429" s="608"/>
      <c r="R429" s="608"/>
      <c r="T429" s="752"/>
      <c r="V429" s="609">
        <f>IF(W429=1,G429,0)</f>
        <v>0</v>
      </c>
      <c r="W429" s="692"/>
    </row>
    <row r="430" spans="1:23" ht="39.6" outlineLevel="3">
      <c r="A430" s="376"/>
      <c r="B430" s="376" t="s">
        <v>1299</v>
      </c>
      <c r="C430" s="376" t="s">
        <v>1300</v>
      </c>
      <c r="D430" s="376" t="s">
        <v>441</v>
      </c>
      <c r="E430" s="376" t="s">
        <v>437</v>
      </c>
      <c r="F430" s="608" t="s">
        <v>1303</v>
      </c>
      <c r="G430" s="609">
        <v>0.25905114572754701</v>
      </c>
      <c r="H430" s="692">
        <v>1</v>
      </c>
      <c r="I430" s="626"/>
      <c r="J430" s="752"/>
      <c r="L430" s="608" t="s">
        <v>437</v>
      </c>
      <c r="M430" s="608" t="s">
        <v>966</v>
      </c>
      <c r="N430" s="608" t="s">
        <v>1209</v>
      </c>
      <c r="O430" s="608" t="s">
        <v>1308</v>
      </c>
      <c r="P430" s="608"/>
      <c r="Q430" s="608"/>
      <c r="R430" s="608"/>
      <c r="T430" s="752"/>
      <c r="V430" s="609">
        <f>IF(W430=1,G430,0)</f>
        <v>0</v>
      </c>
      <c r="W430" s="692"/>
    </row>
    <row r="431" spans="1:23" s="742" customFormat="1" outlineLevel="1">
      <c r="A431" s="392"/>
      <c r="B431" s="666" t="s">
        <v>1309</v>
      </c>
      <c r="C431" s="666" t="s">
        <v>1310</v>
      </c>
      <c r="D431" s="666"/>
      <c r="E431" s="666"/>
      <c r="F431" s="681" t="s">
        <v>947</v>
      </c>
      <c r="G431" s="724">
        <f>SUBTOTAL(9,G432:G448)</f>
        <v>18.105283200000002</v>
      </c>
      <c r="H431" s="725">
        <f>SUBTOTAL(9,H432:H448)</f>
        <v>13</v>
      </c>
      <c r="I431" s="741"/>
      <c r="J431" s="758"/>
      <c r="K431" s="749"/>
      <c r="L431" s="761"/>
      <c r="M431" s="761"/>
      <c r="N431" s="761"/>
      <c r="O431" s="761"/>
      <c r="P431" s="761"/>
      <c r="Q431" s="761"/>
      <c r="R431" s="761"/>
      <c r="S431" s="749"/>
      <c r="T431" s="758"/>
      <c r="U431" s="749"/>
      <c r="V431" s="724">
        <f>SUBTOTAL(9,V432:V448)</f>
        <v>0</v>
      </c>
      <c r="W431" s="725">
        <f>SUBTOTAL(9,W432:W448)</f>
        <v>0</v>
      </c>
    </row>
    <row r="432" spans="1:23" s="742" customFormat="1" ht="26.45" outlineLevel="2">
      <c r="A432" s="392"/>
      <c r="B432" s="687" t="s">
        <v>1310</v>
      </c>
      <c r="C432" s="687" t="s">
        <v>1310</v>
      </c>
      <c r="D432" s="687" t="s">
        <v>159</v>
      </c>
      <c r="E432" s="687"/>
      <c r="F432" s="717" t="s">
        <v>1311</v>
      </c>
      <c r="G432" s="743">
        <f>SUBTOTAL(9,G433:G438)</f>
        <v>14.323800000000004</v>
      </c>
      <c r="H432" s="744">
        <f>SUBTOTAL(9,H433:H438)</f>
        <v>6</v>
      </c>
      <c r="I432" s="741"/>
      <c r="J432" s="758"/>
      <c r="K432" s="749"/>
      <c r="L432" s="717"/>
      <c r="M432" s="717" t="s">
        <v>1312</v>
      </c>
      <c r="N432" s="717"/>
      <c r="O432" s="717"/>
      <c r="P432" s="717"/>
      <c r="Q432" s="717"/>
      <c r="R432" s="717"/>
      <c r="S432" s="749"/>
      <c r="T432" s="758"/>
      <c r="U432" s="749"/>
      <c r="V432" s="743">
        <f>SUBTOTAL(9,V433:V438)</f>
        <v>0</v>
      </c>
      <c r="W432" s="744">
        <f>SUBTOTAL(9,W433:W438)</f>
        <v>0</v>
      </c>
    </row>
    <row r="433" spans="1:23" s="742" customFormat="1" ht="26.45" outlineLevel="3">
      <c r="A433" s="392"/>
      <c r="B433" s="387" t="s">
        <v>1310</v>
      </c>
      <c r="C433" s="387" t="s">
        <v>1310</v>
      </c>
      <c r="D433" s="387" t="s">
        <v>159</v>
      </c>
      <c r="E433" s="387" t="s">
        <v>1100</v>
      </c>
      <c r="F433" s="705" t="s">
        <v>17</v>
      </c>
      <c r="G433" s="706">
        <v>4.7746000000000013</v>
      </c>
      <c r="H433" s="707">
        <v>1</v>
      </c>
      <c r="I433" s="741"/>
      <c r="J433" s="758"/>
      <c r="K433" s="749"/>
      <c r="L433" s="705" t="s">
        <v>1100</v>
      </c>
      <c r="M433" s="705" t="s">
        <v>1103</v>
      </c>
      <c r="N433" s="705" t="s">
        <v>1313</v>
      </c>
      <c r="O433" s="705" t="s">
        <v>1314</v>
      </c>
      <c r="P433" s="705"/>
      <c r="Q433" s="705"/>
      <c r="R433" s="705"/>
      <c r="S433" s="749"/>
      <c r="T433" s="758"/>
      <c r="U433" s="749"/>
      <c r="V433" s="609">
        <f t="shared" ref="V433:V438" si="12">IF(W433=1,G433,0)</f>
        <v>0</v>
      </c>
      <c r="W433" s="707"/>
    </row>
    <row r="434" spans="1:23" s="742" customFormat="1" ht="26.45" outlineLevel="3">
      <c r="A434" s="392"/>
      <c r="B434" s="387" t="s">
        <v>1310</v>
      </c>
      <c r="C434" s="387" t="s">
        <v>1310</v>
      </c>
      <c r="D434" s="387" t="s">
        <v>159</v>
      </c>
      <c r="E434" s="387" t="s">
        <v>1100</v>
      </c>
      <c r="F434" s="705" t="s">
        <v>36</v>
      </c>
      <c r="G434" s="706">
        <v>4.3640000000000008</v>
      </c>
      <c r="H434" s="707">
        <v>1</v>
      </c>
      <c r="I434" s="741"/>
      <c r="J434" s="758"/>
      <c r="K434" s="749"/>
      <c r="L434" s="705" t="s">
        <v>1100</v>
      </c>
      <c r="M434" s="705" t="s">
        <v>1103</v>
      </c>
      <c r="N434" s="705" t="s">
        <v>1313</v>
      </c>
      <c r="O434" s="705" t="s">
        <v>1314</v>
      </c>
      <c r="P434" s="705"/>
      <c r="Q434" s="705"/>
      <c r="R434" s="705"/>
      <c r="S434" s="749"/>
      <c r="T434" s="758"/>
      <c r="U434" s="749"/>
      <c r="V434" s="609">
        <f t="shared" si="12"/>
        <v>0</v>
      </c>
      <c r="W434" s="707"/>
    </row>
    <row r="435" spans="1:23" s="742" customFormat="1" ht="26.45" outlineLevel="3">
      <c r="A435" s="392"/>
      <c r="B435" s="387" t="s">
        <v>1310</v>
      </c>
      <c r="C435" s="387" t="s">
        <v>1310</v>
      </c>
      <c r="D435" s="387" t="s">
        <v>159</v>
      </c>
      <c r="E435" s="387" t="s">
        <v>1100</v>
      </c>
      <c r="F435" s="705" t="s">
        <v>1237</v>
      </c>
      <c r="G435" s="706">
        <v>2.2846500000000005</v>
      </c>
      <c r="H435" s="707">
        <v>1</v>
      </c>
      <c r="I435" s="741"/>
      <c r="J435" s="758"/>
      <c r="K435" s="749"/>
      <c r="L435" s="705" t="s">
        <v>1100</v>
      </c>
      <c r="M435" s="705" t="s">
        <v>1103</v>
      </c>
      <c r="N435" s="705" t="s">
        <v>1313</v>
      </c>
      <c r="O435" s="705" t="s">
        <v>1314</v>
      </c>
      <c r="P435" s="705"/>
      <c r="Q435" s="705"/>
      <c r="R435" s="705"/>
      <c r="S435" s="749"/>
      <c r="T435" s="758"/>
      <c r="U435" s="749"/>
      <c r="V435" s="609">
        <f t="shared" si="12"/>
        <v>0</v>
      </c>
      <c r="W435" s="707"/>
    </row>
    <row r="436" spans="1:23" s="742" customFormat="1" ht="26.45" outlineLevel="3">
      <c r="A436" s="392"/>
      <c r="B436" s="387" t="s">
        <v>1310</v>
      </c>
      <c r="C436" s="387" t="s">
        <v>1310</v>
      </c>
      <c r="D436" s="387" t="s">
        <v>159</v>
      </c>
      <c r="E436" s="387" t="s">
        <v>1100</v>
      </c>
      <c r="F436" s="705" t="s">
        <v>1303</v>
      </c>
      <c r="G436" s="706">
        <v>2.3873000000000006</v>
      </c>
      <c r="H436" s="707">
        <v>1</v>
      </c>
      <c r="I436" s="741"/>
      <c r="J436" s="758"/>
      <c r="K436" s="749"/>
      <c r="L436" s="705" t="s">
        <v>1100</v>
      </c>
      <c r="M436" s="705" t="s">
        <v>1103</v>
      </c>
      <c r="N436" s="705" t="s">
        <v>1313</v>
      </c>
      <c r="O436" s="705" t="s">
        <v>1314</v>
      </c>
      <c r="P436" s="705"/>
      <c r="Q436" s="705"/>
      <c r="R436" s="705"/>
      <c r="S436" s="749"/>
      <c r="T436" s="758"/>
      <c r="U436" s="749"/>
      <c r="V436" s="609">
        <f t="shared" si="12"/>
        <v>0</v>
      </c>
      <c r="W436" s="707"/>
    </row>
    <row r="437" spans="1:23" s="742" customFormat="1" outlineLevel="3">
      <c r="A437" s="392"/>
      <c r="B437" s="387" t="s">
        <v>1310</v>
      </c>
      <c r="C437" s="387" t="s">
        <v>1310</v>
      </c>
      <c r="D437" s="387" t="s">
        <v>159</v>
      </c>
      <c r="E437" s="387" t="s">
        <v>1159</v>
      </c>
      <c r="F437" s="705" t="s">
        <v>1315</v>
      </c>
      <c r="G437" s="706">
        <v>0.41060000000000008</v>
      </c>
      <c r="H437" s="707">
        <v>1</v>
      </c>
      <c r="I437" s="741"/>
      <c r="J437" s="758"/>
      <c r="K437" s="749"/>
      <c r="L437" s="705" t="s">
        <v>1159</v>
      </c>
      <c r="M437" s="705"/>
      <c r="N437" s="705"/>
      <c r="O437" s="705"/>
      <c r="P437" s="705"/>
      <c r="Q437" s="705"/>
      <c r="R437" s="705"/>
      <c r="S437" s="749"/>
      <c r="T437" s="758"/>
      <c r="U437" s="749"/>
      <c r="V437" s="609">
        <f t="shared" si="12"/>
        <v>0</v>
      </c>
      <c r="W437" s="707"/>
    </row>
    <row r="438" spans="1:23" s="742" customFormat="1" outlineLevel="3">
      <c r="A438" s="392"/>
      <c r="B438" s="387" t="s">
        <v>1310</v>
      </c>
      <c r="C438" s="387" t="s">
        <v>1310</v>
      </c>
      <c r="D438" s="387" t="s">
        <v>159</v>
      </c>
      <c r="E438" s="387" t="s">
        <v>1159</v>
      </c>
      <c r="F438" s="705" t="s">
        <v>1316</v>
      </c>
      <c r="G438" s="706">
        <v>0.10265000000000002</v>
      </c>
      <c r="H438" s="707">
        <v>1</v>
      </c>
      <c r="I438" s="741"/>
      <c r="J438" s="758"/>
      <c r="K438" s="749"/>
      <c r="L438" s="705" t="s">
        <v>1159</v>
      </c>
      <c r="M438" s="705"/>
      <c r="N438" s="705"/>
      <c r="O438" s="705"/>
      <c r="P438" s="705"/>
      <c r="Q438" s="705"/>
      <c r="R438" s="705"/>
      <c r="S438" s="749"/>
      <c r="T438" s="758"/>
      <c r="U438" s="749"/>
      <c r="V438" s="609">
        <f t="shared" si="12"/>
        <v>0</v>
      </c>
      <c r="W438" s="707"/>
    </row>
    <row r="439" spans="1:23" s="742" customFormat="1" outlineLevel="2">
      <c r="A439" s="392"/>
      <c r="B439" s="687" t="s">
        <v>1310</v>
      </c>
      <c r="C439" s="687" t="s">
        <v>1310</v>
      </c>
      <c r="D439" s="687" t="s">
        <v>518</v>
      </c>
      <c r="E439" s="687"/>
      <c r="F439" s="717" t="s">
        <v>1317</v>
      </c>
      <c r="G439" s="743">
        <f>SUBTOTAL(9,G440:G441)</f>
        <v>2.0244304000000004</v>
      </c>
      <c r="H439" s="744">
        <f>SUBTOTAL(9,H440:H441)</f>
        <v>2</v>
      </c>
      <c r="I439" s="741"/>
      <c r="J439" s="758"/>
      <c r="K439" s="749"/>
      <c r="L439" s="717"/>
      <c r="M439" s="717"/>
      <c r="N439" s="717"/>
      <c r="O439" s="717"/>
      <c r="P439" s="717"/>
      <c r="Q439" s="717"/>
      <c r="R439" s="717"/>
      <c r="S439" s="749"/>
      <c r="T439" s="758"/>
      <c r="U439" s="749"/>
      <c r="V439" s="743">
        <f>SUBTOTAL(9,V440:V441)</f>
        <v>0</v>
      </c>
      <c r="W439" s="744">
        <f>SUBTOTAL(9,W440:W441)</f>
        <v>0</v>
      </c>
    </row>
    <row r="440" spans="1:23" s="742" customFormat="1" outlineLevel="3">
      <c r="A440" s="392"/>
      <c r="B440" s="387" t="s">
        <v>1310</v>
      </c>
      <c r="C440" s="387" t="s">
        <v>1310</v>
      </c>
      <c r="D440" s="387" t="s">
        <v>518</v>
      </c>
      <c r="E440" s="387" t="s">
        <v>56</v>
      </c>
      <c r="F440" s="705" t="s">
        <v>36</v>
      </c>
      <c r="G440" s="706">
        <v>1.5183228000000002</v>
      </c>
      <c r="H440" s="707">
        <v>1</v>
      </c>
      <c r="I440" s="741"/>
      <c r="J440" s="758"/>
      <c r="K440" s="749"/>
      <c r="L440" s="705" t="s">
        <v>56</v>
      </c>
      <c r="M440" s="705" t="s">
        <v>1038</v>
      </c>
      <c r="N440" s="705" t="s">
        <v>1075</v>
      </c>
      <c r="O440" s="705" t="s">
        <v>1279</v>
      </c>
      <c r="P440" s="705" t="s">
        <v>1040</v>
      </c>
      <c r="Q440" s="705"/>
      <c r="R440" s="705">
        <v>0</v>
      </c>
      <c r="S440" s="749"/>
      <c r="T440" s="758"/>
      <c r="U440" s="749"/>
      <c r="V440" s="609">
        <f>IF(W440=1,G440,0)</f>
        <v>0</v>
      </c>
      <c r="W440" s="707"/>
    </row>
    <row r="441" spans="1:23" s="742" customFormat="1" outlineLevel="3">
      <c r="A441" s="392"/>
      <c r="B441" s="387" t="s">
        <v>1310</v>
      </c>
      <c r="C441" s="387" t="s">
        <v>1310</v>
      </c>
      <c r="D441" s="387" t="s">
        <v>518</v>
      </c>
      <c r="E441" s="387" t="s">
        <v>56</v>
      </c>
      <c r="F441" s="705" t="s">
        <v>1303</v>
      </c>
      <c r="G441" s="706">
        <v>0.5061076000000001</v>
      </c>
      <c r="H441" s="707">
        <v>1</v>
      </c>
      <c r="I441" s="741"/>
      <c r="J441" s="758"/>
      <c r="K441" s="749"/>
      <c r="L441" s="705" t="s">
        <v>56</v>
      </c>
      <c r="M441" s="705" t="s">
        <v>1038</v>
      </c>
      <c r="N441" s="705" t="s">
        <v>1075</v>
      </c>
      <c r="O441" s="705" t="s">
        <v>1279</v>
      </c>
      <c r="P441" s="705" t="s">
        <v>1040</v>
      </c>
      <c r="Q441" s="705"/>
      <c r="R441" s="705">
        <v>0</v>
      </c>
      <c r="S441" s="749"/>
      <c r="T441" s="758"/>
      <c r="U441" s="749"/>
      <c r="V441" s="609">
        <f>IF(W441=1,G441,0)</f>
        <v>0</v>
      </c>
      <c r="W441" s="707"/>
    </row>
    <row r="442" spans="1:23" s="742" customFormat="1" ht="26.45" outlineLevel="2">
      <c r="A442" s="392"/>
      <c r="B442" s="687" t="s">
        <v>1310</v>
      </c>
      <c r="C442" s="687" t="s">
        <v>1310</v>
      </c>
      <c r="D442" s="687" t="s">
        <v>441</v>
      </c>
      <c r="E442" s="687"/>
      <c r="F442" s="717" t="s">
        <v>1311</v>
      </c>
      <c r="G442" s="743">
        <f>SUBTOTAL(9,G443:G445)</f>
        <v>1.1268056000000002</v>
      </c>
      <c r="H442" s="744">
        <f>SUBTOTAL(9,H443:H445)</f>
        <v>3</v>
      </c>
      <c r="I442" s="741"/>
      <c r="J442" s="758"/>
      <c r="K442" s="749"/>
      <c r="L442" s="717"/>
      <c r="M442" s="717"/>
      <c r="N442" s="717"/>
      <c r="O442" s="717"/>
      <c r="P442" s="717"/>
      <c r="Q442" s="717"/>
      <c r="R442" s="717"/>
      <c r="S442" s="749"/>
      <c r="T442" s="758"/>
      <c r="U442" s="749"/>
      <c r="V442" s="743">
        <f>SUBTOTAL(9,V443:V445)</f>
        <v>0</v>
      </c>
      <c r="W442" s="744">
        <f>SUBTOTAL(9,W443:W445)</f>
        <v>0</v>
      </c>
    </row>
    <row r="443" spans="1:23" s="742" customFormat="1" ht="66" outlineLevel="3">
      <c r="A443" s="392"/>
      <c r="B443" s="387" t="s">
        <v>1310</v>
      </c>
      <c r="C443" s="387" t="s">
        <v>1310</v>
      </c>
      <c r="D443" s="387" t="s">
        <v>441</v>
      </c>
      <c r="E443" s="387" t="s">
        <v>437</v>
      </c>
      <c r="F443" s="705" t="s">
        <v>36</v>
      </c>
      <c r="G443" s="706">
        <v>0.56340280000000009</v>
      </c>
      <c r="H443" s="707">
        <v>1</v>
      </c>
      <c r="I443" s="741"/>
      <c r="J443" s="758"/>
      <c r="K443" s="749"/>
      <c r="L443" s="705" t="s">
        <v>437</v>
      </c>
      <c r="M443" s="705" t="s">
        <v>966</v>
      </c>
      <c r="N443" s="705" t="s">
        <v>1318</v>
      </c>
      <c r="O443" s="705" t="s">
        <v>1319</v>
      </c>
      <c r="P443" s="705"/>
      <c r="Q443" s="705"/>
      <c r="R443" s="705"/>
      <c r="S443" s="749"/>
      <c r="T443" s="758"/>
      <c r="U443" s="749"/>
      <c r="V443" s="609">
        <f>IF(W443=1,G443,0)</f>
        <v>0</v>
      </c>
      <c r="W443" s="707"/>
    </row>
    <row r="444" spans="1:23" s="742" customFormat="1" ht="66" outlineLevel="3">
      <c r="A444" s="392"/>
      <c r="B444" s="387" t="s">
        <v>1310</v>
      </c>
      <c r="C444" s="387" t="s">
        <v>1310</v>
      </c>
      <c r="D444" s="387" t="s">
        <v>441</v>
      </c>
      <c r="E444" s="387" t="s">
        <v>437</v>
      </c>
      <c r="F444" s="705" t="s">
        <v>1237</v>
      </c>
      <c r="G444" s="706">
        <v>0.28170140000000005</v>
      </c>
      <c r="H444" s="707">
        <v>1</v>
      </c>
      <c r="I444" s="741"/>
      <c r="J444" s="758"/>
      <c r="K444" s="749"/>
      <c r="L444" s="705" t="s">
        <v>437</v>
      </c>
      <c r="M444" s="705" t="s">
        <v>966</v>
      </c>
      <c r="N444" s="705" t="s">
        <v>1318</v>
      </c>
      <c r="O444" s="705" t="s">
        <v>1319</v>
      </c>
      <c r="P444" s="705"/>
      <c r="Q444" s="705"/>
      <c r="R444" s="705"/>
      <c r="S444" s="749"/>
      <c r="T444" s="758"/>
      <c r="U444" s="749"/>
      <c r="V444" s="609">
        <f>IF(W444=1,G444,0)</f>
        <v>0</v>
      </c>
      <c r="W444" s="707"/>
    </row>
    <row r="445" spans="1:23" s="742" customFormat="1" ht="66" outlineLevel="3">
      <c r="A445" s="392"/>
      <c r="B445" s="387" t="s">
        <v>1310</v>
      </c>
      <c r="C445" s="387" t="s">
        <v>1310</v>
      </c>
      <c r="D445" s="387" t="s">
        <v>441</v>
      </c>
      <c r="E445" s="387" t="s">
        <v>437</v>
      </c>
      <c r="F445" s="705" t="s">
        <v>1303</v>
      </c>
      <c r="G445" s="706">
        <v>0.28170140000000005</v>
      </c>
      <c r="H445" s="707">
        <v>1</v>
      </c>
      <c r="I445" s="741"/>
      <c r="J445" s="758"/>
      <c r="K445" s="749"/>
      <c r="L445" s="705" t="s">
        <v>437</v>
      </c>
      <c r="M445" s="705" t="s">
        <v>966</v>
      </c>
      <c r="N445" s="705" t="s">
        <v>1318</v>
      </c>
      <c r="O445" s="705" t="s">
        <v>1319</v>
      </c>
      <c r="P445" s="705"/>
      <c r="Q445" s="705"/>
      <c r="R445" s="705"/>
      <c r="S445" s="749"/>
      <c r="T445" s="758"/>
      <c r="U445" s="749"/>
      <c r="V445" s="609">
        <f>IF(W445=1,G445,0)</f>
        <v>0</v>
      </c>
      <c r="W445" s="707"/>
    </row>
    <row r="446" spans="1:23" s="742" customFormat="1" outlineLevel="2">
      <c r="A446" s="392">
        <v>2</v>
      </c>
      <c r="B446" s="687" t="s">
        <v>1310</v>
      </c>
      <c r="C446" s="687" t="s">
        <v>1310</v>
      </c>
      <c r="D446" s="687" t="s">
        <v>860</v>
      </c>
      <c r="E446" s="687"/>
      <c r="F446" s="717" t="s">
        <v>1317</v>
      </c>
      <c r="G446" s="743">
        <f>SUBTOTAL(9,G447:G448)</f>
        <v>0.63024720000000012</v>
      </c>
      <c r="H446" s="744">
        <f>SUBTOTAL(9,H447:H448)</f>
        <v>2</v>
      </c>
      <c r="I446" s="741"/>
      <c r="J446" s="758"/>
      <c r="K446" s="749"/>
      <c r="L446" s="717"/>
      <c r="M446" s="717"/>
      <c r="N446" s="717"/>
      <c r="O446" s="717"/>
      <c r="P446" s="717"/>
      <c r="Q446" s="717"/>
      <c r="R446" s="717"/>
      <c r="S446" s="749"/>
      <c r="T446" s="758"/>
      <c r="U446" s="749"/>
      <c r="V446" s="743">
        <f>SUBTOTAL(9,V447:V448)</f>
        <v>0</v>
      </c>
      <c r="W446" s="744">
        <f>SUBTOTAL(9,W447:W448)</f>
        <v>0</v>
      </c>
    </row>
    <row r="447" spans="1:23" s="742" customFormat="1" outlineLevel="3">
      <c r="A447" s="392"/>
      <c r="B447" s="387" t="s">
        <v>1310</v>
      </c>
      <c r="C447" s="387" t="s">
        <v>1310</v>
      </c>
      <c r="D447" s="387" t="s">
        <v>860</v>
      </c>
      <c r="E447" s="387" t="s">
        <v>437</v>
      </c>
      <c r="F447" s="705" t="s">
        <v>36</v>
      </c>
      <c r="G447" s="706">
        <v>0.47268540000000003</v>
      </c>
      <c r="H447" s="707">
        <v>1</v>
      </c>
      <c r="I447" s="741"/>
      <c r="J447" s="758"/>
      <c r="K447" s="749"/>
      <c r="L447" s="705" t="s">
        <v>437</v>
      </c>
      <c r="M447" s="705" t="s">
        <v>996</v>
      </c>
      <c r="N447" s="705" t="s">
        <v>1048</v>
      </c>
      <c r="O447" s="705" t="s">
        <v>1249</v>
      </c>
      <c r="P447" s="705"/>
      <c r="Q447" s="705"/>
      <c r="R447" s="705"/>
      <c r="S447" s="749"/>
      <c r="T447" s="758"/>
      <c r="U447" s="749"/>
      <c r="V447" s="609">
        <f>IF(W447=1,G447,0)</f>
        <v>0</v>
      </c>
      <c r="W447" s="707"/>
    </row>
    <row r="448" spans="1:23" s="742" customFormat="1" outlineLevel="3">
      <c r="A448" s="392"/>
      <c r="B448" s="387" t="s">
        <v>1310</v>
      </c>
      <c r="C448" s="387" t="s">
        <v>1310</v>
      </c>
      <c r="D448" s="387" t="s">
        <v>860</v>
      </c>
      <c r="E448" s="387" t="s">
        <v>437</v>
      </c>
      <c r="F448" s="705" t="s">
        <v>1303</v>
      </c>
      <c r="G448" s="706">
        <v>0.15756180000000003</v>
      </c>
      <c r="H448" s="707">
        <v>1</v>
      </c>
      <c r="I448" s="741"/>
      <c r="J448" s="758"/>
      <c r="K448" s="749"/>
      <c r="L448" s="705" t="s">
        <v>437</v>
      </c>
      <c r="M448" s="705" t="s">
        <v>996</v>
      </c>
      <c r="N448" s="705" t="s">
        <v>1048</v>
      </c>
      <c r="O448" s="705" t="s">
        <v>1249</v>
      </c>
      <c r="P448" s="705"/>
      <c r="Q448" s="705"/>
      <c r="R448" s="705"/>
      <c r="S448" s="749"/>
      <c r="T448" s="758"/>
      <c r="U448" s="749"/>
      <c r="V448" s="609">
        <f>IF(W448=1,G448,0)</f>
        <v>0</v>
      </c>
      <c r="W448" s="707"/>
    </row>
    <row r="449" spans="1:23" s="742" customFormat="1" outlineLevel="1">
      <c r="A449" s="392"/>
      <c r="B449" s="666" t="s">
        <v>1320</v>
      </c>
      <c r="C449" s="666" t="s">
        <v>1321</v>
      </c>
      <c r="D449" s="666"/>
      <c r="E449" s="666"/>
      <c r="F449" s="681" t="s">
        <v>947</v>
      </c>
      <c r="G449" s="724">
        <f>SUBTOTAL(9,G450:G461)</f>
        <v>15.691759513499999</v>
      </c>
      <c r="H449" s="725">
        <f>SUBTOTAL(9,H450:H461)</f>
        <v>8</v>
      </c>
      <c r="I449" s="741"/>
      <c r="J449" s="758"/>
      <c r="K449" s="749"/>
      <c r="L449" s="761"/>
      <c r="M449" s="761"/>
      <c r="N449" s="761"/>
      <c r="O449" s="761"/>
      <c r="P449" s="761"/>
      <c r="Q449" s="761"/>
      <c r="R449" s="761"/>
      <c r="S449" s="749"/>
      <c r="T449" s="758"/>
      <c r="U449" s="749"/>
      <c r="V449" s="724">
        <f>SUBTOTAL(9,V450:V461)</f>
        <v>0</v>
      </c>
      <c r="W449" s="725">
        <f>SUBTOTAL(9,W450:W461)</f>
        <v>0</v>
      </c>
    </row>
    <row r="450" spans="1:23" s="742" customFormat="1" ht="26.45" outlineLevel="2">
      <c r="A450" s="392"/>
      <c r="B450" s="687" t="s">
        <v>1321</v>
      </c>
      <c r="C450" s="687" t="s">
        <v>1321</v>
      </c>
      <c r="D450" s="687" t="s">
        <v>159</v>
      </c>
      <c r="E450" s="687"/>
      <c r="F450" s="717" t="s">
        <v>1322</v>
      </c>
      <c r="G450" s="743">
        <f>SUBTOTAL(9,G451:G454)</f>
        <v>12.89531775</v>
      </c>
      <c r="H450" s="744">
        <f>SUBTOTAL(9,H451:H454)</f>
        <v>4</v>
      </c>
      <c r="I450" s="741"/>
      <c r="J450" s="758"/>
      <c r="K450" s="749"/>
      <c r="L450" s="717"/>
      <c r="M450" s="717"/>
      <c r="N450" s="717"/>
      <c r="O450" s="717"/>
      <c r="P450" s="717"/>
      <c r="Q450" s="717"/>
      <c r="R450" s="717"/>
      <c r="S450" s="749"/>
      <c r="T450" s="758"/>
      <c r="U450" s="749"/>
      <c r="V450" s="743">
        <f>SUBTOTAL(9,V451:V454)</f>
        <v>0</v>
      </c>
      <c r="W450" s="744">
        <f>SUBTOTAL(9,W451:W454)</f>
        <v>0</v>
      </c>
    </row>
    <row r="451" spans="1:23" s="742" customFormat="1" outlineLevel="3" collapsed="1">
      <c r="A451" s="392"/>
      <c r="B451" s="387" t="s">
        <v>1321</v>
      </c>
      <c r="C451" s="387" t="s">
        <v>1321</v>
      </c>
      <c r="D451" s="387" t="s">
        <v>159</v>
      </c>
      <c r="E451" s="387" t="s">
        <v>664</v>
      </c>
      <c r="F451" s="705" t="s">
        <v>17</v>
      </c>
      <c r="G451" s="706">
        <v>3.6843765000000008</v>
      </c>
      <c r="H451" s="707">
        <v>1</v>
      </c>
      <c r="I451" s="741"/>
      <c r="J451" s="758"/>
      <c r="K451" s="749"/>
      <c r="L451" s="705" t="s">
        <v>664</v>
      </c>
      <c r="M451" s="705" t="s">
        <v>664</v>
      </c>
      <c r="N451" s="705" t="s">
        <v>1323</v>
      </c>
      <c r="O451" s="705"/>
      <c r="P451" s="705"/>
      <c r="Q451" s="705"/>
      <c r="R451" s="705"/>
      <c r="S451" s="749"/>
      <c r="T451" s="758"/>
      <c r="U451" s="749"/>
      <c r="V451" s="609">
        <f>IF(W451=1,G451,0)</f>
        <v>0</v>
      </c>
      <c r="W451" s="707"/>
    </row>
    <row r="452" spans="1:23" s="742" customFormat="1" outlineLevel="3">
      <c r="A452" s="392"/>
      <c r="B452" s="387" t="s">
        <v>1321</v>
      </c>
      <c r="C452" s="387" t="s">
        <v>1321</v>
      </c>
      <c r="D452" s="387" t="s">
        <v>159</v>
      </c>
      <c r="E452" s="387" t="s">
        <v>664</v>
      </c>
      <c r="F452" s="705" t="s">
        <v>36</v>
      </c>
      <c r="G452" s="706">
        <v>3.6843765000000008</v>
      </c>
      <c r="H452" s="707">
        <v>1</v>
      </c>
      <c r="I452" s="741"/>
      <c r="J452" s="758"/>
      <c r="K452" s="749"/>
      <c r="L452" s="705" t="s">
        <v>664</v>
      </c>
      <c r="M452" s="705" t="s">
        <v>664</v>
      </c>
      <c r="N452" s="705" t="s">
        <v>1323</v>
      </c>
      <c r="O452" s="705"/>
      <c r="P452" s="705"/>
      <c r="Q452" s="705"/>
      <c r="R452" s="705"/>
      <c r="S452" s="749"/>
      <c r="T452" s="758"/>
      <c r="U452" s="749"/>
      <c r="V452" s="609">
        <f>IF(W452=1,G452,0)</f>
        <v>0</v>
      </c>
      <c r="W452" s="707"/>
    </row>
    <row r="453" spans="1:23" s="742" customFormat="1" outlineLevel="3">
      <c r="A453" s="392"/>
      <c r="B453" s="387" t="s">
        <v>1321</v>
      </c>
      <c r="C453" s="387" t="s">
        <v>1321</v>
      </c>
      <c r="D453" s="387" t="s">
        <v>159</v>
      </c>
      <c r="E453" s="387" t="s">
        <v>664</v>
      </c>
      <c r="F453" s="705" t="s">
        <v>1237</v>
      </c>
      <c r="G453" s="706">
        <v>3.6843764999999999</v>
      </c>
      <c r="H453" s="707">
        <v>1</v>
      </c>
      <c r="I453" s="741"/>
      <c r="J453" s="758"/>
      <c r="K453" s="749"/>
      <c r="L453" s="705" t="s">
        <v>664</v>
      </c>
      <c r="M453" s="705" t="s">
        <v>1324</v>
      </c>
      <c r="N453" s="705" t="s">
        <v>1323</v>
      </c>
      <c r="O453" s="705" t="s">
        <v>1325</v>
      </c>
      <c r="P453" s="705"/>
      <c r="Q453" s="705"/>
      <c r="R453" s="705"/>
      <c r="S453" s="749"/>
      <c r="T453" s="758"/>
      <c r="U453" s="749"/>
      <c r="V453" s="609">
        <f>IF(W453=1,G453,0)</f>
        <v>0</v>
      </c>
      <c r="W453" s="707"/>
    </row>
    <row r="454" spans="1:23" s="742" customFormat="1" outlineLevel="3">
      <c r="A454" s="392"/>
      <c r="B454" s="387" t="s">
        <v>1321</v>
      </c>
      <c r="C454" s="387" t="s">
        <v>1321</v>
      </c>
      <c r="D454" s="387" t="s">
        <v>159</v>
      </c>
      <c r="E454" s="387" t="s">
        <v>664</v>
      </c>
      <c r="F454" s="705" t="s">
        <v>1326</v>
      </c>
      <c r="G454" s="706">
        <v>1.8421882500000004</v>
      </c>
      <c r="H454" s="707">
        <v>1</v>
      </c>
      <c r="I454" s="741"/>
      <c r="J454" s="758"/>
      <c r="K454" s="749"/>
      <c r="L454" s="705" t="s">
        <v>664</v>
      </c>
      <c r="M454" s="705" t="s">
        <v>1324</v>
      </c>
      <c r="N454" s="705" t="s">
        <v>1323</v>
      </c>
      <c r="O454" s="705" t="s">
        <v>1325</v>
      </c>
      <c r="P454" s="705"/>
      <c r="Q454" s="705"/>
      <c r="R454" s="705"/>
      <c r="S454" s="749"/>
      <c r="T454" s="758"/>
      <c r="U454" s="749"/>
      <c r="V454" s="609">
        <f>IF(W454=1,G454,0)</f>
        <v>0</v>
      </c>
      <c r="W454" s="707"/>
    </row>
    <row r="455" spans="1:23" s="742" customFormat="1" outlineLevel="2">
      <c r="A455" s="392"/>
      <c r="B455" s="687" t="s">
        <v>1321</v>
      </c>
      <c r="C455" s="687" t="s">
        <v>1321</v>
      </c>
      <c r="D455" s="687" t="s">
        <v>518</v>
      </c>
      <c r="E455" s="687"/>
      <c r="F455" s="717" t="s">
        <v>1230</v>
      </c>
      <c r="G455" s="743">
        <f>SUBTOTAL(9,G456)</f>
        <v>1.5621756360000001</v>
      </c>
      <c r="H455" s="744">
        <f>SUBTOTAL(9,H456)</f>
        <v>1</v>
      </c>
      <c r="I455" s="741"/>
      <c r="J455" s="758"/>
      <c r="K455" s="749"/>
      <c r="L455" s="717"/>
      <c r="M455" s="717"/>
      <c r="N455" s="717"/>
      <c r="O455" s="717"/>
      <c r="P455" s="717"/>
      <c r="Q455" s="717"/>
      <c r="R455" s="717"/>
      <c r="S455" s="749"/>
      <c r="T455" s="758"/>
      <c r="U455" s="749"/>
      <c r="V455" s="743">
        <f>SUBTOTAL(9,V456)</f>
        <v>0</v>
      </c>
      <c r="W455" s="744">
        <f>SUBTOTAL(9,W456)</f>
        <v>0</v>
      </c>
    </row>
    <row r="456" spans="1:23" s="742" customFormat="1" outlineLevel="3">
      <c r="A456" s="392"/>
      <c r="B456" s="387" t="s">
        <v>1321</v>
      </c>
      <c r="C456" s="387" t="s">
        <v>1321</v>
      </c>
      <c r="D456" s="387" t="s">
        <v>518</v>
      </c>
      <c r="E456" s="387" t="s">
        <v>56</v>
      </c>
      <c r="F456" s="705" t="s">
        <v>36</v>
      </c>
      <c r="G456" s="706">
        <v>1.5621756360000001</v>
      </c>
      <c r="H456" s="707">
        <v>1</v>
      </c>
      <c r="I456" s="741"/>
      <c r="J456" s="758"/>
      <c r="K456" s="749"/>
      <c r="L456" s="705" t="s">
        <v>56</v>
      </c>
      <c r="M456" s="705" t="s">
        <v>1038</v>
      </c>
      <c r="N456" s="705" t="s">
        <v>1078</v>
      </c>
      <c r="O456" s="705" t="s">
        <v>1078</v>
      </c>
      <c r="P456" s="705" t="s">
        <v>1040</v>
      </c>
      <c r="Q456" s="705"/>
      <c r="R456" s="705">
        <v>0</v>
      </c>
      <c r="S456" s="749"/>
      <c r="T456" s="758"/>
      <c r="U456" s="749"/>
      <c r="V456" s="609">
        <f>IF(W456=1,G456,0)</f>
        <v>0</v>
      </c>
      <c r="W456" s="707"/>
    </row>
    <row r="457" spans="1:23" s="742" customFormat="1" outlineLevel="2">
      <c r="A457" s="392"/>
      <c r="B457" s="687" t="s">
        <v>1321</v>
      </c>
      <c r="C457" s="687" t="s">
        <v>1321</v>
      </c>
      <c r="D457" s="687" t="s">
        <v>441</v>
      </c>
      <c r="E457" s="687"/>
      <c r="F457" s="717" t="s">
        <v>1327</v>
      </c>
      <c r="G457" s="743">
        <f>SUBTOTAL(9,G458:G459)</f>
        <v>0.86951285400000011</v>
      </c>
      <c r="H457" s="744">
        <f>SUBTOTAL(9,H458:H459)</f>
        <v>2</v>
      </c>
      <c r="I457" s="741"/>
      <c r="J457" s="758"/>
      <c r="K457" s="749"/>
      <c r="L457" s="717"/>
      <c r="M457" s="717"/>
      <c r="N457" s="717"/>
      <c r="O457" s="717"/>
      <c r="P457" s="717"/>
      <c r="Q457" s="717"/>
      <c r="R457" s="717"/>
      <c r="S457" s="749"/>
      <c r="T457" s="758"/>
      <c r="U457" s="749"/>
      <c r="V457" s="743">
        <f>SUBTOTAL(9,V458:V459)</f>
        <v>0</v>
      </c>
      <c r="W457" s="744">
        <f>SUBTOTAL(9,W458:W459)</f>
        <v>0</v>
      </c>
    </row>
    <row r="458" spans="1:23" s="742" customFormat="1" ht="39.6" outlineLevel="3">
      <c r="A458" s="392"/>
      <c r="B458" s="387" t="s">
        <v>1321</v>
      </c>
      <c r="C458" s="387" t="s">
        <v>1321</v>
      </c>
      <c r="D458" s="387" t="s">
        <v>441</v>
      </c>
      <c r="E458" s="387" t="s">
        <v>437</v>
      </c>
      <c r="F458" s="705" t="s">
        <v>36</v>
      </c>
      <c r="G458" s="706">
        <v>0.43475642700000006</v>
      </c>
      <c r="H458" s="707">
        <v>1</v>
      </c>
      <c r="I458" s="741"/>
      <c r="J458" s="758"/>
      <c r="K458" s="749"/>
      <c r="L458" s="705" t="s">
        <v>437</v>
      </c>
      <c r="M458" s="705" t="s">
        <v>966</v>
      </c>
      <c r="N458" s="705" t="s">
        <v>1318</v>
      </c>
      <c r="O458" s="705" t="s">
        <v>1328</v>
      </c>
      <c r="P458" s="705"/>
      <c r="Q458" s="705"/>
      <c r="R458" s="705"/>
      <c r="S458" s="749"/>
      <c r="T458" s="758"/>
      <c r="U458" s="749"/>
      <c r="V458" s="609">
        <f>IF(W458=1,G458,0)</f>
        <v>0</v>
      </c>
      <c r="W458" s="707"/>
    </row>
    <row r="459" spans="1:23" s="742" customFormat="1" ht="39.6" outlineLevel="3">
      <c r="A459" s="392"/>
      <c r="B459" s="387" t="s">
        <v>1321</v>
      </c>
      <c r="C459" s="387" t="s">
        <v>1321</v>
      </c>
      <c r="D459" s="387" t="s">
        <v>441</v>
      </c>
      <c r="E459" s="387" t="s">
        <v>437</v>
      </c>
      <c r="F459" s="705" t="s">
        <v>1237</v>
      </c>
      <c r="G459" s="706">
        <v>0.43475642700000006</v>
      </c>
      <c r="H459" s="707">
        <v>1</v>
      </c>
      <c r="I459" s="741"/>
      <c r="J459" s="758"/>
      <c r="K459" s="749"/>
      <c r="L459" s="705" t="s">
        <v>437</v>
      </c>
      <c r="M459" s="705" t="s">
        <v>966</v>
      </c>
      <c r="N459" s="705" t="s">
        <v>1318</v>
      </c>
      <c r="O459" s="705" t="s">
        <v>1328</v>
      </c>
      <c r="P459" s="705"/>
      <c r="Q459" s="705"/>
      <c r="R459" s="705"/>
      <c r="S459" s="749"/>
      <c r="T459" s="758"/>
      <c r="U459" s="749"/>
      <c r="V459" s="609">
        <f>IF(W459=1,G459,0)</f>
        <v>0</v>
      </c>
      <c r="W459" s="707"/>
    </row>
    <row r="460" spans="1:23" s="742" customFormat="1" outlineLevel="2">
      <c r="A460" s="392"/>
      <c r="B460" s="687" t="s">
        <v>1321</v>
      </c>
      <c r="C460" s="687" t="s">
        <v>1321</v>
      </c>
      <c r="D460" s="687" t="s">
        <v>860</v>
      </c>
      <c r="E460" s="687"/>
      <c r="F460" s="717" t="s">
        <v>1230</v>
      </c>
      <c r="G460" s="743">
        <f>SUBTOTAL(9,G461)</f>
        <v>0.36475327349999997</v>
      </c>
      <c r="H460" s="744">
        <f>SUBTOTAL(9,H461)</f>
        <v>1</v>
      </c>
      <c r="I460" s="741"/>
      <c r="J460" s="758"/>
      <c r="K460" s="749"/>
      <c r="L460" s="717"/>
      <c r="M460" s="717"/>
      <c r="N460" s="717"/>
      <c r="O460" s="717"/>
      <c r="P460" s="717"/>
      <c r="Q460" s="717"/>
      <c r="R460" s="717"/>
      <c r="S460" s="749"/>
      <c r="T460" s="758"/>
      <c r="U460" s="749"/>
      <c r="V460" s="743">
        <f>SUBTOTAL(9,V461)</f>
        <v>0</v>
      </c>
      <c r="W460" s="744">
        <f>SUBTOTAL(9,W461)</f>
        <v>0</v>
      </c>
    </row>
    <row r="461" spans="1:23" s="742" customFormat="1" outlineLevel="3">
      <c r="A461" s="392"/>
      <c r="B461" s="387" t="s">
        <v>1321</v>
      </c>
      <c r="C461" s="387" t="s">
        <v>1321</v>
      </c>
      <c r="D461" s="387" t="s">
        <v>860</v>
      </c>
      <c r="E461" s="387" t="s">
        <v>437</v>
      </c>
      <c r="F461" s="705" t="s">
        <v>36</v>
      </c>
      <c r="G461" s="706">
        <v>0.36475327349999997</v>
      </c>
      <c r="H461" s="707">
        <v>1</v>
      </c>
      <c r="I461" s="741"/>
      <c r="J461" s="758"/>
      <c r="K461" s="749"/>
      <c r="L461" s="705" t="s">
        <v>437</v>
      </c>
      <c r="M461" s="705"/>
      <c r="N461" s="705"/>
      <c r="O461" s="705"/>
      <c r="P461" s="705"/>
      <c r="Q461" s="705"/>
      <c r="R461" s="705"/>
      <c r="S461" s="749"/>
      <c r="T461" s="758"/>
      <c r="U461" s="749"/>
      <c r="V461" s="609">
        <f>IF(W461=1,G461,0)</f>
        <v>0</v>
      </c>
      <c r="W461" s="707"/>
    </row>
    <row r="462" spans="1:23" s="742" customFormat="1" outlineLevel="1">
      <c r="A462" s="392"/>
      <c r="B462" s="666" t="s">
        <v>1329</v>
      </c>
      <c r="C462" s="666" t="s">
        <v>1330</v>
      </c>
      <c r="D462" s="666"/>
      <c r="E462" s="666"/>
      <c r="F462" s="681" t="s">
        <v>947</v>
      </c>
      <c r="G462" s="724">
        <f>SUBTOTAL(9,G463:G474)</f>
        <v>5.2305865045000006</v>
      </c>
      <c r="H462" s="725">
        <f>SUBTOTAL(9,H463:H474)</f>
        <v>8</v>
      </c>
      <c r="I462" s="741"/>
      <c r="J462" s="758"/>
      <c r="K462" s="749"/>
      <c r="L462" s="761"/>
      <c r="M462" s="761"/>
      <c r="N462" s="761"/>
      <c r="O462" s="761"/>
      <c r="P462" s="761"/>
      <c r="Q462" s="761"/>
      <c r="R462" s="761"/>
      <c r="S462" s="749"/>
      <c r="T462" s="758"/>
      <c r="U462" s="749"/>
      <c r="V462" s="724">
        <f>SUBTOTAL(9,V463:V474)</f>
        <v>0</v>
      </c>
      <c r="W462" s="725">
        <f>SUBTOTAL(9,W463:W474)</f>
        <v>0</v>
      </c>
    </row>
    <row r="463" spans="1:23" ht="26.45" outlineLevel="2">
      <c r="A463" s="376"/>
      <c r="B463" s="687" t="s">
        <v>1330</v>
      </c>
      <c r="C463" s="687" t="s">
        <v>1330</v>
      </c>
      <c r="D463" s="684" t="s">
        <v>159</v>
      </c>
      <c r="E463" s="687"/>
      <c r="F463" s="717" t="s">
        <v>1322</v>
      </c>
      <c r="G463" s="743">
        <f>SUBTOTAL(9,G464:G467)</f>
        <v>4.2984392500000004</v>
      </c>
      <c r="H463" s="744">
        <f>SUBTOTAL(9,H464:H467)</f>
        <v>4</v>
      </c>
      <c r="I463" s="626"/>
      <c r="J463" s="752"/>
      <c r="L463" s="717"/>
      <c r="M463" s="717"/>
      <c r="N463" s="717"/>
      <c r="O463" s="717"/>
      <c r="P463" s="717"/>
      <c r="Q463" s="717"/>
      <c r="R463" s="717"/>
      <c r="T463" s="752"/>
      <c r="V463" s="743">
        <f>SUBTOTAL(9,V464:V467)</f>
        <v>0</v>
      </c>
      <c r="W463" s="744">
        <f>SUBTOTAL(9,W464:W467)</f>
        <v>0</v>
      </c>
    </row>
    <row r="464" spans="1:23" outlineLevel="3" collapsed="1">
      <c r="A464" s="376"/>
      <c r="B464" s="387" t="s">
        <v>1330</v>
      </c>
      <c r="C464" s="387" t="s">
        <v>1330</v>
      </c>
      <c r="D464" s="376" t="s">
        <v>159</v>
      </c>
      <c r="E464" s="387" t="s">
        <v>664</v>
      </c>
      <c r="F464" s="705" t="s">
        <v>17</v>
      </c>
      <c r="G464" s="706">
        <v>1.2281255000000002</v>
      </c>
      <c r="H464" s="707">
        <v>1</v>
      </c>
      <c r="I464" s="626"/>
      <c r="J464" s="752"/>
      <c r="L464" s="705" t="s">
        <v>664</v>
      </c>
      <c r="M464" s="705" t="s">
        <v>664</v>
      </c>
      <c r="N464" s="705" t="s">
        <v>1331</v>
      </c>
      <c r="O464" s="705"/>
      <c r="P464" s="705"/>
      <c r="Q464" s="705"/>
      <c r="R464" s="705"/>
      <c r="T464" s="752"/>
      <c r="V464" s="609">
        <f>IF(W464=1,G464,0)</f>
        <v>0</v>
      </c>
      <c r="W464" s="707"/>
    </row>
    <row r="465" spans="1:23" outlineLevel="3">
      <c r="A465" s="376"/>
      <c r="B465" s="387" t="s">
        <v>1330</v>
      </c>
      <c r="C465" s="387" t="s">
        <v>1330</v>
      </c>
      <c r="D465" s="376" t="s">
        <v>159</v>
      </c>
      <c r="E465" s="387" t="s">
        <v>664</v>
      </c>
      <c r="F465" s="705" t="s">
        <v>36</v>
      </c>
      <c r="G465" s="706">
        <v>1.2281255000000002</v>
      </c>
      <c r="H465" s="707">
        <v>1</v>
      </c>
      <c r="I465" s="626"/>
      <c r="J465" s="752"/>
      <c r="L465" s="705" t="s">
        <v>664</v>
      </c>
      <c r="M465" s="705" t="s">
        <v>664</v>
      </c>
      <c r="N465" s="705" t="s">
        <v>1331</v>
      </c>
      <c r="O465" s="705"/>
      <c r="P465" s="705"/>
      <c r="Q465" s="705"/>
      <c r="R465" s="705"/>
      <c r="T465" s="752"/>
      <c r="V465" s="609">
        <f>IF(W465=1,G465,0)</f>
        <v>0</v>
      </c>
      <c r="W465" s="707"/>
    </row>
    <row r="466" spans="1:23" outlineLevel="3">
      <c r="A466" s="376"/>
      <c r="B466" s="387" t="s">
        <v>1330</v>
      </c>
      <c r="C466" s="387" t="s">
        <v>1330</v>
      </c>
      <c r="D466" s="376" t="s">
        <v>159</v>
      </c>
      <c r="E466" s="387" t="s">
        <v>664</v>
      </c>
      <c r="F466" s="705" t="s">
        <v>1237</v>
      </c>
      <c r="G466" s="706">
        <v>1.2281255</v>
      </c>
      <c r="H466" s="707">
        <v>1</v>
      </c>
      <c r="I466" s="626"/>
      <c r="J466" s="752"/>
      <c r="L466" s="705" t="s">
        <v>664</v>
      </c>
      <c r="M466" s="705" t="s">
        <v>1324</v>
      </c>
      <c r="N466" s="705" t="s">
        <v>1331</v>
      </c>
      <c r="O466" s="705" t="s">
        <v>1332</v>
      </c>
      <c r="P466" s="705"/>
      <c r="Q466" s="705"/>
      <c r="R466" s="705"/>
      <c r="T466" s="752"/>
      <c r="V466" s="609">
        <f>IF(W466=1,G466,0)</f>
        <v>0</v>
      </c>
      <c r="W466" s="707"/>
    </row>
    <row r="467" spans="1:23" outlineLevel="3">
      <c r="A467" s="376"/>
      <c r="B467" s="387" t="s">
        <v>1330</v>
      </c>
      <c r="C467" s="387" t="s">
        <v>1330</v>
      </c>
      <c r="D467" s="376" t="s">
        <v>159</v>
      </c>
      <c r="E467" s="387" t="s">
        <v>664</v>
      </c>
      <c r="F467" s="705" t="s">
        <v>1326</v>
      </c>
      <c r="G467" s="706">
        <v>0.6140627500000001</v>
      </c>
      <c r="H467" s="707">
        <v>1</v>
      </c>
      <c r="I467" s="626"/>
      <c r="J467" s="752"/>
      <c r="L467" s="705" t="s">
        <v>664</v>
      </c>
      <c r="M467" s="705" t="s">
        <v>1324</v>
      </c>
      <c r="N467" s="705" t="s">
        <v>1331</v>
      </c>
      <c r="O467" s="705" t="s">
        <v>1332</v>
      </c>
      <c r="P467" s="705"/>
      <c r="Q467" s="705"/>
      <c r="R467" s="705"/>
      <c r="T467" s="752"/>
      <c r="V467" s="609">
        <f>IF(W467=1,G467,0)</f>
        <v>0</v>
      </c>
      <c r="W467" s="707"/>
    </row>
    <row r="468" spans="1:23" outlineLevel="2">
      <c r="A468" s="376"/>
      <c r="B468" s="687" t="s">
        <v>1330</v>
      </c>
      <c r="C468" s="687" t="s">
        <v>1330</v>
      </c>
      <c r="D468" s="684" t="s">
        <v>518</v>
      </c>
      <c r="E468" s="684"/>
      <c r="F468" s="717" t="s">
        <v>1230</v>
      </c>
      <c r="G468" s="743">
        <f>SUBTOTAL(9,G469)</f>
        <v>0.52072521199999999</v>
      </c>
      <c r="H468" s="744">
        <f>SUBTOTAL(9,H469)</f>
        <v>1</v>
      </c>
      <c r="I468" s="626"/>
      <c r="J468" s="752"/>
      <c r="L468" s="685"/>
      <c r="M468" s="685"/>
      <c r="N468" s="685"/>
      <c r="O468" s="685"/>
      <c r="P468" s="685"/>
      <c r="Q468" s="685"/>
      <c r="R468" s="685"/>
      <c r="T468" s="752"/>
      <c r="V468" s="743">
        <f>SUBTOTAL(9,V469)</f>
        <v>0</v>
      </c>
      <c r="W468" s="744">
        <f>SUBTOTAL(9,W469)</f>
        <v>0</v>
      </c>
    </row>
    <row r="469" spans="1:23" outlineLevel="3">
      <c r="A469" s="376"/>
      <c r="B469" s="387" t="s">
        <v>1330</v>
      </c>
      <c r="C469" s="387" t="s">
        <v>1330</v>
      </c>
      <c r="D469" s="376" t="s">
        <v>518</v>
      </c>
      <c r="E469" s="376" t="s">
        <v>56</v>
      </c>
      <c r="F469" s="705" t="s">
        <v>36</v>
      </c>
      <c r="G469" s="706">
        <v>0.52072521199999999</v>
      </c>
      <c r="H469" s="707">
        <v>1</v>
      </c>
      <c r="I469" s="626"/>
      <c r="J469" s="752"/>
      <c r="L469" s="608" t="s">
        <v>56</v>
      </c>
      <c r="M469" s="608" t="s">
        <v>1038</v>
      </c>
      <c r="N469" s="608" t="s">
        <v>1333</v>
      </c>
      <c r="O469" s="608" t="s">
        <v>1078</v>
      </c>
      <c r="P469" s="608" t="s">
        <v>1040</v>
      </c>
      <c r="Q469" s="608"/>
      <c r="R469" s="608">
        <v>0</v>
      </c>
      <c r="T469" s="752"/>
      <c r="V469" s="609">
        <f>IF(W469=1,G469,0)</f>
        <v>0</v>
      </c>
      <c r="W469" s="707"/>
    </row>
    <row r="470" spans="1:23" outlineLevel="2">
      <c r="A470" s="376"/>
      <c r="B470" s="687" t="s">
        <v>1330</v>
      </c>
      <c r="C470" s="687" t="s">
        <v>1330</v>
      </c>
      <c r="D470" s="684" t="s">
        <v>441</v>
      </c>
      <c r="E470" s="684"/>
      <c r="F470" s="717" t="s">
        <v>1327</v>
      </c>
      <c r="G470" s="743">
        <f>SUBTOTAL(9,G471:G472)</f>
        <v>0.28983761800000002</v>
      </c>
      <c r="H470" s="744">
        <f>SUBTOTAL(9,H471:H472)</f>
        <v>2</v>
      </c>
      <c r="I470" s="626"/>
      <c r="J470" s="752"/>
      <c r="L470" s="685"/>
      <c r="M470" s="685"/>
      <c r="N470" s="685"/>
      <c r="O470" s="685"/>
      <c r="P470" s="685"/>
      <c r="Q470" s="685"/>
      <c r="R470" s="685"/>
      <c r="T470" s="752"/>
      <c r="V470" s="743">
        <f>SUBTOTAL(9,V471:V472)</f>
        <v>0</v>
      </c>
      <c r="W470" s="744">
        <f>SUBTOTAL(9,W471:W472)</f>
        <v>0</v>
      </c>
    </row>
    <row r="471" spans="1:23" ht="39.6" outlineLevel="3">
      <c r="A471" s="376"/>
      <c r="B471" s="387" t="s">
        <v>1330</v>
      </c>
      <c r="C471" s="387" t="s">
        <v>1330</v>
      </c>
      <c r="D471" s="376" t="s">
        <v>441</v>
      </c>
      <c r="E471" s="376" t="s">
        <v>437</v>
      </c>
      <c r="F471" s="705" t="s">
        <v>36</v>
      </c>
      <c r="G471" s="706">
        <v>0.14491880900000001</v>
      </c>
      <c r="H471" s="707">
        <v>1</v>
      </c>
      <c r="I471" s="626"/>
      <c r="J471" s="752"/>
      <c r="L471" s="608" t="s">
        <v>437</v>
      </c>
      <c r="M471" s="608" t="s">
        <v>966</v>
      </c>
      <c r="N471" s="608" t="s">
        <v>1318</v>
      </c>
      <c r="O471" s="608" t="s">
        <v>1334</v>
      </c>
      <c r="P471" s="608"/>
      <c r="Q471" s="608"/>
      <c r="R471" s="608"/>
      <c r="T471" s="752"/>
      <c r="V471" s="609">
        <f>IF(W471=1,G471,0)</f>
        <v>0</v>
      </c>
      <c r="W471" s="707"/>
    </row>
    <row r="472" spans="1:23" ht="39.6" outlineLevel="3">
      <c r="A472" s="376"/>
      <c r="B472" s="387" t="s">
        <v>1330</v>
      </c>
      <c r="C472" s="387" t="s">
        <v>1330</v>
      </c>
      <c r="D472" s="376" t="s">
        <v>441</v>
      </c>
      <c r="E472" s="376" t="s">
        <v>437</v>
      </c>
      <c r="F472" s="705" t="s">
        <v>1237</v>
      </c>
      <c r="G472" s="706">
        <v>0.14491880900000001</v>
      </c>
      <c r="H472" s="707">
        <v>1</v>
      </c>
      <c r="I472" s="626"/>
      <c r="J472" s="752"/>
      <c r="L472" s="608" t="s">
        <v>437</v>
      </c>
      <c r="M472" s="608" t="s">
        <v>966</v>
      </c>
      <c r="N472" s="608" t="s">
        <v>1318</v>
      </c>
      <c r="O472" s="608" t="s">
        <v>1334</v>
      </c>
      <c r="P472" s="608"/>
      <c r="Q472" s="608"/>
      <c r="R472" s="608"/>
      <c r="T472" s="752"/>
      <c r="V472" s="609">
        <f>IF(W472=1,G472,0)</f>
        <v>0</v>
      </c>
      <c r="W472" s="707"/>
    </row>
    <row r="473" spans="1:23" outlineLevel="2">
      <c r="A473" s="376"/>
      <c r="B473" s="687" t="s">
        <v>1330</v>
      </c>
      <c r="C473" s="687" t="s">
        <v>1330</v>
      </c>
      <c r="D473" s="684" t="s">
        <v>860</v>
      </c>
      <c r="E473" s="684"/>
      <c r="F473" s="717" t="s">
        <v>1230</v>
      </c>
      <c r="G473" s="743">
        <f>SUBTOTAL(9,G474)</f>
        <v>0.12158442449999998</v>
      </c>
      <c r="H473" s="744">
        <f>SUBTOTAL(9,H474)</f>
        <v>1</v>
      </c>
      <c r="I473" s="626"/>
      <c r="J473" s="752"/>
      <c r="L473" s="685"/>
      <c r="M473" s="685"/>
      <c r="N473" s="685"/>
      <c r="O473" s="685"/>
      <c r="P473" s="685"/>
      <c r="Q473" s="685"/>
      <c r="R473" s="685"/>
      <c r="T473" s="752"/>
      <c r="V473" s="743">
        <f>SUBTOTAL(9,V474)</f>
        <v>0</v>
      </c>
      <c r="W473" s="744">
        <f>SUBTOTAL(9,W474)</f>
        <v>0</v>
      </c>
    </row>
    <row r="474" spans="1:23" outlineLevel="3">
      <c r="A474" s="376"/>
      <c r="B474" s="387" t="s">
        <v>1330</v>
      </c>
      <c r="C474" s="387" t="s">
        <v>1330</v>
      </c>
      <c r="D474" s="376" t="s">
        <v>860</v>
      </c>
      <c r="E474" s="376" t="s">
        <v>437</v>
      </c>
      <c r="F474" s="705" t="s">
        <v>36</v>
      </c>
      <c r="G474" s="706">
        <v>0.12158442449999998</v>
      </c>
      <c r="H474" s="707">
        <v>1</v>
      </c>
      <c r="I474" s="626"/>
      <c r="J474" s="752"/>
      <c r="L474" s="608" t="s">
        <v>437</v>
      </c>
      <c r="M474" s="608"/>
      <c r="N474" s="608"/>
      <c r="O474" s="608"/>
      <c r="P474" s="608"/>
      <c r="Q474" s="608"/>
      <c r="R474" s="608"/>
      <c r="T474" s="752"/>
      <c r="V474" s="609">
        <f>IF(W474=1,G474,0)</f>
        <v>0</v>
      </c>
      <c r="W474" s="707"/>
    </row>
    <row r="475" spans="1:23" ht="26.45" outlineLevel="1">
      <c r="A475" s="376"/>
      <c r="B475" s="665" t="s">
        <v>1273</v>
      </c>
      <c r="C475" s="665" t="s">
        <v>1273</v>
      </c>
      <c r="D475" s="665"/>
      <c r="E475" s="665"/>
      <c r="F475" s="681" t="s">
        <v>947</v>
      </c>
      <c r="G475" s="724">
        <f>SUBTOTAL(9,G476:G498)</f>
        <v>3.8583000000000007</v>
      </c>
      <c r="H475" s="725">
        <f>SUBTOTAL(9,H476:H498)</f>
        <v>18</v>
      </c>
      <c r="I475" s="626"/>
      <c r="J475" s="752"/>
      <c r="L475" s="681"/>
      <c r="M475" s="681" t="s">
        <v>1312</v>
      </c>
      <c r="N475" s="681"/>
      <c r="O475" s="681"/>
      <c r="P475" s="681"/>
      <c r="Q475" s="681"/>
      <c r="R475" s="681"/>
      <c r="T475" s="752"/>
      <c r="V475" s="724">
        <f>SUBTOTAL(9,V476:V498)</f>
        <v>0</v>
      </c>
      <c r="W475" s="725">
        <f>SUBTOTAL(9,W476:W498)</f>
        <v>0</v>
      </c>
    </row>
    <row r="476" spans="1:23" outlineLevel="2">
      <c r="A476" s="376"/>
      <c r="B476" s="684" t="s">
        <v>1273</v>
      </c>
      <c r="C476" s="684" t="s">
        <v>1273</v>
      </c>
      <c r="D476" s="684" t="s">
        <v>1335</v>
      </c>
      <c r="E476" s="684"/>
      <c r="F476" s="685" t="s">
        <v>1336</v>
      </c>
      <c r="G476" s="686">
        <f>SUBTOTAL(9,G477:G482)</f>
        <v>2.7524999999999999</v>
      </c>
      <c r="H476" s="691">
        <f>SUBTOTAL(9,H477:H482)</f>
        <v>6</v>
      </c>
      <c r="I476" s="626"/>
      <c r="J476" s="752"/>
      <c r="L476" s="685"/>
      <c r="M476" s="685"/>
      <c r="N476" s="685"/>
      <c r="O476" s="685"/>
      <c r="P476" s="685"/>
      <c r="Q476" s="685"/>
      <c r="R476" s="685"/>
      <c r="T476" s="752"/>
      <c r="V476" s="686">
        <f>SUBTOTAL(9,V477:V482)</f>
        <v>0</v>
      </c>
      <c r="W476" s="691">
        <f>SUBTOTAL(9,W477:W482)</f>
        <v>0</v>
      </c>
    </row>
    <row r="477" spans="1:23" outlineLevel="3">
      <c r="A477" s="376"/>
      <c r="B477" s="376" t="s">
        <v>1273</v>
      </c>
      <c r="C477" s="376" t="s">
        <v>1273</v>
      </c>
      <c r="D477" s="376" t="s">
        <v>1335</v>
      </c>
      <c r="E477" s="376" t="s">
        <v>664</v>
      </c>
      <c r="F477" s="608" t="s">
        <v>1337</v>
      </c>
      <c r="G477" s="609">
        <v>0.33750000000000002</v>
      </c>
      <c r="H477" s="692">
        <v>1</v>
      </c>
      <c r="I477" s="626"/>
      <c r="J477" s="752"/>
      <c r="L477" s="608" t="s">
        <v>664</v>
      </c>
      <c r="M477" s="608" t="s">
        <v>664</v>
      </c>
      <c r="N477" s="608" t="s">
        <v>1338</v>
      </c>
      <c r="O477" s="608"/>
      <c r="P477" s="608"/>
      <c r="Q477" s="608"/>
      <c r="R477" s="608"/>
      <c r="T477" s="752"/>
      <c r="V477" s="609">
        <f t="shared" ref="V477:V482" si="13">IF(W477=1,G477,0)</f>
        <v>0</v>
      </c>
      <c r="W477" s="692"/>
    </row>
    <row r="478" spans="1:23" outlineLevel="3">
      <c r="A478" s="376"/>
      <c r="B478" s="376" t="s">
        <v>1273</v>
      </c>
      <c r="C478" s="376" t="s">
        <v>1273</v>
      </c>
      <c r="D478" s="376" t="s">
        <v>1335</v>
      </c>
      <c r="E478" s="376" t="s">
        <v>664</v>
      </c>
      <c r="F478" s="608" t="s">
        <v>36</v>
      </c>
      <c r="G478" s="609">
        <v>0.58000000000000007</v>
      </c>
      <c r="H478" s="692">
        <v>1</v>
      </c>
      <c r="I478" s="626"/>
      <c r="J478" s="752"/>
      <c r="L478" s="608" t="s">
        <v>664</v>
      </c>
      <c r="M478" s="608" t="s">
        <v>664</v>
      </c>
      <c r="N478" s="608" t="s">
        <v>1338</v>
      </c>
      <c r="O478" s="608"/>
      <c r="P478" s="608"/>
      <c r="Q478" s="608"/>
      <c r="R478" s="608"/>
      <c r="T478" s="752"/>
      <c r="V478" s="609">
        <f t="shared" si="13"/>
        <v>0</v>
      </c>
      <c r="W478" s="692"/>
    </row>
    <row r="479" spans="1:23" outlineLevel="3">
      <c r="A479" s="376"/>
      <c r="B479" s="376" t="s">
        <v>1273</v>
      </c>
      <c r="C479" s="376" t="s">
        <v>1273</v>
      </c>
      <c r="D479" s="376" t="s">
        <v>1335</v>
      </c>
      <c r="E479" s="376" t="s">
        <v>664</v>
      </c>
      <c r="F479" s="608" t="s">
        <v>1339</v>
      </c>
      <c r="G479" s="609">
        <v>0.58000000000000007</v>
      </c>
      <c r="H479" s="692">
        <v>1</v>
      </c>
      <c r="I479" s="626"/>
      <c r="J479" s="752"/>
      <c r="L479" s="608" t="s">
        <v>664</v>
      </c>
      <c r="M479" s="608" t="s">
        <v>1338</v>
      </c>
      <c r="N479" s="608" t="s">
        <v>1340</v>
      </c>
      <c r="O479" s="608"/>
      <c r="P479" s="608"/>
      <c r="Q479" s="608"/>
      <c r="R479" s="608"/>
      <c r="T479" s="752"/>
      <c r="V479" s="609">
        <f t="shared" si="13"/>
        <v>0</v>
      </c>
      <c r="W479" s="692"/>
    </row>
    <row r="480" spans="1:23" outlineLevel="3">
      <c r="A480" s="376"/>
      <c r="B480" s="376" t="s">
        <v>1273</v>
      </c>
      <c r="C480" s="376" t="s">
        <v>1273</v>
      </c>
      <c r="D480" s="376" t="s">
        <v>1335</v>
      </c>
      <c r="E480" s="376" t="s">
        <v>664</v>
      </c>
      <c r="F480" s="608" t="s">
        <v>1341</v>
      </c>
      <c r="G480" s="609">
        <v>0.58000000000000007</v>
      </c>
      <c r="H480" s="692">
        <v>1</v>
      </c>
      <c r="I480" s="626"/>
      <c r="J480" s="752"/>
      <c r="L480" s="608" t="s">
        <v>664</v>
      </c>
      <c r="M480" s="608" t="s">
        <v>1338</v>
      </c>
      <c r="N480" s="608" t="s">
        <v>1340</v>
      </c>
      <c r="O480" s="608"/>
      <c r="P480" s="608"/>
      <c r="Q480" s="608"/>
      <c r="R480" s="608"/>
      <c r="T480" s="752"/>
      <c r="V480" s="609">
        <f t="shared" si="13"/>
        <v>0</v>
      </c>
      <c r="W480" s="692"/>
    </row>
    <row r="481" spans="1:23" outlineLevel="3">
      <c r="A481" s="376"/>
      <c r="B481" s="376" t="s">
        <v>1273</v>
      </c>
      <c r="C481" s="376" t="s">
        <v>1273</v>
      </c>
      <c r="D481" s="376" t="s">
        <v>1335</v>
      </c>
      <c r="E481" s="376" t="s">
        <v>664</v>
      </c>
      <c r="F481" s="608" t="s">
        <v>1326</v>
      </c>
      <c r="G481" s="609">
        <v>0.33750000000000002</v>
      </c>
      <c r="H481" s="692">
        <v>1</v>
      </c>
      <c r="I481" s="626"/>
      <c r="J481" s="752"/>
      <c r="L481" s="608" t="s">
        <v>664</v>
      </c>
      <c r="M481" s="608" t="s">
        <v>1338</v>
      </c>
      <c r="N481" s="608" t="s">
        <v>1340</v>
      </c>
      <c r="O481" s="608"/>
      <c r="P481" s="608"/>
      <c r="Q481" s="608"/>
      <c r="R481" s="608"/>
      <c r="T481" s="752"/>
      <c r="V481" s="609">
        <f t="shared" si="13"/>
        <v>0</v>
      </c>
      <c r="W481" s="692"/>
    </row>
    <row r="482" spans="1:23" outlineLevel="3">
      <c r="A482" s="376"/>
      <c r="B482" s="376" t="s">
        <v>1273</v>
      </c>
      <c r="C482" s="376" t="s">
        <v>1273</v>
      </c>
      <c r="D482" s="376" t="s">
        <v>1335</v>
      </c>
      <c r="E482" s="376" t="s">
        <v>664</v>
      </c>
      <c r="F482" s="608" t="s">
        <v>1342</v>
      </c>
      <c r="G482" s="609">
        <v>0.33750000000000002</v>
      </c>
      <c r="H482" s="692">
        <v>1</v>
      </c>
      <c r="I482" s="626"/>
      <c r="J482" s="752"/>
      <c r="L482" s="608" t="s">
        <v>664</v>
      </c>
      <c r="M482" s="608" t="s">
        <v>1338</v>
      </c>
      <c r="N482" s="608" t="s">
        <v>1340</v>
      </c>
      <c r="O482" s="608"/>
      <c r="P482" s="608"/>
      <c r="Q482" s="608"/>
      <c r="R482" s="608"/>
      <c r="T482" s="752"/>
      <c r="V482" s="609">
        <f t="shared" si="13"/>
        <v>0</v>
      </c>
      <c r="W482" s="692"/>
    </row>
    <row r="483" spans="1:23" outlineLevel="2">
      <c r="A483" s="376"/>
      <c r="B483" s="684" t="s">
        <v>1273</v>
      </c>
      <c r="C483" s="684" t="s">
        <v>1273</v>
      </c>
      <c r="D483" s="684" t="s">
        <v>159</v>
      </c>
      <c r="E483" s="684"/>
      <c r="F483" s="685" t="s">
        <v>1336</v>
      </c>
      <c r="G483" s="686">
        <f>SUBTOTAL(9,G484:G486)</f>
        <v>0.28500000000000003</v>
      </c>
      <c r="H483" s="691">
        <f>SUBTOTAL(9,H484:H486)</f>
        <v>3</v>
      </c>
      <c r="I483" s="626"/>
      <c r="J483" s="752"/>
      <c r="L483" s="685"/>
      <c r="M483" s="685"/>
      <c r="N483" s="685"/>
      <c r="O483" s="685"/>
      <c r="P483" s="685"/>
      <c r="Q483" s="685"/>
      <c r="R483" s="685"/>
      <c r="T483" s="752"/>
      <c r="V483" s="686">
        <f>SUBTOTAL(9,V484:V486)</f>
        <v>0</v>
      </c>
      <c r="W483" s="691">
        <f>SUBTOTAL(9,W484:W486)</f>
        <v>0</v>
      </c>
    </row>
    <row r="484" spans="1:23" outlineLevel="3">
      <c r="A484" s="376"/>
      <c r="B484" s="376" t="s">
        <v>1273</v>
      </c>
      <c r="C484" s="376" t="s">
        <v>1273</v>
      </c>
      <c r="D484" s="376" t="s">
        <v>159</v>
      </c>
      <c r="E484" s="376" t="s">
        <v>1159</v>
      </c>
      <c r="F484" s="628" t="s">
        <v>38</v>
      </c>
      <c r="G484" s="609">
        <v>9.5000000000000015E-2</v>
      </c>
      <c r="H484" s="692">
        <v>1</v>
      </c>
      <c r="I484" s="626"/>
      <c r="J484" s="752"/>
      <c r="L484" s="608" t="s">
        <v>1159</v>
      </c>
      <c r="M484" s="608"/>
      <c r="N484" s="608"/>
      <c r="O484" s="608"/>
      <c r="P484" s="608"/>
      <c r="Q484" s="608"/>
      <c r="R484" s="608"/>
      <c r="T484" s="752"/>
      <c r="V484" s="609">
        <f>IF(W484=1,G484,0)</f>
        <v>0</v>
      </c>
      <c r="W484" s="692"/>
    </row>
    <row r="485" spans="1:23" outlineLevel="3">
      <c r="A485" s="376"/>
      <c r="B485" s="376" t="s">
        <v>1273</v>
      </c>
      <c r="C485" s="376" t="s">
        <v>1273</v>
      </c>
      <c r="D485" s="376" t="s">
        <v>159</v>
      </c>
      <c r="E485" s="376" t="s">
        <v>1159</v>
      </c>
      <c r="F485" s="628" t="s">
        <v>1287</v>
      </c>
      <c r="G485" s="609">
        <v>9.5000000000000015E-2</v>
      </c>
      <c r="H485" s="692">
        <v>1</v>
      </c>
      <c r="I485" s="626"/>
      <c r="J485" s="752"/>
      <c r="L485" s="608" t="s">
        <v>1159</v>
      </c>
      <c r="M485" s="608"/>
      <c r="N485" s="608"/>
      <c r="O485" s="608"/>
      <c r="P485" s="608"/>
      <c r="Q485" s="608"/>
      <c r="R485" s="608"/>
      <c r="T485" s="752"/>
      <c r="V485" s="609">
        <f>IF(W485=1,G485,0)</f>
        <v>0</v>
      </c>
      <c r="W485" s="692"/>
    </row>
    <row r="486" spans="1:23" outlineLevel="3">
      <c r="A486" s="376"/>
      <c r="B486" s="376" t="s">
        <v>1273</v>
      </c>
      <c r="C486" s="376" t="s">
        <v>1273</v>
      </c>
      <c r="D486" s="376" t="s">
        <v>159</v>
      </c>
      <c r="E486" s="376" t="s">
        <v>1159</v>
      </c>
      <c r="F486" s="628" t="s">
        <v>1343</v>
      </c>
      <c r="G486" s="609">
        <v>9.5000000000000015E-2</v>
      </c>
      <c r="H486" s="692">
        <v>1</v>
      </c>
      <c r="I486" s="626"/>
      <c r="J486" s="752"/>
      <c r="L486" s="608" t="s">
        <v>1159</v>
      </c>
      <c r="M486" s="608"/>
      <c r="N486" s="608"/>
      <c r="O486" s="608"/>
      <c r="P486" s="608"/>
      <c r="Q486" s="608"/>
      <c r="R486" s="608"/>
      <c r="T486" s="752"/>
      <c r="V486" s="609">
        <f>IF(W486=1,G486,0)</f>
        <v>0</v>
      </c>
      <c r="W486" s="692"/>
    </row>
    <row r="487" spans="1:23" outlineLevel="2">
      <c r="A487" s="376"/>
      <c r="B487" s="684" t="s">
        <v>1273</v>
      </c>
      <c r="C487" s="684" t="s">
        <v>1273</v>
      </c>
      <c r="D487" s="684" t="s">
        <v>518</v>
      </c>
      <c r="E487" s="684"/>
      <c r="F487" s="685" t="s">
        <v>1336</v>
      </c>
      <c r="G487" s="686">
        <f>SUBTOTAL(9,G488:G490)</f>
        <v>0.57240000000000002</v>
      </c>
      <c r="H487" s="691">
        <f>SUBTOTAL(9,H488:H490)</f>
        <v>3</v>
      </c>
      <c r="I487" s="626"/>
      <c r="J487" s="752"/>
      <c r="L487" s="685"/>
      <c r="M487" s="685"/>
      <c r="N487" s="685"/>
      <c r="O487" s="685"/>
      <c r="P487" s="685"/>
      <c r="Q487" s="685"/>
      <c r="R487" s="685"/>
      <c r="T487" s="752"/>
      <c r="V487" s="686">
        <f>SUBTOTAL(9,V488:V490)</f>
        <v>0</v>
      </c>
      <c r="W487" s="691">
        <f>SUBTOTAL(9,W488:W490)</f>
        <v>0</v>
      </c>
    </row>
    <row r="488" spans="1:23" outlineLevel="3">
      <c r="A488" s="376"/>
      <c r="B488" s="376" t="s">
        <v>1273</v>
      </c>
      <c r="C488" s="376" t="s">
        <v>1273</v>
      </c>
      <c r="D488" s="376" t="s">
        <v>518</v>
      </c>
      <c r="E488" s="376" t="s">
        <v>56</v>
      </c>
      <c r="F488" s="608" t="s">
        <v>36</v>
      </c>
      <c r="G488" s="609">
        <v>0.1431</v>
      </c>
      <c r="H488" s="692">
        <v>1</v>
      </c>
      <c r="I488" s="626"/>
      <c r="J488" s="752"/>
      <c r="L488" s="608" t="s">
        <v>56</v>
      </c>
      <c r="M488" s="608" t="s">
        <v>1284</v>
      </c>
      <c r="N488" s="608" t="s">
        <v>960</v>
      </c>
      <c r="O488" s="608" t="s">
        <v>1344</v>
      </c>
      <c r="P488" s="608" t="s">
        <v>1040</v>
      </c>
      <c r="Q488" s="608"/>
      <c r="R488" s="608">
        <v>0</v>
      </c>
      <c r="T488" s="752"/>
      <c r="V488" s="609">
        <f>IF(W488=1,G488,0)</f>
        <v>0</v>
      </c>
      <c r="W488" s="692"/>
    </row>
    <row r="489" spans="1:23" outlineLevel="3">
      <c r="A489" s="376"/>
      <c r="B489" s="376" t="s">
        <v>1273</v>
      </c>
      <c r="C489" s="376" t="s">
        <v>1273</v>
      </c>
      <c r="D489" s="376" t="s">
        <v>518</v>
      </c>
      <c r="E489" s="376" t="s">
        <v>56</v>
      </c>
      <c r="F489" s="608" t="s">
        <v>971</v>
      </c>
      <c r="G489" s="609">
        <v>0.28620000000000001</v>
      </c>
      <c r="H489" s="692">
        <v>1</v>
      </c>
      <c r="I489" s="626"/>
      <c r="J489" s="752"/>
      <c r="L489" s="608" t="s">
        <v>56</v>
      </c>
      <c r="M489" s="608" t="s">
        <v>1284</v>
      </c>
      <c r="N489" s="608" t="s">
        <v>960</v>
      </c>
      <c r="O489" s="608" t="s">
        <v>1344</v>
      </c>
      <c r="P489" s="608" t="s">
        <v>1040</v>
      </c>
      <c r="Q489" s="608"/>
      <c r="R489" s="608">
        <v>0</v>
      </c>
      <c r="T489" s="752"/>
      <c r="V489" s="609">
        <f>IF(W489=1,G489,0)</f>
        <v>0</v>
      </c>
      <c r="W489" s="692"/>
    </row>
    <row r="490" spans="1:23" outlineLevel="3">
      <c r="A490" s="376"/>
      <c r="B490" s="376" t="s">
        <v>1273</v>
      </c>
      <c r="C490" s="376" t="s">
        <v>1273</v>
      </c>
      <c r="D490" s="376" t="s">
        <v>518</v>
      </c>
      <c r="E490" s="376" t="s">
        <v>56</v>
      </c>
      <c r="F490" s="608" t="s">
        <v>1342</v>
      </c>
      <c r="G490" s="609">
        <v>0.1431</v>
      </c>
      <c r="H490" s="692">
        <v>1</v>
      </c>
      <c r="I490" s="626"/>
      <c r="J490" s="752"/>
      <c r="L490" s="608" t="s">
        <v>56</v>
      </c>
      <c r="M490" s="608" t="s">
        <v>1284</v>
      </c>
      <c r="N490" s="608" t="s">
        <v>960</v>
      </c>
      <c r="O490" s="608" t="s">
        <v>1344</v>
      </c>
      <c r="P490" s="608" t="s">
        <v>1040</v>
      </c>
      <c r="Q490" s="608"/>
      <c r="R490" s="608">
        <v>0</v>
      </c>
      <c r="T490" s="752"/>
      <c r="V490" s="609">
        <f>IF(W490=1,G490,0)</f>
        <v>0</v>
      </c>
      <c r="W490" s="692"/>
    </row>
    <row r="491" spans="1:23" outlineLevel="2">
      <c r="A491" s="376"/>
      <c r="B491" s="684" t="s">
        <v>1273</v>
      </c>
      <c r="C491" s="684" t="s">
        <v>1273</v>
      </c>
      <c r="D491" s="684" t="s">
        <v>441</v>
      </c>
      <c r="E491" s="684"/>
      <c r="F491" s="685" t="s">
        <v>1336</v>
      </c>
      <c r="G491" s="686">
        <f>SUBTOTAL(9,G492:G494)</f>
        <v>0.1593</v>
      </c>
      <c r="H491" s="691">
        <f>SUBTOTAL(9,H492:H494)</f>
        <v>3</v>
      </c>
      <c r="I491" s="626"/>
      <c r="J491" s="752"/>
      <c r="L491" s="685"/>
      <c r="M491" s="685"/>
      <c r="N491" s="685"/>
      <c r="O491" s="685"/>
      <c r="P491" s="685"/>
      <c r="Q491" s="685"/>
      <c r="R491" s="685"/>
      <c r="T491" s="752"/>
      <c r="V491" s="686">
        <f>SUBTOTAL(9,V492:V494)</f>
        <v>0</v>
      </c>
      <c r="W491" s="691">
        <f>SUBTOTAL(9,W492:W494)</f>
        <v>0</v>
      </c>
    </row>
    <row r="492" spans="1:23" ht="39.6" outlineLevel="3">
      <c r="A492" s="376"/>
      <c r="B492" s="376" t="s">
        <v>1273</v>
      </c>
      <c r="C492" s="376" t="s">
        <v>1273</v>
      </c>
      <c r="D492" s="376" t="s">
        <v>441</v>
      </c>
      <c r="E492" s="376" t="s">
        <v>437</v>
      </c>
      <c r="F492" s="608" t="s">
        <v>36</v>
      </c>
      <c r="G492" s="609">
        <v>3.9824999999999999E-2</v>
      </c>
      <c r="H492" s="692">
        <v>1</v>
      </c>
      <c r="I492" s="626"/>
      <c r="J492" s="752"/>
      <c r="L492" s="608" t="s">
        <v>437</v>
      </c>
      <c r="M492" s="608" t="s">
        <v>966</v>
      </c>
      <c r="N492" s="608" t="s">
        <v>1173</v>
      </c>
      <c r="O492" s="608" t="s">
        <v>1345</v>
      </c>
      <c r="P492" s="608"/>
      <c r="Q492" s="608"/>
      <c r="R492" s="608"/>
      <c r="T492" s="752"/>
      <c r="V492" s="609">
        <f>IF(W492=1,G492,0)</f>
        <v>0</v>
      </c>
      <c r="W492" s="692"/>
    </row>
    <row r="493" spans="1:23" ht="39.6" outlineLevel="3">
      <c r="A493" s="376"/>
      <c r="B493" s="376" t="s">
        <v>1273</v>
      </c>
      <c r="C493" s="376" t="s">
        <v>1273</v>
      </c>
      <c r="D493" s="376" t="s">
        <v>441</v>
      </c>
      <c r="E493" s="376" t="s">
        <v>437</v>
      </c>
      <c r="F493" s="608" t="s">
        <v>971</v>
      </c>
      <c r="G493" s="609">
        <v>7.9649999999999999E-2</v>
      </c>
      <c r="H493" s="692">
        <v>1</v>
      </c>
      <c r="I493" s="626"/>
      <c r="J493" s="752"/>
      <c r="L493" s="608" t="s">
        <v>437</v>
      </c>
      <c r="M493" s="608" t="s">
        <v>966</v>
      </c>
      <c r="N493" s="608" t="s">
        <v>1173</v>
      </c>
      <c r="O493" s="608" t="s">
        <v>1345</v>
      </c>
      <c r="P493" s="608"/>
      <c r="Q493" s="608"/>
      <c r="R493" s="608"/>
      <c r="T493" s="752"/>
      <c r="V493" s="609">
        <f>IF(W493=1,G493,0)</f>
        <v>0</v>
      </c>
      <c r="W493" s="692"/>
    </row>
    <row r="494" spans="1:23" ht="39.6" outlineLevel="3" collapsed="1">
      <c r="A494" s="376"/>
      <c r="B494" s="376" t="s">
        <v>1273</v>
      </c>
      <c r="C494" s="376" t="s">
        <v>1273</v>
      </c>
      <c r="D494" s="376" t="s">
        <v>441</v>
      </c>
      <c r="E494" s="376" t="s">
        <v>437</v>
      </c>
      <c r="F494" s="608" t="s">
        <v>1342</v>
      </c>
      <c r="G494" s="609">
        <v>3.9824999999999999E-2</v>
      </c>
      <c r="H494" s="692">
        <v>1</v>
      </c>
      <c r="I494" s="626"/>
      <c r="J494" s="752"/>
      <c r="L494" s="608" t="s">
        <v>437</v>
      </c>
      <c r="M494" s="608" t="s">
        <v>966</v>
      </c>
      <c r="N494" s="608" t="s">
        <v>1173</v>
      </c>
      <c r="O494" s="608" t="s">
        <v>1345</v>
      </c>
      <c r="P494" s="608"/>
      <c r="Q494" s="608"/>
      <c r="R494" s="608"/>
      <c r="T494" s="752"/>
      <c r="V494" s="609">
        <f>IF(W494=1,G494,0)</f>
        <v>0</v>
      </c>
      <c r="W494" s="692"/>
    </row>
    <row r="495" spans="1:23" outlineLevel="2">
      <c r="A495" s="376"/>
      <c r="B495" s="684" t="s">
        <v>1273</v>
      </c>
      <c r="C495" s="684" t="s">
        <v>1273</v>
      </c>
      <c r="D495" s="684" t="s">
        <v>860</v>
      </c>
      <c r="E495" s="684"/>
      <c r="F495" s="685" t="s">
        <v>1336</v>
      </c>
      <c r="G495" s="686">
        <f>SUBTOTAL(9,G496:G498)</f>
        <v>8.9100000000000013E-2</v>
      </c>
      <c r="H495" s="691">
        <f>SUBTOTAL(9,H496:H498)</f>
        <v>3</v>
      </c>
      <c r="I495" s="626"/>
      <c r="J495" s="752"/>
      <c r="L495" s="685"/>
      <c r="M495" s="685"/>
      <c r="N495" s="685"/>
      <c r="O495" s="685"/>
      <c r="P495" s="685"/>
      <c r="Q495" s="685"/>
      <c r="R495" s="685"/>
      <c r="T495" s="752"/>
      <c r="V495" s="686">
        <f>SUBTOTAL(9,V496:V498)</f>
        <v>0</v>
      </c>
      <c r="W495" s="691">
        <f>SUBTOTAL(9,W496:W498)</f>
        <v>0</v>
      </c>
    </row>
    <row r="496" spans="1:23" outlineLevel="3" collapsed="1">
      <c r="A496" s="376"/>
      <c r="B496" s="376" t="s">
        <v>1273</v>
      </c>
      <c r="C496" s="376" t="s">
        <v>1273</v>
      </c>
      <c r="D496" s="376" t="s">
        <v>860</v>
      </c>
      <c r="E496" s="376" t="s">
        <v>437</v>
      </c>
      <c r="F496" s="629" t="s">
        <v>36</v>
      </c>
      <c r="G496" s="609">
        <v>4.4550000000000006E-2</v>
      </c>
      <c r="H496" s="692">
        <v>1</v>
      </c>
      <c r="I496" s="626"/>
      <c r="J496" s="752"/>
      <c r="L496" s="608" t="s">
        <v>437</v>
      </c>
      <c r="M496" s="608" t="s">
        <v>996</v>
      </c>
      <c r="N496" s="608" t="s">
        <v>1346</v>
      </c>
      <c r="O496" s="608" t="s">
        <v>1249</v>
      </c>
      <c r="P496" s="608"/>
      <c r="Q496" s="608"/>
      <c r="R496" s="608"/>
      <c r="T496" s="752"/>
      <c r="V496" s="609">
        <f>IF(W496=1,G496,0)</f>
        <v>0</v>
      </c>
      <c r="W496" s="692"/>
    </row>
    <row r="497" spans="1:23" outlineLevel="3">
      <c r="A497" s="376"/>
      <c r="B497" s="376" t="s">
        <v>1273</v>
      </c>
      <c r="C497" s="376" t="s">
        <v>1273</v>
      </c>
      <c r="D497" s="376" t="s">
        <v>860</v>
      </c>
      <c r="E497" s="376" t="s">
        <v>437</v>
      </c>
      <c r="F497" s="608" t="s">
        <v>971</v>
      </c>
      <c r="G497" s="609">
        <v>2.2275000000000003E-2</v>
      </c>
      <c r="H497" s="692">
        <v>1</v>
      </c>
      <c r="I497" s="626"/>
      <c r="J497" s="752"/>
      <c r="L497" s="608" t="s">
        <v>437</v>
      </c>
      <c r="M497" s="608" t="s">
        <v>996</v>
      </c>
      <c r="N497" s="608" t="s">
        <v>1346</v>
      </c>
      <c r="O497" s="608" t="s">
        <v>1249</v>
      </c>
      <c r="P497" s="608"/>
      <c r="Q497" s="608"/>
      <c r="R497" s="608"/>
      <c r="T497" s="752"/>
      <c r="V497" s="609">
        <f>IF(W497=1,G497,0)</f>
        <v>0</v>
      </c>
      <c r="W497" s="692"/>
    </row>
    <row r="498" spans="1:23" outlineLevel="3">
      <c r="A498" s="376"/>
      <c r="B498" s="376" t="s">
        <v>1273</v>
      </c>
      <c r="C498" s="376" t="s">
        <v>1273</v>
      </c>
      <c r="D498" s="376" t="s">
        <v>860</v>
      </c>
      <c r="E498" s="376" t="s">
        <v>437</v>
      </c>
      <c r="F498" s="608" t="s">
        <v>1342</v>
      </c>
      <c r="G498" s="609">
        <v>2.2275000000000003E-2</v>
      </c>
      <c r="H498" s="692">
        <v>1</v>
      </c>
      <c r="I498" s="626"/>
      <c r="J498" s="752"/>
      <c r="L498" s="608" t="s">
        <v>437</v>
      </c>
      <c r="M498" s="608" t="s">
        <v>996</v>
      </c>
      <c r="N498" s="608" t="s">
        <v>1346</v>
      </c>
      <c r="O498" s="608" t="s">
        <v>1249</v>
      </c>
      <c r="P498" s="608"/>
      <c r="Q498" s="608"/>
      <c r="R498" s="608"/>
      <c r="T498" s="752"/>
      <c r="V498" s="609">
        <f>IF(W498=1,G498,0)</f>
        <v>0</v>
      </c>
      <c r="W498" s="692"/>
    </row>
    <row r="499" spans="1:23" outlineLevel="1">
      <c r="A499" s="376"/>
      <c r="B499" s="665" t="s">
        <v>1347</v>
      </c>
      <c r="C499" s="665" t="s">
        <v>163</v>
      </c>
      <c r="D499" s="665"/>
      <c r="E499" s="665"/>
      <c r="F499" s="681" t="s">
        <v>947</v>
      </c>
      <c r="G499" s="724">
        <f>SUBTOTAL(9,G500:G518)</f>
        <v>7.01722</v>
      </c>
      <c r="H499" s="725">
        <f>SUBTOTAL(9,H500:H518)</f>
        <v>14</v>
      </c>
      <c r="I499" s="626"/>
      <c r="J499" s="752"/>
      <c r="L499" s="681"/>
      <c r="M499" s="681"/>
      <c r="N499" s="681"/>
      <c r="O499" s="681"/>
      <c r="P499" s="681"/>
      <c r="Q499" s="681"/>
      <c r="R499" s="681"/>
      <c r="T499" s="752"/>
      <c r="V499" s="724">
        <f>SUBTOTAL(9,V500:V518)</f>
        <v>0</v>
      </c>
      <c r="W499" s="725">
        <f>SUBTOTAL(9,W500:W518)</f>
        <v>0</v>
      </c>
    </row>
    <row r="500" spans="1:23" ht="26.45" outlineLevel="2">
      <c r="A500" s="376"/>
      <c r="B500" s="684" t="s">
        <v>1347</v>
      </c>
      <c r="C500" s="684" t="s">
        <v>1089</v>
      </c>
      <c r="D500" s="684" t="s">
        <v>1335</v>
      </c>
      <c r="E500" s="684"/>
      <c r="F500" s="685" t="s">
        <v>1348</v>
      </c>
      <c r="G500" s="686">
        <f>SUBTOTAL(9,G501:G504)</f>
        <v>4.5200000000000005</v>
      </c>
      <c r="H500" s="691">
        <f>SUBTOTAL(9,H501:H504)</f>
        <v>4</v>
      </c>
      <c r="I500" s="626"/>
      <c r="J500" s="752"/>
      <c r="L500" s="685"/>
      <c r="M500" s="685"/>
      <c r="N500" s="685"/>
      <c r="O500" s="685"/>
      <c r="P500" s="685"/>
      <c r="Q500" s="685"/>
      <c r="R500" s="685"/>
      <c r="T500" s="752"/>
      <c r="V500" s="686">
        <f>SUBTOTAL(9,V501:V504)</f>
        <v>0</v>
      </c>
      <c r="W500" s="691">
        <f>SUBTOTAL(9,W501:W504)</f>
        <v>0</v>
      </c>
    </row>
    <row r="501" spans="1:23" outlineLevel="3">
      <c r="A501" s="376"/>
      <c r="B501" s="376" t="s">
        <v>1347</v>
      </c>
      <c r="C501" s="376" t="s">
        <v>1089</v>
      </c>
      <c r="D501" s="376" t="s">
        <v>1335</v>
      </c>
      <c r="E501" s="376" t="s">
        <v>437</v>
      </c>
      <c r="F501" s="608" t="s">
        <v>17</v>
      </c>
      <c r="G501" s="609">
        <v>0.85500000000000009</v>
      </c>
      <c r="H501" s="692">
        <v>1</v>
      </c>
      <c r="I501" s="626"/>
      <c r="J501" s="752"/>
      <c r="L501" s="608" t="s">
        <v>437</v>
      </c>
      <c r="M501" s="608" t="s">
        <v>1349</v>
      </c>
      <c r="N501" s="608" t="s">
        <v>1350</v>
      </c>
      <c r="O501" s="608"/>
      <c r="P501" s="608"/>
      <c r="Q501" s="608"/>
      <c r="R501" s="608"/>
      <c r="T501" s="752"/>
      <c r="V501" s="609">
        <f>IF(W501=1,G501,0)</f>
        <v>0</v>
      </c>
      <c r="W501" s="692"/>
    </row>
    <row r="502" spans="1:23" outlineLevel="3">
      <c r="A502" s="376"/>
      <c r="B502" s="376" t="s">
        <v>1347</v>
      </c>
      <c r="C502" s="376" t="s">
        <v>1089</v>
      </c>
      <c r="D502" s="376" t="s">
        <v>1335</v>
      </c>
      <c r="E502" s="376" t="s">
        <v>437</v>
      </c>
      <c r="F502" s="608" t="s">
        <v>36</v>
      </c>
      <c r="G502" s="609">
        <v>1.4050000000000002</v>
      </c>
      <c r="H502" s="692">
        <v>1</v>
      </c>
      <c r="I502" s="626"/>
      <c r="J502" s="752"/>
      <c r="L502" s="608" t="s">
        <v>437</v>
      </c>
      <c r="M502" s="608" t="s">
        <v>1349</v>
      </c>
      <c r="N502" s="608" t="s">
        <v>1350</v>
      </c>
      <c r="O502" s="608"/>
      <c r="P502" s="608"/>
      <c r="Q502" s="608"/>
      <c r="R502" s="608"/>
      <c r="T502" s="752"/>
      <c r="V502" s="609">
        <f>IF(W502=1,G502,0)</f>
        <v>0</v>
      </c>
      <c r="W502" s="692"/>
    </row>
    <row r="503" spans="1:23" outlineLevel="3">
      <c r="A503" s="376"/>
      <c r="B503" s="376" t="s">
        <v>1347</v>
      </c>
      <c r="C503" s="376" t="s">
        <v>1089</v>
      </c>
      <c r="D503" s="376" t="s">
        <v>1335</v>
      </c>
      <c r="E503" s="376" t="s">
        <v>437</v>
      </c>
      <c r="F503" s="608" t="s">
        <v>208</v>
      </c>
      <c r="G503" s="609">
        <v>1.4050000000000002</v>
      </c>
      <c r="H503" s="692">
        <v>1</v>
      </c>
      <c r="I503" s="626"/>
      <c r="J503" s="752"/>
      <c r="L503" s="608" t="s">
        <v>437</v>
      </c>
      <c r="M503" s="608" t="s">
        <v>1349</v>
      </c>
      <c r="N503" s="608" t="s">
        <v>1350</v>
      </c>
      <c r="O503" s="608"/>
      <c r="P503" s="608"/>
      <c r="Q503" s="608"/>
      <c r="R503" s="608"/>
      <c r="T503" s="752"/>
      <c r="V503" s="609">
        <f>IF(W503=1,G503,0)</f>
        <v>0</v>
      </c>
      <c r="W503" s="692"/>
    </row>
    <row r="504" spans="1:23" outlineLevel="3">
      <c r="A504" s="376"/>
      <c r="B504" s="376" t="s">
        <v>1347</v>
      </c>
      <c r="C504" s="376" t="s">
        <v>1089</v>
      </c>
      <c r="D504" s="376" t="s">
        <v>1335</v>
      </c>
      <c r="E504" s="376" t="s">
        <v>437</v>
      </c>
      <c r="F504" s="608" t="s">
        <v>1351</v>
      </c>
      <c r="G504" s="609">
        <v>0.85500000000000009</v>
      </c>
      <c r="H504" s="692">
        <v>1</v>
      </c>
      <c r="I504" s="626"/>
      <c r="J504" s="752"/>
      <c r="L504" s="608" t="s">
        <v>437</v>
      </c>
      <c r="M504" s="608" t="s">
        <v>1349</v>
      </c>
      <c r="N504" s="608" t="s">
        <v>1350</v>
      </c>
      <c r="O504" s="608"/>
      <c r="P504" s="608"/>
      <c r="Q504" s="608"/>
      <c r="R504" s="608"/>
      <c r="T504" s="752"/>
      <c r="V504" s="609">
        <f>IF(W504=1,G504,0)</f>
        <v>0</v>
      </c>
      <c r="W504" s="692"/>
    </row>
    <row r="505" spans="1:23" ht="26.45" outlineLevel="2">
      <c r="A505" s="376"/>
      <c r="B505" s="684" t="s">
        <v>1347</v>
      </c>
      <c r="C505" s="684" t="s">
        <v>1089</v>
      </c>
      <c r="D505" s="684" t="s">
        <v>159</v>
      </c>
      <c r="E505" s="684"/>
      <c r="F505" s="685" t="s">
        <v>1352</v>
      </c>
      <c r="G505" s="686">
        <f>SUBTOTAL(9,G506)</f>
        <v>0.30500000000000005</v>
      </c>
      <c r="H505" s="691">
        <f>SUBTOTAL(9,H506)</f>
        <v>1</v>
      </c>
      <c r="I505" s="626"/>
      <c r="J505" s="752"/>
      <c r="L505" s="685"/>
      <c r="M505" s="685" t="s">
        <v>1312</v>
      </c>
      <c r="N505" s="685"/>
      <c r="O505" s="685"/>
      <c r="P505" s="685"/>
      <c r="Q505" s="685"/>
      <c r="R505" s="685"/>
      <c r="T505" s="752"/>
      <c r="V505" s="686">
        <f>SUBTOTAL(9,V506)</f>
        <v>0</v>
      </c>
      <c r="W505" s="691">
        <f>SUBTOTAL(9,W506)</f>
        <v>0</v>
      </c>
    </row>
    <row r="506" spans="1:23" outlineLevel="3">
      <c r="A506" s="376"/>
      <c r="B506" s="376" t="s">
        <v>1347</v>
      </c>
      <c r="C506" s="376" t="s">
        <v>1089</v>
      </c>
      <c r="D506" s="376" t="s">
        <v>159</v>
      </c>
      <c r="E506" s="376" t="s">
        <v>1159</v>
      </c>
      <c r="F506" s="608" t="s">
        <v>36</v>
      </c>
      <c r="G506" s="609">
        <v>0.30500000000000005</v>
      </c>
      <c r="H506" s="692">
        <v>1</v>
      </c>
      <c r="I506" s="626"/>
      <c r="J506" s="752"/>
      <c r="L506" s="608" t="s">
        <v>1159</v>
      </c>
      <c r="M506" s="608"/>
      <c r="N506" s="608"/>
      <c r="O506" s="608"/>
      <c r="P506" s="608"/>
      <c r="Q506" s="608"/>
      <c r="R506" s="608"/>
      <c r="T506" s="752"/>
      <c r="V506" s="609">
        <f>IF(W506=1,G506,0)</f>
        <v>0</v>
      </c>
      <c r="W506" s="692"/>
    </row>
    <row r="507" spans="1:23" ht="26.45" outlineLevel="2">
      <c r="A507" s="376"/>
      <c r="B507" s="684" t="s">
        <v>1347</v>
      </c>
      <c r="C507" s="684" t="s">
        <v>1089</v>
      </c>
      <c r="D507" s="684" t="s">
        <v>518</v>
      </c>
      <c r="E507" s="684"/>
      <c r="F507" s="685" t="s">
        <v>1353</v>
      </c>
      <c r="G507" s="686">
        <f>SUBTOTAL(9,G508:G510)</f>
        <v>1.45008</v>
      </c>
      <c r="H507" s="691">
        <f>SUBTOTAL(9,H508:H510)</f>
        <v>3</v>
      </c>
      <c r="I507" s="626"/>
      <c r="J507" s="752"/>
      <c r="L507" s="685"/>
      <c r="M507" s="685"/>
      <c r="N507" s="685"/>
      <c r="O507" s="685"/>
      <c r="P507" s="685"/>
      <c r="Q507" s="685"/>
      <c r="R507" s="685"/>
      <c r="T507" s="752"/>
      <c r="V507" s="686">
        <f>SUBTOTAL(9,V508:V510)</f>
        <v>0</v>
      </c>
      <c r="W507" s="691">
        <f>SUBTOTAL(9,W508:W510)</f>
        <v>0</v>
      </c>
    </row>
    <row r="508" spans="1:23" outlineLevel="3">
      <c r="A508" s="376"/>
      <c r="B508" s="376" t="s">
        <v>1347</v>
      </c>
      <c r="C508" s="376" t="s">
        <v>1089</v>
      </c>
      <c r="D508" s="376" t="s">
        <v>518</v>
      </c>
      <c r="E508" s="376" t="s">
        <v>56</v>
      </c>
      <c r="F508" s="608" t="s">
        <v>36</v>
      </c>
      <c r="G508" s="609">
        <v>0.36252000000000001</v>
      </c>
      <c r="H508" s="692">
        <v>1</v>
      </c>
      <c r="I508" s="626"/>
      <c r="J508" s="752"/>
      <c r="L508" s="608" t="s">
        <v>56</v>
      </c>
      <c r="M508" s="608" t="s">
        <v>1284</v>
      </c>
      <c r="N508" s="608" t="s">
        <v>960</v>
      </c>
      <c r="O508" s="608" t="s">
        <v>1344</v>
      </c>
      <c r="P508" s="608" t="s">
        <v>965</v>
      </c>
      <c r="Q508" s="608"/>
      <c r="R508" s="608">
        <v>0</v>
      </c>
      <c r="T508" s="752"/>
      <c r="V508" s="609">
        <f>IF(W508=1,G508,0)</f>
        <v>0</v>
      </c>
      <c r="W508" s="692"/>
    </row>
    <row r="509" spans="1:23" outlineLevel="3">
      <c r="A509" s="376"/>
      <c r="B509" s="376" t="s">
        <v>1347</v>
      </c>
      <c r="C509" s="376" t="s">
        <v>1089</v>
      </c>
      <c r="D509" s="376" t="s">
        <v>518</v>
      </c>
      <c r="E509" s="376" t="s">
        <v>56</v>
      </c>
      <c r="F509" s="608" t="s">
        <v>1354</v>
      </c>
      <c r="G509" s="609">
        <v>0.72504000000000002</v>
      </c>
      <c r="H509" s="692">
        <v>1</v>
      </c>
      <c r="I509" s="626"/>
      <c r="J509" s="752"/>
      <c r="L509" s="608" t="s">
        <v>56</v>
      </c>
      <c r="M509" s="608" t="s">
        <v>1284</v>
      </c>
      <c r="N509" s="608" t="s">
        <v>960</v>
      </c>
      <c r="O509" s="608" t="s">
        <v>1344</v>
      </c>
      <c r="P509" s="608" t="s">
        <v>965</v>
      </c>
      <c r="Q509" s="608"/>
      <c r="R509" s="608">
        <v>0</v>
      </c>
      <c r="T509" s="752"/>
      <c r="V509" s="609">
        <f>IF(W509=1,G509,0)</f>
        <v>0</v>
      </c>
      <c r="W509" s="692"/>
    </row>
    <row r="510" spans="1:23" outlineLevel="3">
      <c r="A510" s="376"/>
      <c r="B510" s="376" t="s">
        <v>1347</v>
      </c>
      <c r="C510" s="376" t="s">
        <v>1089</v>
      </c>
      <c r="D510" s="376" t="s">
        <v>518</v>
      </c>
      <c r="E510" s="376" t="s">
        <v>56</v>
      </c>
      <c r="F510" s="608" t="s">
        <v>1351</v>
      </c>
      <c r="G510" s="609">
        <v>0.36252000000000001</v>
      </c>
      <c r="H510" s="692">
        <v>1</v>
      </c>
      <c r="I510" s="626"/>
      <c r="J510" s="752"/>
      <c r="L510" s="608" t="s">
        <v>56</v>
      </c>
      <c r="M510" s="608" t="s">
        <v>1284</v>
      </c>
      <c r="N510" s="608" t="s">
        <v>960</v>
      </c>
      <c r="O510" s="608" t="s">
        <v>1344</v>
      </c>
      <c r="P510" s="608" t="s">
        <v>965</v>
      </c>
      <c r="Q510" s="608"/>
      <c r="R510" s="608">
        <v>0</v>
      </c>
      <c r="T510" s="752"/>
      <c r="V510" s="609">
        <f>IF(W510=1,G510,0)</f>
        <v>0</v>
      </c>
      <c r="W510" s="692"/>
    </row>
    <row r="511" spans="1:23" ht="26.45" outlineLevel="2">
      <c r="A511" s="376"/>
      <c r="B511" s="684" t="s">
        <v>1347</v>
      </c>
      <c r="C511" s="684" t="s">
        <v>1089</v>
      </c>
      <c r="D511" s="684" t="s">
        <v>441</v>
      </c>
      <c r="E511" s="684"/>
      <c r="F511" s="685" t="s">
        <v>1355</v>
      </c>
      <c r="G511" s="686">
        <f>SUBTOTAL(9,G512:G514)</f>
        <v>0.40355999999999997</v>
      </c>
      <c r="H511" s="691">
        <f>SUBTOTAL(9,H512:H514)</f>
        <v>3</v>
      </c>
      <c r="I511" s="626"/>
      <c r="J511" s="752"/>
      <c r="L511" s="685"/>
      <c r="M511" s="685"/>
      <c r="N511" s="685"/>
      <c r="O511" s="685"/>
      <c r="P511" s="685"/>
      <c r="Q511" s="685"/>
      <c r="R511" s="685"/>
      <c r="T511" s="752"/>
      <c r="V511" s="686">
        <f>SUBTOTAL(9,V512:V514)</f>
        <v>0</v>
      </c>
      <c r="W511" s="691">
        <f>SUBTOTAL(9,W512:W514)</f>
        <v>0</v>
      </c>
    </row>
    <row r="512" spans="1:23" ht="39.6" outlineLevel="3">
      <c r="A512" s="376"/>
      <c r="B512" s="376" t="s">
        <v>1347</v>
      </c>
      <c r="C512" s="376" t="s">
        <v>1089</v>
      </c>
      <c r="D512" s="376" t="s">
        <v>441</v>
      </c>
      <c r="E512" s="376" t="s">
        <v>437</v>
      </c>
      <c r="F512" s="608" t="s">
        <v>36</v>
      </c>
      <c r="G512" s="609">
        <v>0.10088999999999999</v>
      </c>
      <c r="H512" s="692">
        <v>1</v>
      </c>
      <c r="I512" s="626"/>
      <c r="J512" s="752"/>
      <c r="L512" s="608" t="s">
        <v>437</v>
      </c>
      <c r="M512" s="608" t="s">
        <v>966</v>
      </c>
      <c r="N512" s="608" t="s">
        <v>1356</v>
      </c>
      <c r="O512" s="608" t="s">
        <v>1357</v>
      </c>
      <c r="P512" s="608"/>
      <c r="Q512" s="608"/>
      <c r="R512" s="608"/>
      <c r="T512" s="752"/>
      <c r="V512" s="609">
        <f>IF(W512=1,G512,0)</f>
        <v>0</v>
      </c>
      <c r="W512" s="692"/>
    </row>
    <row r="513" spans="1:23" ht="39.6" outlineLevel="3">
      <c r="A513" s="376"/>
      <c r="B513" s="376" t="s">
        <v>1347</v>
      </c>
      <c r="C513" s="376" t="s">
        <v>1089</v>
      </c>
      <c r="D513" s="376" t="s">
        <v>441</v>
      </c>
      <c r="E513" s="376" t="s">
        <v>437</v>
      </c>
      <c r="F513" s="608" t="s">
        <v>208</v>
      </c>
      <c r="G513" s="609">
        <v>0.20177999999999999</v>
      </c>
      <c r="H513" s="692">
        <v>1</v>
      </c>
      <c r="I513" s="626"/>
      <c r="J513" s="752"/>
      <c r="L513" s="608" t="s">
        <v>437</v>
      </c>
      <c r="M513" s="608" t="s">
        <v>966</v>
      </c>
      <c r="N513" s="608" t="s">
        <v>1356</v>
      </c>
      <c r="O513" s="608" t="s">
        <v>1357</v>
      </c>
      <c r="P513" s="608"/>
      <c r="Q513" s="608"/>
      <c r="R513" s="608"/>
      <c r="T513" s="752"/>
      <c r="V513" s="609">
        <f>IF(W513=1,G513,0)</f>
        <v>0</v>
      </c>
      <c r="W513" s="692"/>
    </row>
    <row r="514" spans="1:23" ht="39.6" outlineLevel="3">
      <c r="A514" s="376"/>
      <c r="B514" s="376" t="s">
        <v>1347</v>
      </c>
      <c r="C514" s="376" t="s">
        <v>1089</v>
      </c>
      <c r="D514" s="376" t="s">
        <v>441</v>
      </c>
      <c r="E514" s="376" t="s">
        <v>437</v>
      </c>
      <c r="F514" s="608" t="s">
        <v>1351</v>
      </c>
      <c r="G514" s="609">
        <v>0.10088999999999999</v>
      </c>
      <c r="H514" s="692">
        <v>1</v>
      </c>
      <c r="I514" s="626"/>
      <c r="J514" s="752"/>
      <c r="L514" s="608" t="s">
        <v>437</v>
      </c>
      <c r="M514" s="608" t="s">
        <v>966</v>
      </c>
      <c r="N514" s="608" t="s">
        <v>1356</v>
      </c>
      <c r="O514" s="608" t="s">
        <v>1357</v>
      </c>
      <c r="P514" s="608"/>
      <c r="Q514" s="608"/>
      <c r="R514" s="608"/>
      <c r="T514" s="752"/>
      <c r="V514" s="609">
        <f>IF(W514=1,G514,0)</f>
        <v>0</v>
      </c>
      <c r="W514" s="692"/>
    </row>
    <row r="515" spans="1:23" ht="26.45" outlineLevel="2">
      <c r="A515" s="376"/>
      <c r="B515" s="684" t="s">
        <v>1347</v>
      </c>
      <c r="C515" s="684" t="s">
        <v>1089</v>
      </c>
      <c r="D515" s="684" t="s">
        <v>860</v>
      </c>
      <c r="E515" s="684"/>
      <c r="F515" s="685" t="s">
        <v>1355</v>
      </c>
      <c r="G515" s="686">
        <f>SUBTOTAL(9,G516:G518)</f>
        <v>0.33857999999999999</v>
      </c>
      <c r="H515" s="691">
        <f>SUBTOTAL(9,H516:H518)</f>
        <v>3</v>
      </c>
      <c r="I515" s="626"/>
      <c r="J515" s="752"/>
      <c r="L515" s="685"/>
      <c r="M515" s="685"/>
      <c r="N515" s="685"/>
      <c r="O515" s="685"/>
      <c r="P515" s="685"/>
      <c r="Q515" s="685"/>
      <c r="R515" s="685"/>
      <c r="T515" s="752"/>
      <c r="V515" s="686">
        <f>SUBTOTAL(9,V516:V518)</f>
        <v>0</v>
      </c>
      <c r="W515" s="691">
        <f>SUBTOTAL(9,W516:W518)</f>
        <v>0</v>
      </c>
    </row>
    <row r="516" spans="1:23" outlineLevel="3">
      <c r="A516" s="376"/>
      <c r="B516" s="376" t="s">
        <v>1347</v>
      </c>
      <c r="C516" s="376" t="s">
        <v>1089</v>
      </c>
      <c r="D516" s="376" t="s">
        <v>860</v>
      </c>
      <c r="E516" s="376" t="s">
        <v>437</v>
      </c>
      <c r="F516" s="608" t="s">
        <v>36</v>
      </c>
      <c r="G516" s="609">
        <v>0.11286000000000002</v>
      </c>
      <c r="H516" s="692">
        <v>1</v>
      </c>
      <c r="I516" s="626"/>
      <c r="J516" s="752"/>
      <c r="L516" s="608" t="s">
        <v>437</v>
      </c>
      <c r="M516" s="608" t="s">
        <v>996</v>
      </c>
      <c r="N516" s="608" t="s">
        <v>1244</v>
      </c>
      <c r="O516" s="608"/>
      <c r="P516" s="608"/>
      <c r="Q516" s="608"/>
      <c r="R516" s="608"/>
      <c r="T516" s="752"/>
      <c r="V516" s="609">
        <f>IF(W516=1,G516,0)</f>
        <v>0</v>
      </c>
      <c r="W516" s="692"/>
    </row>
    <row r="517" spans="1:23" outlineLevel="3">
      <c r="A517" s="376"/>
      <c r="B517" s="376" t="s">
        <v>1347</v>
      </c>
      <c r="C517" s="376" t="s">
        <v>1089</v>
      </c>
      <c r="D517" s="376" t="s">
        <v>860</v>
      </c>
      <c r="E517" s="376" t="s">
        <v>437</v>
      </c>
      <c r="F517" s="608" t="s">
        <v>208</v>
      </c>
      <c r="G517" s="609">
        <v>0.16929</v>
      </c>
      <c r="H517" s="692">
        <v>1</v>
      </c>
      <c r="I517" s="626"/>
      <c r="J517" s="752"/>
      <c r="L517" s="608" t="s">
        <v>437</v>
      </c>
      <c r="M517" s="608" t="s">
        <v>996</v>
      </c>
      <c r="N517" s="608" t="s">
        <v>1244</v>
      </c>
      <c r="O517" s="608"/>
      <c r="P517" s="608"/>
      <c r="Q517" s="608"/>
      <c r="R517" s="608"/>
      <c r="T517" s="752"/>
      <c r="V517" s="609">
        <f>IF(W517=1,G517,0)</f>
        <v>0</v>
      </c>
      <c r="W517" s="692"/>
    </row>
    <row r="518" spans="1:23" outlineLevel="3">
      <c r="A518" s="376"/>
      <c r="B518" s="376" t="s">
        <v>1347</v>
      </c>
      <c r="C518" s="376" t="s">
        <v>1089</v>
      </c>
      <c r="D518" s="376" t="s">
        <v>860</v>
      </c>
      <c r="E518" s="376" t="s">
        <v>437</v>
      </c>
      <c r="F518" s="608" t="s">
        <v>1351</v>
      </c>
      <c r="G518" s="609">
        <v>5.6430000000000008E-2</v>
      </c>
      <c r="H518" s="692">
        <v>1</v>
      </c>
      <c r="I518" s="626"/>
      <c r="J518" s="752"/>
      <c r="L518" s="608" t="s">
        <v>437</v>
      </c>
      <c r="M518" s="608" t="s">
        <v>996</v>
      </c>
      <c r="N518" s="608" t="s">
        <v>1244</v>
      </c>
      <c r="O518" s="608"/>
      <c r="P518" s="608"/>
      <c r="Q518" s="608"/>
      <c r="R518" s="608"/>
      <c r="T518" s="752"/>
      <c r="V518" s="609">
        <f>IF(W518=1,G518,0)</f>
        <v>0</v>
      </c>
      <c r="W518" s="692"/>
    </row>
    <row r="519" spans="1:23" outlineLevel="1">
      <c r="A519" s="376"/>
      <c r="B519" s="666" t="s">
        <v>1358</v>
      </c>
      <c r="C519" s="666" t="s">
        <v>1089</v>
      </c>
      <c r="D519" s="667"/>
      <c r="E519" s="665"/>
      <c r="F519" s="681" t="s">
        <v>947</v>
      </c>
      <c r="G519" s="724">
        <f>SUBTOTAL(9,G520:G536)</f>
        <v>3.3402648260587804</v>
      </c>
      <c r="H519" s="725">
        <f>SUBTOTAL(9,H520:H536)</f>
        <v>12</v>
      </c>
      <c r="I519" s="626"/>
      <c r="J519" s="752"/>
      <c r="L519" s="681"/>
      <c r="M519" s="681"/>
      <c r="N519" s="681"/>
      <c r="O519" s="681"/>
      <c r="P519" s="681"/>
      <c r="Q519" s="681"/>
      <c r="R519" s="681"/>
      <c r="T519" s="752"/>
      <c r="V519" s="724">
        <f>SUBTOTAL(9,V520:V536)</f>
        <v>0</v>
      </c>
      <c r="W519" s="725">
        <f>SUBTOTAL(9,W520:W536)</f>
        <v>0</v>
      </c>
    </row>
    <row r="520" spans="1:23" outlineLevel="2">
      <c r="A520" s="376"/>
      <c r="B520" s="684" t="s">
        <v>1358</v>
      </c>
      <c r="C520" s="687" t="s">
        <v>1089</v>
      </c>
      <c r="D520" s="684" t="s">
        <v>1335</v>
      </c>
      <c r="E520" s="684"/>
      <c r="F520" s="685" t="s">
        <v>1359</v>
      </c>
      <c r="G520" s="686">
        <f>SUBTOTAL(9,G521:G523)</f>
        <v>2.184224765452226</v>
      </c>
      <c r="H520" s="691">
        <f>SUBTOTAL(9,H521:H523)</f>
        <v>3</v>
      </c>
      <c r="I520" s="626"/>
      <c r="J520" s="752"/>
      <c r="L520" s="685"/>
      <c r="M520" s="685"/>
      <c r="N520" s="685"/>
      <c r="O520" s="685"/>
      <c r="P520" s="685"/>
      <c r="Q520" s="685"/>
      <c r="R520" s="685"/>
      <c r="T520" s="752"/>
      <c r="V520" s="686">
        <f>SUBTOTAL(9,V521:V523)</f>
        <v>0</v>
      </c>
      <c r="W520" s="691">
        <f>SUBTOTAL(9,W521:W523)</f>
        <v>0</v>
      </c>
    </row>
    <row r="521" spans="1:23" outlineLevel="3">
      <c r="A521" s="376"/>
      <c r="B521" s="376" t="s">
        <v>1358</v>
      </c>
      <c r="C521" s="387" t="s">
        <v>1089</v>
      </c>
      <c r="D521" s="376" t="s">
        <v>1335</v>
      </c>
      <c r="E521" s="376" t="s">
        <v>437</v>
      </c>
      <c r="F521" s="608" t="s">
        <v>17</v>
      </c>
      <c r="G521" s="609">
        <v>0.4724994626592407</v>
      </c>
      <c r="H521" s="692">
        <v>1</v>
      </c>
      <c r="I521" s="626"/>
      <c r="J521" s="752"/>
      <c r="L521" s="608" t="s">
        <v>437</v>
      </c>
      <c r="M521" s="608" t="s">
        <v>1349</v>
      </c>
      <c r="N521" s="608" t="s">
        <v>1360</v>
      </c>
      <c r="O521" s="608"/>
      <c r="P521" s="608"/>
      <c r="Q521" s="608"/>
      <c r="R521" s="608"/>
      <c r="T521" s="752"/>
      <c r="V521" s="609">
        <f>IF(W521=1,G521,0)</f>
        <v>0</v>
      </c>
      <c r="W521" s="692"/>
    </row>
    <row r="522" spans="1:23" outlineLevel="3">
      <c r="A522" s="376"/>
      <c r="B522" s="376" t="s">
        <v>1358</v>
      </c>
      <c r="C522" s="387" t="s">
        <v>1089</v>
      </c>
      <c r="D522" s="376" t="s">
        <v>1335</v>
      </c>
      <c r="E522" s="376" t="s">
        <v>437</v>
      </c>
      <c r="F522" s="608" t="s">
        <v>36</v>
      </c>
      <c r="G522" s="609">
        <v>0.85586265139649265</v>
      </c>
      <c r="H522" s="692">
        <v>1</v>
      </c>
      <c r="I522" s="626"/>
      <c r="J522" s="752"/>
      <c r="L522" s="608" t="s">
        <v>437</v>
      </c>
      <c r="M522" s="608" t="s">
        <v>1349</v>
      </c>
      <c r="N522" s="608" t="s">
        <v>1360</v>
      </c>
      <c r="O522" s="608"/>
      <c r="P522" s="608"/>
      <c r="Q522" s="608"/>
      <c r="R522" s="608"/>
      <c r="T522" s="752"/>
      <c r="V522" s="609">
        <f>IF(W522=1,G522,0)</f>
        <v>0</v>
      </c>
      <c r="W522" s="692"/>
    </row>
    <row r="523" spans="1:23" outlineLevel="3">
      <c r="A523" s="376"/>
      <c r="B523" s="376" t="s">
        <v>1358</v>
      </c>
      <c r="C523" s="387" t="s">
        <v>1089</v>
      </c>
      <c r="D523" s="376" t="s">
        <v>1335</v>
      </c>
      <c r="E523" s="376" t="s">
        <v>437</v>
      </c>
      <c r="F523" s="608" t="s">
        <v>1237</v>
      </c>
      <c r="G523" s="609">
        <v>0.85586265139649265</v>
      </c>
      <c r="H523" s="692">
        <v>1</v>
      </c>
      <c r="I523" s="626"/>
      <c r="J523" s="752"/>
      <c r="L523" s="608" t="s">
        <v>437</v>
      </c>
      <c r="M523" s="608" t="s">
        <v>1349</v>
      </c>
      <c r="N523" s="608" t="s">
        <v>1360</v>
      </c>
      <c r="O523" s="608"/>
      <c r="P523" s="608"/>
      <c r="Q523" s="608"/>
      <c r="R523" s="608"/>
      <c r="T523" s="752"/>
      <c r="V523" s="609">
        <f>IF(W523=1,G523,0)</f>
        <v>0</v>
      </c>
      <c r="W523" s="692"/>
    </row>
    <row r="524" spans="1:23" ht="26.45" outlineLevel="2">
      <c r="A524" s="376"/>
      <c r="B524" s="684" t="s">
        <v>1358</v>
      </c>
      <c r="C524" s="687" t="s">
        <v>1089</v>
      </c>
      <c r="D524" s="684" t="s">
        <v>159</v>
      </c>
      <c r="E524" s="684"/>
      <c r="F524" s="685" t="s">
        <v>1361</v>
      </c>
      <c r="G524" s="686">
        <f>SUBTOTAL(9,G525:G525)</f>
        <v>8.9136273921988848E-2</v>
      </c>
      <c r="H524" s="691">
        <f>SUBTOTAL(9,H525:H525)</f>
        <v>1</v>
      </c>
      <c r="I524" s="626"/>
      <c r="J524" s="752"/>
      <c r="L524" s="685"/>
      <c r="M524" s="685" t="s">
        <v>1312</v>
      </c>
      <c r="N524" s="685"/>
      <c r="O524" s="685"/>
      <c r="P524" s="685"/>
      <c r="Q524" s="685"/>
      <c r="R524" s="685"/>
      <c r="T524" s="752"/>
      <c r="V524" s="686">
        <f>SUBTOTAL(9,V525:V525)</f>
        <v>0</v>
      </c>
      <c r="W524" s="691">
        <f>SUBTOTAL(9,W525:W525)</f>
        <v>0</v>
      </c>
    </row>
    <row r="525" spans="1:23" outlineLevel="3">
      <c r="A525" s="376"/>
      <c r="B525" s="376" t="s">
        <v>1358</v>
      </c>
      <c r="C525" s="387" t="s">
        <v>1089</v>
      </c>
      <c r="D525" s="376" t="s">
        <v>159</v>
      </c>
      <c r="E525" s="376" t="s">
        <v>1159</v>
      </c>
      <c r="F525" s="608" t="s">
        <v>36</v>
      </c>
      <c r="G525" s="609">
        <v>8.9136273921988848E-2</v>
      </c>
      <c r="H525" s="692">
        <v>1</v>
      </c>
      <c r="I525" s="626"/>
      <c r="J525" s="752"/>
      <c r="L525" s="608" t="s">
        <v>1159</v>
      </c>
      <c r="M525" s="608"/>
      <c r="N525" s="608"/>
      <c r="O525" s="608"/>
      <c r="P525" s="608"/>
      <c r="Q525" s="608"/>
      <c r="R525" s="608"/>
      <c r="T525" s="752"/>
      <c r="V525" s="609">
        <f>IF(W525=1,G525,0)</f>
        <v>0</v>
      </c>
      <c r="W525" s="692"/>
    </row>
    <row r="526" spans="1:23" outlineLevel="2">
      <c r="A526" s="376"/>
      <c r="B526" s="684" t="s">
        <v>1358</v>
      </c>
      <c r="C526" s="687" t="s">
        <v>1089</v>
      </c>
      <c r="D526" s="684" t="s">
        <v>518</v>
      </c>
      <c r="E526" s="684"/>
      <c r="F526" s="685" t="s">
        <v>1359</v>
      </c>
      <c r="G526" s="686">
        <f>SUBTOTAL(9,G527:G528)</f>
        <v>0.60101931650255425</v>
      </c>
      <c r="H526" s="691">
        <f>SUBTOTAL(9,H527:H528)</f>
        <v>2</v>
      </c>
      <c r="I526" s="626"/>
      <c r="J526" s="752"/>
      <c r="L526" s="685"/>
      <c r="M526" s="685"/>
      <c r="N526" s="685"/>
      <c r="O526" s="685"/>
      <c r="P526" s="685"/>
      <c r="Q526" s="685"/>
      <c r="R526" s="685"/>
      <c r="T526" s="752"/>
      <c r="V526" s="686">
        <f>SUBTOTAL(9,V527:V528)</f>
        <v>0</v>
      </c>
      <c r="W526" s="691">
        <f>SUBTOTAL(9,W527:W528)</f>
        <v>0</v>
      </c>
    </row>
    <row r="527" spans="1:23" outlineLevel="3">
      <c r="A527" s="376"/>
      <c r="B527" s="376" t="s">
        <v>1358</v>
      </c>
      <c r="C527" s="387" t="s">
        <v>1089</v>
      </c>
      <c r="D527" s="376" t="s">
        <v>518</v>
      </c>
      <c r="E527" s="376" t="s">
        <v>56</v>
      </c>
      <c r="F527" s="608" t="s">
        <v>36</v>
      </c>
      <c r="G527" s="609">
        <v>0.20033977216751808</v>
      </c>
      <c r="H527" s="692">
        <v>1</v>
      </c>
      <c r="I527" s="626"/>
      <c r="J527" s="752"/>
      <c r="L527" s="608" t="s">
        <v>56</v>
      </c>
      <c r="M527" s="608" t="s">
        <v>1284</v>
      </c>
      <c r="N527" s="608" t="s">
        <v>960</v>
      </c>
      <c r="O527" s="608" t="s">
        <v>1344</v>
      </c>
      <c r="P527" s="608" t="s">
        <v>1105</v>
      </c>
      <c r="Q527" s="608"/>
      <c r="R527" s="608">
        <v>0</v>
      </c>
      <c r="T527" s="752"/>
      <c r="V527" s="609">
        <f>IF(W527=1,G527,0)</f>
        <v>0</v>
      </c>
      <c r="W527" s="692"/>
    </row>
    <row r="528" spans="1:23" outlineLevel="3">
      <c r="A528" s="376"/>
      <c r="B528" s="376" t="s">
        <v>1358</v>
      </c>
      <c r="C528" s="387" t="s">
        <v>1089</v>
      </c>
      <c r="D528" s="376" t="s">
        <v>518</v>
      </c>
      <c r="E528" s="376" t="s">
        <v>56</v>
      </c>
      <c r="F528" s="608" t="s">
        <v>971</v>
      </c>
      <c r="G528" s="609">
        <v>0.40067954433503616</v>
      </c>
      <c r="H528" s="692">
        <v>1</v>
      </c>
      <c r="I528" s="626"/>
      <c r="J528" s="752"/>
      <c r="L528" s="608" t="s">
        <v>56</v>
      </c>
      <c r="M528" s="608" t="s">
        <v>1284</v>
      </c>
      <c r="N528" s="608" t="s">
        <v>960</v>
      </c>
      <c r="O528" s="608" t="s">
        <v>1344</v>
      </c>
      <c r="P528" s="608" t="s">
        <v>1105</v>
      </c>
      <c r="Q528" s="608"/>
      <c r="R528" s="608">
        <v>0</v>
      </c>
      <c r="T528" s="752"/>
      <c r="V528" s="609">
        <f>IF(W528=1,G528,0)</f>
        <v>0</v>
      </c>
      <c r="W528" s="692"/>
    </row>
    <row r="529" spans="1:23" outlineLevel="2">
      <c r="A529" s="376"/>
      <c r="B529" s="684" t="s">
        <v>1358</v>
      </c>
      <c r="C529" s="687" t="s">
        <v>1089</v>
      </c>
      <c r="D529" s="684" t="s">
        <v>441</v>
      </c>
      <c r="E529" s="684"/>
      <c r="F529" s="685" t="s">
        <v>1359</v>
      </c>
      <c r="G529" s="686">
        <f>SUBTOTAL(9,G530:G532)</f>
        <v>0.27877468296895203</v>
      </c>
      <c r="H529" s="691">
        <f>SUBTOTAL(9,H530:H532)</f>
        <v>3</v>
      </c>
      <c r="I529" s="626"/>
      <c r="J529" s="752"/>
      <c r="L529" s="685"/>
      <c r="M529" s="685"/>
      <c r="N529" s="685"/>
      <c r="O529" s="685"/>
      <c r="P529" s="685"/>
      <c r="Q529" s="685"/>
      <c r="R529" s="685"/>
      <c r="T529" s="752"/>
      <c r="V529" s="686">
        <f>SUBTOTAL(9,V530:V532)</f>
        <v>0</v>
      </c>
      <c r="W529" s="691">
        <f>SUBTOTAL(9,W530:W532)</f>
        <v>0</v>
      </c>
    </row>
    <row r="530" spans="1:23" ht="39.6" outlineLevel="3">
      <c r="A530" s="376"/>
      <c r="B530" s="376" t="s">
        <v>1358</v>
      </c>
      <c r="C530" s="387" t="s">
        <v>1089</v>
      </c>
      <c r="D530" s="376" t="s">
        <v>441</v>
      </c>
      <c r="E530" s="376" t="s">
        <v>437</v>
      </c>
      <c r="F530" s="608" t="s">
        <v>36</v>
      </c>
      <c r="G530" s="609">
        <v>5.5754936593790397E-2</v>
      </c>
      <c r="H530" s="692">
        <v>1</v>
      </c>
      <c r="I530" s="626"/>
      <c r="J530" s="752"/>
      <c r="L530" s="608" t="s">
        <v>437</v>
      </c>
      <c r="M530" s="608" t="s">
        <v>966</v>
      </c>
      <c r="N530" s="608" t="s">
        <v>1362</v>
      </c>
      <c r="O530" s="608"/>
      <c r="P530" s="608"/>
      <c r="Q530" s="608"/>
      <c r="R530" s="608"/>
      <c r="T530" s="752"/>
      <c r="V530" s="609">
        <f>IF(W530=1,G530,0)</f>
        <v>0</v>
      </c>
      <c r="W530" s="692"/>
    </row>
    <row r="531" spans="1:23" ht="39.6" outlineLevel="3">
      <c r="A531" s="376"/>
      <c r="B531" s="376" t="s">
        <v>1358</v>
      </c>
      <c r="C531" s="387" t="s">
        <v>1089</v>
      </c>
      <c r="D531" s="376" t="s">
        <v>441</v>
      </c>
      <c r="E531" s="376" t="s">
        <v>437</v>
      </c>
      <c r="F531" s="608" t="s">
        <v>1237</v>
      </c>
      <c r="G531" s="609">
        <v>0.11150987318758079</v>
      </c>
      <c r="H531" s="692">
        <v>1</v>
      </c>
      <c r="I531" s="626"/>
      <c r="J531" s="752"/>
      <c r="L531" s="608" t="s">
        <v>437</v>
      </c>
      <c r="M531" s="608" t="s">
        <v>966</v>
      </c>
      <c r="N531" s="608" t="s">
        <v>1362</v>
      </c>
      <c r="O531" s="608"/>
      <c r="P531" s="608"/>
      <c r="Q531" s="608"/>
      <c r="R531" s="608"/>
      <c r="T531" s="752"/>
      <c r="V531" s="609">
        <f>IF(W531=1,G531,0)</f>
        <v>0</v>
      </c>
      <c r="W531" s="692"/>
    </row>
    <row r="532" spans="1:23" ht="39.6" outlineLevel="3">
      <c r="A532" s="376"/>
      <c r="B532" s="376" t="s">
        <v>1358</v>
      </c>
      <c r="C532" s="387" t="s">
        <v>1089</v>
      </c>
      <c r="D532" s="376" t="s">
        <v>441</v>
      </c>
      <c r="E532" s="376" t="s">
        <v>437</v>
      </c>
      <c r="F532" s="608" t="s">
        <v>971</v>
      </c>
      <c r="G532" s="609">
        <v>0.11150987318758079</v>
      </c>
      <c r="H532" s="692">
        <v>1</v>
      </c>
      <c r="I532" s="626"/>
      <c r="J532" s="752"/>
      <c r="L532" s="608" t="s">
        <v>437</v>
      </c>
      <c r="M532" s="608" t="s">
        <v>966</v>
      </c>
      <c r="N532" s="608" t="s">
        <v>1362</v>
      </c>
      <c r="O532" s="608"/>
      <c r="P532" s="608"/>
      <c r="Q532" s="608"/>
      <c r="R532" s="608"/>
      <c r="T532" s="752"/>
      <c r="V532" s="609">
        <f>IF(W532=1,G532,0)</f>
        <v>0</v>
      </c>
      <c r="W532" s="692"/>
    </row>
    <row r="533" spans="1:23" outlineLevel="2">
      <c r="A533" s="376"/>
      <c r="B533" s="684" t="s">
        <v>1358</v>
      </c>
      <c r="C533" s="687" t="s">
        <v>1089</v>
      </c>
      <c r="D533" s="684" t="s">
        <v>860</v>
      </c>
      <c r="E533" s="684"/>
      <c r="F533" s="685" t="s">
        <v>1359</v>
      </c>
      <c r="G533" s="686">
        <f>SUBTOTAL(9,G534:G536)</f>
        <v>0.18710978721305932</v>
      </c>
      <c r="H533" s="691">
        <f>SUBTOTAL(9,H534:H536)</f>
        <v>3</v>
      </c>
      <c r="I533" s="626"/>
      <c r="J533" s="752"/>
      <c r="L533" s="685"/>
      <c r="M533" s="685"/>
      <c r="N533" s="685"/>
      <c r="O533" s="685"/>
      <c r="P533" s="685"/>
      <c r="Q533" s="685"/>
      <c r="R533" s="685"/>
      <c r="T533" s="752"/>
      <c r="V533" s="686">
        <f>SUBTOTAL(9,V534:V536)</f>
        <v>0</v>
      </c>
      <c r="W533" s="691">
        <f>SUBTOTAL(9,W534:W536)</f>
        <v>0</v>
      </c>
    </row>
    <row r="534" spans="1:23" outlineLevel="4">
      <c r="A534" s="376"/>
      <c r="B534" s="376" t="s">
        <v>1358</v>
      </c>
      <c r="C534" s="387" t="s">
        <v>1089</v>
      </c>
      <c r="D534" s="376" t="s">
        <v>860</v>
      </c>
      <c r="E534" s="376" t="s">
        <v>437</v>
      </c>
      <c r="F534" s="608" t="s">
        <v>36</v>
      </c>
      <c r="G534" s="609">
        <v>6.2369929071019771E-2</v>
      </c>
      <c r="H534" s="692">
        <v>1</v>
      </c>
      <c r="I534" s="626"/>
      <c r="J534" s="752"/>
      <c r="L534" s="608" t="s">
        <v>437</v>
      </c>
      <c r="M534" s="608" t="s">
        <v>996</v>
      </c>
      <c r="N534" s="608" t="s">
        <v>1244</v>
      </c>
      <c r="O534" s="608"/>
      <c r="P534" s="608"/>
      <c r="Q534" s="608"/>
      <c r="R534" s="608"/>
      <c r="T534" s="752"/>
      <c r="V534" s="609">
        <f>IF(W534=1,G534,0)</f>
        <v>0</v>
      </c>
      <c r="W534" s="692"/>
    </row>
    <row r="535" spans="1:23" outlineLevel="4">
      <c r="A535" s="376"/>
      <c r="B535" s="376" t="s">
        <v>1358</v>
      </c>
      <c r="C535" s="387" t="s">
        <v>1089</v>
      </c>
      <c r="D535" s="376" t="s">
        <v>860</v>
      </c>
      <c r="E535" s="376" t="s">
        <v>437</v>
      </c>
      <c r="F535" s="608" t="s">
        <v>1237</v>
      </c>
      <c r="G535" s="609">
        <v>9.3554893606529646E-2</v>
      </c>
      <c r="H535" s="692">
        <v>1</v>
      </c>
      <c r="I535" s="626"/>
      <c r="J535" s="752"/>
      <c r="L535" s="608" t="s">
        <v>437</v>
      </c>
      <c r="M535" s="608" t="s">
        <v>996</v>
      </c>
      <c r="N535" s="608" t="s">
        <v>1244</v>
      </c>
      <c r="O535" s="608"/>
      <c r="P535" s="608"/>
      <c r="Q535" s="608"/>
      <c r="R535" s="608"/>
      <c r="T535" s="752"/>
      <c r="V535" s="609">
        <f>IF(W535=1,G535,0)</f>
        <v>0</v>
      </c>
      <c r="W535" s="692"/>
    </row>
    <row r="536" spans="1:23" outlineLevel="4">
      <c r="A536" s="376"/>
      <c r="B536" s="376" t="s">
        <v>1358</v>
      </c>
      <c r="C536" s="387" t="s">
        <v>1089</v>
      </c>
      <c r="D536" s="376" t="s">
        <v>860</v>
      </c>
      <c r="E536" s="376" t="s">
        <v>437</v>
      </c>
      <c r="F536" s="608" t="s">
        <v>971</v>
      </c>
      <c r="G536" s="609">
        <v>3.1184964535509885E-2</v>
      </c>
      <c r="H536" s="692">
        <v>1</v>
      </c>
      <c r="I536" s="626"/>
      <c r="J536" s="752"/>
      <c r="L536" s="608" t="s">
        <v>437</v>
      </c>
      <c r="M536" s="608" t="s">
        <v>996</v>
      </c>
      <c r="N536" s="608" t="s">
        <v>1244</v>
      </c>
      <c r="O536" s="608"/>
      <c r="P536" s="608"/>
      <c r="Q536" s="608"/>
      <c r="R536" s="608"/>
      <c r="T536" s="752"/>
      <c r="V536" s="609">
        <f>IF(W536=1,G536,0)</f>
        <v>0</v>
      </c>
      <c r="W536" s="692"/>
    </row>
    <row r="537" spans="1:23" outlineLevel="1">
      <c r="A537" s="376"/>
      <c r="B537" s="666" t="s">
        <v>1363</v>
      </c>
      <c r="C537" s="666" t="s">
        <v>1089</v>
      </c>
      <c r="D537" s="667" t="s">
        <v>1364</v>
      </c>
      <c r="E537" s="665"/>
      <c r="F537" s="681" t="s">
        <v>947</v>
      </c>
      <c r="G537" s="724">
        <f>SUBTOTAL(9,G538:G564)</f>
        <v>1.4412053368500453</v>
      </c>
      <c r="H537" s="725">
        <f>SUBTOTAL(9,H538:H564)</f>
        <v>22</v>
      </c>
      <c r="I537" s="626"/>
      <c r="J537" s="752"/>
      <c r="L537" s="681"/>
      <c r="M537" s="681"/>
      <c r="N537" s="681"/>
      <c r="O537" s="681"/>
      <c r="P537" s="681"/>
      <c r="Q537" s="681"/>
      <c r="R537" s="681"/>
      <c r="T537" s="752"/>
      <c r="V537" s="724">
        <f>SUBTOTAL(9,V538:V564)</f>
        <v>0.46227636158490004</v>
      </c>
      <c r="W537" s="725">
        <f>SUBTOTAL(9,W538:W564)</f>
        <v>3</v>
      </c>
    </row>
    <row r="538" spans="1:23" ht="26.45" outlineLevel="2">
      <c r="A538" s="376"/>
      <c r="B538" s="684" t="s">
        <v>1363</v>
      </c>
      <c r="C538" s="687" t="s">
        <v>1089</v>
      </c>
      <c r="D538" s="684" t="s">
        <v>1335</v>
      </c>
      <c r="E538" s="684"/>
      <c r="F538" s="685" t="s">
        <v>1365</v>
      </c>
      <c r="G538" s="686">
        <f>SUBTOTAL(9,G539:G543)</f>
        <v>0.81228728430072739</v>
      </c>
      <c r="H538" s="691">
        <f>SUBTOTAL(9,H539:H543)</f>
        <v>5</v>
      </c>
      <c r="I538" s="626"/>
      <c r="J538" s="752"/>
      <c r="L538" s="685"/>
      <c r="M538" s="685"/>
      <c r="N538" s="685"/>
      <c r="O538" s="685"/>
      <c r="P538" s="685"/>
      <c r="Q538" s="685"/>
      <c r="R538" s="685"/>
      <c r="T538" s="752"/>
      <c r="V538" s="686">
        <f>SUBTOTAL(9,V539:V543)</f>
        <v>0.36480785801400006</v>
      </c>
      <c r="W538" s="691">
        <f>SUBTOTAL(9,W539:W543)</f>
        <v>2</v>
      </c>
    </row>
    <row r="539" spans="1:23" outlineLevel="3">
      <c r="A539" s="376"/>
      <c r="B539" s="376" t="s">
        <v>1363</v>
      </c>
      <c r="C539" s="387" t="s">
        <v>1089</v>
      </c>
      <c r="D539" s="376" t="s">
        <v>1335</v>
      </c>
      <c r="E539" s="376" t="s">
        <v>437</v>
      </c>
      <c r="F539" s="608" t="s">
        <v>1366</v>
      </c>
      <c r="G539" s="609">
        <v>0.13427418761072726</v>
      </c>
      <c r="H539" s="692">
        <v>1</v>
      </c>
      <c r="I539" s="626"/>
      <c r="J539" s="752"/>
      <c r="L539" s="608" t="s">
        <v>437</v>
      </c>
      <c r="M539" s="608" t="s">
        <v>1349</v>
      </c>
      <c r="N539" s="608" t="s">
        <v>1360</v>
      </c>
      <c r="O539" s="608"/>
      <c r="P539" s="608"/>
      <c r="Q539" s="608"/>
      <c r="R539" s="608"/>
      <c r="T539" s="752"/>
      <c r="V539" s="609">
        <f>IF(W539=1,G539,0)</f>
        <v>0</v>
      </c>
      <c r="W539" s="692"/>
    </row>
    <row r="540" spans="1:23" outlineLevel="3">
      <c r="A540" s="376"/>
      <c r="B540" s="376" t="s">
        <v>1363</v>
      </c>
      <c r="C540" s="387" t="s">
        <v>1089</v>
      </c>
      <c r="D540" s="376" t="s">
        <v>1335</v>
      </c>
      <c r="E540" s="376" t="s">
        <v>437</v>
      </c>
      <c r="F540" s="608" t="s">
        <v>1367</v>
      </c>
      <c r="G540" s="609">
        <v>0.24320523867600002</v>
      </c>
      <c r="H540" s="692">
        <v>1</v>
      </c>
      <c r="I540" s="626"/>
      <c r="J540" s="752"/>
      <c r="L540" s="608" t="s">
        <v>437</v>
      </c>
      <c r="M540" s="608" t="s">
        <v>1349</v>
      </c>
      <c r="N540" s="608" t="s">
        <v>1360</v>
      </c>
      <c r="O540" s="608"/>
      <c r="P540" s="608"/>
      <c r="Q540" s="608"/>
      <c r="R540" s="608"/>
      <c r="T540" s="752"/>
      <c r="V540" s="609">
        <f>IF(W540=1,G540,0)</f>
        <v>0.24320523867600002</v>
      </c>
      <c r="W540" s="692">
        <v>1</v>
      </c>
    </row>
    <row r="541" spans="1:23" outlineLevel="3">
      <c r="A541" s="376"/>
      <c r="B541" s="376" t="s">
        <v>1363</v>
      </c>
      <c r="C541" s="387" t="s">
        <v>1089</v>
      </c>
      <c r="D541" s="376" t="s">
        <v>1335</v>
      </c>
      <c r="E541" s="376" t="s">
        <v>437</v>
      </c>
      <c r="F541" s="608" t="s">
        <v>1368</v>
      </c>
      <c r="G541" s="609">
        <v>0.12160261933800001</v>
      </c>
      <c r="H541" s="692">
        <v>1</v>
      </c>
      <c r="I541" s="626"/>
      <c r="J541" s="752"/>
      <c r="L541" s="608" t="s">
        <v>437</v>
      </c>
      <c r="M541" s="608" t="s">
        <v>1349</v>
      </c>
      <c r="N541" s="608" t="s">
        <v>1360</v>
      </c>
      <c r="O541" s="608"/>
      <c r="P541" s="608"/>
      <c r="Q541" s="608"/>
      <c r="R541" s="608"/>
      <c r="T541" s="752"/>
      <c r="V541" s="609">
        <f>IF(W541=1,G541,0)</f>
        <v>0.12160261933800001</v>
      </c>
      <c r="W541" s="692">
        <v>1</v>
      </c>
    </row>
    <row r="542" spans="1:23" outlineLevel="3">
      <c r="A542" s="376"/>
      <c r="B542" s="376" t="s">
        <v>1363</v>
      </c>
      <c r="C542" s="387" t="s">
        <v>1089</v>
      </c>
      <c r="D542" s="376" t="s">
        <v>1335</v>
      </c>
      <c r="E542" s="376" t="s">
        <v>437</v>
      </c>
      <c r="F542" s="608" t="s">
        <v>1369</v>
      </c>
      <c r="G542" s="609">
        <v>0.24320523867600002</v>
      </c>
      <c r="H542" s="692">
        <v>1</v>
      </c>
      <c r="I542" s="626"/>
      <c r="J542" s="752"/>
      <c r="L542" s="608" t="s">
        <v>437</v>
      </c>
      <c r="M542" s="608" t="s">
        <v>1349</v>
      </c>
      <c r="N542" s="608" t="s">
        <v>1360</v>
      </c>
      <c r="O542" s="608"/>
      <c r="P542" s="608"/>
      <c r="Q542" s="608"/>
      <c r="R542" s="608"/>
      <c r="T542" s="752"/>
      <c r="V542" s="609">
        <f>IF(W542=1,G542,0)</f>
        <v>0</v>
      </c>
      <c r="W542" s="692"/>
    </row>
    <row r="543" spans="1:23" outlineLevel="3">
      <c r="A543" s="376"/>
      <c r="B543" s="376" t="s">
        <v>1363</v>
      </c>
      <c r="C543" s="387"/>
      <c r="D543" s="376" t="s">
        <v>1335</v>
      </c>
      <c r="E543" s="376" t="s">
        <v>437</v>
      </c>
      <c r="F543" s="608" t="s">
        <v>1370</v>
      </c>
      <c r="G543" s="609">
        <v>7.0000000000000007E-2</v>
      </c>
      <c r="H543" s="692">
        <v>1</v>
      </c>
      <c r="I543" s="626"/>
      <c r="J543" s="752"/>
      <c r="L543" s="608" t="s">
        <v>437</v>
      </c>
      <c r="M543" s="608" t="s">
        <v>1349</v>
      </c>
      <c r="N543" s="608"/>
      <c r="O543" s="608"/>
      <c r="P543" s="608"/>
      <c r="Q543" s="608"/>
      <c r="R543" s="608"/>
      <c r="T543" s="752"/>
      <c r="V543" s="609">
        <f>IF(W543=1,G543,0)</f>
        <v>0</v>
      </c>
      <c r="W543" s="692"/>
    </row>
    <row r="544" spans="1:23" ht="26.45" outlineLevel="2">
      <c r="A544" s="376"/>
      <c r="B544" s="684" t="s">
        <v>1363</v>
      </c>
      <c r="C544" s="687" t="s">
        <v>1089</v>
      </c>
      <c r="D544" s="684" t="s">
        <v>159</v>
      </c>
      <c r="E544" s="684"/>
      <c r="F544" s="685" t="s">
        <v>1371</v>
      </c>
      <c r="G544" s="686">
        <f>SUBTOTAL(9,G545:G546)</f>
        <v>5.068627309090909E-2</v>
      </c>
      <c r="H544" s="691">
        <f>SUBTOTAL(9,H545:H546)</f>
        <v>2</v>
      </c>
      <c r="I544" s="626"/>
      <c r="J544" s="752"/>
      <c r="L544" s="685"/>
      <c r="M544" s="685" t="s">
        <v>1312</v>
      </c>
      <c r="N544" s="685"/>
      <c r="O544" s="685"/>
      <c r="P544" s="685"/>
      <c r="Q544" s="685"/>
      <c r="R544" s="685"/>
      <c r="T544" s="752"/>
      <c r="V544" s="686">
        <f>SUBTOTAL(9,V545:V546)</f>
        <v>0</v>
      </c>
      <c r="W544" s="691">
        <f>SUBTOTAL(9,W545:W546)</f>
        <v>0</v>
      </c>
    </row>
    <row r="545" spans="1:23" outlineLevel="3">
      <c r="A545" s="376"/>
      <c r="B545" s="376" t="s">
        <v>1363</v>
      </c>
      <c r="C545" s="387" t="s">
        <v>1089</v>
      </c>
      <c r="D545" s="376" t="s">
        <v>159</v>
      </c>
      <c r="E545" s="376" t="s">
        <v>1159</v>
      </c>
      <c r="F545" s="608" t="s">
        <v>36</v>
      </c>
      <c r="G545" s="609">
        <v>2.5343136545454545E-2</v>
      </c>
      <c r="H545" s="692">
        <v>1</v>
      </c>
      <c r="I545" s="626"/>
      <c r="J545" s="752"/>
      <c r="L545" s="608" t="s">
        <v>1159</v>
      </c>
      <c r="M545" s="608"/>
      <c r="N545" s="608"/>
      <c r="O545" s="608"/>
      <c r="P545" s="608"/>
      <c r="Q545" s="608"/>
      <c r="R545" s="608"/>
      <c r="T545" s="752"/>
      <c r="V545" s="609">
        <f>IF(W545=1,G545,0)</f>
        <v>0</v>
      </c>
      <c r="W545" s="692"/>
    </row>
    <row r="546" spans="1:23" outlineLevel="3">
      <c r="A546" s="376"/>
      <c r="B546" s="376" t="s">
        <v>1363</v>
      </c>
      <c r="C546" s="387" t="s">
        <v>1089</v>
      </c>
      <c r="D546" s="376" t="s">
        <v>159</v>
      </c>
      <c r="E546" s="376" t="s">
        <v>1159</v>
      </c>
      <c r="F546" s="608" t="s">
        <v>1237</v>
      </c>
      <c r="G546" s="609">
        <v>2.5343136545454545E-2</v>
      </c>
      <c r="H546" s="692">
        <v>1</v>
      </c>
      <c r="I546" s="626"/>
      <c r="J546" s="752"/>
      <c r="L546" s="608" t="s">
        <v>1159</v>
      </c>
      <c r="M546" s="608"/>
      <c r="N546" s="608"/>
      <c r="O546" s="608"/>
      <c r="P546" s="608"/>
      <c r="Q546" s="608"/>
      <c r="R546" s="608"/>
      <c r="T546" s="752"/>
      <c r="V546" s="609">
        <f>IF(W546=1,G546,0)</f>
        <v>0</v>
      </c>
      <c r="W546" s="692"/>
    </row>
    <row r="547" spans="1:23" ht="26.45" outlineLevel="2">
      <c r="A547" s="376"/>
      <c r="B547" s="684" t="s">
        <v>1363</v>
      </c>
      <c r="C547" s="687" t="s">
        <v>1089</v>
      </c>
      <c r="D547" s="684" t="s">
        <v>518</v>
      </c>
      <c r="E547" s="684"/>
      <c r="F547" s="685" t="s">
        <v>1365</v>
      </c>
      <c r="G547" s="686">
        <f>SUBTOTAL(9,G548:G552)</f>
        <v>0.27391578783946907</v>
      </c>
      <c r="H547" s="691">
        <f>SUBTOTAL(9,H548:H552)</f>
        <v>5</v>
      </c>
      <c r="I547" s="626"/>
      <c r="J547" s="752"/>
      <c r="L547" s="685"/>
      <c r="M547" s="685"/>
      <c r="N547" s="685"/>
      <c r="O547" s="685"/>
      <c r="P547" s="685"/>
      <c r="Q547" s="685"/>
      <c r="R547" s="685"/>
      <c r="T547" s="752"/>
      <c r="V547" s="686">
        <f>SUBTOTAL(9,V548:V552)</f>
        <v>0</v>
      </c>
      <c r="W547" s="691">
        <f>SUBTOTAL(9,W548:W552)</f>
        <v>0</v>
      </c>
    </row>
    <row r="548" spans="1:23" outlineLevel="3">
      <c r="A548" s="376"/>
      <c r="B548" s="376" t="s">
        <v>1363</v>
      </c>
      <c r="C548" s="387" t="s">
        <v>1089</v>
      </c>
      <c r="D548" s="376" t="s">
        <v>518</v>
      </c>
      <c r="E548" s="376" t="s">
        <v>56</v>
      </c>
      <c r="F548" s="608" t="s">
        <v>971</v>
      </c>
      <c r="G548" s="609">
        <v>0.11386451109389673</v>
      </c>
      <c r="H548" s="692">
        <v>1</v>
      </c>
      <c r="I548" s="626"/>
      <c r="J548" s="752"/>
      <c r="L548" s="608" t="s">
        <v>56</v>
      </c>
      <c r="M548" s="608" t="s">
        <v>1284</v>
      </c>
      <c r="N548" s="608" t="s">
        <v>960</v>
      </c>
      <c r="O548" s="608" t="s">
        <v>1344</v>
      </c>
      <c r="P548" s="608" t="s">
        <v>965</v>
      </c>
      <c r="Q548" s="608"/>
      <c r="R548" s="608">
        <v>0</v>
      </c>
      <c r="T548" s="752"/>
      <c r="V548" s="609">
        <f>IF(W548=1,G548,0)</f>
        <v>0</v>
      </c>
      <c r="W548" s="692"/>
    </row>
    <row r="549" spans="1:23" ht="26.45" outlineLevel="3">
      <c r="A549" s="376"/>
      <c r="B549" s="376" t="s">
        <v>1363</v>
      </c>
      <c r="C549" s="387" t="s">
        <v>1089</v>
      </c>
      <c r="D549" s="376" t="s">
        <v>518</v>
      </c>
      <c r="E549" s="376" t="s">
        <v>56</v>
      </c>
      <c r="F549" s="608" t="s">
        <v>1366</v>
      </c>
      <c r="G549" s="609">
        <v>5.6932255546948363E-2</v>
      </c>
      <c r="H549" s="692">
        <v>1</v>
      </c>
      <c r="I549" s="626"/>
      <c r="J549" s="752"/>
      <c r="L549" s="608" t="s">
        <v>56</v>
      </c>
      <c r="M549" s="608" t="s">
        <v>1372</v>
      </c>
      <c r="N549" s="608" t="s">
        <v>1373</v>
      </c>
      <c r="O549" s="608" t="s">
        <v>1344</v>
      </c>
      <c r="P549" s="608" t="s">
        <v>965</v>
      </c>
      <c r="Q549" s="608"/>
      <c r="R549" s="608">
        <v>0</v>
      </c>
      <c r="T549" s="752"/>
      <c r="V549" s="609">
        <f>IF(W549=1,G549,0)</f>
        <v>0</v>
      </c>
      <c r="W549" s="692"/>
    </row>
    <row r="550" spans="1:23" outlineLevel="3">
      <c r="A550" s="376"/>
      <c r="B550" s="376" t="s">
        <v>1363</v>
      </c>
      <c r="C550" s="387" t="s">
        <v>1089</v>
      </c>
      <c r="D550" s="376" t="s">
        <v>518</v>
      </c>
      <c r="E550" s="376" t="s">
        <v>56</v>
      </c>
      <c r="F550" s="608" t="s">
        <v>1367</v>
      </c>
      <c r="G550" s="609">
        <v>2.5779755299655999E-2</v>
      </c>
      <c r="H550" s="692">
        <v>1</v>
      </c>
      <c r="I550" s="626"/>
      <c r="J550" s="752"/>
      <c r="L550" s="608" t="s">
        <v>56</v>
      </c>
      <c r="M550" s="608" t="s">
        <v>1284</v>
      </c>
      <c r="N550" s="608" t="s">
        <v>960</v>
      </c>
      <c r="O550" s="608" t="s">
        <v>1344</v>
      </c>
      <c r="P550" s="608" t="s">
        <v>965</v>
      </c>
      <c r="Q550" s="608"/>
      <c r="R550" s="608">
        <v>0</v>
      </c>
      <c r="T550" s="752"/>
      <c r="V550" s="609">
        <f>IF(W550=1,G550,0)</f>
        <v>0</v>
      </c>
      <c r="W550" s="692"/>
    </row>
    <row r="551" spans="1:23" outlineLevel="3">
      <c r="A551" s="376"/>
      <c r="B551" s="376" t="s">
        <v>1363</v>
      </c>
      <c r="C551" s="387" t="s">
        <v>1089</v>
      </c>
      <c r="D551" s="376" t="s">
        <v>518</v>
      </c>
      <c r="E551" s="376" t="s">
        <v>56</v>
      </c>
      <c r="F551" s="608" t="s">
        <v>1368</v>
      </c>
      <c r="G551" s="609">
        <v>5.1559510599311999E-2</v>
      </c>
      <c r="H551" s="692">
        <v>1</v>
      </c>
      <c r="I551" s="626"/>
      <c r="J551" s="752"/>
      <c r="L551" s="608" t="s">
        <v>56</v>
      </c>
      <c r="M551" s="608" t="s">
        <v>1284</v>
      </c>
      <c r="N551" s="608" t="s">
        <v>960</v>
      </c>
      <c r="O551" s="608" t="s">
        <v>1344</v>
      </c>
      <c r="P551" s="608" t="s">
        <v>965</v>
      </c>
      <c r="Q551" s="608"/>
      <c r="R551" s="608">
        <v>0</v>
      </c>
      <c r="T551" s="752"/>
      <c r="V551" s="609">
        <f>IF(W551=1,G551,0)</f>
        <v>0</v>
      </c>
      <c r="W551" s="692"/>
    </row>
    <row r="552" spans="1:23" outlineLevel="3">
      <c r="A552" s="376"/>
      <c r="B552" s="376" t="s">
        <v>1363</v>
      </c>
      <c r="C552" s="387" t="s">
        <v>1089</v>
      </c>
      <c r="D552" s="376" t="s">
        <v>518</v>
      </c>
      <c r="E552" s="376" t="s">
        <v>56</v>
      </c>
      <c r="F552" s="608" t="s">
        <v>1374</v>
      </c>
      <c r="G552" s="609">
        <v>2.5779755299655999E-2</v>
      </c>
      <c r="H552" s="692">
        <v>1</v>
      </c>
      <c r="I552" s="626"/>
      <c r="J552" s="752"/>
      <c r="L552" s="608" t="s">
        <v>56</v>
      </c>
      <c r="M552" s="608" t="s">
        <v>1038</v>
      </c>
      <c r="N552" s="608" t="s">
        <v>1039</v>
      </c>
      <c r="O552" s="608" t="s">
        <v>1078</v>
      </c>
      <c r="P552" s="608" t="s">
        <v>965</v>
      </c>
      <c r="Q552" s="608"/>
      <c r="R552" s="608">
        <v>0</v>
      </c>
      <c r="T552" s="752"/>
      <c r="V552" s="609">
        <f>IF(W552=1,G552,0)</f>
        <v>0</v>
      </c>
      <c r="W552" s="692"/>
    </row>
    <row r="553" spans="1:23" ht="26.45" outlineLevel="2">
      <c r="A553" s="376"/>
      <c r="B553" s="684" t="s">
        <v>1363</v>
      </c>
      <c r="C553" s="687" t="s">
        <v>1089</v>
      </c>
      <c r="D553" s="684" t="s">
        <v>441</v>
      </c>
      <c r="E553" s="684"/>
      <c r="F553" s="685" t="s">
        <v>1375</v>
      </c>
      <c r="G553" s="686">
        <f>SUBTOTAL(9,G554:G558)</f>
        <v>0.26335080373140002</v>
      </c>
      <c r="H553" s="691">
        <f>SUBTOTAL(9,H554:H558)</f>
        <v>5</v>
      </c>
      <c r="I553" s="626"/>
      <c r="J553" s="752"/>
      <c r="L553" s="685"/>
      <c r="M553" s="685"/>
      <c r="N553" s="685"/>
      <c r="O553" s="685"/>
      <c r="P553" s="685"/>
      <c r="Q553" s="685"/>
      <c r="R553" s="685"/>
      <c r="T553" s="752"/>
      <c r="V553" s="686">
        <f>SUBTOTAL(9,V554:V558)</f>
        <v>9.7468503570900006E-2</v>
      </c>
      <c r="W553" s="691">
        <f>SUBTOTAL(9,W554:W558)</f>
        <v>1</v>
      </c>
    </row>
    <row r="554" spans="1:23" ht="39.6" outlineLevel="3">
      <c r="A554" s="376"/>
      <c r="B554" s="376" t="s">
        <v>1363</v>
      </c>
      <c r="C554" s="387" t="s">
        <v>1089</v>
      </c>
      <c r="D554" s="376" t="s">
        <v>441</v>
      </c>
      <c r="E554" s="376" t="s">
        <v>437</v>
      </c>
      <c r="F554" s="608" t="s">
        <v>1366</v>
      </c>
      <c r="G554" s="609">
        <v>3.5924295399299998E-2</v>
      </c>
      <c r="H554" s="692">
        <v>1</v>
      </c>
      <c r="I554" s="626"/>
      <c r="J554" s="752"/>
      <c r="L554" s="608" t="s">
        <v>437</v>
      </c>
      <c r="M554" s="608" t="s">
        <v>966</v>
      </c>
      <c r="N554" s="608" t="s">
        <v>1362</v>
      </c>
      <c r="O554" s="608"/>
      <c r="P554" s="608"/>
      <c r="Q554" s="608"/>
      <c r="R554" s="608"/>
      <c r="T554" s="752"/>
      <c r="V554" s="609">
        <f>IF(W554=1,G554,0)</f>
        <v>0</v>
      </c>
      <c r="W554" s="692"/>
    </row>
    <row r="555" spans="1:23" ht="39.6" outlineLevel="3">
      <c r="A555" s="376"/>
      <c r="B555" s="376" t="s">
        <v>1363</v>
      </c>
      <c r="C555" s="387" t="s">
        <v>1089</v>
      </c>
      <c r="D555" s="376" t="s">
        <v>441</v>
      </c>
      <c r="E555" s="376" t="s">
        <v>437</v>
      </c>
      <c r="F555" s="608" t="s">
        <v>1368</v>
      </c>
      <c r="G555" s="609">
        <v>9.7468503570900006E-2</v>
      </c>
      <c r="H555" s="692">
        <v>1</v>
      </c>
      <c r="I555" s="626"/>
      <c r="J555" s="752"/>
      <c r="L555" s="608" t="s">
        <v>437</v>
      </c>
      <c r="M555" s="608" t="s">
        <v>966</v>
      </c>
      <c r="N555" s="608" t="s">
        <v>1362</v>
      </c>
      <c r="O555" s="608"/>
      <c r="P555" s="608"/>
      <c r="Q555" s="608"/>
      <c r="R555" s="608"/>
      <c r="T555" s="752"/>
      <c r="V555" s="609">
        <f>IF(W555=1,G555,0)</f>
        <v>9.7468503570900006E-2</v>
      </c>
      <c r="W555" s="692">
        <v>1</v>
      </c>
    </row>
    <row r="556" spans="1:23" ht="39.6" outlineLevel="3">
      <c r="A556" s="376"/>
      <c r="B556" s="376" t="s">
        <v>1363</v>
      </c>
      <c r="C556" s="387" t="s">
        <v>1089</v>
      </c>
      <c r="D556" s="376" t="s">
        <v>441</v>
      </c>
      <c r="E556" s="376" t="s">
        <v>437</v>
      </c>
      <c r="F556" s="608" t="s">
        <v>1376</v>
      </c>
      <c r="G556" s="609">
        <v>3.2489501190300002E-2</v>
      </c>
      <c r="H556" s="692">
        <v>1</v>
      </c>
      <c r="I556" s="626"/>
      <c r="J556" s="752"/>
      <c r="L556" s="608" t="s">
        <v>437</v>
      </c>
      <c r="M556" s="608" t="s">
        <v>966</v>
      </c>
      <c r="N556" s="608" t="s">
        <v>1362</v>
      </c>
      <c r="O556" s="608"/>
      <c r="P556" s="608"/>
      <c r="Q556" s="608"/>
      <c r="R556" s="608"/>
      <c r="T556" s="752"/>
      <c r="V556" s="609">
        <f>IF(W556=1,G556,0)</f>
        <v>0</v>
      </c>
      <c r="W556" s="692"/>
    </row>
    <row r="557" spans="1:23" ht="39.6" outlineLevel="3">
      <c r="A557" s="376"/>
      <c r="B557" s="376" t="s">
        <v>1363</v>
      </c>
      <c r="C557" s="387" t="s">
        <v>1089</v>
      </c>
      <c r="D557" s="376" t="s">
        <v>441</v>
      </c>
      <c r="E557" s="376" t="s">
        <v>437</v>
      </c>
      <c r="F557" s="608" t="s">
        <v>1377</v>
      </c>
      <c r="G557" s="609">
        <v>6.4979002380600004E-2</v>
      </c>
      <c r="H557" s="692">
        <v>1</v>
      </c>
      <c r="I557" s="626"/>
      <c r="J557" s="752"/>
      <c r="L557" s="608" t="s">
        <v>437</v>
      </c>
      <c r="M557" s="608" t="s">
        <v>966</v>
      </c>
      <c r="N557" s="608" t="s">
        <v>1362</v>
      </c>
      <c r="O557" s="608"/>
      <c r="P557" s="608"/>
      <c r="Q557" s="608"/>
      <c r="R557" s="608"/>
      <c r="T557" s="752"/>
      <c r="V557" s="609">
        <f>IF(W557=1,G557,0)</f>
        <v>0</v>
      </c>
      <c r="W557" s="692"/>
    </row>
    <row r="558" spans="1:23" ht="39.6" outlineLevel="3">
      <c r="A558" s="376"/>
      <c r="B558" s="376" t="s">
        <v>1363</v>
      </c>
      <c r="C558" s="387" t="s">
        <v>1089</v>
      </c>
      <c r="D558" s="376" t="s">
        <v>441</v>
      </c>
      <c r="E558" s="376" t="s">
        <v>437</v>
      </c>
      <c r="F558" s="608" t="s">
        <v>1374</v>
      </c>
      <c r="G558" s="609">
        <v>3.2489501190300002E-2</v>
      </c>
      <c r="H558" s="692">
        <v>1</v>
      </c>
      <c r="I558" s="626"/>
      <c r="J558" s="752"/>
      <c r="L558" s="608" t="s">
        <v>437</v>
      </c>
      <c r="M558" s="608" t="s">
        <v>966</v>
      </c>
      <c r="N558" s="608" t="s">
        <v>1362</v>
      </c>
      <c r="O558" s="608"/>
      <c r="P558" s="608"/>
      <c r="Q558" s="608"/>
      <c r="R558" s="608"/>
      <c r="T558" s="752"/>
      <c r="V558" s="609">
        <f>IF(W558=1,G558,0)</f>
        <v>0</v>
      </c>
      <c r="W558" s="692"/>
    </row>
    <row r="559" spans="1:23" ht="26.45" outlineLevel="2">
      <c r="A559" s="376"/>
      <c r="B559" s="684" t="s">
        <v>1363</v>
      </c>
      <c r="C559" s="687" t="s">
        <v>1089</v>
      </c>
      <c r="D559" s="684" t="s">
        <v>860</v>
      </c>
      <c r="E559" s="684"/>
      <c r="F559" s="685" t="s">
        <v>1375</v>
      </c>
      <c r="G559" s="686">
        <f>SUBTOTAL(9,G560:G564)</f>
        <v>4.0965187887539993E-2</v>
      </c>
      <c r="H559" s="691">
        <f>SUBTOTAL(9,H560:H564)</f>
        <v>5</v>
      </c>
      <c r="I559" s="626"/>
      <c r="J559" s="752"/>
      <c r="L559" s="685"/>
      <c r="M559" s="685"/>
      <c r="N559" s="685"/>
      <c r="O559" s="685"/>
      <c r="P559" s="685"/>
      <c r="Q559" s="685"/>
      <c r="R559" s="685"/>
      <c r="T559" s="752"/>
      <c r="V559" s="686">
        <f>SUBTOTAL(9,V560:V564)</f>
        <v>0</v>
      </c>
      <c r="W559" s="691">
        <f>SUBTOTAL(9,W560:W564)</f>
        <v>0</v>
      </c>
    </row>
    <row r="560" spans="1:23" ht="26.45" outlineLevel="4">
      <c r="A560" s="376"/>
      <c r="B560" s="376" t="s">
        <v>1363</v>
      </c>
      <c r="C560" s="387" t="s">
        <v>1089</v>
      </c>
      <c r="D560" s="376" t="s">
        <v>860</v>
      </c>
      <c r="E560" s="376" t="s">
        <v>437</v>
      </c>
      <c r="F560" s="608" t="s">
        <v>1366</v>
      </c>
      <c r="G560" s="609">
        <v>8.8620963823079994E-3</v>
      </c>
      <c r="H560" s="692">
        <v>1</v>
      </c>
      <c r="I560" s="626"/>
      <c r="J560" s="752"/>
      <c r="L560" s="608" t="s">
        <v>437</v>
      </c>
      <c r="M560" s="608" t="s">
        <v>996</v>
      </c>
      <c r="N560" s="608" t="s">
        <v>1378</v>
      </c>
      <c r="O560" s="608"/>
      <c r="P560" s="608"/>
      <c r="Q560" s="608"/>
      <c r="R560" s="608"/>
      <c r="T560" s="752"/>
      <c r="V560" s="609">
        <f t="shared" ref="V560:V564" si="14">IF(W560=1,G560,0)</f>
        <v>0</v>
      </c>
      <c r="W560" s="692"/>
    </row>
    <row r="561" spans="1:23" ht="26.45" outlineLevel="4">
      <c r="A561" s="376"/>
      <c r="B561" s="376" t="s">
        <v>1363</v>
      </c>
      <c r="C561" s="387" t="s">
        <v>1089</v>
      </c>
      <c r="D561" s="376" t="s">
        <v>860</v>
      </c>
      <c r="E561" s="376" t="s">
        <v>437</v>
      </c>
      <c r="F561" s="608" t="s">
        <v>1368</v>
      </c>
      <c r="G561" s="609">
        <v>8.0257728763079988E-3</v>
      </c>
      <c r="H561" s="692">
        <v>1</v>
      </c>
      <c r="I561" s="626"/>
      <c r="J561" s="752"/>
      <c r="L561" s="608" t="s">
        <v>437</v>
      </c>
      <c r="M561" s="608" t="s">
        <v>996</v>
      </c>
      <c r="N561" s="608" t="s">
        <v>1378</v>
      </c>
      <c r="O561" s="608"/>
      <c r="P561" s="608"/>
      <c r="Q561" s="608"/>
      <c r="R561" s="608"/>
      <c r="T561" s="752"/>
      <c r="V561" s="609">
        <f t="shared" si="14"/>
        <v>0</v>
      </c>
      <c r="W561" s="692"/>
    </row>
    <row r="562" spans="1:23" ht="26.45" outlineLevel="4">
      <c r="A562" s="376"/>
      <c r="B562" s="376" t="s">
        <v>1363</v>
      </c>
      <c r="C562" s="387" t="s">
        <v>1089</v>
      </c>
      <c r="D562" s="376" t="s">
        <v>860</v>
      </c>
      <c r="E562" s="376" t="s">
        <v>437</v>
      </c>
      <c r="F562" s="608" t="s">
        <v>1376</v>
      </c>
      <c r="G562" s="609">
        <v>8.0257728763079988E-3</v>
      </c>
      <c r="H562" s="692">
        <v>1</v>
      </c>
      <c r="I562" s="626"/>
      <c r="J562" s="752"/>
      <c r="L562" s="608" t="s">
        <v>437</v>
      </c>
      <c r="M562" s="608" t="s">
        <v>996</v>
      </c>
      <c r="N562" s="608" t="s">
        <v>1378</v>
      </c>
      <c r="O562" s="608"/>
      <c r="P562" s="608"/>
      <c r="Q562" s="608"/>
      <c r="R562" s="608"/>
      <c r="T562" s="752"/>
      <c r="V562" s="609">
        <f t="shared" si="14"/>
        <v>0</v>
      </c>
      <c r="W562" s="692"/>
    </row>
    <row r="563" spans="1:23" ht="26.45" outlineLevel="4">
      <c r="A563" s="376"/>
      <c r="B563" s="376" t="s">
        <v>1363</v>
      </c>
      <c r="C563" s="387" t="s">
        <v>1089</v>
      </c>
      <c r="D563" s="376" t="s">
        <v>860</v>
      </c>
      <c r="E563" s="376" t="s">
        <v>437</v>
      </c>
      <c r="F563" s="608" t="s">
        <v>1377</v>
      </c>
      <c r="G563" s="609">
        <v>8.0257728763079988E-3</v>
      </c>
      <c r="H563" s="692">
        <v>1</v>
      </c>
      <c r="I563" s="626"/>
      <c r="J563" s="752"/>
      <c r="L563" s="608" t="s">
        <v>437</v>
      </c>
      <c r="M563" s="608" t="s">
        <v>996</v>
      </c>
      <c r="N563" s="608" t="s">
        <v>1378</v>
      </c>
      <c r="O563" s="608"/>
      <c r="P563" s="608"/>
      <c r="Q563" s="608"/>
      <c r="R563" s="608"/>
      <c r="T563" s="752"/>
      <c r="V563" s="609">
        <f t="shared" si="14"/>
        <v>0</v>
      </c>
      <c r="W563" s="692"/>
    </row>
    <row r="564" spans="1:23" ht="26.45" outlineLevel="4">
      <c r="A564" s="376"/>
      <c r="B564" s="376" t="s">
        <v>1363</v>
      </c>
      <c r="C564" s="387" t="s">
        <v>1089</v>
      </c>
      <c r="D564" s="376" t="s">
        <v>860</v>
      </c>
      <c r="E564" s="376" t="s">
        <v>437</v>
      </c>
      <c r="F564" s="608" t="s">
        <v>1379</v>
      </c>
      <c r="G564" s="609">
        <v>8.0257728763079988E-3</v>
      </c>
      <c r="H564" s="692">
        <v>1</v>
      </c>
      <c r="I564" s="626"/>
      <c r="J564" s="752"/>
      <c r="L564" s="608" t="s">
        <v>437</v>
      </c>
      <c r="M564" s="608" t="s">
        <v>996</v>
      </c>
      <c r="N564" s="608" t="s">
        <v>1378</v>
      </c>
      <c r="O564" s="608"/>
      <c r="P564" s="608"/>
      <c r="Q564" s="608"/>
      <c r="R564" s="608"/>
      <c r="T564" s="752"/>
      <c r="V564" s="609">
        <f t="shared" si="14"/>
        <v>0</v>
      </c>
      <c r="W564" s="692"/>
    </row>
    <row r="565" spans="1:23" outlineLevel="1">
      <c r="A565" s="376"/>
      <c r="B565" s="666" t="s">
        <v>1380</v>
      </c>
      <c r="C565" s="666" t="s">
        <v>1018</v>
      </c>
      <c r="D565" s="667" t="s">
        <v>1364</v>
      </c>
      <c r="E565" s="665"/>
      <c r="F565" s="681" t="s">
        <v>947</v>
      </c>
      <c r="G565" s="724">
        <f>SUBTOTAL(9,G566:G574)</f>
        <v>0.58598212894570789</v>
      </c>
      <c r="H565" s="725">
        <f>SUBTOTAL(9,H566:H574)</f>
        <v>5</v>
      </c>
      <c r="I565" s="626"/>
      <c r="J565" s="752"/>
      <c r="L565" s="681"/>
      <c r="M565" s="681"/>
      <c r="N565" s="681"/>
      <c r="O565" s="681"/>
      <c r="P565" s="681"/>
      <c r="Q565" s="681"/>
      <c r="R565" s="681"/>
      <c r="T565" s="752"/>
      <c r="V565" s="724">
        <f>SUBTOTAL(9,V566:V574)</f>
        <v>0</v>
      </c>
      <c r="W565" s="725">
        <f>SUBTOTAL(9,W566:W574)</f>
        <v>0</v>
      </c>
    </row>
    <row r="566" spans="1:23" outlineLevel="2">
      <c r="A566" s="376"/>
      <c r="B566" s="684" t="s">
        <v>1380</v>
      </c>
      <c r="C566" s="687" t="s">
        <v>1018</v>
      </c>
      <c r="D566" s="684" t="s">
        <v>1335</v>
      </c>
      <c r="E566" s="684"/>
      <c r="F566" s="685" t="s">
        <v>1381</v>
      </c>
      <c r="G566" s="686">
        <f>SUBTOTAL(9,G567:G568)</f>
        <v>0.47258064750599998</v>
      </c>
      <c r="H566" s="691">
        <f>SUBTOTAL(9,H567:H568)</f>
        <v>2</v>
      </c>
      <c r="I566" s="626"/>
      <c r="J566" s="752"/>
      <c r="L566" s="685"/>
      <c r="M566" s="685"/>
      <c r="N566" s="685"/>
      <c r="O566" s="685"/>
      <c r="P566" s="685"/>
      <c r="Q566" s="685"/>
      <c r="R566" s="685"/>
      <c r="T566" s="752"/>
      <c r="V566" s="686">
        <f>SUBTOTAL(9,V567:V568)</f>
        <v>0</v>
      </c>
      <c r="W566" s="691">
        <f>SUBTOTAL(9,W567:W568)</f>
        <v>0</v>
      </c>
    </row>
    <row r="567" spans="1:23" outlineLevel="3">
      <c r="A567" s="376"/>
      <c r="B567" s="376" t="s">
        <v>1380</v>
      </c>
      <c r="C567" s="387" t="s">
        <v>1018</v>
      </c>
      <c r="D567" s="376" t="s">
        <v>1335</v>
      </c>
      <c r="E567" s="376" t="s">
        <v>437</v>
      </c>
      <c r="F567" s="608" t="s">
        <v>17</v>
      </c>
      <c r="G567" s="609">
        <v>0.16825145614199999</v>
      </c>
      <c r="H567" s="692">
        <v>1</v>
      </c>
      <c r="I567" s="626"/>
      <c r="J567" s="752"/>
      <c r="L567" s="608" t="s">
        <v>437</v>
      </c>
      <c r="M567" s="608" t="s">
        <v>1349</v>
      </c>
      <c r="N567" s="608" t="s">
        <v>1360</v>
      </c>
      <c r="O567" s="608"/>
      <c r="P567" s="608"/>
      <c r="Q567" s="608"/>
      <c r="R567" s="608"/>
      <c r="T567" s="752"/>
      <c r="V567" s="609">
        <f t="shared" ref="V567:V568" si="15">IF(W567=1,G567,0)</f>
        <v>0</v>
      </c>
      <c r="W567" s="692"/>
    </row>
    <row r="568" spans="1:23" outlineLevel="3">
      <c r="A568" s="376"/>
      <c r="B568" s="376" t="s">
        <v>1380</v>
      </c>
      <c r="C568" s="387" t="s">
        <v>1018</v>
      </c>
      <c r="D568" s="376" t="s">
        <v>1335</v>
      </c>
      <c r="E568" s="376" t="s">
        <v>437</v>
      </c>
      <c r="F568" s="608" t="s">
        <v>36</v>
      </c>
      <c r="G568" s="609">
        <v>0.304329191364</v>
      </c>
      <c r="H568" s="692">
        <v>1</v>
      </c>
      <c r="I568" s="626"/>
      <c r="J568" s="752"/>
      <c r="L568" s="608" t="s">
        <v>437</v>
      </c>
      <c r="M568" s="608" t="s">
        <v>1349</v>
      </c>
      <c r="N568" s="608" t="s">
        <v>1360</v>
      </c>
      <c r="O568" s="608"/>
      <c r="P568" s="608"/>
      <c r="Q568" s="608"/>
      <c r="R568" s="608"/>
      <c r="T568" s="752"/>
      <c r="V568" s="609">
        <f t="shared" si="15"/>
        <v>0</v>
      </c>
      <c r="W568" s="692"/>
    </row>
    <row r="569" spans="1:23" outlineLevel="2">
      <c r="A569" s="376"/>
      <c r="B569" s="684" t="s">
        <v>1380</v>
      </c>
      <c r="C569" s="687" t="s">
        <v>1018</v>
      </c>
      <c r="D569" s="684" t="s">
        <v>518</v>
      </c>
      <c r="E569" s="684"/>
      <c r="F569" s="685" t="s">
        <v>1381</v>
      </c>
      <c r="G569" s="686">
        <f>SUBTOTAL(9,G570)</f>
        <v>7.133861740420798E-2</v>
      </c>
      <c r="H569" s="691">
        <f>SUBTOTAL(9,H570)</f>
        <v>1</v>
      </c>
      <c r="I569" s="626"/>
      <c r="J569" s="752"/>
      <c r="L569" s="685"/>
      <c r="M569" s="685"/>
      <c r="N569" s="685"/>
      <c r="O569" s="685"/>
      <c r="P569" s="685"/>
      <c r="Q569" s="685"/>
      <c r="R569" s="685"/>
      <c r="T569" s="752"/>
      <c r="V569" s="686">
        <f>SUBTOTAL(9,V570)</f>
        <v>0</v>
      </c>
      <c r="W569" s="691">
        <f>SUBTOTAL(9,W570)</f>
        <v>0</v>
      </c>
    </row>
    <row r="570" spans="1:23" outlineLevel="3">
      <c r="A570" s="376"/>
      <c r="B570" s="376" t="s">
        <v>1380</v>
      </c>
      <c r="C570" s="387" t="s">
        <v>1018</v>
      </c>
      <c r="D570" s="376" t="s">
        <v>518</v>
      </c>
      <c r="E570" s="376" t="s">
        <v>56</v>
      </c>
      <c r="F570" s="608" t="s">
        <v>36</v>
      </c>
      <c r="G570" s="609">
        <v>7.133861740420798E-2</v>
      </c>
      <c r="H570" s="692">
        <v>1</v>
      </c>
      <c r="I570" s="626"/>
      <c r="J570" s="752"/>
      <c r="L570" s="608" t="s">
        <v>56</v>
      </c>
      <c r="M570" s="608" t="s">
        <v>1284</v>
      </c>
      <c r="N570" s="608" t="s">
        <v>960</v>
      </c>
      <c r="O570" s="608" t="s">
        <v>1344</v>
      </c>
      <c r="P570" s="608" t="s">
        <v>965</v>
      </c>
      <c r="Q570" s="608"/>
      <c r="R570" s="608">
        <v>0</v>
      </c>
      <c r="T570" s="752"/>
      <c r="V570" s="609">
        <f t="shared" ref="V570" si="16">IF(W570=1,G570,0)</f>
        <v>0</v>
      </c>
      <c r="W570" s="692"/>
    </row>
    <row r="571" spans="1:23" outlineLevel="2">
      <c r="A571" s="376"/>
      <c r="B571" s="684" t="s">
        <v>1380</v>
      </c>
      <c r="C571" s="687" t="s">
        <v>1018</v>
      </c>
      <c r="D571" s="684" t="s">
        <v>441</v>
      </c>
      <c r="E571" s="684"/>
      <c r="F571" s="685" t="s">
        <v>1381</v>
      </c>
      <c r="G571" s="686">
        <f>SUBTOTAL(9,G572)</f>
        <v>1.9853671824755996E-2</v>
      </c>
      <c r="H571" s="691">
        <f>SUBTOTAL(9,H572)</f>
        <v>1</v>
      </c>
      <c r="I571" s="626"/>
      <c r="J571" s="752"/>
      <c r="L571" s="685"/>
      <c r="M571" s="685"/>
      <c r="N571" s="685"/>
      <c r="O571" s="685"/>
      <c r="P571" s="685"/>
      <c r="Q571" s="685"/>
      <c r="R571" s="685"/>
      <c r="T571" s="752"/>
      <c r="V571" s="686">
        <f>SUBTOTAL(9,V572)</f>
        <v>0</v>
      </c>
      <c r="W571" s="691">
        <f>SUBTOTAL(9,W572)</f>
        <v>0</v>
      </c>
    </row>
    <row r="572" spans="1:23" outlineLevel="3">
      <c r="A572" s="376"/>
      <c r="B572" s="376" t="s">
        <v>1380</v>
      </c>
      <c r="C572" s="387" t="s">
        <v>1018</v>
      </c>
      <c r="D572" s="376" t="s">
        <v>441</v>
      </c>
      <c r="E572" s="376" t="s">
        <v>437</v>
      </c>
      <c r="F572" s="608" t="s">
        <v>36</v>
      </c>
      <c r="G572" s="609">
        <v>1.9853671824755996E-2</v>
      </c>
      <c r="H572" s="692">
        <v>1</v>
      </c>
      <c r="I572" s="626"/>
      <c r="J572" s="752"/>
      <c r="L572" s="608" t="s">
        <v>437</v>
      </c>
      <c r="M572" s="608"/>
      <c r="N572" s="608"/>
      <c r="O572" s="608"/>
      <c r="P572" s="608"/>
      <c r="Q572" s="608"/>
      <c r="R572" s="608"/>
      <c r="T572" s="752"/>
      <c r="V572" s="609">
        <f t="shared" ref="V572" si="17">IF(W572=1,G572,0)</f>
        <v>0</v>
      </c>
      <c r="W572" s="692"/>
    </row>
    <row r="573" spans="1:23" outlineLevel="2">
      <c r="A573" s="376"/>
      <c r="B573" s="684" t="s">
        <v>1380</v>
      </c>
      <c r="C573" s="687" t="s">
        <v>1018</v>
      </c>
      <c r="D573" s="684" t="s">
        <v>860</v>
      </c>
      <c r="E573" s="684"/>
      <c r="F573" s="685" t="s">
        <v>1381</v>
      </c>
      <c r="G573" s="686">
        <f>SUBTOTAL(9,G574)</f>
        <v>2.2209192210743994E-2</v>
      </c>
      <c r="H573" s="691">
        <f>SUBTOTAL(9,H574)</f>
        <v>1</v>
      </c>
      <c r="I573" s="626"/>
      <c r="J573" s="752"/>
      <c r="L573" s="685"/>
      <c r="M573" s="685"/>
      <c r="N573" s="685"/>
      <c r="O573" s="685"/>
      <c r="P573" s="685"/>
      <c r="Q573" s="685"/>
      <c r="R573" s="685"/>
      <c r="T573" s="752"/>
      <c r="V573" s="686">
        <f>SUBTOTAL(9,V574)</f>
        <v>0</v>
      </c>
      <c r="W573" s="691">
        <f>SUBTOTAL(9,W574)</f>
        <v>0</v>
      </c>
    </row>
    <row r="574" spans="1:23" outlineLevel="4">
      <c r="A574" s="376"/>
      <c r="B574" s="376" t="s">
        <v>1380</v>
      </c>
      <c r="C574" s="387" t="s">
        <v>1018</v>
      </c>
      <c r="D574" s="376" t="s">
        <v>860</v>
      </c>
      <c r="E574" s="376" t="s">
        <v>437</v>
      </c>
      <c r="F574" s="608" t="s">
        <v>36</v>
      </c>
      <c r="G574" s="609">
        <v>2.2209192210743994E-2</v>
      </c>
      <c r="H574" s="692">
        <v>1</v>
      </c>
      <c r="I574" s="626"/>
      <c r="J574" s="752"/>
      <c r="L574" s="608" t="s">
        <v>437</v>
      </c>
      <c r="M574" s="608"/>
      <c r="N574" s="608"/>
      <c r="O574" s="608"/>
      <c r="P574" s="608"/>
      <c r="Q574" s="608"/>
      <c r="R574" s="608"/>
      <c r="T574" s="752"/>
      <c r="V574" s="609">
        <f t="shared" ref="V574" si="18">IF(W574=1,G574,0)</f>
        <v>0</v>
      </c>
      <c r="W574" s="692"/>
    </row>
    <row r="575" spans="1:23" outlineLevel="1">
      <c r="A575" s="376"/>
      <c r="B575" s="666" t="s">
        <v>1382</v>
      </c>
      <c r="C575" s="666" t="s">
        <v>1383</v>
      </c>
      <c r="D575" s="667"/>
      <c r="E575" s="665"/>
      <c r="F575" s="681" t="s">
        <v>947</v>
      </c>
      <c r="G575" s="724">
        <f>SUBTOTAL(9,G576:G577)</f>
        <v>1.6141000000000003</v>
      </c>
      <c r="H575" s="725">
        <f>SUBTOTAL(9,H576:H577)</f>
        <v>1</v>
      </c>
      <c r="I575" s="626"/>
      <c r="J575" s="752"/>
      <c r="L575" s="681"/>
      <c r="M575" s="681"/>
      <c r="N575" s="681"/>
      <c r="O575" s="681"/>
      <c r="P575" s="681"/>
      <c r="Q575" s="681"/>
      <c r="R575" s="681"/>
      <c r="T575" s="752"/>
      <c r="V575" s="724">
        <f>SUBTOTAL(9,V576:V577)</f>
        <v>0</v>
      </c>
      <c r="W575" s="725">
        <f>SUBTOTAL(9,W576:W577)</f>
        <v>0</v>
      </c>
    </row>
    <row r="576" spans="1:23" outlineLevel="2">
      <c r="A576" s="376"/>
      <c r="B576" s="684" t="s">
        <v>1382</v>
      </c>
      <c r="C576" s="684" t="s">
        <v>1383</v>
      </c>
      <c r="D576" s="684" t="s">
        <v>159</v>
      </c>
      <c r="E576" s="684"/>
      <c r="F576" s="685" t="s">
        <v>1384</v>
      </c>
      <c r="G576" s="686">
        <f>SUBTOTAL(9,G577)</f>
        <v>1.6141000000000003</v>
      </c>
      <c r="H576" s="691">
        <f>SUBTOTAL(9,H577)</f>
        <v>1</v>
      </c>
      <c r="I576" s="626"/>
      <c r="J576" s="752"/>
      <c r="L576" s="685"/>
      <c r="M576" s="685"/>
      <c r="N576" s="685"/>
      <c r="O576" s="685"/>
      <c r="P576" s="685"/>
      <c r="Q576" s="685"/>
      <c r="R576" s="685"/>
      <c r="T576" s="752"/>
      <c r="V576" s="686">
        <f>SUBTOTAL(9,V577)</f>
        <v>0</v>
      </c>
      <c r="W576" s="691">
        <f>SUBTOTAL(9,W577)</f>
        <v>0</v>
      </c>
    </row>
    <row r="577" spans="1:23" outlineLevel="3">
      <c r="A577" s="376"/>
      <c r="B577" s="376" t="s">
        <v>1382</v>
      </c>
      <c r="C577" s="376" t="s">
        <v>1383</v>
      </c>
      <c r="D577" s="376" t="s">
        <v>159</v>
      </c>
      <c r="E577" s="376" t="s">
        <v>1159</v>
      </c>
      <c r="F577" s="608" t="s">
        <v>17</v>
      </c>
      <c r="G577" s="609">
        <v>1.6141000000000003</v>
      </c>
      <c r="H577" s="692">
        <v>1</v>
      </c>
      <c r="I577" s="626"/>
      <c r="J577" s="752"/>
      <c r="L577" s="608" t="s">
        <v>1159</v>
      </c>
      <c r="M577" s="608" t="s">
        <v>1159</v>
      </c>
      <c r="N577" s="608" t="s">
        <v>1385</v>
      </c>
      <c r="O577" s="608" t="s">
        <v>1386</v>
      </c>
      <c r="P577" s="608"/>
      <c r="Q577" s="608"/>
      <c r="R577" s="608"/>
      <c r="T577" s="752"/>
      <c r="V577" s="609">
        <f t="shared" ref="V577" si="19">IF(W577=1,G577,0)</f>
        <v>0</v>
      </c>
      <c r="W577" s="692"/>
    </row>
    <row r="578" spans="1:23" outlineLevel="1">
      <c r="A578" s="376"/>
      <c r="B578" s="666" t="s">
        <v>912</v>
      </c>
      <c r="C578" s="666" t="s">
        <v>1387</v>
      </c>
      <c r="D578" s="666"/>
      <c r="E578" s="666"/>
      <c r="F578" s="681" t="s">
        <v>947</v>
      </c>
      <c r="G578" s="724">
        <f>SUBTOTAL(9,G579:G580)</f>
        <v>5.9650000000000007</v>
      </c>
      <c r="H578" s="725">
        <f>SUBTOTAL(9,H579:H580)</f>
        <v>1</v>
      </c>
      <c r="I578" s="626"/>
      <c r="J578" s="752"/>
      <c r="L578" s="761"/>
      <c r="M578" s="761"/>
      <c r="N578" s="761"/>
      <c r="O578" s="761"/>
      <c r="P578" s="761"/>
      <c r="Q578" s="761"/>
      <c r="R578" s="761"/>
      <c r="T578" s="752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1388</v>
      </c>
      <c r="C579" s="684" t="s">
        <v>1388</v>
      </c>
      <c r="D579" s="684" t="s">
        <v>159</v>
      </c>
      <c r="E579" s="684"/>
      <c r="F579" s="685" t="s">
        <v>1389</v>
      </c>
      <c r="G579" s="686">
        <f>SUBTOTAL(9,G580)</f>
        <v>5.9650000000000007</v>
      </c>
      <c r="H579" s="691">
        <f>SUBTOTAL(9,H580)</f>
        <v>1</v>
      </c>
      <c r="I579" s="626"/>
      <c r="J579" s="752"/>
      <c r="L579" s="685"/>
      <c r="M579" s="685"/>
      <c r="N579" s="685"/>
      <c r="O579" s="685"/>
      <c r="P579" s="685"/>
      <c r="Q579" s="685"/>
      <c r="R579" s="685"/>
      <c r="T579" s="752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1388</v>
      </c>
      <c r="C580" s="376" t="s">
        <v>1388</v>
      </c>
      <c r="D580" s="376" t="s">
        <v>159</v>
      </c>
      <c r="E580" s="376" t="s">
        <v>950</v>
      </c>
      <c r="F580" s="608" t="s">
        <v>1390</v>
      </c>
      <c r="G580" s="609">
        <v>5.9650000000000007</v>
      </c>
      <c r="H580" s="692">
        <v>1</v>
      </c>
      <c r="I580" s="626"/>
      <c r="J580" s="752"/>
      <c r="L580" s="608" t="s">
        <v>950</v>
      </c>
      <c r="M580" s="608" t="s">
        <v>1391</v>
      </c>
      <c r="N580" s="608" t="s">
        <v>1005</v>
      </c>
      <c r="O580" s="608"/>
      <c r="P580" s="608"/>
      <c r="Q580" s="608"/>
      <c r="R580" s="608"/>
      <c r="T580" s="752"/>
      <c r="V580" s="609">
        <f t="shared" ref="V580" si="20">IF(W580=1,G580,0)</f>
        <v>0</v>
      </c>
      <c r="W580" s="692"/>
    </row>
    <row r="581" spans="1:23" outlineLevel="1">
      <c r="A581" s="376"/>
      <c r="B581" s="665" t="s">
        <v>1392</v>
      </c>
      <c r="C581" s="665" t="s">
        <v>1392</v>
      </c>
      <c r="D581" s="665"/>
      <c r="E581" s="665"/>
      <c r="F581" s="681" t="s">
        <v>947</v>
      </c>
      <c r="G581" s="724">
        <f>SUBTOTAL(9,G582:G593)</f>
        <v>0</v>
      </c>
      <c r="H581" s="725">
        <f>SUBTOTAL(9,H582:H593)</f>
        <v>8</v>
      </c>
      <c r="I581" s="626"/>
      <c r="J581" s="752"/>
      <c r="L581" s="681"/>
      <c r="M581" s="681"/>
      <c r="N581" s="681"/>
      <c r="O581" s="681"/>
      <c r="P581" s="681"/>
      <c r="Q581" s="681"/>
      <c r="R581" s="681"/>
      <c r="T581" s="752"/>
      <c r="V581" s="724">
        <f>SUBTOTAL(9,V582:V593)</f>
        <v>0</v>
      </c>
      <c r="W581" s="725">
        <f>SUBTOTAL(9,W582:W593)</f>
        <v>0</v>
      </c>
    </row>
    <row r="582" spans="1:23" outlineLevel="2">
      <c r="A582" s="376"/>
      <c r="B582" s="684" t="s">
        <v>1392</v>
      </c>
      <c r="C582" s="684" t="s">
        <v>1392</v>
      </c>
      <c r="D582" s="684" t="s">
        <v>1335</v>
      </c>
      <c r="E582" s="684"/>
      <c r="F582" s="685" t="s">
        <v>1393</v>
      </c>
      <c r="G582" s="686">
        <f>SUBTOTAL(9,G583:G585)</f>
        <v>0</v>
      </c>
      <c r="H582" s="691">
        <f>SUBTOTAL(9,H583:H585)</f>
        <v>3</v>
      </c>
      <c r="I582" s="626"/>
      <c r="J582" s="752"/>
      <c r="L582" s="685"/>
      <c r="M582" s="685"/>
      <c r="N582" s="685"/>
      <c r="O582" s="685"/>
      <c r="P582" s="685"/>
      <c r="Q582" s="685"/>
      <c r="R582" s="685"/>
      <c r="T582" s="752"/>
      <c r="V582" s="686">
        <f>SUBTOTAL(9,V583:V585)</f>
        <v>0</v>
      </c>
      <c r="W582" s="691">
        <f>SUBTOTAL(9,W583:W585)</f>
        <v>0</v>
      </c>
    </row>
    <row r="583" spans="1:23" outlineLevel="3">
      <c r="A583" s="376"/>
      <c r="B583" s="376" t="s">
        <v>1392</v>
      </c>
      <c r="C583" s="376" t="s">
        <v>1392</v>
      </c>
      <c r="D583" s="376" t="s">
        <v>1335</v>
      </c>
      <c r="E583" s="376" t="s">
        <v>437</v>
      </c>
      <c r="F583" s="608" t="s">
        <v>17</v>
      </c>
      <c r="G583" s="609"/>
      <c r="H583" s="692">
        <v>1</v>
      </c>
      <c r="I583" s="626"/>
      <c r="J583" s="752"/>
      <c r="L583" s="608" t="s">
        <v>437</v>
      </c>
      <c r="M583" s="608" t="s">
        <v>1349</v>
      </c>
      <c r="N583" s="608" t="s">
        <v>1360</v>
      </c>
      <c r="O583" s="608"/>
      <c r="P583" s="608"/>
      <c r="Q583" s="608"/>
      <c r="R583" s="608"/>
      <c r="T583" s="752"/>
      <c r="V583" s="609"/>
      <c r="W583" s="692"/>
    </row>
    <row r="584" spans="1:23" outlineLevel="3">
      <c r="A584" s="376"/>
      <c r="B584" s="376" t="s">
        <v>1392</v>
      </c>
      <c r="C584" s="376" t="s">
        <v>1392</v>
      </c>
      <c r="D584" s="376" t="s">
        <v>1335</v>
      </c>
      <c r="E584" s="376" t="s">
        <v>437</v>
      </c>
      <c r="F584" s="608" t="s">
        <v>36</v>
      </c>
      <c r="G584" s="609"/>
      <c r="H584" s="692">
        <v>1</v>
      </c>
      <c r="I584" s="626"/>
      <c r="J584" s="752"/>
      <c r="L584" s="608" t="s">
        <v>437</v>
      </c>
      <c r="M584" s="608" t="s">
        <v>1349</v>
      </c>
      <c r="N584" s="608" t="s">
        <v>1360</v>
      </c>
      <c r="O584" s="608"/>
      <c r="P584" s="608"/>
      <c r="Q584" s="608"/>
      <c r="R584" s="608"/>
      <c r="T584" s="752"/>
      <c r="V584" s="609"/>
      <c r="W584" s="692"/>
    </row>
    <row r="585" spans="1:23" outlineLevel="3">
      <c r="A585" s="376"/>
      <c r="B585" s="376" t="s">
        <v>1392</v>
      </c>
      <c r="C585" s="376" t="s">
        <v>1392</v>
      </c>
      <c r="D585" s="376" t="s">
        <v>1335</v>
      </c>
      <c r="E585" s="376" t="s">
        <v>437</v>
      </c>
      <c r="F585" s="608" t="s">
        <v>208</v>
      </c>
      <c r="G585" s="609"/>
      <c r="H585" s="692">
        <v>1</v>
      </c>
      <c r="I585" s="626"/>
      <c r="J585" s="752"/>
      <c r="L585" s="608" t="s">
        <v>437</v>
      </c>
      <c r="M585" s="608" t="s">
        <v>1349</v>
      </c>
      <c r="N585" s="608" t="s">
        <v>1360</v>
      </c>
      <c r="O585" s="608"/>
      <c r="P585" s="608"/>
      <c r="Q585" s="608"/>
      <c r="R585" s="608"/>
      <c r="T585" s="752"/>
      <c r="V585" s="609"/>
      <c r="W585" s="692"/>
    </row>
    <row r="586" spans="1:23" outlineLevel="2">
      <c r="A586" s="376"/>
      <c r="B586" s="684" t="s">
        <v>1392</v>
      </c>
      <c r="C586" s="684" t="s">
        <v>1392</v>
      </c>
      <c r="D586" s="684" t="s">
        <v>518</v>
      </c>
      <c r="E586" s="684"/>
      <c r="F586" s="685" t="s">
        <v>1393</v>
      </c>
      <c r="G586" s="686">
        <f>SUBTOTAL(9,G587)</f>
        <v>0</v>
      </c>
      <c r="H586" s="691">
        <f>SUBTOTAL(9,H587)</f>
        <v>1</v>
      </c>
      <c r="I586" s="626"/>
      <c r="J586" s="752"/>
      <c r="L586" s="685"/>
      <c r="M586" s="685"/>
      <c r="N586" s="685"/>
      <c r="O586" s="685"/>
      <c r="P586" s="685"/>
      <c r="Q586" s="685"/>
      <c r="R586" s="685"/>
      <c r="T586" s="752"/>
      <c r="V586" s="686">
        <f>SUBTOTAL(9,V587)</f>
        <v>0</v>
      </c>
      <c r="W586" s="691">
        <f>SUBTOTAL(9,W587)</f>
        <v>0</v>
      </c>
    </row>
    <row r="587" spans="1:23" outlineLevel="3">
      <c r="A587" s="376"/>
      <c r="B587" s="376" t="s">
        <v>1392</v>
      </c>
      <c r="C587" s="376" t="s">
        <v>1392</v>
      </c>
      <c r="D587" s="376" t="s">
        <v>518</v>
      </c>
      <c r="E587" s="376" t="s">
        <v>56</v>
      </c>
      <c r="F587" s="608" t="s">
        <v>36</v>
      </c>
      <c r="G587" s="609"/>
      <c r="H587" s="692">
        <v>1</v>
      </c>
      <c r="I587" s="626"/>
      <c r="J587" s="752"/>
      <c r="L587" s="608" t="s">
        <v>56</v>
      </c>
      <c r="M587" s="608" t="s">
        <v>1284</v>
      </c>
      <c r="N587" s="608" t="s">
        <v>960</v>
      </c>
      <c r="O587" s="608" t="s">
        <v>1344</v>
      </c>
      <c r="P587" s="608" t="s">
        <v>1096</v>
      </c>
      <c r="Q587" s="608"/>
      <c r="R587" s="608">
        <v>0</v>
      </c>
      <c r="T587" s="752"/>
      <c r="V587" s="609"/>
      <c r="W587" s="692"/>
    </row>
    <row r="588" spans="1:23" outlineLevel="2">
      <c r="A588" s="376"/>
      <c r="B588" s="684" t="s">
        <v>1392</v>
      </c>
      <c r="C588" s="684" t="s">
        <v>1392</v>
      </c>
      <c r="D588" s="684" t="s">
        <v>441</v>
      </c>
      <c r="E588" s="684"/>
      <c r="F588" s="685" t="s">
        <v>1393</v>
      </c>
      <c r="G588" s="686">
        <f>SUBTOTAL(9,G589:G590)</f>
        <v>0</v>
      </c>
      <c r="H588" s="691">
        <f>SUBTOTAL(9,H589:H590)</f>
        <v>2</v>
      </c>
      <c r="I588" s="626"/>
      <c r="J588" s="752"/>
      <c r="L588" s="685"/>
      <c r="M588" s="685"/>
      <c r="N588" s="685"/>
      <c r="O588" s="685"/>
      <c r="P588" s="685"/>
      <c r="Q588" s="685"/>
      <c r="R588" s="685"/>
      <c r="T588" s="752"/>
      <c r="V588" s="686">
        <f>SUBTOTAL(9,V589:V590)</f>
        <v>0</v>
      </c>
      <c r="W588" s="691">
        <f>SUBTOTAL(9,W589:W590)</f>
        <v>0</v>
      </c>
    </row>
    <row r="589" spans="1:23" ht="39.6" outlineLevel="3">
      <c r="A589" s="376"/>
      <c r="B589" s="376" t="s">
        <v>1392</v>
      </c>
      <c r="C589" s="376" t="s">
        <v>1392</v>
      </c>
      <c r="D589" s="376" t="s">
        <v>441</v>
      </c>
      <c r="E589" s="376" t="s">
        <v>437</v>
      </c>
      <c r="F589" s="608" t="s">
        <v>36</v>
      </c>
      <c r="G589" s="609"/>
      <c r="H589" s="692">
        <v>1</v>
      </c>
      <c r="I589" s="626"/>
      <c r="J589" s="752"/>
      <c r="L589" s="608" t="s">
        <v>437</v>
      </c>
      <c r="M589" s="608" t="s">
        <v>966</v>
      </c>
      <c r="N589" s="608" t="s">
        <v>1356</v>
      </c>
      <c r="O589" s="608"/>
      <c r="P589" s="608"/>
      <c r="Q589" s="608"/>
      <c r="R589" s="608"/>
      <c r="T589" s="752"/>
      <c r="V589" s="609"/>
      <c r="W589" s="692"/>
    </row>
    <row r="590" spans="1:23" ht="39.6" outlineLevel="3">
      <c r="A590" s="376"/>
      <c r="B590" s="376" t="s">
        <v>1392</v>
      </c>
      <c r="C590" s="376" t="s">
        <v>1392</v>
      </c>
      <c r="D590" s="376" t="s">
        <v>441</v>
      </c>
      <c r="E590" s="376" t="s">
        <v>437</v>
      </c>
      <c r="F590" s="608" t="s">
        <v>208</v>
      </c>
      <c r="G590" s="609"/>
      <c r="H590" s="692">
        <v>1</v>
      </c>
      <c r="I590" s="626"/>
      <c r="J590" s="752"/>
      <c r="L590" s="608" t="s">
        <v>437</v>
      </c>
      <c r="M590" s="608" t="s">
        <v>966</v>
      </c>
      <c r="N590" s="608" t="s">
        <v>1356</v>
      </c>
      <c r="O590" s="608"/>
      <c r="P590" s="608"/>
      <c r="Q590" s="608"/>
      <c r="R590" s="608"/>
      <c r="T590" s="752"/>
      <c r="V590" s="609"/>
      <c r="W590" s="692"/>
    </row>
    <row r="591" spans="1:23" outlineLevel="2">
      <c r="A591" s="376"/>
      <c r="B591" s="684" t="s">
        <v>1392</v>
      </c>
      <c r="C591" s="684" t="s">
        <v>1392</v>
      </c>
      <c r="D591" s="684" t="s">
        <v>860</v>
      </c>
      <c r="E591" s="684"/>
      <c r="F591" s="685" t="s">
        <v>1393</v>
      </c>
      <c r="G591" s="686">
        <f>SUBTOTAL(9,G592:G593)</f>
        <v>0</v>
      </c>
      <c r="H591" s="691">
        <f>SUBTOTAL(9,H592:H593)</f>
        <v>2</v>
      </c>
      <c r="I591" s="626"/>
      <c r="J591" s="752"/>
      <c r="L591" s="685"/>
      <c r="M591" s="685"/>
      <c r="N591" s="685"/>
      <c r="O591" s="685"/>
      <c r="P591" s="685"/>
      <c r="Q591" s="685"/>
      <c r="R591" s="685"/>
      <c r="T591" s="752"/>
      <c r="V591" s="686">
        <f>SUBTOTAL(9,V592:V593)</f>
        <v>0</v>
      </c>
      <c r="W591" s="691">
        <f>SUBTOTAL(9,W592:W593)</f>
        <v>0</v>
      </c>
    </row>
    <row r="592" spans="1:23" outlineLevel="3">
      <c r="A592" s="376"/>
      <c r="B592" s="376" t="s">
        <v>1392</v>
      </c>
      <c r="C592" s="376" t="s">
        <v>1392</v>
      </c>
      <c r="D592" s="376" t="s">
        <v>860</v>
      </c>
      <c r="E592" s="376" t="s">
        <v>437</v>
      </c>
      <c r="F592" s="608" t="s">
        <v>36</v>
      </c>
      <c r="G592" s="609"/>
      <c r="H592" s="692">
        <v>1</v>
      </c>
      <c r="I592" s="626"/>
      <c r="J592" s="752"/>
      <c r="L592" s="608" t="s">
        <v>437</v>
      </c>
      <c r="M592" s="608" t="s">
        <v>996</v>
      </c>
      <c r="N592" s="608" t="s">
        <v>1244</v>
      </c>
      <c r="O592" s="608"/>
      <c r="P592" s="608"/>
      <c r="Q592" s="608"/>
      <c r="R592" s="608"/>
      <c r="T592" s="752"/>
      <c r="V592" s="609"/>
      <c r="W592" s="692"/>
    </row>
    <row r="593" spans="1:23" outlineLevel="3">
      <c r="A593" s="376"/>
      <c r="B593" s="376" t="s">
        <v>1392</v>
      </c>
      <c r="C593" s="376" t="s">
        <v>1392</v>
      </c>
      <c r="D593" s="376" t="s">
        <v>860</v>
      </c>
      <c r="E593" s="376" t="s">
        <v>437</v>
      </c>
      <c r="F593" s="608" t="s">
        <v>208</v>
      </c>
      <c r="G593" s="609"/>
      <c r="H593" s="692">
        <v>1</v>
      </c>
      <c r="I593" s="626"/>
      <c r="J593" s="752"/>
      <c r="L593" s="608" t="s">
        <v>437</v>
      </c>
      <c r="M593" s="608" t="s">
        <v>996</v>
      </c>
      <c r="N593" s="608" t="s">
        <v>1244</v>
      </c>
      <c r="O593" s="608"/>
      <c r="P593" s="608"/>
      <c r="Q593" s="608"/>
      <c r="R593" s="608"/>
      <c r="T593" s="752"/>
      <c r="V593" s="609"/>
      <c r="W593" s="692"/>
    </row>
    <row r="594" spans="1:23" outlineLevel="1">
      <c r="A594" s="376"/>
      <c r="B594" s="665" t="s">
        <v>497</v>
      </c>
      <c r="C594" s="665" t="s">
        <v>1394</v>
      </c>
      <c r="D594" s="665"/>
      <c r="E594" s="665"/>
      <c r="F594" s="681" t="s">
        <v>947</v>
      </c>
      <c r="G594" s="724">
        <f>SUBTOTAL(9,G595:G604)</f>
        <v>1.49</v>
      </c>
      <c r="H594" s="725">
        <f>SUBTOTAL(9,H595:H604)</f>
        <v>6</v>
      </c>
      <c r="I594" s="626"/>
      <c r="J594" s="752"/>
      <c r="L594" s="681"/>
      <c r="M594" s="681"/>
      <c r="N594" s="681"/>
      <c r="O594" s="681"/>
      <c r="P594" s="681"/>
      <c r="Q594" s="681"/>
      <c r="R594" s="681"/>
      <c r="T594" s="752"/>
      <c r="V594" s="724">
        <f>SUBTOTAL(9,V595:V604)</f>
        <v>0</v>
      </c>
      <c r="W594" s="725">
        <f>SUBTOTAL(9,W595:W604)</f>
        <v>0</v>
      </c>
    </row>
    <row r="595" spans="1:23" outlineLevel="2">
      <c r="A595" s="376"/>
      <c r="B595" s="684" t="s">
        <v>497</v>
      </c>
      <c r="C595" s="684" t="s">
        <v>1394</v>
      </c>
      <c r="D595" s="684" t="s">
        <v>159</v>
      </c>
      <c r="E595" s="684"/>
      <c r="F595" s="685" t="s">
        <v>1395</v>
      </c>
      <c r="G595" s="686">
        <f>SUBTOTAL(9,G596:G597)</f>
        <v>1.1499999999999999</v>
      </c>
      <c r="H595" s="691">
        <f>SUBTOTAL(9,H596:H597)</f>
        <v>2</v>
      </c>
      <c r="I595" s="626"/>
      <c r="J595" s="752"/>
      <c r="L595" s="685"/>
      <c r="M595" s="685"/>
      <c r="N595" s="685"/>
      <c r="O595" s="685"/>
      <c r="P595" s="685"/>
      <c r="Q595" s="685"/>
      <c r="R595" s="685"/>
      <c r="T595" s="752"/>
      <c r="V595" s="686">
        <f>SUBTOTAL(9,V596:V597)</f>
        <v>0</v>
      </c>
      <c r="W595" s="691">
        <f>SUBTOTAL(9,W596:W597)</f>
        <v>0</v>
      </c>
    </row>
    <row r="596" spans="1:23" outlineLevel="3">
      <c r="A596" s="376"/>
      <c r="B596" s="376" t="s">
        <v>497</v>
      </c>
      <c r="C596" s="376" t="s">
        <v>1394</v>
      </c>
      <c r="D596" s="376" t="s">
        <v>159</v>
      </c>
      <c r="E596" s="376" t="s">
        <v>664</v>
      </c>
      <c r="F596" s="608" t="s">
        <v>36</v>
      </c>
      <c r="G596" s="609">
        <v>0.69</v>
      </c>
      <c r="H596" s="692">
        <v>1</v>
      </c>
      <c r="I596" s="626"/>
      <c r="J596" s="752"/>
      <c r="L596" s="608" t="s">
        <v>664</v>
      </c>
      <c r="M596" s="608" t="s">
        <v>1324</v>
      </c>
      <c r="N596" s="608" t="s">
        <v>1331</v>
      </c>
      <c r="O596" s="608"/>
      <c r="P596" s="608"/>
      <c r="Q596" s="608"/>
      <c r="R596" s="608"/>
      <c r="T596" s="752"/>
      <c r="V596" s="609">
        <f t="shared" ref="V596:V597" si="21">IF(W596=1,G596,0)</f>
        <v>0</v>
      </c>
      <c r="W596" s="692"/>
    </row>
    <row r="597" spans="1:23" outlineLevel="3">
      <c r="A597" s="376"/>
      <c r="B597" s="376" t="s">
        <v>497</v>
      </c>
      <c r="C597" s="376" t="s">
        <v>1394</v>
      </c>
      <c r="D597" s="376" t="s">
        <v>159</v>
      </c>
      <c r="E597" s="376" t="s">
        <v>664</v>
      </c>
      <c r="F597" s="608" t="s">
        <v>208</v>
      </c>
      <c r="G597" s="609">
        <v>0.46</v>
      </c>
      <c r="H597" s="692">
        <v>1</v>
      </c>
      <c r="I597" s="626"/>
      <c r="J597" s="752"/>
      <c r="L597" s="608" t="s">
        <v>664</v>
      </c>
      <c r="M597" s="608" t="s">
        <v>1324</v>
      </c>
      <c r="N597" s="608" t="s">
        <v>1331</v>
      </c>
      <c r="O597" s="608"/>
      <c r="P597" s="608"/>
      <c r="Q597" s="608"/>
      <c r="R597" s="608"/>
      <c r="T597" s="752"/>
      <c r="V597" s="609">
        <f t="shared" si="21"/>
        <v>0</v>
      </c>
      <c r="W597" s="692"/>
    </row>
    <row r="598" spans="1:23" outlineLevel="2">
      <c r="A598" s="376"/>
      <c r="B598" s="684" t="s">
        <v>497</v>
      </c>
      <c r="C598" s="684" t="s">
        <v>1394</v>
      </c>
      <c r="D598" s="684" t="s">
        <v>518</v>
      </c>
      <c r="E598" s="684"/>
      <c r="F598" s="685" t="s">
        <v>1396</v>
      </c>
      <c r="G598" s="686">
        <f>SUBTOTAL(9,G599)</f>
        <v>0.19</v>
      </c>
      <c r="H598" s="691">
        <f>SUBTOTAL(9,H599)</f>
        <v>1</v>
      </c>
      <c r="I598" s="626"/>
      <c r="J598" s="752"/>
      <c r="L598" s="685"/>
      <c r="M598" s="685"/>
      <c r="N598" s="685"/>
      <c r="O598" s="685"/>
      <c r="P598" s="685"/>
      <c r="Q598" s="685"/>
      <c r="R598" s="685"/>
      <c r="T598" s="752"/>
      <c r="V598" s="686">
        <f>SUBTOTAL(9,V599)</f>
        <v>0</v>
      </c>
      <c r="W598" s="691">
        <f>SUBTOTAL(9,W599)</f>
        <v>0</v>
      </c>
    </row>
    <row r="599" spans="1:23" outlineLevel="3">
      <c r="A599" s="376"/>
      <c r="B599" s="376" t="s">
        <v>497</v>
      </c>
      <c r="C599" s="376" t="s">
        <v>1394</v>
      </c>
      <c r="D599" s="376" t="s">
        <v>518</v>
      </c>
      <c r="E599" s="376" t="s">
        <v>56</v>
      </c>
      <c r="F599" s="608" t="s">
        <v>36</v>
      </c>
      <c r="G599" s="609">
        <v>0.19</v>
      </c>
      <c r="H599" s="692">
        <v>1</v>
      </c>
      <c r="I599" s="626"/>
      <c r="J599" s="752"/>
      <c r="L599" s="608" t="s">
        <v>56</v>
      </c>
      <c r="M599" s="608" t="s">
        <v>1038</v>
      </c>
      <c r="N599" s="608" t="s">
        <v>1279</v>
      </c>
      <c r="O599" s="608" t="s">
        <v>1078</v>
      </c>
      <c r="P599" s="608" t="s">
        <v>1081</v>
      </c>
      <c r="Q599" s="608"/>
      <c r="R599" s="608">
        <v>0</v>
      </c>
      <c r="T599" s="752"/>
      <c r="V599" s="609">
        <f t="shared" ref="V599" si="22">IF(W599=1,G599,0)</f>
        <v>0</v>
      </c>
      <c r="W599" s="692"/>
    </row>
    <row r="600" spans="1:23" outlineLevel="2">
      <c r="A600" s="376"/>
      <c r="B600" s="684" t="s">
        <v>497</v>
      </c>
      <c r="C600" s="684" t="s">
        <v>1394</v>
      </c>
      <c r="D600" s="684" t="s">
        <v>441</v>
      </c>
      <c r="E600" s="684"/>
      <c r="F600" s="685" t="s">
        <v>1396</v>
      </c>
      <c r="G600" s="686">
        <f>SUBTOTAL(9,G601:G602)</f>
        <v>0.1</v>
      </c>
      <c r="H600" s="691">
        <f>SUBTOTAL(9,H601:H602)</f>
        <v>2</v>
      </c>
      <c r="I600" s="703"/>
      <c r="J600" s="755"/>
      <c r="K600" s="751"/>
      <c r="L600" s="685"/>
      <c r="M600" s="685"/>
      <c r="N600" s="685"/>
      <c r="O600" s="685"/>
      <c r="P600" s="685"/>
      <c r="Q600" s="685"/>
      <c r="R600" s="685"/>
      <c r="S600" s="751"/>
      <c r="T600" s="755"/>
      <c r="U600" s="751"/>
      <c r="V600" s="686">
        <f>SUBTOTAL(9,V601:V602)</f>
        <v>0</v>
      </c>
      <c r="W600" s="691">
        <f>SUBTOTAL(9,W601:W602)</f>
        <v>0</v>
      </c>
    </row>
    <row r="601" spans="1:23" ht="39.6" outlineLevel="3">
      <c r="A601" s="376"/>
      <c r="B601" s="376" t="s">
        <v>497</v>
      </c>
      <c r="C601" s="376" t="s">
        <v>1394</v>
      </c>
      <c r="D601" s="376" t="s">
        <v>441</v>
      </c>
      <c r="E601" s="376" t="s">
        <v>437</v>
      </c>
      <c r="F601" s="608" t="s">
        <v>36</v>
      </c>
      <c r="G601" s="609">
        <v>0.05</v>
      </c>
      <c r="H601" s="692">
        <v>1</v>
      </c>
      <c r="I601" s="626"/>
      <c r="J601" s="752"/>
      <c r="L601" s="608" t="s">
        <v>437</v>
      </c>
      <c r="M601" s="608" t="s">
        <v>966</v>
      </c>
      <c r="N601" s="608" t="s">
        <v>1397</v>
      </c>
      <c r="O601" s="608" t="s">
        <v>1398</v>
      </c>
      <c r="P601" s="608"/>
      <c r="Q601" s="608"/>
      <c r="R601" s="608"/>
      <c r="T601" s="752"/>
      <c r="V601" s="609">
        <f t="shared" ref="V601:V602" si="23">IF(W601=1,G601,0)</f>
        <v>0</v>
      </c>
      <c r="W601" s="692"/>
    </row>
    <row r="602" spans="1:23" ht="39.6" outlineLevel="3">
      <c r="A602" s="376"/>
      <c r="B602" s="376" t="s">
        <v>497</v>
      </c>
      <c r="C602" s="376" t="s">
        <v>1394</v>
      </c>
      <c r="D602" s="376" t="s">
        <v>441</v>
      </c>
      <c r="E602" s="376" t="s">
        <v>437</v>
      </c>
      <c r="F602" s="608" t="s">
        <v>208</v>
      </c>
      <c r="G602" s="609">
        <v>0.05</v>
      </c>
      <c r="H602" s="692">
        <v>1</v>
      </c>
      <c r="I602" s="626"/>
      <c r="J602" s="752"/>
      <c r="L602" s="608" t="s">
        <v>437</v>
      </c>
      <c r="M602" s="608" t="s">
        <v>966</v>
      </c>
      <c r="N602" s="608" t="s">
        <v>1397</v>
      </c>
      <c r="O602" s="608" t="s">
        <v>1398</v>
      </c>
      <c r="P602" s="608"/>
      <c r="Q602" s="608"/>
      <c r="R602" s="608"/>
      <c r="T602" s="752"/>
      <c r="V602" s="609">
        <f t="shared" si="23"/>
        <v>0</v>
      </c>
      <c r="W602" s="692"/>
    </row>
    <row r="603" spans="1:23" outlineLevel="2">
      <c r="A603" s="376"/>
      <c r="B603" s="684" t="s">
        <v>497</v>
      </c>
      <c r="C603" s="684" t="s">
        <v>1394</v>
      </c>
      <c r="D603" s="684" t="s">
        <v>860</v>
      </c>
      <c r="E603" s="684"/>
      <c r="F603" s="685" t="s">
        <v>1396</v>
      </c>
      <c r="G603" s="686">
        <f>SUBTOTAL(9,G604)</f>
        <v>0.05</v>
      </c>
      <c r="H603" s="691">
        <f>SUBTOTAL(9,H604)</f>
        <v>1</v>
      </c>
      <c r="I603" s="626"/>
      <c r="J603" s="752"/>
      <c r="L603" s="685"/>
      <c r="M603" s="685"/>
      <c r="N603" s="685"/>
      <c r="O603" s="685"/>
      <c r="P603" s="685"/>
      <c r="Q603" s="685"/>
      <c r="R603" s="685"/>
      <c r="T603" s="752"/>
      <c r="V603" s="686">
        <f>SUBTOTAL(9,V604)</f>
        <v>0</v>
      </c>
      <c r="W603" s="691">
        <f>SUBTOTAL(9,W604)</f>
        <v>0</v>
      </c>
    </row>
    <row r="604" spans="1:23" outlineLevel="3">
      <c r="A604" s="376"/>
      <c r="B604" s="376" t="s">
        <v>497</v>
      </c>
      <c r="C604" s="376" t="s">
        <v>1394</v>
      </c>
      <c r="D604" s="376" t="s">
        <v>860</v>
      </c>
      <c r="E604" s="376" t="s">
        <v>437</v>
      </c>
      <c r="F604" s="608" t="s">
        <v>208</v>
      </c>
      <c r="G604" s="609">
        <v>0.05</v>
      </c>
      <c r="H604" s="692">
        <v>1</v>
      </c>
      <c r="I604" s="626"/>
      <c r="J604" s="752"/>
      <c r="L604" s="608" t="s">
        <v>437</v>
      </c>
      <c r="M604" s="608" t="s">
        <v>996</v>
      </c>
      <c r="N604" s="608" t="s">
        <v>1346</v>
      </c>
      <c r="O604" s="608"/>
      <c r="P604" s="608"/>
      <c r="Q604" s="608"/>
      <c r="R604" s="608"/>
      <c r="T604" s="752"/>
      <c r="V604" s="609">
        <f t="shared" ref="V604" si="24">IF(W604=1,G604,0)</f>
        <v>0</v>
      </c>
      <c r="W604" s="692"/>
    </row>
    <row r="605" spans="1:23" outlineLevel="1">
      <c r="A605" s="376"/>
      <c r="B605" s="682" t="s">
        <v>1399</v>
      </c>
      <c r="C605" s="682" t="s">
        <v>1400</v>
      </c>
      <c r="D605" s="682"/>
      <c r="E605" s="682"/>
      <c r="F605" s="681" t="s">
        <v>947</v>
      </c>
      <c r="G605" s="724">
        <f>SUBTOTAL(9,G606:G617)</f>
        <v>0.19417209600000002</v>
      </c>
      <c r="H605" s="725">
        <f>SUBTOTAL(9,H606:H617)</f>
        <v>8</v>
      </c>
      <c r="I605" s="626"/>
      <c r="J605" s="752"/>
      <c r="L605" s="763"/>
      <c r="M605" s="763"/>
      <c r="N605" s="763"/>
      <c r="O605" s="763"/>
      <c r="P605" s="763"/>
      <c r="Q605" s="763"/>
      <c r="R605" s="763"/>
      <c r="T605" s="752"/>
      <c r="V605" s="724">
        <f>SUBTOTAL(9,V606:V617)</f>
        <v>0</v>
      </c>
      <c r="W605" s="725">
        <f>SUBTOTAL(9,W606:W617)</f>
        <v>0</v>
      </c>
    </row>
    <row r="606" spans="1:23" outlineLevel="2">
      <c r="A606" s="376"/>
      <c r="B606" s="688" t="s">
        <v>1400</v>
      </c>
      <c r="C606" s="688" t="s">
        <v>1400</v>
      </c>
      <c r="D606" s="688" t="s">
        <v>159</v>
      </c>
      <c r="E606" s="688"/>
      <c r="F606" s="712" t="s">
        <v>1286</v>
      </c>
      <c r="G606" s="686">
        <f>SUBTOTAL(9,G607:G609)</f>
        <v>0.153458592</v>
      </c>
      <c r="H606" s="691">
        <f>SUBTOTAL(9,H607:H609)</f>
        <v>3</v>
      </c>
      <c r="I606" s="626"/>
      <c r="J606" s="752"/>
      <c r="L606" s="712"/>
      <c r="M606" s="712"/>
      <c r="N606" s="712"/>
      <c r="O606" s="712"/>
      <c r="P606" s="712"/>
      <c r="Q606" s="712"/>
      <c r="R606" s="712"/>
      <c r="T606" s="752"/>
      <c r="V606" s="686">
        <f>SUBTOTAL(9,V607:V609)</f>
        <v>0</v>
      </c>
      <c r="W606" s="691">
        <f>SUBTOTAL(9,W607:W609)</f>
        <v>0</v>
      </c>
    </row>
    <row r="607" spans="1:23" outlineLevel="3">
      <c r="A607" s="376"/>
      <c r="B607" s="456" t="s">
        <v>1400</v>
      </c>
      <c r="C607" s="456" t="s">
        <v>1400</v>
      </c>
      <c r="D607" s="456" t="s">
        <v>159</v>
      </c>
      <c r="E607" s="456" t="s">
        <v>1236</v>
      </c>
      <c r="F607" s="623" t="s">
        <v>1401</v>
      </c>
      <c r="G607" s="745">
        <v>4.3845312000000004E-2</v>
      </c>
      <c r="H607" s="746">
        <v>1</v>
      </c>
      <c r="I607" s="626"/>
      <c r="J607" s="752"/>
      <c r="L607" s="623" t="s">
        <v>1236</v>
      </c>
      <c r="M607" s="623"/>
      <c r="N607" s="623"/>
      <c r="O607" s="623"/>
      <c r="P607" s="623"/>
      <c r="Q607" s="623"/>
      <c r="R607" s="623"/>
      <c r="T607" s="752"/>
      <c r="V607" s="609">
        <f t="shared" ref="V607:V609" si="25">IF(W607=1,G607,0)</f>
        <v>0</v>
      </c>
      <c r="W607" s="746"/>
    </row>
    <row r="608" spans="1:23" outlineLevel="3">
      <c r="A608" s="376"/>
      <c r="B608" s="456" t="s">
        <v>1400</v>
      </c>
      <c r="C608" s="456" t="s">
        <v>1400</v>
      </c>
      <c r="D608" s="456" t="s">
        <v>159</v>
      </c>
      <c r="E608" s="456" t="s">
        <v>1236</v>
      </c>
      <c r="F608" s="623" t="s">
        <v>36</v>
      </c>
      <c r="G608" s="745">
        <v>6.576796800000001E-2</v>
      </c>
      <c r="H608" s="746">
        <v>1</v>
      </c>
      <c r="I608" s="626"/>
      <c r="J608" s="752"/>
      <c r="L608" s="623" t="s">
        <v>1236</v>
      </c>
      <c r="M608" s="623"/>
      <c r="N608" s="623"/>
      <c r="O608" s="623"/>
      <c r="P608" s="623"/>
      <c r="Q608" s="623"/>
      <c r="R608" s="623"/>
      <c r="T608" s="752"/>
      <c r="V608" s="609">
        <f t="shared" si="25"/>
        <v>0</v>
      </c>
      <c r="W608" s="746"/>
    </row>
    <row r="609" spans="1:23" outlineLevel="3">
      <c r="A609" s="376"/>
      <c r="B609" s="456" t="s">
        <v>1400</v>
      </c>
      <c r="C609" s="456" t="s">
        <v>1400</v>
      </c>
      <c r="D609" s="456" t="s">
        <v>159</v>
      </c>
      <c r="E609" s="456" t="s">
        <v>1236</v>
      </c>
      <c r="F609" s="623" t="s">
        <v>208</v>
      </c>
      <c r="G609" s="745">
        <v>4.3845312000000004E-2</v>
      </c>
      <c r="H609" s="746">
        <v>1</v>
      </c>
      <c r="I609" s="626"/>
      <c r="J609" s="752"/>
      <c r="L609" s="623" t="s">
        <v>1236</v>
      </c>
      <c r="M609" s="623"/>
      <c r="N609" s="623"/>
      <c r="O609" s="623"/>
      <c r="P609" s="623"/>
      <c r="Q609" s="623"/>
      <c r="R609" s="623"/>
      <c r="T609" s="752"/>
      <c r="V609" s="609">
        <f t="shared" si="25"/>
        <v>0</v>
      </c>
      <c r="W609" s="746"/>
    </row>
    <row r="610" spans="1:23" outlineLevel="2">
      <c r="A610" s="376"/>
      <c r="B610" s="688" t="s">
        <v>1400</v>
      </c>
      <c r="C610" s="688" t="s">
        <v>1400</v>
      </c>
      <c r="D610" s="688" t="s">
        <v>518</v>
      </c>
      <c r="E610" s="688"/>
      <c r="F610" s="712" t="s">
        <v>1259</v>
      </c>
      <c r="G610" s="686">
        <f>SUBTOTAL(9,G611)</f>
        <v>2.0043571200000002E-2</v>
      </c>
      <c r="H610" s="691">
        <f>SUBTOTAL(9,H611)</f>
        <v>1</v>
      </c>
      <c r="I610" s="626"/>
      <c r="J610" s="752"/>
      <c r="L610" s="712"/>
      <c r="M610" s="712"/>
      <c r="N610" s="712"/>
      <c r="O610" s="712"/>
      <c r="P610" s="712"/>
      <c r="Q610" s="712"/>
      <c r="R610" s="712"/>
      <c r="T610" s="752"/>
      <c r="V610" s="686">
        <f>SUBTOTAL(9,V611)</f>
        <v>0</v>
      </c>
      <c r="W610" s="691">
        <f>SUBTOTAL(9,W611)</f>
        <v>0</v>
      </c>
    </row>
    <row r="611" spans="1:23" outlineLevel="3">
      <c r="A611" s="376"/>
      <c r="B611" s="456" t="s">
        <v>1400</v>
      </c>
      <c r="C611" s="456" t="s">
        <v>1400</v>
      </c>
      <c r="D611" s="456" t="s">
        <v>518</v>
      </c>
      <c r="E611" s="456" t="s">
        <v>56</v>
      </c>
      <c r="F611" s="623" t="s">
        <v>36</v>
      </c>
      <c r="G611" s="745">
        <v>2.0043571200000002E-2</v>
      </c>
      <c r="H611" s="746">
        <v>1</v>
      </c>
      <c r="I611" s="626"/>
      <c r="J611" s="752"/>
      <c r="L611" s="623" t="s">
        <v>56</v>
      </c>
      <c r="M611" s="623" t="s">
        <v>1257</v>
      </c>
      <c r="N611" s="623" t="s">
        <v>1078</v>
      </c>
      <c r="O611" s="623"/>
      <c r="P611" s="623" t="s">
        <v>1155</v>
      </c>
      <c r="Q611" s="623"/>
      <c r="R611" s="623">
        <v>0</v>
      </c>
      <c r="T611" s="752"/>
      <c r="V611" s="609">
        <f t="shared" ref="V611" si="26">IF(W611=1,G611,0)</f>
        <v>0</v>
      </c>
      <c r="W611" s="746"/>
    </row>
    <row r="612" spans="1:23" outlineLevel="2">
      <c r="A612" s="376"/>
      <c r="B612" s="688" t="s">
        <v>1400</v>
      </c>
      <c r="C612" s="688" t="s">
        <v>1400</v>
      </c>
      <c r="D612" s="688" t="s">
        <v>441</v>
      </c>
      <c r="E612" s="688"/>
      <c r="F612" s="712" t="s">
        <v>1286</v>
      </c>
      <c r="G612" s="686">
        <f>SUBTOTAL(9,G613:G614)</f>
        <v>1.1274508799999999E-2</v>
      </c>
      <c r="H612" s="691">
        <f>SUBTOTAL(9,H613:H614)</f>
        <v>2</v>
      </c>
      <c r="I612" s="626"/>
      <c r="J612" s="752"/>
      <c r="L612" s="712"/>
      <c r="M612" s="712"/>
      <c r="N612" s="712"/>
      <c r="O612" s="712"/>
      <c r="P612" s="712"/>
      <c r="Q612" s="712"/>
      <c r="R612" s="712"/>
      <c r="T612" s="752"/>
      <c r="V612" s="686">
        <f>SUBTOTAL(9,V613:V614)</f>
        <v>0</v>
      </c>
      <c r="W612" s="691">
        <f>SUBTOTAL(9,W613:W614)</f>
        <v>0</v>
      </c>
    </row>
    <row r="613" spans="1:23" ht="39.6" outlineLevel="3">
      <c r="A613" s="376"/>
      <c r="B613" s="456" t="s">
        <v>1400</v>
      </c>
      <c r="C613" s="456" t="s">
        <v>1400</v>
      </c>
      <c r="D613" s="456" t="s">
        <v>441</v>
      </c>
      <c r="E613" s="456" t="s">
        <v>437</v>
      </c>
      <c r="F613" s="623" t="s">
        <v>36</v>
      </c>
      <c r="G613" s="745">
        <v>5.6372543999999997E-3</v>
      </c>
      <c r="H613" s="746">
        <v>1</v>
      </c>
      <c r="I613" s="626"/>
      <c r="J613" s="752"/>
      <c r="L613" s="623" t="s">
        <v>437</v>
      </c>
      <c r="M613" s="623" t="s">
        <v>966</v>
      </c>
      <c r="N613" s="623" t="s">
        <v>967</v>
      </c>
      <c r="O613" s="623" t="s">
        <v>995</v>
      </c>
      <c r="P613" s="623"/>
      <c r="Q613" s="623"/>
      <c r="R613" s="623"/>
      <c r="T613" s="752"/>
      <c r="V613" s="609">
        <f t="shared" ref="V613:V614" si="27">IF(W613=1,G613,0)</f>
        <v>0</v>
      </c>
      <c r="W613" s="746"/>
    </row>
    <row r="614" spans="1:23" ht="39.6" outlineLevel="3">
      <c r="A614" s="376"/>
      <c r="B614" s="456" t="s">
        <v>1400</v>
      </c>
      <c r="C614" s="456" t="s">
        <v>1400</v>
      </c>
      <c r="D614" s="456" t="s">
        <v>441</v>
      </c>
      <c r="E614" s="456" t="s">
        <v>437</v>
      </c>
      <c r="F614" s="623" t="s">
        <v>208</v>
      </c>
      <c r="G614" s="745">
        <v>5.6372543999999997E-3</v>
      </c>
      <c r="H614" s="746">
        <v>1</v>
      </c>
      <c r="I614" s="626"/>
      <c r="J614" s="752"/>
      <c r="L614" s="623" t="s">
        <v>437</v>
      </c>
      <c r="M614" s="623" t="s">
        <v>966</v>
      </c>
      <c r="N614" s="623" t="s">
        <v>967</v>
      </c>
      <c r="O614" s="623" t="s">
        <v>995</v>
      </c>
      <c r="P614" s="623"/>
      <c r="Q614" s="623"/>
      <c r="R614" s="623"/>
      <c r="T614" s="752"/>
      <c r="V614" s="609">
        <f t="shared" si="27"/>
        <v>0</v>
      </c>
      <c r="W614" s="746"/>
    </row>
    <row r="615" spans="1:23" outlineLevel="2">
      <c r="A615" s="376"/>
      <c r="B615" s="688" t="s">
        <v>1400</v>
      </c>
      <c r="C615" s="688" t="s">
        <v>1400</v>
      </c>
      <c r="D615" s="688" t="s">
        <v>860</v>
      </c>
      <c r="E615" s="688"/>
      <c r="F615" s="712" t="s">
        <v>1286</v>
      </c>
      <c r="G615" s="686">
        <f>SUBTOTAL(9,G616:G617)</f>
        <v>9.3954239999999994E-3</v>
      </c>
      <c r="H615" s="691">
        <f>SUBTOTAL(9,H616:H617)</f>
        <v>2</v>
      </c>
      <c r="I615" s="626"/>
      <c r="J615" s="752"/>
      <c r="L615" s="712"/>
      <c r="M615" s="712"/>
      <c r="N615" s="712"/>
      <c r="O615" s="712"/>
      <c r="P615" s="712"/>
      <c r="Q615" s="712"/>
      <c r="R615" s="712"/>
      <c r="T615" s="752"/>
      <c r="V615" s="686">
        <f>SUBTOTAL(9,V616:V617)</f>
        <v>0</v>
      </c>
      <c r="W615" s="691">
        <f>SUBTOTAL(9,W616:W617)</f>
        <v>0</v>
      </c>
    </row>
    <row r="616" spans="1:23" outlineLevel="3">
      <c r="A616" s="376"/>
      <c r="B616" s="456" t="s">
        <v>1400</v>
      </c>
      <c r="C616" s="456" t="s">
        <v>1400</v>
      </c>
      <c r="D616" s="456" t="s">
        <v>860</v>
      </c>
      <c r="E616" s="456" t="s">
        <v>437</v>
      </c>
      <c r="F616" s="623" t="s">
        <v>36</v>
      </c>
      <c r="G616" s="745">
        <v>4.6977119999999997E-3</v>
      </c>
      <c r="H616" s="746">
        <v>1</v>
      </c>
      <c r="I616" s="626"/>
      <c r="J616" s="752"/>
      <c r="L616" s="623" t="s">
        <v>437</v>
      </c>
      <c r="M616" s="623" t="s">
        <v>996</v>
      </c>
      <c r="N616" s="623" t="s">
        <v>1244</v>
      </c>
      <c r="O616" s="623"/>
      <c r="P616" s="623"/>
      <c r="Q616" s="623"/>
      <c r="R616" s="623"/>
      <c r="T616" s="752"/>
      <c r="V616" s="609">
        <f t="shared" ref="V616:V617" si="28">IF(W616=1,G616,0)</f>
        <v>0</v>
      </c>
      <c r="W616" s="746"/>
    </row>
    <row r="617" spans="1:23" outlineLevel="3">
      <c r="A617" s="376"/>
      <c r="B617" s="456" t="s">
        <v>1400</v>
      </c>
      <c r="C617" s="456" t="s">
        <v>1400</v>
      </c>
      <c r="D617" s="456" t="s">
        <v>860</v>
      </c>
      <c r="E617" s="456" t="s">
        <v>437</v>
      </c>
      <c r="F617" s="623" t="s">
        <v>208</v>
      </c>
      <c r="G617" s="745">
        <v>4.6977119999999997E-3</v>
      </c>
      <c r="H617" s="746">
        <v>1</v>
      </c>
      <c r="I617" s="626"/>
      <c r="J617" s="752"/>
      <c r="L617" s="623" t="s">
        <v>437</v>
      </c>
      <c r="M617" s="623" t="s">
        <v>996</v>
      </c>
      <c r="N617" s="623" t="s">
        <v>1244</v>
      </c>
      <c r="O617" s="623"/>
      <c r="P617" s="623"/>
      <c r="Q617" s="623"/>
      <c r="R617" s="623"/>
      <c r="T617" s="752"/>
      <c r="V617" s="609">
        <f t="shared" si="28"/>
        <v>0</v>
      </c>
      <c r="W617" s="746"/>
    </row>
    <row r="618" spans="1:23" s="748" customFormat="1" outlineLevel="1">
      <c r="A618" s="456"/>
      <c r="B618" s="682" t="s">
        <v>1402</v>
      </c>
      <c r="C618" s="682" t="s">
        <v>1403</v>
      </c>
      <c r="D618" s="682"/>
      <c r="E618" s="682"/>
      <c r="F618" s="681" t="s">
        <v>947</v>
      </c>
      <c r="G618" s="724">
        <f>SUBTOTAL(9,G619:G631)</f>
        <v>7.2666828000000008</v>
      </c>
      <c r="H618" s="725">
        <f>SUBTOTAL(9,H619:H631)</f>
        <v>9</v>
      </c>
      <c r="I618" s="747"/>
      <c r="J618" s="759"/>
      <c r="L618" s="763"/>
      <c r="M618" s="763"/>
      <c r="N618" s="763"/>
      <c r="O618" s="763"/>
      <c r="P618" s="763"/>
      <c r="Q618" s="763"/>
      <c r="R618" s="763"/>
      <c r="T618" s="759"/>
      <c r="V618" s="724">
        <f>SUBTOTAL(9,V619:V631)</f>
        <v>0</v>
      </c>
      <c r="W618" s="725">
        <f>SUBTOTAL(9,W619:W631)</f>
        <v>0</v>
      </c>
    </row>
    <row r="619" spans="1:23" ht="26.45" outlineLevel="2">
      <c r="A619" s="376"/>
      <c r="B619" s="684" t="s">
        <v>1402</v>
      </c>
      <c r="C619" s="684" t="s">
        <v>1403</v>
      </c>
      <c r="D619" s="684" t="s">
        <v>159</v>
      </c>
      <c r="E619" s="684"/>
      <c r="F619" s="685" t="s">
        <v>1404</v>
      </c>
      <c r="G619" s="686">
        <f>SUBTOTAL(9,G620:G623)</f>
        <v>5.1246</v>
      </c>
      <c r="H619" s="691">
        <f>SUBTOTAL(9,H620:H623)</f>
        <v>4</v>
      </c>
      <c r="I619" s="626"/>
      <c r="J619" s="752"/>
      <c r="L619" s="685"/>
      <c r="M619" s="685" t="s">
        <v>1312</v>
      </c>
      <c r="N619" s="685"/>
      <c r="O619" s="685"/>
      <c r="P619" s="685"/>
      <c r="Q619" s="685"/>
      <c r="R619" s="685"/>
      <c r="T619" s="752"/>
      <c r="V619" s="686">
        <f>SUBTOTAL(9,V620:V623)</f>
        <v>0</v>
      </c>
      <c r="W619" s="691">
        <f>SUBTOTAL(9,W620:W623)</f>
        <v>0</v>
      </c>
    </row>
    <row r="620" spans="1:23" outlineLevel="3">
      <c r="A620" s="376"/>
      <c r="B620" s="376" t="s">
        <v>1402</v>
      </c>
      <c r="C620" s="376" t="s">
        <v>1403</v>
      </c>
      <c r="D620" s="376" t="s">
        <v>159</v>
      </c>
      <c r="E620" s="376" t="s">
        <v>664</v>
      </c>
      <c r="F620" s="608" t="s">
        <v>1405</v>
      </c>
      <c r="G620" s="609">
        <v>3.3116500000000002</v>
      </c>
      <c r="H620" s="692">
        <v>1</v>
      </c>
      <c r="I620" s="626"/>
      <c r="J620" s="752"/>
      <c r="L620" s="608" t="s">
        <v>664</v>
      </c>
      <c r="M620" s="608" t="s">
        <v>664</v>
      </c>
      <c r="N620" s="608" t="s">
        <v>1338</v>
      </c>
      <c r="O620" s="608"/>
      <c r="P620" s="608"/>
      <c r="Q620" s="608"/>
      <c r="R620" s="608"/>
      <c r="T620" s="752"/>
      <c r="V620" s="609">
        <f t="shared" ref="V620:V623" si="29">IF(W620=1,G620,0)</f>
        <v>0</v>
      </c>
      <c r="W620" s="692"/>
    </row>
    <row r="621" spans="1:23" outlineLevel="3">
      <c r="A621" s="376"/>
      <c r="B621" s="376" t="s">
        <v>1402</v>
      </c>
      <c r="C621" s="376" t="s">
        <v>1403</v>
      </c>
      <c r="D621" s="376" t="s">
        <v>159</v>
      </c>
      <c r="E621" s="376" t="s">
        <v>664</v>
      </c>
      <c r="F621" s="608" t="s">
        <v>208</v>
      </c>
      <c r="G621" s="609">
        <v>1.6558250000000001</v>
      </c>
      <c r="H621" s="692">
        <v>1</v>
      </c>
      <c r="I621" s="626"/>
      <c r="J621" s="752"/>
      <c r="L621" s="608" t="s">
        <v>664</v>
      </c>
      <c r="M621" s="608" t="s">
        <v>1001</v>
      </c>
      <c r="N621" s="608" t="s">
        <v>1338</v>
      </c>
      <c r="O621" s="608"/>
      <c r="P621" s="608"/>
      <c r="Q621" s="608"/>
      <c r="R621" s="608"/>
      <c r="T621" s="752"/>
      <c r="V621" s="609">
        <f t="shared" si="29"/>
        <v>0</v>
      </c>
      <c r="W621" s="692"/>
    </row>
    <row r="622" spans="1:23" outlineLevel="3">
      <c r="A622" s="376"/>
      <c r="B622" s="376" t="s">
        <v>1402</v>
      </c>
      <c r="C622" s="376" t="s">
        <v>1403</v>
      </c>
      <c r="D622" s="376" t="s">
        <v>159</v>
      </c>
      <c r="E622" s="376" t="s">
        <v>1159</v>
      </c>
      <c r="F622" s="628" t="s">
        <v>38</v>
      </c>
      <c r="G622" s="609">
        <v>0.10475000000000001</v>
      </c>
      <c r="H622" s="692">
        <v>1</v>
      </c>
      <c r="I622" s="626"/>
      <c r="J622" s="752"/>
      <c r="L622" s="608" t="s">
        <v>1159</v>
      </c>
      <c r="M622" s="608"/>
      <c r="N622" s="608"/>
      <c r="O622" s="608"/>
      <c r="P622" s="608"/>
      <c r="Q622" s="608"/>
      <c r="R622" s="608"/>
      <c r="T622" s="752"/>
      <c r="V622" s="609">
        <f t="shared" si="29"/>
        <v>0</v>
      </c>
      <c r="W622" s="692"/>
    </row>
    <row r="623" spans="1:23" outlineLevel="3">
      <c r="A623" s="376"/>
      <c r="B623" s="376" t="s">
        <v>1402</v>
      </c>
      <c r="C623" s="376" t="s">
        <v>1403</v>
      </c>
      <c r="D623" s="376" t="s">
        <v>159</v>
      </c>
      <c r="E623" s="376" t="s">
        <v>1159</v>
      </c>
      <c r="F623" s="628" t="s">
        <v>1287</v>
      </c>
      <c r="G623" s="609">
        <v>5.2375000000000005E-2</v>
      </c>
      <c r="H623" s="692">
        <v>1</v>
      </c>
      <c r="I623" s="626"/>
      <c r="J623" s="752"/>
      <c r="L623" s="608" t="s">
        <v>1159</v>
      </c>
      <c r="M623" s="608"/>
      <c r="N623" s="608"/>
      <c r="O623" s="608"/>
      <c r="P623" s="608"/>
      <c r="Q623" s="608"/>
      <c r="R623" s="608"/>
      <c r="T623" s="752"/>
      <c r="V623" s="609">
        <f t="shared" si="29"/>
        <v>0</v>
      </c>
      <c r="W623" s="692"/>
    </row>
    <row r="624" spans="1:23" outlineLevel="2">
      <c r="A624" s="376"/>
      <c r="B624" s="684" t="s">
        <v>1402</v>
      </c>
      <c r="C624" s="684" t="s">
        <v>1403</v>
      </c>
      <c r="D624" s="684" t="s">
        <v>518</v>
      </c>
      <c r="E624" s="684"/>
      <c r="F624" s="685" t="s">
        <v>1404</v>
      </c>
      <c r="G624" s="686">
        <f>SUBTOTAL(9,G625)</f>
        <v>1.0864152</v>
      </c>
      <c r="H624" s="691">
        <f>SUBTOTAL(9,H625)</f>
        <v>1</v>
      </c>
      <c r="I624" s="626"/>
      <c r="J624" s="752"/>
      <c r="L624" s="685"/>
      <c r="M624" s="685"/>
      <c r="N624" s="685"/>
      <c r="O624" s="685"/>
      <c r="P624" s="685"/>
      <c r="Q624" s="685"/>
      <c r="R624" s="685"/>
      <c r="T624" s="752"/>
      <c r="V624" s="686">
        <f>SUBTOTAL(9,V625)</f>
        <v>0</v>
      </c>
      <c r="W624" s="691">
        <f>SUBTOTAL(9,W625)</f>
        <v>0</v>
      </c>
    </row>
    <row r="625" spans="1:23" outlineLevel="3">
      <c r="A625" s="376"/>
      <c r="B625" s="376" t="s">
        <v>1402</v>
      </c>
      <c r="C625" s="376" t="s">
        <v>1403</v>
      </c>
      <c r="D625" s="376" t="s">
        <v>518</v>
      </c>
      <c r="E625" s="376" t="s">
        <v>56</v>
      </c>
      <c r="F625" s="608" t="s">
        <v>1405</v>
      </c>
      <c r="G625" s="609">
        <v>1.0864152</v>
      </c>
      <c r="H625" s="692">
        <v>1</v>
      </c>
      <c r="I625" s="626"/>
      <c r="J625" s="752"/>
      <c r="L625" s="608" t="s">
        <v>56</v>
      </c>
      <c r="M625" s="608" t="s">
        <v>1038</v>
      </c>
      <c r="N625" s="608" t="s">
        <v>1039</v>
      </c>
      <c r="O625" s="608" t="s">
        <v>1078</v>
      </c>
      <c r="P625" s="608" t="s">
        <v>1040</v>
      </c>
      <c r="Q625" s="608"/>
      <c r="R625" s="608">
        <v>0</v>
      </c>
      <c r="T625" s="752"/>
      <c r="V625" s="609">
        <f t="shared" ref="V625" si="30">IF(W625=1,G625,0)</f>
        <v>0</v>
      </c>
      <c r="W625" s="692"/>
    </row>
    <row r="626" spans="1:23" outlineLevel="2">
      <c r="A626" s="376"/>
      <c r="B626" s="684" t="s">
        <v>1402</v>
      </c>
      <c r="C626" s="684" t="s">
        <v>1403</v>
      </c>
      <c r="D626" s="684" t="s">
        <v>441</v>
      </c>
      <c r="E626" s="684"/>
      <c r="F626" s="685" t="s">
        <v>1404</v>
      </c>
      <c r="G626" s="686">
        <f>SUBTOTAL(9,G627:G628)</f>
        <v>0.6047028000000001</v>
      </c>
      <c r="H626" s="691">
        <f>SUBTOTAL(9,H627:H628)</f>
        <v>2</v>
      </c>
      <c r="I626" s="626"/>
      <c r="J626" s="752"/>
      <c r="L626" s="685"/>
      <c r="M626" s="685"/>
      <c r="N626" s="685"/>
      <c r="O626" s="685"/>
      <c r="P626" s="685"/>
      <c r="Q626" s="685"/>
      <c r="R626" s="685"/>
      <c r="T626" s="752"/>
      <c r="V626" s="686">
        <f>SUBTOTAL(9,V627:V628)</f>
        <v>0</v>
      </c>
      <c r="W626" s="691">
        <f>SUBTOTAL(9,W627:W628)</f>
        <v>0</v>
      </c>
    </row>
    <row r="627" spans="1:23" outlineLevel="3">
      <c r="A627" s="376"/>
      <c r="B627" s="376" t="s">
        <v>1402</v>
      </c>
      <c r="C627" s="376" t="s">
        <v>1403</v>
      </c>
      <c r="D627" s="376" t="s">
        <v>441</v>
      </c>
      <c r="E627" s="376" t="s">
        <v>437</v>
      </c>
      <c r="F627" s="608" t="s">
        <v>36</v>
      </c>
      <c r="G627" s="609">
        <v>0.40313520000000003</v>
      </c>
      <c r="H627" s="692">
        <v>1</v>
      </c>
      <c r="I627" s="626"/>
      <c r="J627" s="752"/>
      <c r="L627" s="608" t="s">
        <v>437</v>
      </c>
      <c r="M627" s="608"/>
      <c r="N627" s="608"/>
      <c r="O627" s="608"/>
      <c r="P627" s="608"/>
      <c r="Q627" s="608"/>
      <c r="R627" s="608"/>
      <c r="T627" s="752"/>
      <c r="V627" s="609">
        <f t="shared" ref="V627:V628" si="31">IF(W627=1,G627,0)</f>
        <v>0</v>
      </c>
      <c r="W627" s="692"/>
    </row>
    <row r="628" spans="1:23" outlineLevel="3">
      <c r="A628" s="376"/>
      <c r="B628" s="376" t="s">
        <v>1402</v>
      </c>
      <c r="C628" s="376" t="s">
        <v>1403</v>
      </c>
      <c r="D628" s="376" t="s">
        <v>441</v>
      </c>
      <c r="E628" s="376" t="s">
        <v>437</v>
      </c>
      <c r="F628" s="608" t="s">
        <v>208</v>
      </c>
      <c r="G628" s="609">
        <v>0.20156760000000001</v>
      </c>
      <c r="H628" s="692">
        <v>1</v>
      </c>
      <c r="I628" s="626"/>
      <c r="J628" s="752"/>
      <c r="L628" s="608" t="s">
        <v>437</v>
      </c>
      <c r="M628" s="608"/>
      <c r="N628" s="608"/>
      <c r="O628" s="608"/>
      <c r="P628" s="608"/>
      <c r="Q628" s="608"/>
      <c r="R628" s="608"/>
      <c r="T628" s="752"/>
      <c r="V628" s="609">
        <f t="shared" si="31"/>
        <v>0</v>
      </c>
      <c r="W628" s="692"/>
    </row>
    <row r="629" spans="1:23" outlineLevel="2">
      <c r="A629" s="376"/>
      <c r="B629" s="684" t="s">
        <v>1402</v>
      </c>
      <c r="C629" s="684" t="s">
        <v>1403</v>
      </c>
      <c r="D629" s="684" t="s">
        <v>860</v>
      </c>
      <c r="E629" s="684"/>
      <c r="F629" s="685" t="s">
        <v>1404</v>
      </c>
      <c r="G629" s="686">
        <f>SUBTOTAL(9,G630:G631)</f>
        <v>0.45096479999999994</v>
      </c>
      <c r="H629" s="691">
        <f>SUBTOTAL(9,H630:H631)</f>
        <v>2</v>
      </c>
      <c r="I629" s="626"/>
      <c r="J629" s="752"/>
      <c r="L629" s="685"/>
      <c r="M629" s="685"/>
      <c r="N629" s="685"/>
      <c r="O629" s="685"/>
      <c r="P629" s="685"/>
      <c r="Q629" s="685"/>
      <c r="R629" s="685"/>
      <c r="T629" s="752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1402</v>
      </c>
      <c r="C630" s="376" t="s">
        <v>1403</v>
      </c>
      <c r="D630" s="376" t="s">
        <v>860</v>
      </c>
      <c r="E630" s="376" t="s">
        <v>437</v>
      </c>
      <c r="F630" s="608" t="s">
        <v>36</v>
      </c>
      <c r="G630" s="609">
        <v>0.33822359999999996</v>
      </c>
      <c r="H630" s="692">
        <v>1</v>
      </c>
      <c r="I630" s="626"/>
      <c r="J630" s="752"/>
      <c r="L630" s="608" t="s">
        <v>437</v>
      </c>
      <c r="M630" s="608"/>
      <c r="N630" s="608"/>
      <c r="O630" s="608"/>
      <c r="P630" s="608"/>
      <c r="Q630" s="608"/>
      <c r="R630" s="608"/>
      <c r="T630" s="752"/>
      <c r="V630" s="609">
        <f t="shared" ref="V630:V631" si="32">IF(W630=1,G630,0)</f>
        <v>0</v>
      </c>
      <c r="W630" s="692"/>
    </row>
    <row r="631" spans="1:23" outlineLevel="3">
      <c r="A631" s="376"/>
      <c r="B631" s="376" t="s">
        <v>1402</v>
      </c>
      <c r="C631" s="376" t="s">
        <v>1403</v>
      </c>
      <c r="D631" s="376" t="s">
        <v>860</v>
      </c>
      <c r="E631" s="376" t="s">
        <v>437</v>
      </c>
      <c r="F631" s="608" t="s">
        <v>208</v>
      </c>
      <c r="G631" s="609">
        <v>0.11274119999999999</v>
      </c>
      <c r="H631" s="692">
        <v>1</v>
      </c>
      <c r="I631" s="626"/>
      <c r="J631" s="752"/>
      <c r="L631" s="608" t="s">
        <v>437</v>
      </c>
      <c r="M631" s="608"/>
      <c r="N631" s="608"/>
      <c r="O631" s="608"/>
      <c r="P631" s="608"/>
      <c r="Q631" s="608"/>
      <c r="R631" s="608"/>
      <c r="T631" s="752"/>
      <c r="V631" s="609">
        <f t="shared" si="32"/>
        <v>0</v>
      </c>
      <c r="W631" s="692"/>
    </row>
    <row r="632" spans="1:23" s="749" customFormat="1" outlineLevel="1">
      <c r="A632" s="387"/>
      <c r="B632" s="666" t="s">
        <v>507</v>
      </c>
      <c r="C632" s="666" t="s">
        <v>507</v>
      </c>
      <c r="D632" s="666"/>
      <c r="E632" s="666"/>
      <c r="F632" s="681" t="s">
        <v>947</v>
      </c>
      <c r="G632" s="724">
        <f>SUBTOTAL(9,G633:G634)</f>
        <v>18.399999999999999</v>
      </c>
      <c r="H632" s="725">
        <f>SUBTOTAL(9,H633:H634)</f>
        <v>1</v>
      </c>
      <c r="I632" s="741"/>
      <c r="J632" s="758"/>
      <c r="L632" s="761"/>
      <c r="M632" s="761"/>
      <c r="N632" s="761"/>
      <c r="O632" s="761"/>
      <c r="P632" s="761"/>
      <c r="Q632" s="761"/>
      <c r="R632" s="761"/>
      <c r="T632" s="758"/>
      <c r="V632" s="724">
        <f>SUBTOTAL(9,V633:V634)</f>
        <v>0</v>
      </c>
      <c r="W632" s="725">
        <f>SUBTOTAL(9,W633:W634)</f>
        <v>0</v>
      </c>
    </row>
    <row r="633" spans="1:23" s="749" customFormat="1" outlineLevel="2">
      <c r="A633" s="387"/>
      <c r="B633" s="687" t="s">
        <v>507</v>
      </c>
      <c r="C633" s="687" t="s">
        <v>507</v>
      </c>
      <c r="D633" s="687" t="s">
        <v>159</v>
      </c>
      <c r="E633" s="687"/>
      <c r="F633" s="717" t="s">
        <v>1389</v>
      </c>
      <c r="G633" s="743">
        <f>SUBTOTAL(9,G634)</f>
        <v>18.399999999999999</v>
      </c>
      <c r="H633" s="744">
        <f>SUBTOTAL(9,H634)</f>
        <v>1</v>
      </c>
      <c r="I633" s="741"/>
      <c r="J633" s="758"/>
      <c r="L633" s="717"/>
      <c r="M633" s="717"/>
      <c r="N633" s="717"/>
      <c r="O633" s="717"/>
      <c r="P633" s="717"/>
      <c r="Q633" s="717"/>
      <c r="R633" s="717"/>
      <c r="T633" s="758"/>
      <c r="V633" s="743">
        <f>SUBTOTAL(9,V634)</f>
        <v>0</v>
      </c>
      <c r="W633" s="744">
        <f>SUBTOTAL(9,W634)</f>
        <v>0</v>
      </c>
    </row>
    <row r="634" spans="1:23" s="749" customFormat="1" outlineLevel="3">
      <c r="A634" s="387"/>
      <c r="B634" s="387" t="s">
        <v>507</v>
      </c>
      <c r="C634" s="387" t="s">
        <v>507</v>
      </c>
      <c r="D634" s="387" t="s">
        <v>159</v>
      </c>
      <c r="E634" s="387" t="s">
        <v>950</v>
      </c>
      <c r="F634" s="705" t="s">
        <v>17</v>
      </c>
      <c r="G634" s="706">
        <v>18.399999999999999</v>
      </c>
      <c r="H634" s="707">
        <v>1</v>
      </c>
      <c r="I634" s="741"/>
      <c r="J634" s="758"/>
      <c r="L634" s="705" t="s">
        <v>950</v>
      </c>
      <c r="M634" s="705" t="s">
        <v>951</v>
      </c>
      <c r="N634" s="705"/>
      <c r="O634" s="705"/>
      <c r="P634" s="705"/>
      <c r="Q634" s="705"/>
      <c r="R634" s="705"/>
      <c r="T634" s="758"/>
      <c r="V634" s="609">
        <f t="shared" ref="V634" si="33">IF(W634=1,G634,0)</f>
        <v>0</v>
      </c>
      <c r="W634" s="707"/>
    </row>
    <row r="635" spans="1:23" outlineLevel="1">
      <c r="A635" s="376"/>
      <c r="B635" s="666" t="s">
        <v>236</v>
      </c>
      <c r="C635" s="666" t="s">
        <v>1406</v>
      </c>
      <c r="D635" s="667"/>
      <c r="E635" s="665"/>
      <c r="F635" s="681" t="s">
        <v>947</v>
      </c>
      <c r="G635" s="724">
        <f>SUBTOTAL(9,G636:G650)</f>
        <v>34.856697651063755</v>
      </c>
      <c r="H635" s="725">
        <f>SUBTOTAL(9,H636:H650)</f>
        <v>9</v>
      </c>
      <c r="I635" s="626"/>
      <c r="J635" s="752"/>
      <c r="L635" s="681"/>
      <c r="M635" s="681"/>
      <c r="N635" s="681"/>
      <c r="O635" s="681"/>
      <c r="P635" s="681"/>
      <c r="Q635" s="681"/>
      <c r="R635" s="681"/>
      <c r="T635" s="752"/>
      <c r="V635" s="724">
        <f>SUBTOTAL(9,V636:V650)</f>
        <v>0</v>
      </c>
      <c r="W635" s="725">
        <f>SUBTOTAL(9,W636:W650)</f>
        <v>0</v>
      </c>
    </row>
    <row r="636" spans="1:23" outlineLevel="2">
      <c r="A636" s="376"/>
      <c r="B636" s="684" t="s">
        <v>236</v>
      </c>
      <c r="C636" s="687" t="s">
        <v>1407</v>
      </c>
      <c r="D636" s="684" t="s">
        <v>159</v>
      </c>
      <c r="E636" s="684"/>
      <c r="F636" s="685" t="s">
        <v>36</v>
      </c>
      <c r="G636" s="686">
        <f>SUBTOTAL(9,G637:G638)</f>
        <v>12.642074948250002</v>
      </c>
      <c r="H636" s="691">
        <f>SUBTOTAL(9,H637:H638)</f>
        <v>2</v>
      </c>
      <c r="I636" s="626"/>
      <c r="J636" s="752"/>
      <c r="L636" s="685"/>
      <c r="M636" s="685"/>
      <c r="N636" s="685"/>
      <c r="O636" s="685"/>
      <c r="P636" s="685"/>
      <c r="Q636" s="685"/>
      <c r="R636" s="685"/>
      <c r="T636" s="752"/>
      <c r="V636" s="686">
        <f>SUBTOTAL(9,V637:V638)</f>
        <v>0</v>
      </c>
      <c r="W636" s="691">
        <f>SUBTOTAL(9,W637:W638)</f>
        <v>0</v>
      </c>
    </row>
    <row r="637" spans="1:23" ht="26.45" outlineLevel="3">
      <c r="A637" s="376"/>
      <c r="B637" s="376" t="s">
        <v>236</v>
      </c>
      <c r="C637" s="387" t="s">
        <v>1407</v>
      </c>
      <c r="D637" s="376" t="s">
        <v>159</v>
      </c>
      <c r="E637" s="376" t="s">
        <v>1100</v>
      </c>
      <c r="F637" s="608" t="s">
        <v>17</v>
      </c>
      <c r="G637" s="609">
        <v>6.3210374741250011</v>
      </c>
      <c r="H637" s="692">
        <v>1</v>
      </c>
      <c r="I637" s="626"/>
      <c r="J637" s="752"/>
      <c r="L637" s="608" t="s">
        <v>1100</v>
      </c>
      <c r="M637" s="608" t="s">
        <v>1090</v>
      </c>
      <c r="N637" s="608" t="s">
        <v>1110</v>
      </c>
      <c r="O637" s="608" t="s">
        <v>1101</v>
      </c>
      <c r="P637" s="608"/>
      <c r="Q637" s="608"/>
      <c r="R637" s="608"/>
      <c r="T637" s="752"/>
      <c r="V637" s="609">
        <f t="shared" ref="V637:V638" si="34">IF(W637=1,G637,0)</f>
        <v>0</v>
      </c>
      <c r="W637" s="692"/>
    </row>
    <row r="638" spans="1:23" ht="26.45" outlineLevel="3">
      <c r="A638" s="376"/>
      <c r="B638" s="376" t="s">
        <v>236</v>
      </c>
      <c r="C638" s="387" t="s">
        <v>1407</v>
      </c>
      <c r="D638" s="376" t="s">
        <v>159</v>
      </c>
      <c r="E638" s="376" t="s">
        <v>1100</v>
      </c>
      <c r="F638" s="608" t="s">
        <v>36</v>
      </c>
      <c r="G638" s="609">
        <v>6.3210374741250011</v>
      </c>
      <c r="H638" s="692">
        <v>1</v>
      </c>
      <c r="I638" s="626"/>
      <c r="J638" s="752"/>
      <c r="L638" s="608" t="s">
        <v>1100</v>
      </c>
      <c r="M638" s="608" t="s">
        <v>1090</v>
      </c>
      <c r="N638" s="608" t="s">
        <v>1110</v>
      </c>
      <c r="O638" s="608" t="s">
        <v>1101</v>
      </c>
      <c r="P638" s="608"/>
      <c r="Q638" s="608"/>
      <c r="R638" s="608"/>
      <c r="T638" s="752"/>
      <c r="V638" s="609">
        <f t="shared" si="34"/>
        <v>0</v>
      </c>
      <c r="W638" s="692"/>
    </row>
    <row r="639" spans="1:23" outlineLevel="2">
      <c r="A639" s="376"/>
      <c r="B639" s="684" t="s">
        <v>236</v>
      </c>
      <c r="C639" s="687" t="s">
        <v>1408</v>
      </c>
      <c r="D639" s="684" t="s">
        <v>1335</v>
      </c>
      <c r="E639" s="684"/>
      <c r="F639" s="685" t="s">
        <v>36</v>
      </c>
      <c r="G639" s="686">
        <f>SUBTOTAL(9,G640:G641)</f>
        <v>12.642074948250002</v>
      </c>
      <c r="H639" s="691">
        <f>SUBTOTAL(9,H640:H641)</f>
        <v>2</v>
      </c>
      <c r="I639" s="626"/>
      <c r="J639" s="752"/>
      <c r="L639" s="685"/>
      <c r="M639" s="685"/>
      <c r="N639" s="685"/>
      <c r="O639" s="685"/>
      <c r="P639" s="685"/>
      <c r="Q639" s="685"/>
      <c r="R639" s="685"/>
      <c r="T639" s="752"/>
      <c r="V639" s="686">
        <f>SUBTOTAL(9,V640:V641)</f>
        <v>0</v>
      </c>
      <c r="W639" s="691">
        <f>SUBTOTAL(9,W640:W641)</f>
        <v>0</v>
      </c>
    </row>
    <row r="640" spans="1:23" outlineLevel="3">
      <c r="A640" s="376"/>
      <c r="B640" s="376" t="s">
        <v>236</v>
      </c>
      <c r="C640" s="387" t="s">
        <v>1408</v>
      </c>
      <c r="D640" s="376" t="s">
        <v>1335</v>
      </c>
      <c r="E640" s="376" t="s">
        <v>437</v>
      </c>
      <c r="F640" s="608" t="s">
        <v>17</v>
      </c>
      <c r="G640" s="609">
        <v>6.3210374741250011</v>
      </c>
      <c r="H640" s="692">
        <v>1</v>
      </c>
      <c r="I640" s="626"/>
      <c r="J640" s="752"/>
      <c r="L640" s="608" t="s">
        <v>437</v>
      </c>
      <c r="M640" s="608" t="s">
        <v>1349</v>
      </c>
      <c r="N640" s="608" t="s">
        <v>1409</v>
      </c>
      <c r="O640" s="608"/>
      <c r="P640" s="608"/>
      <c r="Q640" s="608"/>
      <c r="R640" s="608"/>
      <c r="T640" s="752"/>
      <c r="V640" s="609">
        <f t="shared" ref="V640:V641" si="35">IF(W640=1,G640,0)</f>
        <v>0</v>
      </c>
      <c r="W640" s="692"/>
    </row>
    <row r="641" spans="1:23" outlineLevel="3">
      <c r="A641" s="376"/>
      <c r="B641" s="376" t="s">
        <v>236</v>
      </c>
      <c r="C641" s="387" t="s">
        <v>1408</v>
      </c>
      <c r="D641" s="376" t="s">
        <v>1335</v>
      </c>
      <c r="E641" s="376" t="s">
        <v>437</v>
      </c>
      <c r="F641" s="608" t="s">
        <v>36</v>
      </c>
      <c r="G641" s="609">
        <v>6.3210374741250011</v>
      </c>
      <c r="H641" s="692">
        <v>1</v>
      </c>
      <c r="I641" s="626"/>
      <c r="J641" s="752"/>
      <c r="L641" s="608" t="s">
        <v>437</v>
      </c>
      <c r="M641" s="608" t="s">
        <v>1349</v>
      </c>
      <c r="N641" s="608" t="s">
        <v>1409</v>
      </c>
      <c r="O641" s="608"/>
      <c r="P641" s="608"/>
      <c r="Q641" s="608"/>
      <c r="R641" s="608"/>
      <c r="T641" s="752"/>
      <c r="V641" s="609">
        <f t="shared" si="35"/>
        <v>0</v>
      </c>
      <c r="W641" s="692"/>
    </row>
    <row r="642" spans="1:23" outlineLevel="2">
      <c r="A642" s="376"/>
      <c r="B642" s="684" t="s">
        <v>236</v>
      </c>
      <c r="C642" s="687" t="s">
        <v>1410</v>
      </c>
      <c r="D642" s="684" t="s">
        <v>159</v>
      </c>
      <c r="E642" s="684"/>
      <c r="F642" s="685" t="s">
        <v>36</v>
      </c>
      <c r="G642" s="686">
        <f>SUBTOTAL(9,G643:G644)</f>
        <v>2.8090376572500002</v>
      </c>
      <c r="H642" s="691">
        <f>SUBTOTAL(9,H643:H644)</f>
        <v>2</v>
      </c>
      <c r="I642" s="626"/>
      <c r="J642" s="752"/>
      <c r="L642" s="685"/>
      <c r="M642" s="685"/>
      <c r="N642" s="685"/>
      <c r="O642" s="685"/>
      <c r="P642" s="685"/>
      <c r="Q642" s="685"/>
      <c r="R642" s="685"/>
      <c r="T642" s="752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236</v>
      </c>
      <c r="C643" s="387" t="s">
        <v>1410</v>
      </c>
      <c r="D643" s="376" t="s">
        <v>159</v>
      </c>
      <c r="E643" s="376" t="s">
        <v>664</v>
      </c>
      <c r="F643" s="608" t="s">
        <v>17</v>
      </c>
      <c r="G643" s="609">
        <v>1.4045188286250001</v>
      </c>
      <c r="H643" s="692">
        <v>1</v>
      </c>
      <c r="I643" s="626"/>
      <c r="J643" s="752"/>
      <c r="L643" s="608" t="s">
        <v>664</v>
      </c>
      <c r="M643" s="608"/>
      <c r="N643" s="608"/>
      <c r="O643" s="608"/>
      <c r="P643" s="608"/>
      <c r="Q643" s="608"/>
      <c r="R643" s="608"/>
      <c r="T643" s="752"/>
      <c r="V643" s="609">
        <f t="shared" ref="V643:V644" si="36">IF(W643=1,G643,0)</f>
        <v>0</v>
      </c>
      <c r="W643" s="692"/>
    </row>
    <row r="644" spans="1:23" outlineLevel="3">
      <c r="A644" s="376"/>
      <c r="B644" s="376" t="s">
        <v>236</v>
      </c>
      <c r="C644" s="387" t="s">
        <v>1410</v>
      </c>
      <c r="D644" s="376" t="s">
        <v>159</v>
      </c>
      <c r="E644" s="376" t="s">
        <v>664</v>
      </c>
      <c r="F644" s="608" t="s">
        <v>36</v>
      </c>
      <c r="G644" s="609">
        <v>1.4045188286250001</v>
      </c>
      <c r="H644" s="692">
        <v>1</v>
      </c>
      <c r="I644" s="626"/>
      <c r="J644" s="752"/>
      <c r="L644" s="608" t="s">
        <v>664</v>
      </c>
      <c r="M644" s="608"/>
      <c r="N644" s="608"/>
      <c r="O644" s="608"/>
      <c r="P644" s="608"/>
      <c r="Q644" s="608"/>
      <c r="R644" s="608"/>
      <c r="T644" s="752"/>
      <c r="V644" s="609">
        <f t="shared" si="36"/>
        <v>0</v>
      </c>
      <c r="W644" s="692"/>
    </row>
    <row r="645" spans="1:23" outlineLevel="2">
      <c r="A645" s="376"/>
      <c r="B645" s="684" t="s">
        <v>236</v>
      </c>
      <c r="C645" s="687" t="s">
        <v>1406</v>
      </c>
      <c r="D645" s="684" t="s">
        <v>518</v>
      </c>
      <c r="E645" s="684"/>
      <c r="F645" s="685" t="s">
        <v>36</v>
      </c>
      <c r="G645" s="686">
        <f>SUBTOTAL(9,G646)</f>
        <v>4.0201798335435006</v>
      </c>
      <c r="H645" s="691">
        <f>SUBTOTAL(9,H646)</f>
        <v>1</v>
      </c>
      <c r="I645" s="626"/>
      <c r="J645" s="752"/>
      <c r="L645" s="685"/>
      <c r="M645" s="685"/>
      <c r="N645" s="685"/>
      <c r="O645" s="685"/>
      <c r="P645" s="685"/>
      <c r="Q645" s="685"/>
      <c r="R645" s="685"/>
      <c r="T645" s="752"/>
      <c r="V645" s="686">
        <f>SUBTOTAL(9,V646)</f>
        <v>0</v>
      </c>
      <c r="W645" s="691">
        <f>SUBTOTAL(9,W646)</f>
        <v>0</v>
      </c>
    </row>
    <row r="646" spans="1:23" outlineLevel="3">
      <c r="A646" s="376"/>
      <c r="B646" s="376" t="s">
        <v>236</v>
      </c>
      <c r="C646" s="387" t="s">
        <v>1406</v>
      </c>
      <c r="D646" s="376" t="s">
        <v>518</v>
      </c>
      <c r="E646" s="376" t="s">
        <v>56</v>
      </c>
      <c r="F646" s="608" t="s">
        <v>36</v>
      </c>
      <c r="G646" s="609">
        <v>4.0201798335435006</v>
      </c>
      <c r="H646" s="692">
        <v>1</v>
      </c>
      <c r="I646" s="626"/>
      <c r="J646" s="752"/>
      <c r="L646" s="608" t="s">
        <v>56</v>
      </c>
      <c r="M646" s="608" t="s">
        <v>1284</v>
      </c>
      <c r="N646" s="608" t="s">
        <v>960</v>
      </c>
      <c r="O646" s="608" t="s">
        <v>1344</v>
      </c>
      <c r="P646" s="608" t="s">
        <v>1040</v>
      </c>
      <c r="Q646" s="608"/>
      <c r="R646" s="608">
        <v>0</v>
      </c>
      <c r="T646" s="752"/>
      <c r="V646" s="609">
        <f t="shared" ref="V646" si="37">IF(W646=1,G646,0)</f>
        <v>0</v>
      </c>
      <c r="W646" s="692"/>
    </row>
    <row r="647" spans="1:23" ht="92.45" outlineLevel="2">
      <c r="A647" s="376"/>
      <c r="B647" s="684" t="s">
        <v>236</v>
      </c>
      <c r="C647" s="687" t="s">
        <v>1406</v>
      </c>
      <c r="D647" s="684" t="s">
        <v>441</v>
      </c>
      <c r="E647" s="684"/>
      <c r="F647" s="685" t="s">
        <v>36</v>
      </c>
      <c r="G647" s="686">
        <f>SUBTOTAL(9,G648)</f>
        <v>1.4917648438935003</v>
      </c>
      <c r="H647" s="691">
        <f>SUBTOTAL(9,H648)</f>
        <v>1</v>
      </c>
      <c r="I647" s="626"/>
      <c r="J647" s="752"/>
      <c r="L647" s="685"/>
      <c r="M647" s="685" t="s">
        <v>1234</v>
      </c>
      <c r="N647" s="685"/>
      <c r="O647" s="685"/>
      <c r="P647" s="685"/>
      <c r="Q647" s="685"/>
      <c r="R647" s="685"/>
      <c r="T647" s="752"/>
      <c r="V647" s="686">
        <f>SUBTOTAL(9,V648)</f>
        <v>0</v>
      </c>
      <c r="W647" s="691">
        <f>SUBTOTAL(9,W648)</f>
        <v>0</v>
      </c>
    </row>
    <row r="648" spans="1:23" outlineLevel="3">
      <c r="A648" s="376"/>
      <c r="B648" s="376" t="s">
        <v>236</v>
      </c>
      <c r="C648" s="387" t="s">
        <v>1406</v>
      </c>
      <c r="D648" s="376" t="s">
        <v>441</v>
      </c>
      <c r="E648" s="376" t="s">
        <v>437</v>
      </c>
      <c r="F648" s="608" t="s">
        <v>36</v>
      </c>
      <c r="G648" s="609">
        <v>1.4917648438935003</v>
      </c>
      <c r="H648" s="692">
        <v>1</v>
      </c>
      <c r="I648" s="626"/>
      <c r="J648" s="752"/>
      <c r="L648" s="608" t="s">
        <v>437</v>
      </c>
      <c r="M648" s="608"/>
      <c r="N648" s="608"/>
      <c r="O648" s="608"/>
      <c r="P648" s="608"/>
      <c r="Q648" s="608"/>
      <c r="R648" s="608"/>
      <c r="T648" s="752"/>
      <c r="V648" s="609">
        <f t="shared" ref="V648" si="38">IF(W648=1,G648,0)</f>
        <v>0</v>
      </c>
      <c r="W648" s="692"/>
    </row>
    <row r="649" spans="1:23" ht="92.45" outlineLevel="2">
      <c r="A649" s="376"/>
      <c r="B649" s="684" t="s">
        <v>236</v>
      </c>
      <c r="C649" s="687" t="s">
        <v>1406</v>
      </c>
      <c r="D649" s="684" t="s">
        <v>860</v>
      </c>
      <c r="E649" s="684"/>
      <c r="F649" s="685" t="s">
        <v>36</v>
      </c>
      <c r="G649" s="686">
        <f>SUBTOTAL(9,G650)</f>
        <v>1.2515654198767503</v>
      </c>
      <c r="H649" s="691">
        <f>SUBTOTAL(9,H650)</f>
        <v>1</v>
      </c>
      <c r="I649" s="626"/>
      <c r="J649" s="752"/>
      <c r="L649" s="685"/>
      <c r="M649" s="685" t="s">
        <v>1234</v>
      </c>
      <c r="N649" s="685"/>
      <c r="O649" s="685"/>
      <c r="P649" s="685"/>
      <c r="Q649" s="685"/>
      <c r="R649" s="685"/>
      <c r="T649" s="752"/>
      <c r="V649" s="686">
        <f>SUBTOTAL(9,V650)</f>
        <v>0</v>
      </c>
      <c r="W649" s="691">
        <f>SUBTOTAL(9,W650)</f>
        <v>0</v>
      </c>
    </row>
    <row r="650" spans="1:23" outlineLevel="3">
      <c r="A650" s="376"/>
      <c r="B650" s="376" t="s">
        <v>236</v>
      </c>
      <c r="C650" s="387" t="s">
        <v>1406</v>
      </c>
      <c r="D650" s="376" t="s">
        <v>860</v>
      </c>
      <c r="E650" s="376" t="s">
        <v>437</v>
      </c>
      <c r="F650" s="608" t="s">
        <v>36</v>
      </c>
      <c r="G650" s="609">
        <v>1.2515654198767503</v>
      </c>
      <c r="H650" s="770">
        <v>1</v>
      </c>
      <c r="I650" s="626"/>
      <c r="J650" s="752"/>
      <c r="L650" s="608" t="s">
        <v>437</v>
      </c>
      <c r="M650" s="608"/>
      <c r="N650" s="608"/>
      <c r="O650" s="608"/>
      <c r="P650" s="608"/>
      <c r="Q650" s="608"/>
      <c r="R650" s="608"/>
      <c r="T650" s="752"/>
      <c r="V650" s="609">
        <f t="shared" ref="V650" si="39">IF(W650=1,G650,0)</f>
        <v>0</v>
      </c>
      <c r="W650" s="609"/>
    </row>
  </sheetData>
  <autoFilter ref="B4:W65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7109375" defaultRowHeight="13.15"/>
  <cols>
    <col min="1" max="1" width="0.7109375" style="369" customWidth="1"/>
    <col min="2" max="2" width="31.28515625" style="369" bestFit="1" customWidth="1"/>
    <col min="3" max="3" width="120.7109375" style="369" customWidth="1"/>
    <col min="4" max="4" width="0.7109375" style="369" customWidth="1"/>
    <col min="5" max="8" width="8.7109375" style="369"/>
    <col min="9" max="9" width="63.7109375" style="369" bestFit="1" customWidth="1"/>
    <col min="10" max="16384" width="8.7109375" style="369"/>
  </cols>
  <sheetData>
    <row r="2" spans="2:3">
      <c r="B2" s="813" t="s">
        <v>642</v>
      </c>
      <c r="C2" s="813" t="s">
        <v>1411</v>
      </c>
    </row>
    <row r="3" spans="2:3" ht="3" customHeight="1">
      <c r="B3" s="774"/>
      <c r="C3" s="774"/>
    </row>
    <row r="4" spans="2:3">
      <c r="B4" s="813" t="s">
        <v>945</v>
      </c>
      <c r="C4" s="813" t="s">
        <v>1412</v>
      </c>
    </row>
    <row r="5" spans="2:3" ht="26.45">
      <c r="B5" s="774" t="s">
        <v>1413</v>
      </c>
      <c r="C5" s="811" t="s">
        <v>1414</v>
      </c>
    </row>
    <row r="6" spans="2:3" ht="52.9">
      <c r="B6" s="774" t="s">
        <v>1415</v>
      </c>
      <c r="C6" s="811" t="s">
        <v>1416</v>
      </c>
    </row>
    <row r="7" spans="2:3" ht="39.6">
      <c r="B7" s="774" t="s">
        <v>893</v>
      </c>
      <c r="C7" s="811" t="s">
        <v>1417</v>
      </c>
    </row>
    <row r="8" spans="2:3" ht="26.45">
      <c r="B8" s="774" t="s">
        <v>894</v>
      </c>
      <c r="C8" s="811" t="s">
        <v>1418</v>
      </c>
    </row>
    <row r="9" spans="2:3" ht="26.45">
      <c r="B9" s="774" t="s">
        <v>469</v>
      </c>
      <c r="C9" s="811" t="s">
        <v>1419</v>
      </c>
    </row>
    <row r="10" spans="2:3">
      <c r="B10" s="774" t="s">
        <v>897</v>
      </c>
      <c r="C10" s="774" t="s">
        <v>1420</v>
      </c>
    </row>
    <row r="11" spans="2:3">
      <c r="B11" s="774" t="s">
        <v>899</v>
      </c>
      <c r="C11" s="774" t="s">
        <v>1421</v>
      </c>
    </row>
    <row r="12" spans="2:3">
      <c r="B12" s="774" t="s">
        <v>1137</v>
      </c>
      <c r="C12" s="811" t="s">
        <v>1422</v>
      </c>
    </row>
    <row r="13" spans="2:3">
      <c r="B13" s="774" t="s">
        <v>901</v>
      </c>
      <c r="C13" s="774" t="s">
        <v>1423</v>
      </c>
    </row>
    <row r="14" spans="2:3">
      <c r="B14" s="774" t="s">
        <v>162</v>
      </c>
      <c r="C14" s="814" t="s">
        <v>1424</v>
      </c>
    </row>
    <row r="15" spans="2:3" ht="39.6">
      <c r="B15" s="774" t="s">
        <v>252</v>
      </c>
      <c r="C15" s="811" t="s">
        <v>1425</v>
      </c>
    </row>
    <row r="16" spans="2:3" ht="39.6">
      <c r="B16" s="774" t="s">
        <v>903</v>
      </c>
      <c r="C16" s="811" t="s">
        <v>1426</v>
      </c>
    </row>
    <row r="17" spans="2:6">
      <c r="B17" s="774" t="s">
        <v>502</v>
      </c>
      <c r="C17" s="774" t="s">
        <v>1427</v>
      </c>
      <c r="D17" s="773"/>
    </row>
    <row r="18" spans="2:6">
      <c r="B18" s="774" t="s">
        <v>612</v>
      </c>
      <c r="C18" s="774" t="s">
        <v>1078</v>
      </c>
      <c r="D18" s="773"/>
    </row>
    <row r="19" spans="2:6">
      <c r="B19" s="774" t="s">
        <v>225</v>
      </c>
      <c r="C19" s="774" t="s">
        <v>1428</v>
      </c>
      <c r="D19" s="773"/>
    </row>
    <row r="20" spans="2:6">
      <c r="B20" s="774" t="s">
        <v>229</v>
      </c>
      <c r="C20" s="774" t="s">
        <v>1429</v>
      </c>
      <c r="D20" s="773"/>
    </row>
    <row r="21" spans="2:6">
      <c r="B21" s="774" t="s">
        <v>918</v>
      </c>
      <c r="C21" s="774" t="s">
        <v>1430</v>
      </c>
      <c r="D21" s="773"/>
    </row>
    <row r="22" spans="2:6">
      <c r="B22" s="774" t="s">
        <v>498</v>
      </c>
      <c r="C22" s="774" t="s">
        <v>1431</v>
      </c>
      <c r="D22" s="773"/>
    </row>
    <row r="23" spans="2:6">
      <c r="B23" s="774" t="s">
        <v>1260</v>
      </c>
      <c r="C23" s="774" t="s">
        <v>1432</v>
      </c>
      <c r="D23" s="773"/>
      <c r="E23" s="369" t="s">
        <v>1433</v>
      </c>
      <c r="F23" s="369" t="s">
        <v>1434</v>
      </c>
    </row>
    <row r="24" spans="2:6" ht="3" customHeight="1">
      <c r="B24" s="774"/>
      <c r="C24" s="774"/>
      <c r="D24" s="773"/>
    </row>
    <row r="25" spans="2:6">
      <c r="B25" s="813" t="s">
        <v>1285</v>
      </c>
      <c r="C25" s="813"/>
      <c r="D25" s="773"/>
    </row>
    <row r="26" spans="2:6" ht="3" customHeight="1">
      <c r="B26" s="774"/>
      <c r="C26" s="774"/>
      <c r="D26" s="773"/>
    </row>
    <row r="27" spans="2:6">
      <c r="B27" s="774" t="s">
        <v>902</v>
      </c>
      <c r="C27" s="774" t="s">
        <v>1435</v>
      </c>
      <c r="D27" s="773"/>
    </row>
    <row r="28" spans="2:6">
      <c r="B28" s="774" t="s">
        <v>1290</v>
      </c>
      <c r="C28" s="774" t="s">
        <v>1436</v>
      </c>
      <c r="D28" s="773"/>
    </row>
    <row r="29" spans="2:6">
      <c r="B29" s="774" t="s">
        <v>1299</v>
      </c>
      <c r="C29" s="774" t="s">
        <v>1437</v>
      </c>
      <c r="D29" s="773"/>
    </row>
    <row r="30" spans="2:6">
      <c r="B30" s="774" t="s">
        <v>1309</v>
      </c>
      <c r="C30" s="774" t="s">
        <v>1438</v>
      </c>
      <c r="D30" s="773"/>
    </row>
    <row r="31" spans="2:6">
      <c r="B31" s="774" t="s">
        <v>1320</v>
      </c>
      <c r="C31" s="774" t="s">
        <v>1439</v>
      </c>
      <c r="D31" s="773"/>
    </row>
    <row r="32" spans="2:6">
      <c r="B32" s="774" t="s">
        <v>1329</v>
      </c>
      <c r="C32" s="774" t="s">
        <v>1439</v>
      </c>
      <c r="D32" s="773"/>
    </row>
    <row r="33" spans="2:3">
      <c r="B33" s="774" t="s">
        <v>1273</v>
      </c>
      <c r="C33" s="774" t="s">
        <v>1440</v>
      </c>
    </row>
    <row r="34" spans="2:3">
      <c r="B34" s="774" t="s">
        <v>1347</v>
      </c>
      <c r="C34" s="774" t="s">
        <v>1441</v>
      </c>
    </row>
    <row r="35" spans="2:3">
      <c r="B35" s="774" t="s">
        <v>1358</v>
      </c>
      <c r="C35" s="774" t="s">
        <v>1442</v>
      </c>
    </row>
    <row r="36" spans="2:3">
      <c r="B36" s="774" t="s">
        <v>1363</v>
      </c>
      <c r="C36" s="608" t="s">
        <v>1443</v>
      </c>
    </row>
    <row r="37" spans="2:3">
      <c r="B37" s="774" t="s">
        <v>1363</v>
      </c>
      <c r="C37" s="608" t="s">
        <v>1366</v>
      </c>
    </row>
    <row r="38" spans="2:3">
      <c r="B38" s="774" t="s">
        <v>1380</v>
      </c>
      <c r="C38" s="608" t="s">
        <v>1376</v>
      </c>
    </row>
    <row r="39" spans="2:3">
      <c r="B39" s="774" t="s">
        <v>1382</v>
      </c>
      <c r="C39" s="774" t="s">
        <v>1427</v>
      </c>
    </row>
    <row r="40" spans="2:3">
      <c r="B40" s="774" t="s">
        <v>912</v>
      </c>
      <c r="C40" s="774" t="s">
        <v>1427</v>
      </c>
    </row>
    <row r="41" spans="2:3">
      <c r="B41" s="774" t="s">
        <v>1392</v>
      </c>
      <c r="C41" s="774" t="s">
        <v>1444</v>
      </c>
    </row>
    <row r="42" spans="2:3">
      <c r="B42" s="774" t="s">
        <v>497</v>
      </c>
      <c r="C42" s="774" t="s">
        <v>1445</v>
      </c>
    </row>
    <row r="43" spans="2:3">
      <c r="B43" s="774" t="s">
        <v>1399</v>
      </c>
      <c r="C43" s="774" t="s">
        <v>1427</v>
      </c>
    </row>
    <row r="44" spans="2:3">
      <c r="B44" s="774" t="s">
        <v>1402</v>
      </c>
      <c r="C44" s="774" t="s">
        <v>1436</v>
      </c>
    </row>
    <row r="45" spans="2:3">
      <c r="B45" s="774" t="s">
        <v>507</v>
      </c>
      <c r="C45" s="774" t="s">
        <v>1427</v>
      </c>
    </row>
    <row r="46" spans="2:3">
      <c r="B46" s="774" t="s">
        <v>236</v>
      </c>
      <c r="C46" s="774" t="s">
        <v>1427</v>
      </c>
    </row>
    <row r="47" spans="2:3">
      <c r="B47" s="774" t="s">
        <v>1446</v>
      </c>
      <c r="C47" s="774" t="s">
        <v>1439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 filterMode="1">
    <outlinePr summaryBelow="0" summaryRight="0"/>
    <pageSetUpPr fitToPage="1"/>
  </sheetPr>
  <dimension ref="A2:AH232"/>
  <sheetViews>
    <sheetView tabSelected="1" zoomScale="90" zoomScaleNormal="90" workbookViewId="0">
      <pane xSplit="2" ySplit="1" topLeftCell="C2" activePane="bottomRight" state="frozen"/>
      <selection pane="bottomRight" activeCell="B7" sqref="B7:B140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49.7109375" style="750" customWidth="1"/>
    <col min="4" max="4" width="20" style="750" customWidth="1"/>
    <col min="5" max="5" width="18.7109375" style="750" customWidth="1"/>
    <col min="6" max="6" width="23.85546875" style="750" customWidth="1"/>
    <col min="7" max="9" width="0.5703125" style="416" customWidth="1" outlineLevel="1"/>
    <col min="10" max="10" width="13.28515625" style="416" customWidth="1" outlineLevel="1"/>
    <col min="11" max="11" width="9.5703125" style="416" customWidth="1" outlineLevel="1"/>
    <col min="12" max="12" width="16.28515625" style="416" customWidth="1" outlineLevel="1"/>
    <col min="13" max="13" width="14.28515625" style="416" customWidth="1" outlineLevel="1"/>
    <col min="14" max="16" width="0.5703125" style="416" customWidth="1" outlineLevel="1"/>
    <col min="17" max="23" width="14.42578125" style="416" customWidth="1" outlineLevel="1"/>
    <col min="24" max="26" width="0.5703125" style="416" customWidth="1"/>
    <col min="27" max="28" width="0" style="416" hidden="1" customWidth="1"/>
    <col min="29" max="29" width="13.28515625" style="488" hidden="1" customWidth="1"/>
    <col min="30" max="30" width="9.42578125" style="416" bestFit="1" customWidth="1"/>
    <col min="31" max="16384" width="9.42578125" style="416"/>
  </cols>
  <sheetData>
    <row r="2" spans="1:30" ht="17.45">
      <c r="A2" s="376"/>
      <c r="B2" s="418" t="s">
        <v>1447</v>
      </c>
      <c r="C2" s="423"/>
      <c r="D2" s="423"/>
      <c r="E2" s="423"/>
      <c r="F2" s="423"/>
      <c r="H2" s="752"/>
      <c r="J2" s="689">
        <f>SUBTOTAL(9,J6:J139)</f>
        <v>3.6853334887931043E-2</v>
      </c>
      <c r="K2" s="690">
        <f>SUBTOTAL(9,K6:K139)</f>
        <v>2</v>
      </c>
      <c r="L2" s="689">
        <f>SUBTOTAL(9,L6:L139)</f>
        <v>0</v>
      </c>
      <c r="M2" s="765">
        <f>SUBTOTAL(9,M6:M139)</f>
        <v>0</v>
      </c>
      <c r="N2" s="626"/>
      <c r="O2" s="752"/>
      <c r="Q2" s="418"/>
      <c r="R2" s="418"/>
      <c r="S2" s="418"/>
      <c r="T2" s="418"/>
      <c r="U2" s="418"/>
      <c r="V2" s="418"/>
      <c r="W2" s="418"/>
      <c r="Y2" s="752"/>
      <c r="AA2" s="610">
        <f>J2-L2</f>
        <v>3.6853334887931043E-2</v>
      </c>
      <c r="AB2" s="610">
        <f>K2-M2</f>
        <v>2</v>
      </c>
    </row>
    <row r="3" spans="1:30" ht="3" customHeight="1">
      <c r="A3" s="376"/>
      <c r="B3" s="376"/>
      <c r="C3" s="608"/>
      <c r="D3" s="608"/>
      <c r="E3" s="608"/>
      <c r="F3" s="608"/>
      <c r="H3" s="752"/>
      <c r="J3" s="376"/>
      <c r="K3" s="376"/>
      <c r="L3" s="376"/>
      <c r="M3" s="376"/>
      <c r="N3" s="626"/>
      <c r="O3" s="752"/>
      <c r="Q3" s="376"/>
      <c r="R3" s="376"/>
      <c r="S3" s="376"/>
      <c r="T3" s="376"/>
      <c r="U3" s="376"/>
      <c r="V3" s="376"/>
      <c r="W3" s="376"/>
      <c r="Y3" s="752"/>
    </row>
    <row r="4" spans="1:30" s="442" customFormat="1" ht="30">
      <c r="A4" s="528"/>
      <c r="B4" s="621" t="s">
        <v>642</v>
      </c>
      <c r="C4" s="693" t="s">
        <v>935</v>
      </c>
      <c r="D4" s="621" t="s">
        <v>1448</v>
      </c>
      <c r="E4" s="621" t="s">
        <v>1449</v>
      </c>
      <c r="F4" s="621" t="s">
        <v>5</v>
      </c>
      <c r="H4" s="753"/>
      <c r="J4" s="693" t="s">
        <v>936</v>
      </c>
      <c r="K4" s="693" t="s">
        <v>937</v>
      </c>
      <c r="L4" s="621" t="s">
        <v>943</v>
      </c>
      <c r="M4" s="693" t="s">
        <v>944</v>
      </c>
      <c r="N4" s="694"/>
      <c r="O4" s="753"/>
      <c r="Q4" s="621" t="s">
        <v>0</v>
      </c>
      <c r="R4" s="621" t="s">
        <v>938</v>
      </c>
      <c r="S4" s="621" t="s">
        <v>939</v>
      </c>
      <c r="T4" s="621" t="s">
        <v>940</v>
      </c>
      <c r="U4" s="621" t="s">
        <v>941</v>
      </c>
      <c r="V4" s="621" t="s">
        <v>942</v>
      </c>
      <c r="W4" s="621" t="s">
        <v>5</v>
      </c>
      <c r="Y4" s="753"/>
      <c r="AA4" s="764">
        <f>L2/J2</f>
        <v>0</v>
      </c>
      <c r="AB4" s="764">
        <f>M2/K2</f>
        <v>0</v>
      </c>
      <c r="AC4" s="488"/>
    </row>
    <row r="5" spans="1:30" ht="3" hidden="1" customHeight="1">
      <c r="A5" s="376"/>
      <c r="B5" s="376"/>
      <c r="C5" s="608"/>
      <c r="D5" s="608"/>
      <c r="E5" s="608"/>
      <c r="F5" s="608"/>
      <c r="H5" s="752"/>
      <c r="J5" s="695"/>
      <c r="K5" s="696"/>
      <c r="L5" s="695"/>
      <c r="M5" s="696"/>
      <c r="N5" s="626"/>
      <c r="O5" s="752"/>
      <c r="Q5" s="376"/>
      <c r="R5" s="376"/>
      <c r="S5" s="376"/>
      <c r="T5" s="376"/>
      <c r="U5" s="376"/>
      <c r="V5" s="376"/>
      <c r="W5" s="376"/>
      <c r="Y5" s="752"/>
      <c r="AA5" s="610"/>
      <c r="AB5" s="610"/>
      <c r="AC5" s="880"/>
      <c r="AD5" s="610"/>
    </row>
    <row r="6" spans="1:30" ht="15" hidden="1">
      <c r="A6" s="376"/>
      <c r="B6" s="430" t="s">
        <v>252</v>
      </c>
      <c r="C6" s="697" t="s">
        <v>947</v>
      </c>
      <c r="D6" s="697"/>
      <c r="E6" s="697"/>
      <c r="F6" s="697"/>
      <c r="H6" s="752"/>
      <c r="J6" s="698">
        <f>SUBTOTAL(9,J7:J136)</f>
        <v>3.6853334887931043E-2</v>
      </c>
      <c r="K6" s="699">
        <f>SUBTOTAL(9,K7:K136)</f>
        <v>2</v>
      </c>
      <c r="L6" s="698">
        <f>SUBTOTAL(9,L7:L136)</f>
        <v>0</v>
      </c>
      <c r="M6" s="699">
        <f>SUBTOTAL(9,M7:M136)</f>
        <v>0</v>
      </c>
      <c r="N6" s="626"/>
      <c r="O6" s="752"/>
      <c r="Q6" s="430"/>
      <c r="R6" s="430"/>
      <c r="S6" s="430"/>
      <c r="T6" s="430"/>
      <c r="U6" s="430"/>
      <c r="V6" s="430"/>
      <c r="W6" s="430"/>
      <c r="Y6" s="752"/>
      <c r="AA6" s="610"/>
      <c r="AB6" s="610"/>
      <c r="AC6" s="880"/>
      <c r="AD6" s="610"/>
    </row>
    <row r="7" spans="1:30" outlineLevel="1" collapsed="1">
      <c r="A7" s="376"/>
      <c r="B7" s="940" t="s">
        <v>159</v>
      </c>
      <c r="C7" s="941" t="s">
        <v>1176</v>
      </c>
      <c r="D7" s="941"/>
      <c r="E7" s="941"/>
      <c r="F7" s="941"/>
      <c r="H7" s="752"/>
      <c r="J7" s="942">
        <f>SUBTOTAL(9,J8:J76)</f>
        <v>0</v>
      </c>
      <c r="K7" s="942">
        <f>SUBTOTAL(9,K8:K76)</f>
        <v>0</v>
      </c>
      <c r="L7" s="942">
        <f>SUBTOTAL(9,L8:L76)</f>
        <v>0</v>
      </c>
      <c r="M7" s="942">
        <f>SUBTOTAL(9,M8:M76)</f>
        <v>0</v>
      </c>
      <c r="N7" s="626"/>
      <c r="O7" s="752"/>
      <c r="Q7" s="941"/>
      <c r="R7" s="941"/>
      <c r="S7" s="941"/>
      <c r="T7" s="941"/>
      <c r="U7" s="941"/>
      <c r="V7" s="941"/>
      <c r="W7" s="941"/>
      <c r="Y7" s="752"/>
      <c r="AB7" s="610"/>
    </row>
    <row r="8" spans="1:30" hidden="1" outlineLevel="2">
      <c r="A8" s="376"/>
      <c r="B8" s="376" t="s">
        <v>252</v>
      </c>
      <c r="C8" s="608" t="s">
        <v>75</v>
      </c>
      <c r="D8" s="881">
        <v>46377</v>
      </c>
      <c r="E8" s="608" t="s">
        <v>1159</v>
      </c>
      <c r="F8" s="608"/>
      <c r="G8" s="944"/>
      <c r="H8" s="945"/>
      <c r="I8" s="944"/>
      <c r="J8" s="609">
        <v>7.3716905132000007E-2</v>
      </c>
      <c r="K8" s="692">
        <v>1</v>
      </c>
      <c r="L8" s="609">
        <f>IF(M8=1,J8,0)</f>
        <v>0</v>
      </c>
      <c r="M8" s="692"/>
      <c r="N8" s="626"/>
      <c r="O8" s="752"/>
      <c r="Q8" s="387" t="s">
        <v>1159</v>
      </c>
      <c r="R8" s="387" t="s">
        <v>1177</v>
      </c>
      <c r="S8" s="392" t="s">
        <v>1178</v>
      </c>
      <c r="T8" s="387" t="s">
        <v>1179</v>
      </c>
      <c r="U8" s="387"/>
      <c r="V8" s="387"/>
      <c r="W8" s="387"/>
      <c r="Y8" s="752"/>
      <c r="AC8" s="881"/>
    </row>
    <row r="9" spans="1:30" ht="12.75" hidden="1" outlineLevel="3">
      <c r="A9" s="376"/>
      <c r="B9" s="943" t="s">
        <v>1450</v>
      </c>
      <c r="C9" s="882" t="s">
        <v>1451</v>
      </c>
      <c r="D9" s="884"/>
      <c r="E9" s="883"/>
      <c r="F9" s="760"/>
      <c r="G9" s="944"/>
      <c r="H9" s="945"/>
      <c r="I9" s="944"/>
      <c r="J9" s="609"/>
      <c r="K9" s="692"/>
      <c r="L9" s="609"/>
      <c r="M9" s="692"/>
      <c r="N9" s="626"/>
      <c r="O9" s="752"/>
      <c r="Q9" s="387"/>
      <c r="R9" s="387"/>
      <c r="S9" s="392"/>
      <c r="T9" s="387"/>
      <c r="U9" s="387"/>
      <c r="V9" s="387"/>
      <c r="W9" s="387"/>
      <c r="Y9" s="752"/>
    </row>
    <row r="10" spans="1:30" ht="12.75" hidden="1" outlineLevel="3">
      <c r="A10" s="376"/>
      <c r="B10" s="943"/>
      <c r="C10" s="882" t="s">
        <v>1452</v>
      </c>
      <c r="D10" s="884"/>
      <c r="E10" s="883"/>
      <c r="F10" s="608"/>
      <c r="G10" s="944"/>
      <c r="H10" s="945"/>
      <c r="I10" s="944"/>
      <c r="J10" s="609"/>
      <c r="K10" s="692"/>
      <c r="L10" s="609"/>
      <c r="M10" s="692"/>
      <c r="N10" s="626"/>
      <c r="O10" s="752"/>
      <c r="Q10" s="387"/>
      <c r="R10" s="387"/>
      <c r="S10" s="392"/>
      <c r="T10" s="387"/>
      <c r="U10" s="387"/>
      <c r="V10" s="387"/>
      <c r="W10" s="387"/>
      <c r="Y10" s="752"/>
    </row>
    <row r="11" spans="1:30" ht="54.75" hidden="1" outlineLevel="3">
      <c r="A11" s="376"/>
      <c r="B11" s="943"/>
      <c r="C11" s="882" t="s">
        <v>1453</v>
      </c>
      <c r="D11" s="884"/>
      <c r="E11" s="883"/>
      <c r="F11" s="760" t="s">
        <v>1454</v>
      </c>
      <c r="G11" s="944"/>
      <c r="H11" s="945"/>
      <c r="I11" s="944"/>
      <c r="J11" s="609"/>
      <c r="K11" s="692"/>
      <c r="L11" s="609"/>
      <c r="M11" s="692"/>
      <c r="N11" s="626"/>
      <c r="O11" s="752"/>
      <c r="Q11" s="387"/>
      <c r="R11" s="387"/>
      <c r="S11" s="392"/>
      <c r="T11" s="387"/>
      <c r="U11" s="387"/>
      <c r="V11" s="387"/>
      <c r="W11" s="387"/>
      <c r="Y11" s="752"/>
    </row>
    <row r="12" spans="1:30" ht="12.75" hidden="1" outlineLevel="3">
      <c r="A12" s="376"/>
      <c r="B12" s="943"/>
      <c r="C12" s="882" t="s">
        <v>1455</v>
      </c>
      <c r="D12" s="884"/>
      <c r="E12" s="883"/>
      <c r="F12" s="608"/>
      <c r="G12" s="944"/>
      <c r="H12" s="945"/>
      <c r="I12" s="944"/>
      <c r="J12" s="609"/>
      <c r="K12" s="692"/>
      <c r="L12" s="609"/>
      <c r="M12" s="692"/>
      <c r="N12" s="626"/>
      <c r="O12" s="752"/>
      <c r="Q12" s="387"/>
      <c r="R12" s="387"/>
      <c r="S12" s="392"/>
      <c r="T12" s="387"/>
      <c r="U12" s="387"/>
      <c r="V12" s="387"/>
      <c r="W12" s="387"/>
      <c r="Y12" s="752"/>
    </row>
    <row r="13" spans="1:30" ht="12.75" hidden="1" outlineLevel="3">
      <c r="A13" s="376"/>
      <c r="B13" s="943"/>
      <c r="C13" s="882" t="s">
        <v>1456</v>
      </c>
      <c r="D13" s="884"/>
      <c r="E13" s="883"/>
      <c r="F13" s="608"/>
      <c r="G13" s="944"/>
      <c r="H13" s="945"/>
      <c r="I13" s="944"/>
      <c r="J13" s="609"/>
      <c r="K13" s="692"/>
      <c r="L13" s="609"/>
      <c r="M13" s="692"/>
      <c r="N13" s="626"/>
      <c r="O13" s="752"/>
      <c r="Q13" s="387"/>
      <c r="R13" s="387"/>
      <c r="S13" s="392"/>
      <c r="T13" s="387"/>
      <c r="U13" s="387"/>
      <c r="V13" s="387"/>
      <c r="W13" s="387"/>
      <c r="Y13" s="752"/>
    </row>
    <row r="14" spans="1:30" ht="12.75" hidden="1" outlineLevel="3">
      <c r="A14" s="376"/>
      <c r="B14" s="943"/>
      <c r="C14" s="882" t="s">
        <v>1457</v>
      </c>
      <c r="D14" s="884"/>
      <c r="E14" s="883"/>
      <c r="F14" s="608"/>
      <c r="G14" s="944"/>
      <c r="H14" s="945"/>
      <c r="I14" s="944"/>
      <c r="J14" s="609"/>
      <c r="K14" s="692"/>
      <c r="L14" s="609"/>
      <c r="M14" s="692"/>
      <c r="N14" s="626"/>
      <c r="O14" s="752"/>
      <c r="Q14" s="387"/>
      <c r="R14" s="387"/>
      <c r="S14" s="392"/>
      <c r="T14" s="387"/>
      <c r="U14" s="387"/>
      <c r="V14" s="387"/>
      <c r="W14" s="387"/>
      <c r="Y14" s="752"/>
    </row>
    <row r="15" spans="1:30" ht="12.75" hidden="1" outlineLevel="3">
      <c r="A15" s="376"/>
      <c r="B15" s="943"/>
      <c r="C15" s="882" t="s">
        <v>1458</v>
      </c>
      <c r="D15" s="884"/>
      <c r="E15" s="883"/>
      <c r="F15" s="608"/>
      <c r="G15" s="944"/>
      <c r="H15" s="945"/>
      <c r="I15" s="944"/>
      <c r="J15" s="609"/>
      <c r="K15" s="692"/>
      <c r="L15" s="609"/>
      <c r="M15" s="692"/>
      <c r="N15" s="626"/>
      <c r="O15" s="752"/>
      <c r="Q15" s="387"/>
      <c r="R15" s="387"/>
      <c r="S15" s="392"/>
      <c r="T15" s="387"/>
      <c r="U15" s="387"/>
      <c r="V15" s="387"/>
      <c r="W15" s="387"/>
      <c r="Y15" s="752"/>
    </row>
    <row r="16" spans="1:30" ht="12.75" hidden="1" outlineLevel="3">
      <c r="A16" s="376"/>
      <c r="B16" s="943"/>
      <c r="C16" s="882" t="s">
        <v>1459</v>
      </c>
      <c r="D16" s="884"/>
      <c r="E16" s="883"/>
      <c r="F16" s="608"/>
      <c r="G16" s="944"/>
      <c r="H16" s="945"/>
      <c r="I16" s="944"/>
      <c r="J16" s="609"/>
      <c r="K16" s="692"/>
      <c r="L16" s="609"/>
      <c r="M16" s="692"/>
      <c r="N16" s="626"/>
      <c r="O16" s="752"/>
      <c r="Q16" s="387"/>
      <c r="R16" s="387"/>
      <c r="S16" s="392"/>
      <c r="T16" s="387"/>
      <c r="U16" s="387"/>
      <c r="V16" s="387"/>
      <c r="W16" s="387"/>
      <c r="Y16" s="752"/>
    </row>
    <row r="17" spans="1:34" ht="12.75" hidden="1" outlineLevel="3">
      <c r="A17" s="376"/>
      <c r="B17" s="943"/>
      <c r="C17" s="882" t="s">
        <v>1460</v>
      </c>
      <c r="D17" s="884"/>
      <c r="E17" s="883"/>
      <c r="F17" s="608"/>
      <c r="G17" s="944"/>
      <c r="H17" s="945"/>
      <c r="I17" s="944"/>
      <c r="J17" s="609"/>
      <c r="K17" s="692"/>
      <c r="L17" s="609"/>
      <c r="M17" s="692"/>
      <c r="N17" s="626"/>
      <c r="O17" s="752"/>
      <c r="Q17" s="387"/>
      <c r="R17" s="387"/>
      <c r="S17" s="392"/>
      <c r="T17" s="387"/>
      <c r="U17" s="387"/>
      <c r="V17" s="387"/>
      <c r="W17" s="387"/>
      <c r="Y17" s="752"/>
    </row>
    <row r="18" spans="1:34" ht="12.75" hidden="1" outlineLevel="3">
      <c r="A18" s="376"/>
      <c r="B18" s="943"/>
      <c r="C18" s="882" t="s">
        <v>1461</v>
      </c>
      <c r="D18" s="884"/>
      <c r="E18" s="883"/>
      <c r="F18" s="608"/>
      <c r="G18" s="944"/>
      <c r="H18" s="945"/>
      <c r="I18" s="944"/>
      <c r="J18" s="609"/>
      <c r="K18" s="692"/>
      <c r="L18" s="609"/>
      <c r="M18" s="692"/>
      <c r="N18" s="626"/>
      <c r="O18" s="752"/>
      <c r="Q18" s="387"/>
      <c r="R18" s="387"/>
      <c r="S18" s="392"/>
      <c r="T18" s="387"/>
      <c r="U18" s="387"/>
      <c r="V18" s="387"/>
      <c r="W18" s="387"/>
      <c r="Y18" s="752"/>
    </row>
    <row r="19" spans="1:34" ht="12.75" hidden="1" outlineLevel="3">
      <c r="A19" s="376"/>
      <c r="B19" s="943"/>
      <c r="C19" s="882" t="s">
        <v>1462</v>
      </c>
      <c r="D19" s="884"/>
      <c r="E19" s="883"/>
      <c r="F19" s="608"/>
      <c r="G19" s="944"/>
      <c r="H19" s="945"/>
      <c r="I19" s="944"/>
      <c r="J19" s="609"/>
      <c r="K19" s="692"/>
      <c r="L19" s="609"/>
      <c r="M19" s="692"/>
      <c r="N19" s="626"/>
      <c r="O19" s="752"/>
      <c r="Q19" s="387"/>
      <c r="R19" s="387"/>
      <c r="S19" s="392"/>
      <c r="T19" s="387"/>
      <c r="U19" s="387"/>
      <c r="V19" s="387"/>
      <c r="W19" s="387"/>
      <c r="Y19" s="752"/>
    </row>
    <row r="20" spans="1:34" ht="12.75" hidden="1" outlineLevel="3">
      <c r="A20" s="376"/>
      <c r="B20" s="943"/>
      <c r="C20" s="882" t="s">
        <v>1463</v>
      </c>
      <c r="D20" s="884"/>
      <c r="E20" s="883"/>
      <c r="F20" s="608"/>
      <c r="G20" s="944"/>
      <c r="H20" s="945"/>
      <c r="I20" s="944"/>
      <c r="J20" s="609"/>
      <c r="K20" s="692"/>
      <c r="L20" s="609"/>
      <c r="M20" s="692"/>
      <c r="N20" s="626"/>
      <c r="O20" s="752"/>
      <c r="Q20" s="387"/>
      <c r="R20" s="387"/>
      <c r="S20" s="392"/>
      <c r="T20" s="387"/>
      <c r="U20" s="387"/>
      <c r="V20" s="387"/>
      <c r="W20" s="387"/>
      <c r="Y20" s="752"/>
    </row>
    <row r="21" spans="1:34" ht="12.75" hidden="1" outlineLevel="3">
      <c r="A21" s="376"/>
      <c r="B21" s="943"/>
      <c r="C21" s="882" t="s">
        <v>1464</v>
      </c>
      <c r="D21" s="884"/>
      <c r="E21" s="883"/>
      <c r="F21" s="608"/>
      <c r="G21" s="944"/>
      <c r="H21" s="945"/>
      <c r="I21" s="944"/>
      <c r="J21" s="609"/>
      <c r="K21" s="692"/>
      <c r="L21" s="609"/>
      <c r="M21" s="692"/>
      <c r="N21" s="626"/>
      <c r="O21" s="752"/>
      <c r="Q21" s="387"/>
      <c r="R21" s="387"/>
      <c r="S21" s="392"/>
      <c r="T21" s="387"/>
      <c r="U21" s="387"/>
      <c r="V21" s="387"/>
      <c r="W21" s="387"/>
      <c r="Y21" s="752"/>
    </row>
    <row r="22" spans="1:34" ht="12.75" hidden="1" outlineLevel="3">
      <c r="A22" s="376"/>
      <c r="B22" s="943"/>
      <c r="C22" s="882" t="s">
        <v>1465</v>
      </c>
      <c r="D22" s="884"/>
      <c r="E22" s="883"/>
      <c r="F22" s="608"/>
      <c r="G22" s="944"/>
      <c r="H22" s="945"/>
      <c r="I22" s="944"/>
      <c r="J22" s="609"/>
      <c r="K22" s="692"/>
      <c r="L22" s="609"/>
      <c r="M22" s="692"/>
      <c r="N22" s="626"/>
      <c r="O22" s="752"/>
      <c r="Q22" s="387"/>
      <c r="R22" s="387"/>
      <c r="S22" s="392"/>
      <c r="T22" s="387"/>
      <c r="U22" s="387"/>
      <c r="V22" s="387"/>
      <c r="W22" s="387"/>
      <c r="Y22" s="752"/>
    </row>
    <row r="23" spans="1:34" ht="12.75" hidden="1" outlineLevel="3">
      <c r="A23" s="376"/>
      <c r="B23" s="943"/>
      <c r="C23" s="882" t="s">
        <v>1466</v>
      </c>
      <c r="D23" s="884"/>
      <c r="E23" s="883"/>
      <c r="F23" s="608"/>
      <c r="G23" s="944"/>
      <c r="H23" s="945"/>
      <c r="I23" s="944"/>
      <c r="J23" s="609"/>
      <c r="K23" s="692"/>
      <c r="L23" s="609"/>
      <c r="M23" s="692"/>
      <c r="N23" s="626"/>
      <c r="O23" s="752"/>
      <c r="Q23" s="387"/>
      <c r="R23" s="387"/>
      <c r="S23" s="392"/>
      <c r="T23" s="387"/>
      <c r="U23" s="387"/>
      <c r="V23" s="387"/>
      <c r="W23" s="387"/>
      <c r="Y23" s="752"/>
    </row>
    <row r="24" spans="1:34" ht="12.75" hidden="1" outlineLevel="3">
      <c r="A24" s="376"/>
      <c r="B24" s="943"/>
      <c r="C24" s="882" t="s">
        <v>1467</v>
      </c>
      <c r="D24" s="884"/>
      <c r="E24" s="883"/>
      <c r="F24" s="608"/>
      <c r="G24" s="944"/>
      <c r="H24" s="945"/>
      <c r="I24" s="944"/>
      <c r="J24" s="609"/>
      <c r="K24" s="692"/>
      <c r="L24" s="609"/>
      <c r="M24" s="692"/>
      <c r="N24" s="626"/>
      <c r="O24" s="752"/>
      <c r="Q24" s="387"/>
      <c r="R24" s="387"/>
      <c r="S24" s="392"/>
      <c r="T24" s="387"/>
      <c r="U24" s="387"/>
      <c r="V24" s="387"/>
      <c r="W24" s="387"/>
      <c r="Y24" s="752"/>
    </row>
    <row r="25" spans="1:34" ht="12.75" hidden="1" outlineLevel="3">
      <c r="A25" s="376"/>
      <c r="B25" s="943"/>
      <c r="C25" s="882" t="s">
        <v>1468</v>
      </c>
      <c r="D25" s="884"/>
      <c r="E25" s="883"/>
      <c r="F25" s="608"/>
      <c r="G25" s="944"/>
      <c r="H25" s="945"/>
      <c r="I25" s="944"/>
      <c r="J25" s="609"/>
      <c r="K25" s="692"/>
      <c r="L25" s="609"/>
      <c r="M25" s="692"/>
      <c r="N25" s="626"/>
      <c r="O25" s="752"/>
      <c r="Q25" s="387"/>
      <c r="R25" s="387"/>
      <c r="S25" s="392"/>
      <c r="T25" s="387"/>
      <c r="U25" s="387"/>
      <c r="V25" s="387"/>
      <c r="W25" s="387"/>
      <c r="Y25" s="752"/>
    </row>
    <row r="26" spans="1:34" ht="12.75" hidden="1" outlineLevel="3">
      <c r="A26" s="376"/>
      <c r="B26" s="943"/>
      <c r="C26" s="882" t="s">
        <v>1469</v>
      </c>
      <c r="D26" s="884"/>
      <c r="E26" s="883"/>
      <c r="F26" s="608"/>
      <c r="H26" s="752"/>
      <c r="J26" s="609"/>
      <c r="K26" s="692"/>
      <c r="L26" s="609"/>
      <c r="M26" s="692"/>
      <c r="N26" s="626"/>
      <c r="O26" s="752"/>
      <c r="Q26" s="387"/>
      <c r="R26" s="387"/>
      <c r="S26" s="392"/>
      <c r="T26" s="387"/>
      <c r="U26" s="387"/>
      <c r="V26" s="387"/>
      <c r="W26" s="387"/>
      <c r="Y26" s="752"/>
    </row>
    <row r="27" spans="1:34" ht="12.75" hidden="1" outlineLevel="3">
      <c r="A27" s="376"/>
      <c r="B27" s="943"/>
      <c r="C27" s="882" t="s">
        <v>1470</v>
      </c>
      <c r="D27" s="962"/>
      <c r="E27" s="883"/>
      <c r="F27" s="608"/>
      <c r="H27" s="752"/>
      <c r="J27" s="609"/>
      <c r="K27" s="692"/>
      <c r="L27" s="609"/>
      <c r="M27" s="692"/>
      <c r="N27" s="626"/>
      <c r="O27" s="752"/>
      <c r="Q27" s="387"/>
      <c r="R27" s="387"/>
      <c r="S27" s="392"/>
      <c r="T27" s="387"/>
      <c r="U27" s="387"/>
      <c r="V27" s="387"/>
      <c r="W27" s="387"/>
      <c r="Y27" s="752"/>
    </row>
    <row r="28" spans="1:34" ht="12.75" hidden="1" outlineLevel="3">
      <c r="A28" s="376"/>
      <c r="B28" s="943"/>
      <c r="C28" s="882" t="s">
        <v>1471</v>
      </c>
      <c r="D28" s="962"/>
      <c r="E28" s="883"/>
      <c r="F28" s="608"/>
      <c r="H28" s="752"/>
      <c r="J28" s="609"/>
      <c r="K28" s="692"/>
      <c r="L28" s="609"/>
      <c r="M28" s="692"/>
      <c r="N28" s="626"/>
      <c r="O28" s="752"/>
      <c r="Q28" s="387"/>
      <c r="R28" s="387"/>
      <c r="S28" s="392"/>
      <c r="T28" s="387"/>
      <c r="U28" s="387"/>
      <c r="V28" s="387"/>
      <c r="W28" s="387"/>
      <c r="Y28" s="752"/>
    </row>
    <row r="29" spans="1:34" ht="12.75" hidden="1" outlineLevel="3">
      <c r="A29" s="376"/>
      <c r="B29" s="943"/>
      <c r="C29" s="882" t="s">
        <v>1472</v>
      </c>
      <c r="D29" s="962"/>
      <c r="E29" s="883"/>
      <c r="F29" s="608"/>
      <c r="H29" s="752"/>
      <c r="J29" s="609"/>
      <c r="K29" s="692"/>
      <c r="L29" s="609"/>
      <c r="M29" s="692"/>
      <c r="N29" s="626"/>
      <c r="O29" s="752"/>
      <c r="Q29" s="387"/>
      <c r="R29" s="387"/>
      <c r="S29" s="392"/>
      <c r="T29" s="387"/>
      <c r="U29" s="387"/>
      <c r="V29" s="387"/>
      <c r="W29" s="387"/>
      <c r="Y29" s="752"/>
    </row>
    <row r="30" spans="1:34" ht="12.75" hidden="1" outlineLevel="3">
      <c r="A30" s="376"/>
      <c r="B30" s="943"/>
      <c r="C30" s="882" t="s">
        <v>1473</v>
      </c>
      <c r="D30" s="962"/>
      <c r="E30" s="883"/>
      <c r="F30" s="608"/>
      <c r="H30" s="752"/>
      <c r="J30" s="609"/>
      <c r="K30" s="692"/>
      <c r="L30" s="609"/>
      <c r="M30" s="692"/>
      <c r="N30" s="626"/>
      <c r="O30" s="752"/>
      <c r="Q30" s="387"/>
      <c r="R30" s="387"/>
      <c r="S30" s="392"/>
      <c r="T30" s="387"/>
      <c r="U30" s="387"/>
      <c r="V30" s="387"/>
      <c r="W30" s="387"/>
      <c r="Y30" s="752"/>
    </row>
    <row r="31" spans="1:34" ht="13.5" hidden="1" outlineLevel="2">
      <c r="A31" s="376" t="s">
        <v>1180</v>
      </c>
      <c r="B31" s="376" t="s">
        <v>252</v>
      </c>
      <c r="C31" s="608" t="s">
        <v>957</v>
      </c>
      <c r="D31" s="881">
        <v>46373</v>
      </c>
      <c r="E31" s="608" t="s">
        <v>1159</v>
      </c>
      <c r="F31" s="608"/>
      <c r="G31" s="944"/>
      <c r="H31" s="945"/>
      <c r="I31" s="944"/>
      <c r="J31" s="609">
        <v>7.3716905132000007E-2</v>
      </c>
      <c r="K31" s="692">
        <v>1</v>
      </c>
      <c r="L31" s="609">
        <f>IF(M31=1,J31,0)</f>
        <v>0</v>
      </c>
      <c r="M31" s="692"/>
      <c r="N31" s="626"/>
      <c r="O31" s="752"/>
      <c r="Q31" s="387" t="s">
        <v>1159</v>
      </c>
      <c r="R31" s="387" t="s">
        <v>1177</v>
      </c>
      <c r="S31" s="392" t="s">
        <v>1178</v>
      </c>
      <c r="T31" s="387" t="s">
        <v>1179</v>
      </c>
      <c r="U31" s="387"/>
      <c r="V31" s="387"/>
      <c r="W31" s="387"/>
      <c r="Y31" s="752"/>
      <c r="AC31" s="881"/>
    </row>
    <row r="32" spans="1:34" s="728" customFormat="1" ht="12.75" hidden="1" outlineLevel="3">
      <c r="A32" s="376"/>
      <c r="B32" s="882" t="s">
        <v>1474</v>
      </c>
      <c r="C32" s="882" t="s">
        <v>1475</v>
      </c>
      <c r="D32" s="948"/>
      <c r="E32" s="608"/>
      <c r="F32" s="608"/>
      <c r="G32" s="944"/>
      <c r="H32" s="945"/>
      <c r="I32" s="944"/>
      <c r="J32" s="609"/>
      <c r="K32" s="692"/>
      <c r="L32" s="609"/>
      <c r="M32" s="692"/>
      <c r="N32" s="626"/>
      <c r="O32" s="752"/>
      <c r="P32" s="416"/>
      <c r="Q32" s="387"/>
      <c r="R32" s="387"/>
      <c r="S32" s="392"/>
      <c r="T32" s="387"/>
      <c r="U32" s="387"/>
      <c r="V32" s="387"/>
      <c r="W32" s="387"/>
      <c r="X32" s="416"/>
      <c r="Y32" s="752"/>
      <c r="Z32" s="416"/>
      <c r="AA32" s="416"/>
      <c r="AB32" s="416"/>
      <c r="AC32" s="488"/>
      <c r="AD32" s="416"/>
      <c r="AE32" s="416"/>
      <c r="AF32" s="416"/>
      <c r="AG32" s="416"/>
      <c r="AH32" s="416"/>
    </row>
    <row r="33" spans="1:34" s="728" customFormat="1" ht="12.75" hidden="1" outlineLevel="3">
      <c r="A33" s="376"/>
      <c r="B33" s="882" t="s">
        <v>1474</v>
      </c>
      <c r="C33" s="882" t="s">
        <v>1476</v>
      </c>
      <c r="D33" s="948"/>
      <c r="E33" s="608"/>
      <c r="F33" s="608"/>
      <c r="G33" s="944"/>
      <c r="H33" s="945"/>
      <c r="I33" s="944"/>
      <c r="J33" s="609"/>
      <c r="K33" s="692"/>
      <c r="L33" s="609"/>
      <c r="M33" s="692"/>
      <c r="N33" s="626"/>
      <c r="O33" s="752"/>
      <c r="P33" s="416"/>
      <c r="Q33" s="387"/>
      <c r="R33" s="387"/>
      <c r="S33" s="392"/>
      <c r="T33" s="387"/>
      <c r="U33" s="387"/>
      <c r="V33" s="387"/>
      <c r="W33" s="387"/>
      <c r="X33" s="416"/>
      <c r="Y33" s="752"/>
      <c r="Z33" s="416"/>
      <c r="AA33" s="416"/>
      <c r="AB33" s="416"/>
      <c r="AC33" s="488"/>
      <c r="AD33" s="416"/>
      <c r="AE33" s="416"/>
      <c r="AF33" s="416"/>
      <c r="AG33" s="416"/>
      <c r="AH33" s="416"/>
    </row>
    <row r="34" spans="1:34" s="728" customFormat="1" ht="12.75" hidden="1" outlineLevel="3">
      <c r="A34" s="376"/>
      <c r="B34" s="882" t="s">
        <v>1474</v>
      </c>
      <c r="C34" s="882" t="s">
        <v>1477</v>
      </c>
      <c r="D34" s="948"/>
      <c r="E34" s="608"/>
      <c r="F34" s="608"/>
      <c r="G34" s="944"/>
      <c r="H34" s="945"/>
      <c r="I34" s="944"/>
      <c r="J34" s="609"/>
      <c r="K34" s="692"/>
      <c r="L34" s="609"/>
      <c r="M34" s="692"/>
      <c r="N34" s="626"/>
      <c r="O34" s="752"/>
      <c r="P34" s="416"/>
      <c r="Q34" s="387"/>
      <c r="R34" s="387"/>
      <c r="S34" s="392"/>
      <c r="T34" s="387"/>
      <c r="U34" s="387"/>
      <c r="V34" s="387"/>
      <c r="W34" s="387"/>
      <c r="X34" s="416"/>
      <c r="Y34" s="752"/>
      <c r="Z34" s="416"/>
      <c r="AA34" s="416"/>
      <c r="AB34" s="416"/>
      <c r="AC34" s="488"/>
      <c r="AD34" s="416"/>
      <c r="AE34" s="416"/>
      <c r="AF34" s="416"/>
      <c r="AG34" s="416"/>
      <c r="AH34" s="416"/>
    </row>
    <row r="35" spans="1:34" s="728" customFormat="1" ht="12.75" hidden="1" outlineLevel="3">
      <c r="A35" s="376"/>
      <c r="B35" s="882" t="s">
        <v>1474</v>
      </c>
      <c r="C35" s="882" t="s">
        <v>1478</v>
      </c>
      <c r="D35" s="948"/>
      <c r="E35" s="608"/>
      <c r="F35" s="608"/>
      <c r="G35" s="944"/>
      <c r="H35" s="945"/>
      <c r="I35" s="944"/>
      <c r="J35" s="609"/>
      <c r="K35" s="692"/>
      <c r="L35" s="609"/>
      <c r="M35" s="692"/>
      <c r="N35" s="626"/>
      <c r="O35" s="752"/>
      <c r="P35" s="416"/>
      <c r="Q35" s="387"/>
      <c r="R35" s="387"/>
      <c r="S35" s="392"/>
      <c r="T35" s="387"/>
      <c r="U35" s="387"/>
      <c r="V35" s="387"/>
      <c r="W35" s="387"/>
      <c r="X35" s="416"/>
      <c r="Y35" s="752"/>
      <c r="Z35" s="416"/>
      <c r="AA35" s="416"/>
      <c r="AB35" s="416"/>
      <c r="AC35" s="488"/>
      <c r="AD35" s="416"/>
      <c r="AE35" s="416"/>
      <c r="AF35" s="416"/>
      <c r="AG35" s="416"/>
      <c r="AH35" s="416"/>
    </row>
    <row r="36" spans="1:34" s="728" customFormat="1" ht="12.75" hidden="1" outlineLevel="3">
      <c r="A36" s="376"/>
      <c r="B36" s="882" t="s">
        <v>1474</v>
      </c>
      <c r="C36" s="882" t="s">
        <v>1479</v>
      </c>
      <c r="D36" s="948"/>
      <c r="E36" s="608"/>
      <c r="F36" s="608"/>
      <c r="G36" s="944"/>
      <c r="H36" s="945"/>
      <c r="I36" s="944"/>
      <c r="J36" s="609"/>
      <c r="K36" s="692"/>
      <c r="L36" s="609"/>
      <c r="M36" s="692"/>
      <c r="N36" s="626"/>
      <c r="O36" s="752"/>
      <c r="P36" s="416"/>
      <c r="Q36" s="387"/>
      <c r="R36" s="387"/>
      <c r="S36" s="392"/>
      <c r="T36" s="387"/>
      <c r="U36" s="387"/>
      <c r="V36" s="387"/>
      <c r="W36" s="387"/>
      <c r="X36" s="416"/>
      <c r="Y36" s="752"/>
      <c r="Z36" s="416"/>
      <c r="AA36" s="416"/>
      <c r="AB36" s="416"/>
      <c r="AC36" s="488"/>
      <c r="AD36" s="416"/>
      <c r="AE36" s="416"/>
      <c r="AF36" s="416"/>
      <c r="AG36" s="416"/>
      <c r="AH36" s="416"/>
    </row>
    <row r="37" spans="1:34" s="728" customFormat="1" ht="12.75" hidden="1" outlineLevel="3">
      <c r="A37" s="376"/>
      <c r="B37" s="882" t="s">
        <v>1474</v>
      </c>
      <c r="C37" s="882" t="s">
        <v>1480</v>
      </c>
      <c r="D37" s="948"/>
      <c r="E37" s="608"/>
      <c r="F37" s="608"/>
      <c r="G37" s="944"/>
      <c r="H37" s="945"/>
      <c r="I37" s="944"/>
      <c r="J37" s="609"/>
      <c r="K37" s="692"/>
      <c r="L37" s="609"/>
      <c r="M37" s="692"/>
      <c r="N37" s="626"/>
      <c r="O37" s="752"/>
      <c r="P37" s="416"/>
      <c r="Q37" s="387"/>
      <c r="R37" s="387"/>
      <c r="S37" s="392"/>
      <c r="T37" s="387"/>
      <c r="U37" s="387"/>
      <c r="V37" s="387"/>
      <c r="W37" s="387"/>
      <c r="X37" s="416"/>
      <c r="Y37" s="752"/>
      <c r="Z37" s="416"/>
      <c r="AA37" s="416"/>
      <c r="AB37" s="416"/>
      <c r="AC37" s="488"/>
      <c r="AD37" s="416"/>
      <c r="AE37" s="416"/>
      <c r="AF37" s="416"/>
      <c r="AG37" s="416"/>
      <c r="AH37" s="416"/>
    </row>
    <row r="38" spans="1:34" s="728" customFormat="1" ht="12.75" hidden="1" outlineLevel="3">
      <c r="A38" s="376"/>
      <c r="B38" s="882" t="s">
        <v>1474</v>
      </c>
      <c r="C38" s="882" t="s">
        <v>1481</v>
      </c>
      <c r="D38" s="948"/>
      <c r="E38" s="608"/>
      <c r="F38" s="608"/>
      <c r="G38" s="944"/>
      <c r="H38" s="945"/>
      <c r="I38" s="944"/>
      <c r="J38" s="609"/>
      <c r="K38" s="692"/>
      <c r="L38" s="609"/>
      <c r="M38" s="692"/>
      <c r="N38" s="626"/>
      <c r="O38" s="752"/>
      <c r="P38" s="416"/>
      <c r="Q38" s="387"/>
      <c r="R38" s="387"/>
      <c r="S38" s="392"/>
      <c r="T38" s="387"/>
      <c r="U38" s="387"/>
      <c r="V38" s="387"/>
      <c r="W38" s="387"/>
      <c r="X38" s="416"/>
      <c r="Y38" s="752"/>
      <c r="Z38" s="416"/>
      <c r="AA38" s="416"/>
      <c r="AB38" s="416"/>
      <c r="AC38" s="488"/>
      <c r="AD38" s="416"/>
      <c r="AE38" s="416"/>
      <c r="AF38" s="416"/>
      <c r="AG38" s="416"/>
      <c r="AH38" s="416"/>
    </row>
    <row r="39" spans="1:34" s="728" customFormat="1" ht="12.75" hidden="1" outlineLevel="3">
      <c r="A39" s="376"/>
      <c r="B39" s="882" t="s">
        <v>1474</v>
      </c>
      <c r="C39" s="882" t="s">
        <v>1482</v>
      </c>
      <c r="D39" s="948"/>
      <c r="E39" s="608"/>
      <c r="F39" s="608"/>
      <c r="G39" s="944"/>
      <c r="H39" s="945"/>
      <c r="I39" s="944"/>
      <c r="J39" s="609"/>
      <c r="K39" s="692"/>
      <c r="L39" s="609"/>
      <c r="M39" s="692"/>
      <c r="N39" s="626"/>
      <c r="O39" s="752"/>
      <c r="P39" s="416"/>
      <c r="Q39" s="387"/>
      <c r="R39" s="387"/>
      <c r="S39" s="392"/>
      <c r="T39" s="387"/>
      <c r="U39" s="387"/>
      <c r="V39" s="387"/>
      <c r="W39" s="387"/>
      <c r="X39" s="416"/>
      <c r="Y39" s="752"/>
      <c r="Z39" s="416"/>
      <c r="AA39" s="416"/>
      <c r="AB39" s="416"/>
      <c r="AC39" s="488"/>
      <c r="AD39" s="416"/>
      <c r="AE39" s="416"/>
      <c r="AF39" s="416"/>
      <c r="AG39" s="416"/>
      <c r="AH39" s="416"/>
    </row>
    <row r="40" spans="1:34" s="728" customFormat="1" ht="12.75" hidden="1" outlineLevel="3">
      <c r="A40" s="376"/>
      <c r="B40" s="882" t="s">
        <v>1474</v>
      </c>
      <c r="C40" s="882" t="s">
        <v>1483</v>
      </c>
      <c r="D40" s="948"/>
      <c r="E40" s="608"/>
      <c r="F40" s="608"/>
      <c r="G40" s="944"/>
      <c r="H40" s="945"/>
      <c r="I40" s="944"/>
      <c r="J40" s="609"/>
      <c r="K40" s="692"/>
      <c r="L40" s="609"/>
      <c r="M40" s="692"/>
      <c r="N40" s="626"/>
      <c r="O40" s="752"/>
      <c r="P40" s="416"/>
      <c r="Q40" s="387"/>
      <c r="R40" s="387"/>
      <c r="S40" s="392"/>
      <c r="T40" s="387"/>
      <c r="U40" s="387"/>
      <c r="V40" s="387"/>
      <c r="W40" s="387"/>
      <c r="X40" s="416"/>
      <c r="Y40" s="752"/>
      <c r="Z40" s="416"/>
      <c r="AA40" s="416"/>
      <c r="AB40" s="416"/>
      <c r="AC40" s="488"/>
      <c r="AD40" s="416"/>
      <c r="AE40" s="416"/>
      <c r="AF40" s="416"/>
      <c r="AG40" s="416"/>
      <c r="AH40" s="416"/>
    </row>
    <row r="41" spans="1:34" s="728" customFormat="1" ht="12.75" hidden="1" outlineLevel="3">
      <c r="A41" s="376"/>
      <c r="B41" s="882" t="s">
        <v>1484</v>
      </c>
      <c r="C41" s="882" t="s">
        <v>1476</v>
      </c>
      <c r="D41" s="948"/>
      <c r="E41" s="608"/>
      <c r="F41" s="608"/>
      <c r="G41" s="944"/>
      <c r="H41" s="945"/>
      <c r="I41" s="944"/>
      <c r="J41" s="609"/>
      <c r="K41" s="692"/>
      <c r="L41" s="609"/>
      <c r="M41" s="692"/>
      <c r="N41" s="626"/>
      <c r="O41" s="752"/>
      <c r="P41" s="416"/>
      <c r="Q41" s="387"/>
      <c r="R41" s="387"/>
      <c r="S41" s="392"/>
      <c r="T41" s="387"/>
      <c r="U41" s="387"/>
      <c r="V41" s="387"/>
      <c r="W41" s="387"/>
      <c r="X41" s="416"/>
      <c r="Y41" s="752"/>
      <c r="Z41" s="416"/>
      <c r="AA41" s="416"/>
      <c r="AB41" s="416"/>
      <c r="AC41" s="488"/>
      <c r="AD41" s="416"/>
      <c r="AE41" s="416"/>
      <c r="AF41" s="416"/>
      <c r="AG41" s="416"/>
      <c r="AH41" s="416"/>
    </row>
    <row r="42" spans="1:34" s="728" customFormat="1" ht="12.75" hidden="1" outlineLevel="3">
      <c r="A42" s="376"/>
      <c r="B42" s="882" t="s">
        <v>1484</v>
      </c>
      <c r="C42" s="882" t="s">
        <v>1477</v>
      </c>
      <c r="D42" s="948"/>
      <c r="E42" s="608"/>
      <c r="F42" s="608"/>
      <c r="G42" s="944"/>
      <c r="H42" s="945"/>
      <c r="I42" s="944"/>
      <c r="J42" s="609"/>
      <c r="K42" s="692"/>
      <c r="L42" s="609"/>
      <c r="M42" s="692"/>
      <c r="N42" s="626"/>
      <c r="O42" s="752"/>
      <c r="P42" s="416"/>
      <c r="Q42" s="387"/>
      <c r="R42" s="387"/>
      <c r="S42" s="392"/>
      <c r="T42" s="387"/>
      <c r="U42" s="387"/>
      <c r="V42" s="387"/>
      <c r="W42" s="387"/>
      <c r="X42" s="416"/>
      <c r="Y42" s="752"/>
      <c r="Z42" s="416"/>
      <c r="AA42" s="416"/>
      <c r="AB42" s="416"/>
      <c r="AC42" s="488"/>
      <c r="AD42" s="416"/>
      <c r="AE42" s="416"/>
      <c r="AF42" s="416"/>
      <c r="AG42" s="416"/>
      <c r="AH42" s="416"/>
    </row>
    <row r="43" spans="1:34" s="728" customFormat="1" ht="12.75" hidden="1" outlineLevel="3">
      <c r="A43" s="376"/>
      <c r="B43" s="882" t="s">
        <v>1484</v>
      </c>
      <c r="C43" s="882" t="s">
        <v>1485</v>
      </c>
      <c r="D43" s="948"/>
      <c r="E43" s="608"/>
      <c r="F43" s="608"/>
      <c r="G43" s="944"/>
      <c r="H43" s="945"/>
      <c r="I43" s="944"/>
      <c r="J43" s="609"/>
      <c r="K43" s="692"/>
      <c r="L43" s="609"/>
      <c r="M43" s="692"/>
      <c r="N43" s="626"/>
      <c r="O43" s="752"/>
      <c r="P43" s="416"/>
      <c r="Q43" s="387"/>
      <c r="R43" s="387"/>
      <c r="S43" s="392"/>
      <c r="T43" s="387"/>
      <c r="U43" s="387"/>
      <c r="V43" s="387"/>
      <c r="W43" s="387"/>
      <c r="X43" s="416"/>
      <c r="Y43" s="752"/>
      <c r="Z43" s="416"/>
      <c r="AA43" s="416"/>
      <c r="AB43" s="416"/>
      <c r="AC43" s="488"/>
      <c r="AD43" s="416"/>
      <c r="AE43" s="416"/>
      <c r="AF43" s="416"/>
      <c r="AG43" s="416"/>
      <c r="AH43" s="416"/>
    </row>
    <row r="44" spans="1:34" s="728" customFormat="1" ht="27.75" hidden="1" outlineLevel="3">
      <c r="A44" s="376"/>
      <c r="B44" s="882" t="s">
        <v>1486</v>
      </c>
      <c r="C44" s="882" t="s">
        <v>1476</v>
      </c>
      <c r="D44" s="948"/>
      <c r="E44" s="608"/>
      <c r="F44" s="760" t="s">
        <v>1487</v>
      </c>
      <c r="G44" s="944"/>
      <c r="H44" s="945"/>
      <c r="I44" s="944"/>
      <c r="J44" s="609"/>
      <c r="K44" s="692"/>
      <c r="L44" s="609"/>
      <c r="M44" s="692"/>
      <c r="N44" s="626"/>
      <c r="O44" s="752"/>
      <c r="P44" s="416"/>
      <c r="Q44" s="387"/>
      <c r="R44" s="387"/>
      <c r="S44" s="392"/>
      <c r="T44" s="387"/>
      <c r="U44" s="387"/>
      <c r="V44" s="387"/>
      <c r="W44" s="387"/>
      <c r="X44" s="416"/>
      <c r="Y44" s="752"/>
      <c r="Z44" s="416"/>
      <c r="AA44" s="416"/>
      <c r="AB44" s="416"/>
      <c r="AC44" s="488"/>
      <c r="AD44" s="416"/>
      <c r="AE44" s="416"/>
      <c r="AF44" s="416"/>
      <c r="AG44" s="416"/>
      <c r="AH44" s="416"/>
    </row>
    <row r="45" spans="1:34" s="728" customFormat="1" ht="27.75" hidden="1" outlineLevel="3">
      <c r="A45" s="376"/>
      <c r="B45" s="882" t="s">
        <v>1486</v>
      </c>
      <c r="C45" s="882" t="s">
        <v>1477</v>
      </c>
      <c r="D45" s="948"/>
      <c r="E45" s="608"/>
      <c r="F45" s="760" t="s">
        <v>1487</v>
      </c>
      <c r="G45" s="944"/>
      <c r="H45" s="945"/>
      <c r="I45" s="944"/>
      <c r="J45" s="609"/>
      <c r="K45" s="692"/>
      <c r="L45" s="609"/>
      <c r="M45" s="692"/>
      <c r="N45" s="626"/>
      <c r="O45" s="752"/>
      <c r="P45" s="416"/>
      <c r="Q45" s="387"/>
      <c r="R45" s="387"/>
      <c r="S45" s="392"/>
      <c r="T45" s="387"/>
      <c r="U45" s="387"/>
      <c r="V45" s="387"/>
      <c r="W45" s="387"/>
      <c r="X45" s="416"/>
      <c r="Y45" s="752"/>
      <c r="Z45" s="416"/>
      <c r="AA45" s="416"/>
      <c r="AB45" s="416"/>
      <c r="AC45" s="488"/>
      <c r="AD45" s="416"/>
      <c r="AE45" s="416"/>
      <c r="AF45" s="416"/>
      <c r="AG45" s="416"/>
      <c r="AH45" s="416"/>
    </row>
    <row r="46" spans="1:34" s="728" customFormat="1" ht="27.75" hidden="1" outlineLevel="3">
      <c r="A46" s="376"/>
      <c r="B46" s="882" t="s">
        <v>1486</v>
      </c>
      <c r="C46" s="882" t="s">
        <v>1485</v>
      </c>
      <c r="D46" s="948"/>
      <c r="E46" s="608"/>
      <c r="F46" s="760" t="s">
        <v>1487</v>
      </c>
      <c r="G46" s="944"/>
      <c r="H46" s="945"/>
      <c r="I46" s="944"/>
      <c r="J46" s="609"/>
      <c r="K46" s="692"/>
      <c r="L46" s="609"/>
      <c r="M46" s="692"/>
      <c r="N46" s="626"/>
      <c r="O46" s="752"/>
      <c r="P46" s="416"/>
      <c r="Q46" s="387"/>
      <c r="R46" s="387"/>
      <c r="S46" s="392"/>
      <c r="T46" s="387"/>
      <c r="U46" s="387"/>
      <c r="V46" s="387"/>
      <c r="W46" s="387"/>
      <c r="X46" s="416"/>
      <c r="Y46" s="752"/>
      <c r="Z46" s="416"/>
      <c r="AA46" s="416"/>
      <c r="AB46" s="416"/>
      <c r="AC46" s="488"/>
      <c r="AD46" s="416"/>
      <c r="AE46" s="416"/>
      <c r="AF46" s="416"/>
      <c r="AG46" s="416"/>
      <c r="AH46" s="416"/>
    </row>
    <row r="47" spans="1:34" s="728" customFormat="1" ht="54.75" hidden="1" outlineLevel="3">
      <c r="A47" s="376"/>
      <c r="B47" s="943"/>
      <c r="C47" s="882" t="s">
        <v>1488</v>
      </c>
      <c r="D47" s="948"/>
      <c r="E47" s="608"/>
      <c r="F47" s="760" t="s">
        <v>1454</v>
      </c>
      <c r="G47" s="944"/>
      <c r="H47" s="945"/>
      <c r="I47" s="944"/>
      <c r="J47" s="609"/>
      <c r="K47" s="692"/>
      <c r="L47" s="609"/>
      <c r="M47" s="692"/>
      <c r="N47" s="626"/>
      <c r="O47" s="752"/>
      <c r="P47" s="416"/>
      <c r="Q47" s="387"/>
      <c r="R47" s="387"/>
      <c r="S47" s="392"/>
      <c r="T47" s="387"/>
      <c r="U47" s="387"/>
      <c r="V47" s="387"/>
      <c r="W47" s="387"/>
      <c r="X47" s="416"/>
      <c r="Y47" s="752"/>
      <c r="Z47" s="416"/>
      <c r="AA47" s="416"/>
      <c r="AB47" s="416"/>
      <c r="AC47" s="488"/>
      <c r="AD47" s="416"/>
      <c r="AE47" s="416"/>
      <c r="AF47" s="416"/>
      <c r="AG47" s="416"/>
      <c r="AH47" s="416"/>
    </row>
    <row r="48" spans="1:34" hidden="1" outlineLevel="2">
      <c r="A48" s="376"/>
      <c r="B48" s="376" t="s">
        <v>252</v>
      </c>
      <c r="C48" s="608" t="s">
        <v>1004</v>
      </c>
      <c r="D48" s="881">
        <v>46386</v>
      </c>
      <c r="E48" s="608" t="s">
        <v>1159</v>
      </c>
      <c r="F48" s="608"/>
      <c r="G48" s="944"/>
      <c r="H48" s="945"/>
      <c r="I48" s="944"/>
      <c r="J48" s="609">
        <v>7.3716905132000007E-2</v>
      </c>
      <c r="K48" s="692">
        <v>1</v>
      </c>
      <c r="L48" s="609">
        <f>IF(M48=1,J48,0)</f>
        <v>0</v>
      </c>
      <c r="M48" s="692"/>
      <c r="N48" s="626"/>
      <c r="O48" s="752"/>
      <c r="Q48" s="387" t="s">
        <v>1159</v>
      </c>
      <c r="R48" s="387" t="s">
        <v>1177</v>
      </c>
      <c r="S48" s="392" t="s">
        <v>1178</v>
      </c>
      <c r="T48" s="387" t="s">
        <v>1179</v>
      </c>
      <c r="U48" s="387"/>
      <c r="V48" s="387"/>
      <c r="W48" s="387"/>
      <c r="Y48" s="752"/>
      <c r="AC48" s="881"/>
    </row>
    <row r="49" spans="1:29" ht="12.75" hidden="1" outlineLevel="3">
      <c r="A49" s="376"/>
      <c r="B49" s="943"/>
      <c r="C49" s="882" t="s">
        <v>1489</v>
      </c>
      <c r="D49" s="948"/>
      <c r="E49" s="608"/>
      <c r="F49" s="608"/>
      <c r="G49" s="944"/>
      <c r="H49" s="945"/>
      <c r="I49" s="944"/>
      <c r="J49" s="609"/>
      <c r="K49" s="700"/>
      <c r="L49" s="609"/>
      <c r="M49" s="700"/>
      <c r="N49" s="626"/>
      <c r="O49" s="752"/>
      <c r="Q49" s="387"/>
      <c r="R49" s="387"/>
      <c r="S49" s="392"/>
      <c r="T49" s="387"/>
      <c r="U49" s="387"/>
      <c r="V49" s="387"/>
      <c r="W49" s="387"/>
      <c r="Y49" s="752"/>
    </row>
    <row r="50" spans="1:29" ht="12.75" hidden="1" outlineLevel="3">
      <c r="A50" s="376"/>
      <c r="B50" s="943"/>
      <c r="C50" s="882" t="s">
        <v>1490</v>
      </c>
      <c r="D50" s="948"/>
      <c r="E50" s="608"/>
      <c r="F50" s="608"/>
      <c r="G50" s="944"/>
      <c r="H50" s="945"/>
      <c r="I50" s="944"/>
      <c r="J50" s="609"/>
      <c r="K50" s="700"/>
      <c r="L50" s="609"/>
      <c r="M50" s="700"/>
      <c r="N50" s="626"/>
      <c r="O50" s="752"/>
      <c r="Q50" s="387"/>
      <c r="R50" s="387"/>
      <c r="S50" s="392"/>
      <c r="T50" s="387"/>
      <c r="U50" s="387"/>
      <c r="V50" s="387"/>
      <c r="W50" s="387"/>
      <c r="Y50" s="752"/>
    </row>
    <row r="51" spans="1:29" ht="12.75" hidden="1" outlineLevel="3">
      <c r="A51" s="376"/>
      <c r="B51" s="943"/>
      <c r="C51" s="882" t="s">
        <v>1491</v>
      </c>
      <c r="D51" s="948"/>
      <c r="E51" s="608"/>
      <c r="F51" s="608"/>
      <c r="G51" s="944"/>
      <c r="H51" s="945"/>
      <c r="I51" s="944"/>
      <c r="J51" s="609"/>
      <c r="K51" s="700"/>
      <c r="L51" s="609"/>
      <c r="M51" s="700"/>
      <c r="N51" s="626"/>
      <c r="O51" s="752"/>
      <c r="Q51" s="387"/>
      <c r="R51" s="387"/>
      <c r="S51" s="392"/>
      <c r="T51" s="387"/>
      <c r="U51" s="387"/>
      <c r="V51" s="387"/>
      <c r="W51" s="387"/>
      <c r="Y51" s="752"/>
    </row>
    <row r="52" spans="1:29" hidden="1" outlineLevel="2">
      <c r="A52" s="376"/>
      <c r="B52" s="376" t="s">
        <v>252</v>
      </c>
      <c r="C52" s="608" t="s">
        <v>1181</v>
      </c>
      <c r="D52" s="881">
        <v>46325</v>
      </c>
      <c r="E52" s="608" t="s">
        <v>1159</v>
      </c>
      <c r="F52" s="608"/>
      <c r="G52" s="944"/>
      <c r="H52" s="945"/>
      <c r="I52" s="944"/>
      <c r="J52" s="609">
        <v>6.4031962499999998E-2</v>
      </c>
      <c r="K52" s="700">
        <v>1</v>
      </c>
      <c r="L52" s="609">
        <f>IF(M52=1,J52,0)</f>
        <v>0</v>
      </c>
      <c r="M52" s="700"/>
      <c r="N52" s="626"/>
      <c r="O52" s="752"/>
      <c r="Q52" s="387" t="s">
        <v>1159</v>
      </c>
      <c r="R52" s="387" t="s">
        <v>1177</v>
      </c>
      <c r="S52" s="392" t="s">
        <v>1178</v>
      </c>
      <c r="T52" s="387" t="s">
        <v>1179</v>
      </c>
      <c r="U52" s="387"/>
      <c r="V52" s="387"/>
      <c r="W52" s="387"/>
      <c r="Y52" s="752"/>
      <c r="AC52" s="881"/>
    </row>
    <row r="53" spans="1:29" ht="41.25" hidden="1" outlineLevel="3">
      <c r="A53" s="376"/>
      <c r="B53" s="943"/>
      <c r="C53" s="882" t="s">
        <v>1492</v>
      </c>
      <c r="D53" s="948"/>
      <c r="E53" s="608"/>
      <c r="F53" s="760" t="s">
        <v>1493</v>
      </c>
      <c r="G53" s="944"/>
      <c r="H53" s="945"/>
      <c r="I53" s="944"/>
      <c r="J53" s="609"/>
      <c r="K53" s="700"/>
      <c r="L53" s="609"/>
      <c r="M53" s="700"/>
      <c r="N53" s="626"/>
      <c r="O53" s="752"/>
      <c r="Q53" s="387"/>
      <c r="R53" s="387"/>
      <c r="S53" s="392"/>
      <c r="T53" s="387"/>
      <c r="U53" s="387"/>
      <c r="V53" s="387"/>
      <c r="W53" s="387"/>
      <c r="Y53" s="752"/>
    </row>
    <row r="54" spans="1:29" ht="41.25" hidden="1" outlineLevel="3">
      <c r="A54" s="376"/>
      <c r="B54" s="943"/>
      <c r="C54" s="953" t="s">
        <v>1494</v>
      </c>
      <c r="D54" s="948"/>
      <c r="E54" s="608"/>
      <c r="F54" s="760" t="s">
        <v>1493</v>
      </c>
      <c r="H54" s="752"/>
      <c r="J54" s="609"/>
      <c r="K54" s="700"/>
      <c r="L54" s="609"/>
      <c r="M54" s="700"/>
      <c r="N54" s="626"/>
      <c r="O54" s="752"/>
      <c r="Q54" s="387"/>
      <c r="R54" s="387"/>
      <c r="S54" s="392"/>
      <c r="T54" s="387"/>
      <c r="U54" s="387"/>
      <c r="V54" s="387"/>
      <c r="W54" s="387"/>
      <c r="Y54" s="752"/>
    </row>
    <row r="55" spans="1:29" hidden="1" outlineLevel="2">
      <c r="A55" s="376"/>
      <c r="B55" s="376" t="s">
        <v>252</v>
      </c>
      <c r="C55" s="608" t="s">
        <v>1182</v>
      </c>
      <c r="D55" s="881">
        <v>46310</v>
      </c>
      <c r="E55" s="608" t="s">
        <v>1159</v>
      </c>
      <c r="F55" s="608"/>
      <c r="G55" s="944"/>
      <c r="H55" s="945"/>
      <c r="I55" s="944"/>
      <c r="J55" s="609">
        <v>0.54994955184000005</v>
      </c>
      <c r="K55" s="700">
        <v>1</v>
      </c>
      <c r="L55" s="609">
        <f>IF(M55=1,J55,0)</f>
        <v>0</v>
      </c>
      <c r="M55" s="700"/>
      <c r="N55" s="626"/>
      <c r="O55" s="752"/>
      <c r="Q55" s="387" t="s">
        <v>1159</v>
      </c>
      <c r="R55" s="387" t="s">
        <v>1177</v>
      </c>
      <c r="S55" s="392" t="s">
        <v>1178</v>
      </c>
      <c r="T55" s="387" t="s">
        <v>1179</v>
      </c>
      <c r="U55" s="387"/>
      <c r="V55" s="387"/>
      <c r="W55" s="387"/>
      <c r="Y55" s="752"/>
      <c r="AC55" s="881"/>
    </row>
    <row r="56" spans="1:29" ht="27.75" hidden="1" outlineLevel="3">
      <c r="A56" s="376"/>
      <c r="B56" s="943"/>
      <c r="C56" s="882" t="s">
        <v>1495</v>
      </c>
      <c r="D56" s="948"/>
      <c r="E56" s="608"/>
      <c r="F56" s="760" t="s">
        <v>1496</v>
      </c>
      <c r="G56" s="944"/>
      <c r="H56" s="945"/>
      <c r="I56" s="944"/>
      <c r="J56" s="609"/>
      <c r="K56" s="700"/>
      <c r="L56" s="609"/>
      <c r="M56" s="700"/>
      <c r="N56" s="626"/>
      <c r="O56" s="752"/>
      <c r="Q56" s="387"/>
      <c r="R56" s="387"/>
      <c r="S56" s="392"/>
      <c r="T56" s="387"/>
      <c r="U56" s="387"/>
      <c r="V56" s="387"/>
      <c r="W56" s="387"/>
      <c r="Y56" s="752"/>
    </row>
    <row r="57" spans="1:29" ht="27.75" hidden="1" outlineLevel="3">
      <c r="A57" s="376"/>
      <c r="B57" s="943"/>
      <c r="C57" s="882" t="s">
        <v>1497</v>
      </c>
      <c r="D57" s="948"/>
      <c r="E57" s="608"/>
      <c r="F57" s="760" t="s">
        <v>1498</v>
      </c>
      <c r="G57" s="944"/>
      <c r="H57" s="945"/>
      <c r="I57" s="944"/>
      <c r="J57" s="609"/>
      <c r="K57" s="700"/>
      <c r="L57" s="609"/>
      <c r="M57" s="700"/>
      <c r="N57" s="626"/>
      <c r="O57" s="752"/>
      <c r="Q57" s="387"/>
      <c r="R57" s="387"/>
      <c r="S57" s="392"/>
      <c r="T57" s="387"/>
      <c r="U57" s="387"/>
      <c r="V57" s="387"/>
      <c r="W57" s="387"/>
      <c r="Y57" s="752"/>
    </row>
    <row r="58" spans="1:29" ht="27.75" hidden="1" outlineLevel="3">
      <c r="A58" s="376"/>
      <c r="B58" s="943"/>
      <c r="C58" s="882" t="s">
        <v>1499</v>
      </c>
      <c r="D58" s="948"/>
      <c r="E58" s="608"/>
      <c r="F58" s="760" t="s">
        <v>1496</v>
      </c>
      <c r="H58" s="752"/>
      <c r="J58" s="609"/>
      <c r="K58" s="700"/>
      <c r="L58" s="609"/>
      <c r="M58" s="700"/>
      <c r="N58" s="626"/>
      <c r="O58" s="752"/>
      <c r="Q58" s="387"/>
      <c r="R58" s="387"/>
      <c r="S58" s="392"/>
      <c r="T58" s="387"/>
      <c r="U58" s="387"/>
      <c r="V58" s="387"/>
      <c r="W58" s="387"/>
      <c r="Y58" s="752"/>
    </row>
    <row r="59" spans="1:29" ht="13.5" hidden="1" outlineLevel="3">
      <c r="A59" s="376"/>
      <c r="B59" s="943"/>
      <c r="C59" s="882" t="s">
        <v>1500</v>
      </c>
      <c r="D59" s="961"/>
      <c r="E59" s="608"/>
      <c r="F59" s="760" t="s">
        <v>1501</v>
      </c>
      <c r="H59" s="752"/>
      <c r="J59" s="609"/>
      <c r="K59" s="700"/>
      <c r="L59" s="609"/>
      <c r="M59" s="700"/>
      <c r="N59" s="626"/>
      <c r="O59" s="752"/>
      <c r="Q59" s="387"/>
      <c r="R59" s="387"/>
      <c r="S59" s="392"/>
      <c r="T59" s="387"/>
      <c r="U59" s="387"/>
      <c r="V59" s="387"/>
      <c r="W59" s="387"/>
      <c r="Y59" s="752"/>
    </row>
    <row r="60" spans="1:29" ht="13.5" hidden="1" outlineLevel="3">
      <c r="A60" s="376"/>
      <c r="B60" s="943"/>
      <c r="C60" s="882" t="s">
        <v>1502</v>
      </c>
      <c r="D60" s="961"/>
      <c r="E60" s="608"/>
      <c r="F60" s="760" t="s">
        <v>1501</v>
      </c>
      <c r="H60" s="752"/>
      <c r="J60" s="609"/>
      <c r="K60" s="700"/>
      <c r="L60" s="609"/>
      <c r="M60" s="700"/>
      <c r="N60" s="626"/>
      <c r="O60" s="752"/>
      <c r="Q60" s="387"/>
      <c r="R60" s="387"/>
      <c r="S60" s="392"/>
      <c r="T60" s="387"/>
      <c r="U60" s="387"/>
      <c r="V60" s="387"/>
      <c r="W60" s="387"/>
      <c r="Y60" s="752"/>
    </row>
    <row r="61" spans="1:29" hidden="1" outlineLevel="2">
      <c r="A61" s="376"/>
      <c r="B61" s="376" t="s">
        <v>252</v>
      </c>
      <c r="C61" s="608" t="s">
        <v>1183</v>
      </c>
      <c r="D61" s="881">
        <v>46325</v>
      </c>
      <c r="E61" s="608" t="s">
        <v>1159</v>
      </c>
      <c r="F61" s="608"/>
      <c r="G61" s="944"/>
      <c r="H61" s="945"/>
      <c r="I61" s="944"/>
      <c r="J61" s="609">
        <v>0.27497477592000003</v>
      </c>
      <c r="K61" s="700">
        <v>1</v>
      </c>
      <c r="L61" s="609">
        <f>IF(M61=1,J61,0)</f>
        <v>0</v>
      </c>
      <c r="M61" s="700"/>
      <c r="N61" s="626"/>
      <c r="O61" s="752"/>
      <c r="Q61" s="387" t="s">
        <v>1159</v>
      </c>
      <c r="R61" s="387" t="s">
        <v>1177</v>
      </c>
      <c r="S61" s="392" t="s">
        <v>1178</v>
      </c>
      <c r="T61" s="387" t="s">
        <v>1179</v>
      </c>
      <c r="U61" s="387"/>
      <c r="V61" s="387"/>
      <c r="W61" s="387"/>
      <c r="Y61" s="752"/>
      <c r="AC61" s="881"/>
    </row>
    <row r="62" spans="1:29" ht="13.5" hidden="1" outlineLevel="3">
      <c r="A62" s="376"/>
      <c r="B62" s="943" t="s">
        <v>1450</v>
      </c>
      <c r="C62" s="882" t="s">
        <v>1503</v>
      </c>
      <c r="D62" s="948"/>
      <c r="E62" s="608"/>
      <c r="F62" s="760" t="s">
        <v>1501</v>
      </c>
      <c r="G62" s="944"/>
      <c r="H62" s="945"/>
      <c r="I62" s="944"/>
      <c r="J62" s="609"/>
      <c r="K62" s="700"/>
      <c r="L62" s="609"/>
      <c r="M62" s="700"/>
      <c r="N62" s="626"/>
      <c r="O62" s="752"/>
      <c r="Q62" s="387"/>
      <c r="R62" s="387"/>
      <c r="S62" s="392"/>
      <c r="T62" s="387"/>
      <c r="U62" s="387"/>
      <c r="V62" s="387"/>
      <c r="W62" s="387"/>
      <c r="Y62" s="752"/>
    </row>
    <row r="63" spans="1:29" ht="13.5" hidden="1" outlineLevel="3">
      <c r="A63" s="376"/>
      <c r="B63" s="943" t="s">
        <v>1504</v>
      </c>
      <c r="C63" s="882" t="s">
        <v>1505</v>
      </c>
      <c r="D63" s="948"/>
      <c r="E63" s="608"/>
      <c r="F63" s="760" t="s">
        <v>1501</v>
      </c>
      <c r="H63" s="752"/>
      <c r="J63" s="609"/>
      <c r="K63" s="700"/>
      <c r="L63" s="609"/>
      <c r="M63" s="700"/>
      <c r="N63" s="626"/>
      <c r="O63" s="752"/>
      <c r="Q63" s="387"/>
      <c r="R63" s="387"/>
      <c r="S63" s="392"/>
      <c r="T63" s="387"/>
      <c r="U63" s="387"/>
      <c r="V63" s="387"/>
      <c r="W63" s="387"/>
      <c r="Y63" s="752"/>
    </row>
    <row r="64" spans="1:29" hidden="1" outlineLevel="2">
      <c r="A64" s="376"/>
      <c r="B64" s="376" t="s">
        <v>252</v>
      </c>
      <c r="C64" s="608" t="s">
        <v>1184</v>
      </c>
      <c r="D64" s="881">
        <v>46315</v>
      </c>
      <c r="E64" s="608" t="s">
        <v>1159</v>
      </c>
      <c r="F64" s="608"/>
      <c r="G64" s="944"/>
      <c r="H64" s="945"/>
      <c r="I64" s="944"/>
      <c r="J64" s="609">
        <v>2.2352362560000003</v>
      </c>
      <c r="K64" s="700">
        <v>1</v>
      </c>
      <c r="L64" s="609">
        <f>IF(M64=1,J64,0)</f>
        <v>0</v>
      </c>
      <c r="M64" s="700"/>
      <c r="N64" s="626"/>
      <c r="O64" s="752"/>
      <c r="Q64" s="387" t="s">
        <v>1159</v>
      </c>
      <c r="R64" s="387" t="s">
        <v>1177</v>
      </c>
      <c r="S64" s="392" t="s">
        <v>1178</v>
      </c>
      <c r="T64" s="387" t="s">
        <v>1179</v>
      </c>
      <c r="U64" s="387"/>
      <c r="V64" s="387"/>
      <c r="W64" s="387"/>
      <c r="Y64" s="752"/>
      <c r="AC64" s="881"/>
    </row>
    <row r="65" spans="1:29" ht="138" hidden="1" outlineLevel="3">
      <c r="A65" s="376"/>
      <c r="B65" s="943" t="s">
        <v>1450</v>
      </c>
      <c r="C65" s="882"/>
      <c r="D65" s="948"/>
      <c r="E65" s="608"/>
      <c r="F65" s="760" t="s">
        <v>1506</v>
      </c>
      <c r="G65" s="944"/>
      <c r="H65" s="945"/>
      <c r="I65" s="944"/>
      <c r="J65" s="609"/>
      <c r="K65" s="700"/>
      <c r="L65" s="609"/>
      <c r="M65" s="700"/>
      <c r="N65" s="626"/>
      <c r="O65" s="752"/>
      <c r="Q65" s="387"/>
      <c r="R65" s="387"/>
      <c r="S65" s="392"/>
      <c r="T65" s="387"/>
      <c r="U65" s="387"/>
      <c r="V65" s="387"/>
      <c r="W65" s="387"/>
      <c r="Y65" s="752"/>
    </row>
    <row r="66" spans="1:29" ht="12.75" hidden="1" outlineLevel="3">
      <c r="A66" s="376"/>
      <c r="B66" s="943" t="s">
        <v>1504</v>
      </c>
      <c r="C66" s="882"/>
      <c r="D66" s="948"/>
      <c r="E66" s="608"/>
      <c r="F66" s="608"/>
      <c r="H66" s="752"/>
      <c r="J66" s="609"/>
      <c r="K66" s="700"/>
      <c r="L66" s="609"/>
      <c r="M66" s="700"/>
      <c r="N66" s="626"/>
      <c r="O66" s="752"/>
      <c r="Q66" s="387"/>
      <c r="R66" s="387"/>
      <c r="S66" s="392"/>
      <c r="T66" s="387"/>
      <c r="U66" s="387"/>
      <c r="V66" s="387"/>
      <c r="W66" s="387"/>
      <c r="Y66" s="752"/>
    </row>
    <row r="67" spans="1:29" hidden="1" outlineLevel="2">
      <c r="A67" s="376"/>
      <c r="B67" s="376" t="s">
        <v>252</v>
      </c>
      <c r="C67" s="608" t="s">
        <v>1185</v>
      </c>
      <c r="D67" s="881">
        <v>46315</v>
      </c>
      <c r="E67" s="608" t="s">
        <v>1159</v>
      </c>
      <c r="F67" s="608"/>
      <c r="G67" s="944"/>
      <c r="H67" s="945"/>
      <c r="I67" s="944"/>
      <c r="J67" s="609">
        <v>2.2352362560000003</v>
      </c>
      <c r="K67" s="700">
        <v>1</v>
      </c>
      <c r="L67" s="609">
        <f>IF(M67=1,J67,0)</f>
        <v>0</v>
      </c>
      <c r="M67" s="700"/>
      <c r="N67" s="626"/>
      <c r="O67" s="752"/>
      <c r="Q67" s="387" t="s">
        <v>1159</v>
      </c>
      <c r="R67" s="387" t="s">
        <v>1177</v>
      </c>
      <c r="S67" s="392" t="s">
        <v>1178</v>
      </c>
      <c r="T67" s="387" t="s">
        <v>1179</v>
      </c>
      <c r="U67" s="387"/>
      <c r="V67" s="387"/>
      <c r="W67" s="387"/>
      <c r="Y67" s="752"/>
      <c r="AC67" s="881"/>
    </row>
    <row r="68" spans="1:29" ht="124.5" hidden="1" outlineLevel="3">
      <c r="A68" s="376"/>
      <c r="B68" s="943" t="s">
        <v>1450</v>
      </c>
      <c r="C68" s="882"/>
      <c r="D68" s="948"/>
      <c r="E68" s="608"/>
      <c r="F68" s="760" t="s">
        <v>1507</v>
      </c>
      <c r="G68" s="944"/>
      <c r="H68" s="945"/>
      <c r="I68" s="944"/>
      <c r="J68" s="609"/>
      <c r="K68" s="700"/>
      <c r="L68" s="609"/>
      <c r="M68" s="700"/>
      <c r="N68" s="626"/>
      <c r="O68" s="752"/>
      <c r="Q68" s="387"/>
      <c r="R68" s="387"/>
      <c r="S68" s="392"/>
      <c r="T68" s="387"/>
      <c r="U68" s="387"/>
      <c r="V68" s="387"/>
      <c r="W68" s="387"/>
      <c r="Y68" s="752"/>
    </row>
    <row r="69" spans="1:29" ht="12.75" hidden="1" outlineLevel="3">
      <c r="A69" s="376"/>
      <c r="B69" s="943" t="s">
        <v>1504</v>
      </c>
      <c r="C69" s="882"/>
      <c r="D69" s="948"/>
      <c r="E69" s="608"/>
      <c r="F69" s="608"/>
      <c r="G69" s="711"/>
      <c r="H69" s="756"/>
      <c r="I69" s="711"/>
      <c r="J69" s="609"/>
      <c r="K69" s="700"/>
      <c r="L69" s="609"/>
      <c r="M69" s="700"/>
      <c r="N69" s="626"/>
      <c r="O69" s="752"/>
      <c r="Q69" s="387"/>
      <c r="R69" s="387"/>
      <c r="S69" s="392"/>
      <c r="T69" s="387"/>
      <c r="U69" s="387"/>
      <c r="V69" s="387"/>
      <c r="W69" s="387"/>
      <c r="Y69" s="752"/>
    </row>
    <row r="70" spans="1:29" hidden="1" outlineLevel="2">
      <c r="A70" s="376"/>
      <c r="B70" s="376" t="s">
        <v>252</v>
      </c>
      <c r="C70" s="608" t="s">
        <v>1186</v>
      </c>
      <c r="D70" s="881">
        <v>46315</v>
      </c>
      <c r="E70" s="608" t="s">
        <v>1159</v>
      </c>
      <c r="F70" s="608"/>
      <c r="H70" s="752"/>
      <c r="J70" s="609"/>
      <c r="K70" s="700">
        <v>1</v>
      </c>
      <c r="L70" s="609">
        <f>IF(M70=1,J70,0)</f>
        <v>0</v>
      </c>
      <c r="M70" s="700"/>
      <c r="N70" s="626"/>
      <c r="O70" s="752"/>
      <c r="Q70" s="387" t="s">
        <v>1159</v>
      </c>
      <c r="R70" s="387" t="s">
        <v>1177</v>
      </c>
      <c r="S70" s="392" t="s">
        <v>1178</v>
      </c>
      <c r="T70" s="387" t="s">
        <v>1179</v>
      </c>
      <c r="U70" s="387"/>
      <c r="V70" s="387"/>
      <c r="W70" s="387"/>
      <c r="Y70" s="752"/>
      <c r="AC70" s="881"/>
    </row>
    <row r="71" spans="1:29" ht="41.25" hidden="1" outlineLevel="3">
      <c r="A71" s="376"/>
      <c r="B71" s="943" t="s">
        <v>1450</v>
      </c>
      <c r="C71" s="882"/>
      <c r="D71" s="948"/>
      <c r="E71" s="608"/>
      <c r="F71" s="760" t="s">
        <v>1508</v>
      </c>
      <c r="G71" s="944"/>
      <c r="H71" s="945"/>
      <c r="I71" s="944"/>
      <c r="J71" s="609"/>
      <c r="K71" s="700"/>
      <c r="L71" s="609"/>
      <c r="M71" s="700"/>
      <c r="N71" s="626"/>
      <c r="O71" s="752"/>
      <c r="Q71" s="387"/>
      <c r="R71" s="387"/>
      <c r="S71" s="392"/>
      <c r="T71" s="387"/>
      <c r="U71" s="387"/>
      <c r="V71" s="387"/>
      <c r="W71" s="387"/>
      <c r="Y71" s="752"/>
    </row>
    <row r="72" spans="1:29" ht="12.75" hidden="1" outlineLevel="3">
      <c r="A72" s="376"/>
      <c r="B72" s="943" t="s">
        <v>1504</v>
      </c>
      <c r="C72" s="882"/>
      <c r="D72" s="948"/>
      <c r="E72" s="608"/>
      <c r="F72" s="608"/>
      <c r="G72" s="944"/>
      <c r="H72" s="945"/>
      <c r="I72" s="944"/>
      <c r="J72" s="609"/>
      <c r="K72" s="700"/>
      <c r="L72" s="609"/>
      <c r="M72" s="700"/>
      <c r="N72" s="626"/>
      <c r="O72" s="752"/>
      <c r="Q72" s="387"/>
      <c r="R72" s="387"/>
      <c r="S72" s="392"/>
      <c r="T72" s="387"/>
      <c r="U72" s="387"/>
      <c r="V72" s="387"/>
      <c r="W72" s="387"/>
      <c r="Y72" s="752"/>
    </row>
    <row r="73" spans="1:29" hidden="1" outlineLevel="2">
      <c r="A73" s="376"/>
      <c r="B73" s="376" t="s">
        <v>252</v>
      </c>
      <c r="C73" s="608" t="s">
        <v>1160</v>
      </c>
      <c r="D73" s="881">
        <v>46325</v>
      </c>
      <c r="E73" s="608" t="s">
        <v>1159</v>
      </c>
      <c r="F73" s="608"/>
      <c r="H73" s="752"/>
      <c r="J73" s="609">
        <v>0.1125</v>
      </c>
      <c r="K73" s="700">
        <v>1</v>
      </c>
      <c r="L73" s="609">
        <f>IF(M73=1,J73,0)</f>
        <v>0</v>
      </c>
      <c r="M73" s="700"/>
      <c r="N73" s="626"/>
      <c r="O73" s="752"/>
      <c r="Q73" s="387" t="s">
        <v>1159</v>
      </c>
      <c r="R73" s="387" t="s">
        <v>1177</v>
      </c>
      <c r="S73" s="392" t="s">
        <v>1178</v>
      </c>
      <c r="T73" s="387" t="s">
        <v>1179</v>
      </c>
      <c r="U73" s="387"/>
      <c r="V73" s="387"/>
      <c r="W73" s="387"/>
      <c r="Y73" s="752"/>
      <c r="AC73" s="881"/>
    </row>
    <row r="74" spans="1:29" ht="12.75" hidden="1" outlineLevel="3">
      <c r="A74" s="376"/>
      <c r="B74" s="943" t="s">
        <v>1450</v>
      </c>
      <c r="C74" s="882" t="s">
        <v>1509</v>
      </c>
      <c r="D74" s="948"/>
      <c r="E74" s="608"/>
      <c r="F74" s="608"/>
      <c r="G74" s="944"/>
      <c r="H74" s="945"/>
      <c r="I74" s="944"/>
      <c r="J74" s="609"/>
      <c r="K74" s="700"/>
      <c r="L74" s="609"/>
      <c r="M74" s="700"/>
      <c r="N74" s="626"/>
      <c r="O74" s="752"/>
      <c r="Q74" s="387"/>
      <c r="R74" s="387"/>
      <c r="S74" s="392"/>
      <c r="T74" s="387"/>
      <c r="U74" s="387"/>
      <c r="V74" s="387"/>
      <c r="W74" s="387"/>
      <c r="Y74" s="752"/>
    </row>
    <row r="75" spans="1:29" ht="12.75" hidden="1" outlineLevel="3">
      <c r="A75" s="376"/>
      <c r="B75" s="943" t="s">
        <v>1504</v>
      </c>
      <c r="C75" s="882"/>
      <c r="D75" s="948"/>
      <c r="E75" s="608"/>
      <c r="F75" s="608"/>
      <c r="G75" s="944"/>
      <c r="H75" s="945"/>
      <c r="I75" s="944"/>
      <c r="J75" s="609"/>
      <c r="K75" s="700"/>
      <c r="L75" s="609"/>
      <c r="M75" s="700"/>
      <c r="N75" s="626"/>
      <c r="O75" s="752"/>
      <c r="Q75" s="387"/>
      <c r="R75" s="387"/>
      <c r="S75" s="392"/>
      <c r="T75" s="387"/>
      <c r="U75" s="387"/>
      <c r="V75" s="387"/>
      <c r="W75" s="387"/>
      <c r="Y75" s="752"/>
    </row>
    <row r="76" spans="1:29" hidden="1" outlineLevel="2">
      <c r="A76" s="376"/>
      <c r="B76" s="376" t="s">
        <v>252</v>
      </c>
      <c r="C76" s="608" t="s">
        <v>1170</v>
      </c>
      <c r="D76" s="881">
        <v>46371</v>
      </c>
      <c r="E76" s="608" t="s">
        <v>1159</v>
      </c>
      <c r="F76" s="608"/>
      <c r="H76" s="752"/>
      <c r="J76" s="609">
        <v>3.7499999999999999E-2</v>
      </c>
      <c r="K76" s="700">
        <v>1</v>
      </c>
      <c r="L76" s="609">
        <f>IF(M76=1,J76,0)</f>
        <v>0</v>
      </c>
      <c r="M76" s="700"/>
      <c r="N76" s="626"/>
      <c r="O76" s="752"/>
      <c r="Q76" s="387" t="s">
        <v>1159</v>
      </c>
      <c r="R76" s="387" t="s">
        <v>1177</v>
      </c>
      <c r="S76" s="392" t="s">
        <v>1178</v>
      </c>
      <c r="T76" s="387" t="s">
        <v>1179</v>
      </c>
      <c r="U76" s="387"/>
      <c r="V76" s="387"/>
      <c r="W76" s="387"/>
      <c r="Y76" s="752"/>
      <c r="AC76" s="881"/>
    </row>
    <row r="77" spans="1:29" ht="12.75" hidden="1" outlineLevel="3">
      <c r="A77" s="376"/>
      <c r="B77" s="943" t="s">
        <v>1450</v>
      </c>
      <c r="C77" s="882" t="s">
        <v>1510</v>
      </c>
      <c r="D77" s="948"/>
      <c r="E77" s="608"/>
      <c r="F77" s="608"/>
      <c r="G77" s="944"/>
      <c r="H77" s="945"/>
      <c r="I77" s="944"/>
      <c r="J77" s="609"/>
      <c r="K77" s="700"/>
      <c r="L77" s="609"/>
      <c r="M77" s="700"/>
      <c r="N77" s="626"/>
      <c r="O77" s="752"/>
      <c r="Q77" s="387"/>
      <c r="R77" s="387"/>
      <c r="S77" s="387"/>
      <c r="T77" s="387"/>
      <c r="U77" s="387"/>
      <c r="V77" s="387"/>
      <c r="W77" s="387"/>
      <c r="Y77" s="752"/>
    </row>
    <row r="78" spans="1:29" ht="12.75" hidden="1" outlineLevel="3">
      <c r="A78" s="376"/>
      <c r="B78" s="943" t="s">
        <v>1504</v>
      </c>
      <c r="C78" s="882" t="s">
        <v>1511</v>
      </c>
      <c r="D78" s="948"/>
      <c r="E78" s="608"/>
      <c r="F78" s="608"/>
      <c r="G78" s="944"/>
      <c r="H78" s="945"/>
      <c r="I78" s="944"/>
      <c r="J78" s="609"/>
      <c r="K78" s="700"/>
      <c r="L78" s="609"/>
      <c r="M78" s="700"/>
      <c r="N78" s="626"/>
      <c r="O78" s="752"/>
      <c r="Q78" s="387"/>
      <c r="R78" s="387"/>
      <c r="S78" s="387"/>
      <c r="T78" s="387"/>
      <c r="U78" s="387"/>
      <c r="V78" s="387"/>
      <c r="W78" s="387"/>
      <c r="Y78" s="752"/>
    </row>
    <row r="79" spans="1:29" ht="12.75" hidden="1" outlineLevel="3">
      <c r="A79" s="376"/>
      <c r="B79" s="943"/>
      <c r="C79" s="882" t="s">
        <v>1512</v>
      </c>
      <c r="D79" s="948"/>
      <c r="E79" s="608"/>
      <c r="F79" s="608"/>
      <c r="G79" s="944"/>
      <c r="H79" s="945"/>
      <c r="I79" s="944"/>
      <c r="J79" s="609"/>
      <c r="K79" s="700"/>
      <c r="L79" s="609"/>
      <c r="M79" s="700"/>
      <c r="N79" s="626"/>
      <c r="O79" s="752"/>
      <c r="Q79" s="387"/>
      <c r="R79" s="387"/>
      <c r="S79" s="387"/>
      <c r="T79" s="387"/>
      <c r="U79" s="387"/>
      <c r="V79" s="387"/>
      <c r="W79" s="387"/>
      <c r="Y79" s="752"/>
    </row>
    <row r="80" spans="1:29" outlineLevel="1" collapsed="1">
      <c r="A80" s="376"/>
      <c r="B80" s="940" t="s">
        <v>518</v>
      </c>
      <c r="C80" s="941" t="s">
        <v>1176</v>
      </c>
      <c r="D80" s="941"/>
      <c r="E80" s="941"/>
      <c r="F80" s="941"/>
      <c r="G80" s="711"/>
      <c r="H80" s="756"/>
      <c r="I80" s="711"/>
      <c r="J80" s="942">
        <f>SUBTOTAL(9,J81:J129)</f>
        <v>0</v>
      </c>
      <c r="K80" s="942">
        <f>SUBTOTAL(9,K81:K129)</f>
        <v>0</v>
      </c>
      <c r="L80" s="942">
        <f>SUBTOTAL(9,L81:L129)</f>
        <v>0</v>
      </c>
      <c r="M80" s="942">
        <f>SUBTOTAL(9,M81:M129)</f>
        <v>0</v>
      </c>
      <c r="N80" s="626"/>
      <c r="O80" s="752"/>
      <c r="Q80" s="941"/>
      <c r="R80" s="941"/>
      <c r="S80" s="941"/>
      <c r="T80" s="941"/>
      <c r="U80" s="941"/>
      <c r="V80" s="941"/>
      <c r="W80" s="941"/>
      <c r="Y80" s="752"/>
    </row>
    <row r="81" spans="1:29" ht="13.5" hidden="1" outlineLevel="2">
      <c r="A81" s="376"/>
      <c r="B81" s="376" t="s">
        <v>252</v>
      </c>
      <c r="C81" s="608" t="s">
        <v>1182</v>
      </c>
      <c r="D81" s="881">
        <v>46290</v>
      </c>
      <c r="E81" s="376" t="s">
        <v>1159</v>
      </c>
      <c r="F81" s="608"/>
      <c r="H81" s="752"/>
      <c r="J81" s="609">
        <v>0.5295810499200001</v>
      </c>
      <c r="K81" s="700">
        <v>1</v>
      </c>
      <c r="L81" s="609">
        <f>IF(M81=1,J81,0)</f>
        <v>0</v>
      </c>
      <c r="M81" s="700"/>
      <c r="N81" s="626"/>
      <c r="O81" s="752"/>
      <c r="Q81" s="376" t="s">
        <v>1159</v>
      </c>
      <c r="R81" s="387" t="s">
        <v>1177</v>
      </c>
      <c r="S81" s="376"/>
      <c r="T81" s="376"/>
      <c r="U81" s="376"/>
      <c r="V81" s="376"/>
      <c r="W81" s="376">
        <v>0</v>
      </c>
      <c r="Y81" s="752"/>
      <c r="AC81" s="881"/>
    </row>
    <row r="82" spans="1:29" hidden="1" outlineLevel="3">
      <c r="A82" s="376"/>
      <c r="B82" s="943" t="s">
        <v>1450</v>
      </c>
      <c r="C82" s="882" t="s">
        <v>1513</v>
      </c>
      <c r="D82" s="881"/>
      <c r="E82" s="608"/>
      <c r="F82" s="608"/>
      <c r="G82" s="944"/>
      <c r="H82" s="945"/>
      <c r="I82" s="944"/>
      <c r="J82" s="609"/>
      <c r="K82" s="700"/>
      <c r="L82" s="609"/>
      <c r="M82" s="700"/>
      <c r="N82" s="626"/>
      <c r="O82" s="752"/>
      <c r="Q82" s="376"/>
      <c r="R82" s="376"/>
      <c r="S82" s="376"/>
      <c r="T82" s="376"/>
      <c r="U82" s="376"/>
      <c r="V82" s="376"/>
      <c r="W82" s="376"/>
      <c r="Y82" s="752"/>
      <c r="AC82" s="881"/>
    </row>
    <row r="83" spans="1:29" hidden="1" outlineLevel="3">
      <c r="A83" s="376"/>
      <c r="B83" s="943" t="s">
        <v>1504</v>
      </c>
      <c r="C83" s="882" t="s">
        <v>1514</v>
      </c>
      <c r="D83" s="881"/>
      <c r="E83" s="608"/>
      <c r="F83" s="608"/>
      <c r="G83" s="944"/>
      <c r="H83" s="945"/>
      <c r="I83" s="944"/>
      <c r="J83" s="609"/>
      <c r="K83" s="700"/>
      <c r="L83" s="609"/>
      <c r="M83" s="700"/>
      <c r="N83" s="626"/>
      <c r="O83" s="752"/>
      <c r="Q83" s="376"/>
      <c r="R83" s="376"/>
      <c r="S83" s="376"/>
      <c r="T83" s="376"/>
      <c r="U83" s="376"/>
      <c r="V83" s="376"/>
      <c r="W83" s="376"/>
      <c r="Y83" s="752"/>
      <c r="AC83" s="881"/>
    </row>
    <row r="84" spans="1:29" ht="13.5" hidden="1" outlineLevel="2">
      <c r="A84" s="376"/>
      <c r="B84" s="376" t="s">
        <v>252</v>
      </c>
      <c r="C84" s="608" t="s">
        <v>1515</v>
      </c>
      <c r="D84" s="881">
        <v>46300</v>
      </c>
      <c r="E84" s="376" t="s">
        <v>1159</v>
      </c>
      <c r="F84" s="608"/>
      <c r="H84" s="752"/>
      <c r="J84" s="609">
        <v>0.39718578744000005</v>
      </c>
      <c r="K84" s="700">
        <v>1</v>
      </c>
      <c r="L84" s="609">
        <f>IF(M84=1,J84,0)</f>
        <v>0</v>
      </c>
      <c r="M84" s="700"/>
      <c r="N84" s="626"/>
      <c r="O84" s="752"/>
      <c r="Q84" s="376" t="s">
        <v>1159</v>
      </c>
      <c r="R84" s="387" t="s">
        <v>1177</v>
      </c>
      <c r="S84" s="376"/>
      <c r="T84" s="376"/>
      <c r="U84" s="376"/>
      <c r="V84" s="376"/>
      <c r="W84" s="376"/>
      <c r="Y84" s="752"/>
      <c r="AC84" s="881"/>
    </row>
    <row r="85" spans="1:29" hidden="1" outlineLevel="3">
      <c r="A85" s="376"/>
      <c r="B85" s="943" t="s">
        <v>1450</v>
      </c>
      <c r="C85" s="882" t="s">
        <v>1513</v>
      </c>
      <c r="D85" s="881"/>
      <c r="E85" s="608"/>
      <c r="F85" s="608"/>
      <c r="H85" s="752"/>
      <c r="J85" s="609"/>
      <c r="K85" s="700"/>
      <c r="L85" s="609"/>
      <c r="M85" s="700"/>
      <c r="N85" s="626"/>
      <c r="O85" s="752"/>
      <c r="Q85" s="376"/>
      <c r="R85" s="376"/>
      <c r="S85" s="376"/>
      <c r="T85" s="376"/>
      <c r="U85" s="376"/>
      <c r="V85" s="376"/>
      <c r="W85" s="376"/>
      <c r="Y85" s="752"/>
      <c r="AC85" s="881"/>
    </row>
    <row r="86" spans="1:29" hidden="1" outlineLevel="3">
      <c r="A86" s="376"/>
      <c r="B86" s="943" t="s">
        <v>1504</v>
      </c>
      <c r="C86" s="882" t="s">
        <v>1514</v>
      </c>
      <c r="D86" s="881"/>
      <c r="E86" s="608"/>
      <c r="F86" s="608"/>
      <c r="H86" s="752"/>
      <c r="J86" s="609"/>
      <c r="K86" s="700"/>
      <c r="L86" s="609"/>
      <c r="M86" s="700"/>
      <c r="N86" s="626"/>
      <c r="O86" s="752"/>
      <c r="Q86" s="376"/>
      <c r="R86" s="376"/>
      <c r="S86" s="376"/>
      <c r="T86" s="376"/>
      <c r="U86" s="376"/>
      <c r="V86" s="376"/>
      <c r="W86" s="376"/>
      <c r="Y86" s="752"/>
      <c r="AC86" s="881"/>
    </row>
    <row r="87" spans="1:29" ht="13.5" hidden="1" outlineLevel="2">
      <c r="A87" s="376"/>
      <c r="B87" s="376" t="s">
        <v>252</v>
      </c>
      <c r="C87" s="608" t="s">
        <v>1183</v>
      </c>
      <c r="D87" s="881">
        <v>46305</v>
      </c>
      <c r="E87" s="376" t="s">
        <v>1159</v>
      </c>
      <c r="F87" s="608"/>
      <c r="G87" s="944"/>
      <c r="H87" s="945"/>
      <c r="I87" s="944"/>
      <c r="J87" s="609">
        <v>0.39718578744000005</v>
      </c>
      <c r="K87" s="700">
        <v>1</v>
      </c>
      <c r="L87" s="609">
        <f>IF(M87=1,J87,0)</f>
        <v>0</v>
      </c>
      <c r="M87" s="700"/>
      <c r="N87" s="626"/>
      <c r="O87" s="752"/>
      <c r="Q87" s="376" t="s">
        <v>1159</v>
      </c>
      <c r="R87" s="387" t="s">
        <v>1177</v>
      </c>
      <c r="S87" s="376"/>
      <c r="T87" s="376"/>
      <c r="U87" s="376"/>
      <c r="V87" s="376"/>
      <c r="W87" s="376"/>
      <c r="Y87" s="752"/>
      <c r="AC87" s="881"/>
    </row>
    <row r="88" spans="1:29" hidden="1" outlineLevel="3">
      <c r="A88" s="376"/>
      <c r="B88" s="943" t="s">
        <v>1450</v>
      </c>
      <c r="C88" s="882" t="s">
        <v>1513</v>
      </c>
      <c r="D88" s="881"/>
      <c r="E88" s="608"/>
      <c r="F88" s="608"/>
      <c r="G88" s="944"/>
      <c r="H88" s="945"/>
      <c r="I88" s="944"/>
      <c r="J88" s="609"/>
      <c r="K88" s="700"/>
      <c r="L88" s="609"/>
      <c r="M88" s="700"/>
      <c r="N88" s="626"/>
      <c r="O88" s="752"/>
      <c r="Q88" s="376"/>
      <c r="R88" s="376"/>
      <c r="S88" s="376"/>
      <c r="T88" s="376"/>
      <c r="U88" s="376"/>
      <c r="V88" s="376"/>
      <c r="W88" s="376"/>
      <c r="Y88" s="752"/>
      <c r="AC88" s="881"/>
    </row>
    <row r="89" spans="1:29" hidden="1" outlineLevel="3">
      <c r="A89" s="376"/>
      <c r="B89" s="943" t="s">
        <v>1504</v>
      </c>
      <c r="C89" s="882" t="s">
        <v>1514</v>
      </c>
      <c r="D89" s="881"/>
      <c r="E89" s="608"/>
      <c r="F89" s="608"/>
      <c r="G89" s="944"/>
      <c r="H89" s="945"/>
      <c r="I89" s="944"/>
      <c r="J89" s="609"/>
      <c r="K89" s="700"/>
      <c r="L89" s="609"/>
      <c r="M89" s="700"/>
      <c r="N89" s="626"/>
      <c r="O89" s="752"/>
      <c r="Q89" s="376"/>
      <c r="R89" s="376"/>
      <c r="S89" s="376"/>
      <c r="T89" s="376"/>
      <c r="U89" s="376"/>
      <c r="V89" s="376"/>
      <c r="W89" s="376"/>
      <c r="Y89" s="752"/>
      <c r="AC89" s="881"/>
    </row>
    <row r="90" spans="1:29" ht="13.5" hidden="1" outlineLevel="2">
      <c r="A90" s="376"/>
      <c r="B90" s="376" t="s">
        <v>252</v>
      </c>
      <c r="C90" s="608" t="s">
        <v>1188</v>
      </c>
      <c r="D90" s="881">
        <v>46310</v>
      </c>
      <c r="E90" s="608" t="s">
        <v>56</v>
      </c>
      <c r="F90" s="608"/>
      <c r="G90" s="944"/>
      <c r="H90" s="945"/>
      <c r="I90" s="944"/>
      <c r="J90" s="609">
        <v>2.5612785000000002E-2</v>
      </c>
      <c r="K90" s="700">
        <v>1</v>
      </c>
      <c r="L90" s="609">
        <f>IF(M90=1,J90,0)</f>
        <v>0</v>
      </c>
      <c r="M90" s="700"/>
      <c r="N90" s="626"/>
      <c r="O90" s="752"/>
      <c r="Q90" s="376" t="s">
        <v>56</v>
      </c>
      <c r="R90" s="376" t="s">
        <v>959</v>
      </c>
      <c r="S90" s="376" t="s">
        <v>960</v>
      </c>
      <c r="T90" s="376" t="s">
        <v>1516</v>
      </c>
      <c r="U90" s="376" t="s">
        <v>965</v>
      </c>
      <c r="V90" s="376"/>
      <c r="W90" s="376">
        <v>0</v>
      </c>
      <c r="Y90" s="752"/>
      <c r="AC90" s="881"/>
    </row>
    <row r="91" spans="1:29" ht="12.75" hidden="1" outlineLevel="3">
      <c r="A91" s="376"/>
      <c r="B91" s="943" t="s">
        <v>1450</v>
      </c>
      <c r="C91" s="882" t="s">
        <v>1513</v>
      </c>
      <c r="D91" s="881"/>
      <c r="E91" s="608"/>
      <c r="F91" s="608"/>
      <c r="G91" s="944"/>
      <c r="H91" s="945"/>
      <c r="I91" s="944"/>
      <c r="J91" s="609"/>
      <c r="K91" s="700"/>
      <c r="L91" s="609"/>
      <c r="M91" s="700"/>
      <c r="N91" s="626"/>
      <c r="O91" s="752"/>
      <c r="Q91" s="376"/>
      <c r="R91" s="376"/>
      <c r="S91" s="376"/>
      <c r="T91" s="376"/>
      <c r="U91" s="376"/>
      <c r="V91" s="376"/>
      <c r="W91" s="376"/>
      <c r="Y91" s="752"/>
      <c r="AC91" s="881"/>
    </row>
    <row r="92" spans="1:29" ht="12.75" hidden="1" outlineLevel="3">
      <c r="A92" s="376"/>
      <c r="B92" s="943" t="s">
        <v>1504</v>
      </c>
      <c r="C92" s="882" t="s">
        <v>1514</v>
      </c>
      <c r="D92" s="881"/>
      <c r="E92" s="608"/>
      <c r="F92" s="608"/>
      <c r="G92" s="944"/>
      <c r="H92" s="945"/>
      <c r="I92" s="944"/>
      <c r="J92" s="609"/>
      <c r="K92" s="700"/>
      <c r="L92" s="609"/>
      <c r="M92" s="700"/>
      <c r="N92" s="626"/>
      <c r="O92" s="752"/>
      <c r="Q92" s="376"/>
      <c r="R92" s="376"/>
      <c r="S92" s="376"/>
      <c r="T92" s="376"/>
      <c r="U92" s="376"/>
      <c r="V92" s="376"/>
      <c r="W92" s="376"/>
      <c r="Y92" s="752"/>
      <c r="AC92" s="881"/>
    </row>
    <row r="93" spans="1:29" ht="13.5" hidden="1" outlineLevel="2">
      <c r="A93" s="376"/>
      <c r="B93" s="376" t="s">
        <v>252</v>
      </c>
      <c r="C93" s="608" t="s">
        <v>1189</v>
      </c>
      <c r="D93" s="881">
        <v>46310</v>
      </c>
      <c r="E93" s="608" t="s">
        <v>56</v>
      </c>
      <c r="F93" s="608"/>
      <c r="G93" s="711"/>
      <c r="H93" s="756"/>
      <c r="I93" s="711"/>
      <c r="J93" s="609">
        <v>2.5612785000000002E-2</v>
      </c>
      <c r="K93" s="700">
        <v>1</v>
      </c>
      <c r="L93" s="609">
        <f>IF(M93=1,J93,0)</f>
        <v>0</v>
      </c>
      <c r="M93" s="700"/>
      <c r="N93" s="626"/>
      <c r="O93" s="752"/>
      <c r="Q93" s="376" t="s">
        <v>56</v>
      </c>
      <c r="R93" s="376" t="s">
        <v>959</v>
      </c>
      <c r="S93" s="376" t="s">
        <v>960</v>
      </c>
      <c r="T93" s="376" t="s">
        <v>1516</v>
      </c>
      <c r="U93" s="376" t="s">
        <v>965</v>
      </c>
      <c r="V93" s="376"/>
      <c r="W93" s="376">
        <v>0</v>
      </c>
      <c r="Y93" s="752"/>
      <c r="AC93" s="881"/>
    </row>
    <row r="94" spans="1:29" ht="12.75" hidden="1" outlineLevel="3">
      <c r="A94" s="376"/>
      <c r="B94" s="943" t="s">
        <v>1450</v>
      </c>
      <c r="C94" s="882" t="s">
        <v>1513</v>
      </c>
      <c r="D94" s="948"/>
      <c r="E94" s="608"/>
      <c r="F94" s="608"/>
      <c r="G94" s="711"/>
      <c r="H94" s="756"/>
      <c r="I94" s="711"/>
      <c r="J94" s="609"/>
      <c r="K94" s="700"/>
      <c r="L94" s="609"/>
      <c r="M94" s="700"/>
      <c r="N94" s="626"/>
      <c r="O94" s="752"/>
      <c r="Q94" s="376"/>
      <c r="R94" s="376"/>
      <c r="S94" s="376"/>
      <c r="T94" s="376"/>
      <c r="U94" s="376"/>
      <c r="V94" s="376"/>
      <c r="W94" s="376"/>
      <c r="Y94" s="752"/>
      <c r="AC94" s="881"/>
    </row>
    <row r="95" spans="1:29" ht="12.75" hidden="1" outlineLevel="3">
      <c r="A95" s="376"/>
      <c r="B95" s="943" t="s">
        <v>1504</v>
      </c>
      <c r="C95" s="882" t="s">
        <v>1514</v>
      </c>
      <c r="D95" s="948"/>
      <c r="E95" s="608"/>
      <c r="F95" s="608"/>
      <c r="G95" s="711"/>
      <c r="H95" s="756"/>
      <c r="I95" s="711"/>
      <c r="J95" s="609"/>
      <c r="K95" s="700"/>
      <c r="L95" s="609"/>
      <c r="M95" s="700"/>
      <c r="N95" s="626"/>
      <c r="O95" s="752"/>
      <c r="Q95" s="376"/>
      <c r="R95" s="376"/>
      <c r="S95" s="376"/>
      <c r="T95" s="376"/>
      <c r="U95" s="376"/>
      <c r="V95" s="376"/>
      <c r="W95" s="376"/>
      <c r="Y95" s="752"/>
      <c r="AC95" s="881"/>
    </row>
    <row r="96" spans="1:29" ht="13.5" hidden="1" outlineLevel="2">
      <c r="A96" s="376"/>
      <c r="B96" s="376" t="s">
        <v>252</v>
      </c>
      <c r="C96" s="608" t="s">
        <v>1191</v>
      </c>
      <c r="D96" s="881">
        <v>46320</v>
      </c>
      <c r="E96" s="608" t="s">
        <v>56</v>
      </c>
      <c r="F96" s="608"/>
      <c r="H96" s="752"/>
      <c r="J96" s="609">
        <v>5.4169665000000013E-2</v>
      </c>
      <c r="K96" s="700">
        <v>1</v>
      </c>
      <c r="L96" s="609">
        <f>IF(M96=1,J96,0)</f>
        <v>0</v>
      </c>
      <c r="M96" s="700"/>
      <c r="N96" s="626"/>
      <c r="O96" s="752"/>
      <c r="Q96" s="376" t="s">
        <v>56</v>
      </c>
      <c r="R96" s="376" t="s">
        <v>959</v>
      </c>
      <c r="S96" s="376" t="s">
        <v>960</v>
      </c>
      <c r="T96" s="376" t="s">
        <v>1516</v>
      </c>
      <c r="U96" s="376" t="s">
        <v>965</v>
      </c>
      <c r="V96" s="376"/>
      <c r="W96" s="376">
        <v>0</v>
      </c>
      <c r="Y96" s="752"/>
      <c r="AC96" s="881"/>
    </row>
    <row r="97" spans="1:29" ht="12.75" hidden="1" outlineLevel="3">
      <c r="A97" s="376"/>
      <c r="B97" s="943" t="s">
        <v>1450</v>
      </c>
      <c r="C97" s="882" t="s">
        <v>1513</v>
      </c>
      <c r="D97" s="948"/>
      <c r="E97" s="608"/>
      <c r="F97" s="608"/>
      <c r="H97" s="752"/>
      <c r="J97" s="609"/>
      <c r="K97" s="700"/>
      <c r="L97" s="609"/>
      <c r="M97" s="700"/>
      <c r="N97" s="626"/>
      <c r="O97" s="752"/>
      <c r="Q97" s="376"/>
      <c r="R97" s="376"/>
      <c r="S97" s="376"/>
      <c r="T97" s="376"/>
      <c r="U97" s="376"/>
      <c r="V97" s="376"/>
      <c r="W97" s="376"/>
      <c r="Y97" s="752"/>
      <c r="AC97" s="881"/>
    </row>
    <row r="98" spans="1:29" ht="12.75" hidden="1" outlineLevel="3">
      <c r="A98" s="376"/>
      <c r="B98" s="943" t="s">
        <v>1504</v>
      </c>
      <c r="C98" s="882" t="s">
        <v>1514</v>
      </c>
      <c r="D98" s="948"/>
      <c r="E98" s="608"/>
      <c r="F98" s="608"/>
      <c r="H98" s="752"/>
      <c r="J98" s="609"/>
      <c r="K98" s="700"/>
      <c r="L98" s="609"/>
      <c r="M98" s="700"/>
      <c r="N98" s="626"/>
      <c r="O98" s="752"/>
      <c r="Q98" s="376"/>
      <c r="R98" s="376"/>
      <c r="S98" s="376"/>
      <c r="T98" s="376"/>
      <c r="U98" s="376"/>
      <c r="V98" s="376"/>
      <c r="W98" s="376"/>
      <c r="Y98" s="752"/>
      <c r="AC98" s="881"/>
    </row>
    <row r="99" spans="1:29" ht="13.5" hidden="1" outlineLevel="2">
      <c r="A99" s="376"/>
      <c r="B99" s="376" t="s">
        <v>252</v>
      </c>
      <c r="C99" s="608" t="s">
        <v>1192</v>
      </c>
      <c r="D99" s="881">
        <v>46320</v>
      </c>
      <c r="E99" s="608" t="s">
        <v>56</v>
      </c>
      <c r="F99" s="608"/>
      <c r="G99" s="944"/>
      <c r="H99" s="945"/>
      <c r="I99" s="944"/>
      <c r="J99" s="609">
        <v>5.4169665000000013E-2</v>
      </c>
      <c r="K99" s="700">
        <v>1</v>
      </c>
      <c r="L99" s="609">
        <f>IF(M99=1,J99,0)</f>
        <v>0</v>
      </c>
      <c r="M99" s="700"/>
      <c r="N99" s="626"/>
      <c r="O99" s="752"/>
      <c r="Q99" s="376" t="s">
        <v>56</v>
      </c>
      <c r="R99" s="376" t="s">
        <v>959</v>
      </c>
      <c r="S99" s="376" t="s">
        <v>960</v>
      </c>
      <c r="T99" s="376" t="s">
        <v>1516</v>
      </c>
      <c r="U99" s="376" t="s">
        <v>965</v>
      </c>
      <c r="V99" s="376"/>
      <c r="W99" s="376">
        <v>0</v>
      </c>
      <c r="Y99" s="752"/>
      <c r="AC99" s="881"/>
    </row>
    <row r="100" spans="1:29" ht="12.75" hidden="1" outlineLevel="3">
      <c r="A100" s="376"/>
      <c r="B100" s="943" t="s">
        <v>1450</v>
      </c>
      <c r="C100" s="882" t="s">
        <v>1513</v>
      </c>
      <c r="D100" s="948"/>
      <c r="E100" s="608"/>
      <c r="F100" s="608"/>
      <c r="G100" s="944"/>
      <c r="H100" s="945"/>
      <c r="I100" s="944"/>
      <c r="J100" s="609"/>
      <c r="K100" s="700"/>
      <c r="L100" s="609"/>
      <c r="M100" s="700"/>
      <c r="N100" s="626"/>
      <c r="O100" s="752"/>
      <c r="Q100" s="376"/>
      <c r="R100" s="376"/>
      <c r="S100" s="376"/>
      <c r="T100" s="392"/>
      <c r="U100" s="376"/>
      <c r="V100" s="376"/>
      <c r="W100" s="376"/>
      <c r="Y100" s="752"/>
      <c r="AC100" s="881"/>
    </row>
    <row r="101" spans="1:29" ht="12.75" hidden="1" outlineLevel="3">
      <c r="A101" s="376"/>
      <c r="B101" s="943" t="s">
        <v>1504</v>
      </c>
      <c r="C101" s="882" t="s">
        <v>1514</v>
      </c>
      <c r="D101" s="948"/>
      <c r="E101" s="608"/>
      <c r="F101" s="608"/>
      <c r="G101" s="944"/>
      <c r="H101" s="945"/>
      <c r="I101" s="944"/>
      <c r="J101" s="609"/>
      <c r="K101" s="700"/>
      <c r="L101" s="609"/>
      <c r="M101" s="700"/>
      <c r="N101" s="626"/>
      <c r="O101" s="752"/>
      <c r="Q101" s="376"/>
      <c r="R101" s="376"/>
      <c r="S101" s="376"/>
      <c r="T101" s="392"/>
      <c r="U101" s="376"/>
      <c r="V101" s="376"/>
      <c r="W101" s="376"/>
      <c r="Y101" s="752"/>
      <c r="AC101" s="881"/>
    </row>
    <row r="102" spans="1:29" ht="13.5" hidden="1" outlineLevel="2">
      <c r="A102" s="376"/>
      <c r="B102" s="376" t="s">
        <v>252</v>
      </c>
      <c r="C102" s="608" t="s">
        <v>1194</v>
      </c>
      <c r="D102" s="881">
        <v>46320</v>
      </c>
      <c r="E102" s="608" t="s">
        <v>56</v>
      </c>
      <c r="F102" s="608"/>
      <c r="G102" s="944"/>
      <c r="H102" s="945"/>
      <c r="I102" s="944"/>
      <c r="J102" s="609">
        <v>5.4169665000000013E-2</v>
      </c>
      <c r="K102" s="700">
        <v>1</v>
      </c>
      <c r="L102" s="609">
        <f>IF(M102=1,J102,0)</f>
        <v>0</v>
      </c>
      <c r="M102" s="700"/>
      <c r="N102" s="626"/>
      <c r="O102" s="752"/>
      <c r="Q102" s="376" t="s">
        <v>56</v>
      </c>
      <c r="R102" s="376" t="s">
        <v>959</v>
      </c>
      <c r="S102" s="376" t="s">
        <v>960</v>
      </c>
      <c r="T102" s="376" t="s">
        <v>1516</v>
      </c>
      <c r="U102" s="376" t="s">
        <v>965</v>
      </c>
      <c r="V102" s="376"/>
      <c r="W102" s="376">
        <v>0</v>
      </c>
      <c r="Y102" s="752"/>
      <c r="AC102" s="881"/>
    </row>
    <row r="103" spans="1:29" ht="12.75" hidden="1" outlineLevel="3">
      <c r="A103" s="376"/>
      <c r="B103" s="943" t="s">
        <v>1450</v>
      </c>
      <c r="C103" s="882" t="s">
        <v>1513</v>
      </c>
      <c r="D103" s="948"/>
      <c r="E103" s="608"/>
      <c r="F103" s="608"/>
      <c r="G103" s="944"/>
      <c r="H103" s="945"/>
      <c r="I103" s="944"/>
      <c r="J103" s="609"/>
      <c r="K103" s="700"/>
      <c r="L103" s="609"/>
      <c r="M103" s="700"/>
      <c r="N103" s="626"/>
      <c r="O103" s="752"/>
      <c r="Q103" s="376"/>
      <c r="R103" s="376"/>
      <c r="S103" s="376"/>
      <c r="T103" s="392"/>
      <c r="U103" s="376"/>
      <c r="V103" s="376"/>
      <c r="W103" s="376"/>
      <c r="Y103" s="752"/>
      <c r="AC103" s="881"/>
    </row>
    <row r="104" spans="1:29" ht="12.75" hidden="1" outlineLevel="3">
      <c r="A104" s="376"/>
      <c r="B104" s="943" t="s">
        <v>1504</v>
      </c>
      <c r="C104" s="882" t="s">
        <v>1514</v>
      </c>
      <c r="D104" s="948"/>
      <c r="E104" s="608"/>
      <c r="F104" s="608"/>
      <c r="G104" s="944"/>
      <c r="H104" s="945"/>
      <c r="I104" s="944"/>
      <c r="J104" s="609"/>
      <c r="K104" s="700"/>
      <c r="L104" s="609"/>
      <c r="M104" s="700"/>
      <c r="N104" s="626"/>
      <c r="O104" s="752"/>
      <c r="Q104" s="376"/>
      <c r="R104" s="376"/>
      <c r="S104" s="376"/>
      <c r="T104" s="392"/>
      <c r="U104" s="376"/>
      <c r="V104" s="376"/>
      <c r="W104" s="376"/>
      <c r="Y104" s="752"/>
      <c r="AC104" s="881"/>
    </row>
    <row r="105" spans="1:29" ht="13.5" hidden="1" outlineLevel="2">
      <c r="A105" s="376"/>
      <c r="B105" s="376" t="s">
        <v>252</v>
      </c>
      <c r="C105" s="608" t="s">
        <v>1195</v>
      </c>
      <c r="D105" s="881">
        <v>46320</v>
      </c>
      <c r="E105" s="608" t="s">
        <v>56</v>
      </c>
      <c r="F105" s="608"/>
      <c r="H105" s="752"/>
      <c r="J105" s="609">
        <v>5.4169665000000013E-2</v>
      </c>
      <c r="K105" s="700">
        <v>1</v>
      </c>
      <c r="L105" s="609">
        <f>IF(M105=1,J105,0)</f>
        <v>0</v>
      </c>
      <c r="M105" s="700"/>
      <c r="N105" s="626"/>
      <c r="O105" s="752"/>
      <c r="Q105" s="376" t="s">
        <v>56</v>
      </c>
      <c r="R105" s="376" t="s">
        <v>959</v>
      </c>
      <c r="S105" s="376" t="s">
        <v>960</v>
      </c>
      <c r="T105" s="376" t="s">
        <v>1516</v>
      </c>
      <c r="U105" s="376" t="s">
        <v>965</v>
      </c>
      <c r="V105" s="376"/>
      <c r="W105" s="376">
        <v>0</v>
      </c>
      <c r="Y105" s="752"/>
      <c r="AC105" s="881"/>
    </row>
    <row r="106" spans="1:29" ht="12.75" hidden="1" outlineLevel="3">
      <c r="A106" s="376"/>
      <c r="B106" s="943" t="s">
        <v>1450</v>
      </c>
      <c r="C106" s="949" t="s">
        <v>1513</v>
      </c>
      <c r="D106" s="948"/>
      <c r="E106" s="608"/>
      <c r="F106" s="608"/>
      <c r="H106" s="752"/>
      <c r="J106" s="609"/>
      <c r="K106" s="700"/>
      <c r="L106" s="609"/>
      <c r="M106" s="700"/>
      <c r="N106" s="626"/>
      <c r="O106" s="752"/>
      <c r="Q106" s="376"/>
      <c r="R106" s="376"/>
      <c r="S106" s="376"/>
      <c r="T106" s="392"/>
      <c r="U106" s="376"/>
      <c r="V106" s="376"/>
      <c r="W106" s="376"/>
      <c r="Y106" s="752"/>
      <c r="AC106" s="881"/>
    </row>
    <row r="107" spans="1:29" ht="12.75" hidden="1" outlineLevel="3">
      <c r="A107" s="376"/>
      <c r="B107" s="943" t="s">
        <v>1504</v>
      </c>
      <c r="C107" s="949" t="s">
        <v>1514</v>
      </c>
      <c r="D107" s="948"/>
      <c r="E107" s="608"/>
      <c r="F107" s="608"/>
      <c r="H107" s="752"/>
      <c r="J107" s="609"/>
      <c r="K107" s="700"/>
      <c r="L107" s="609"/>
      <c r="M107" s="700"/>
      <c r="N107" s="626"/>
      <c r="O107" s="752"/>
      <c r="Q107" s="376"/>
      <c r="R107" s="376"/>
      <c r="S107" s="376"/>
      <c r="T107" s="392"/>
      <c r="U107" s="376"/>
      <c r="V107" s="376"/>
      <c r="W107" s="376"/>
      <c r="Y107" s="752"/>
      <c r="AC107" s="881"/>
    </row>
    <row r="108" spans="1:29" ht="13.5" hidden="1" outlineLevel="2">
      <c r="A108" s="376"/>
      <c r="B108" s="376" t="s">
        <v>252</v>
      </c>
      <c r="C108" s="608" t="s">
        <v>1197</v>
      </c>
      <c r="D108" s="881">
        <v>46320</v>
      </c>
      <c r="E108" s="608" t="s">
        <v>56</v>
      </c>
      <c r="F108" s="608"/>
      <c r="G108" s="711"/>
      <c r="H108" s="756"/>
      <c r="I108" s="711"/>
      <c r="J108" s="609">
        <v>5.4169665000000013E-2</v>
      </c>
      <c r="K108" s="700">
        <v>1</v>
      </c>
      <c r="L108" s="609">
        <f>IF(M108=1,J108,0)</f>
        <v>0</v>
      </c>
      <c r="M108" s="700"/>
      <c r="N108" s="626"/>
      <c r="O108" s="752"/>
      <c r="Q108" s="376" t="s">
        <v>56</v>
      </c>
      <c r="R108" s="376" t="s">
        <v>959</v>
      </c>
      <c r="S108" s="376" t="s">
        <v>960</v>
      </c>
      <c r="T108" s="376" t="s">
        <v>1516</v>
      </c>
      <c r="U108" s="952" t="s">
        <v>965</v>
      </c>
      <c r="V108" s="376"/>
      <c r="W108" s="376">
        <v>0</v>
      </c>
      <c r="Y108" s="752"/>
      <c r="AC108" s="881"/>
    </row>
    <row r="109" spans="1:29" ht="12.75" hidden="1" outlineLevel="3">
      <c r="A109" s="376"/>
      <c r="B109" s="943" t="s">
        <v>1450</v>
      </c>
      <c r="C109" s="882" t="s">
        <v>1513</v>
      </c>
      <c r="D109" s="948"/>
      <c r="E109" s="608"/>
      <c r="F109" s="608"/>
      <c r="G109" s="711"/>
      <c r="H109" s="756"/>
      <c r="I109" s="711"/>
      <c r="J109" s="609"/>
      <c r="K109" s="700"/>
      <c r="L109" s="609"/>
      <c r="M109" s="700"/>
      <c r="N109" s="626"/>
      <c r="O109" s="752"/>
      <c r="Q109" s="376"/>
      <c r="R109" s="376"/>
      <c r="S109" s="376"/>
      <c r="T109" s="392"/>
      <c r="U109" s="392"/>
      <c r="V109" s="376"/>
      <c r="W109" s="376"/>
      <c r="Y109" s="752"/>
      <c r="AC109" s="881"/>
    </row>
    <row r="110" spans="1:29" ht="12.75" hidden="1" outlineLevel="3">
      <c r="A110" s="376"/>
      <c r="B110" s="943" t="s">
        <v>1504</v>
      </c>
      <c r="C110" s="882" t="s">
        <v>1514</v>
      </c>
      <c r="D110" s="948"/>
      <c r="E110" s="608"/>
      <c r="F110" s="608"/>
      <c r="G110" s="711"/>
      <c r="H110" s="756"/>
      <c r="I110" s="711"/>
      <c r="J110" s="609"/>
      <c r="K110" s="700"/>
      <c r="L110" s="609"/>
      <c r="M110" s="700"/>
      <c r="N110" s="626"/>
      <c r="O110" s="752"/>
      <c r="Q110" s="376"/>
      <c r="R110" s="376"/>
      <c r="S110" s="376"/>
      <c r="T110" s="392"/>
      <c r="U110" s="392"/>
      <c r="V110" s="376"/>
      <c r="W110" s="376"/>
      <c r="Y110" s="752"/>
      <c r="AC110" s="881"/>
    </row>
    <row r="111" spans="1:29" ht="13.5" hidden="1" outlineLevel="2">
      <c r="A111" s="376"/>
      <c r="B111" s="376" t="s">
        <v>252</v>
      </c>
      <c r="C111" s="608" t="s">
        <v>1198</v>
      </c>
      <c r="D111" s="881">
        <v>46320</v>
      </c>
      <c r="E111" s="608" t="s">
        <v>56</v>
      </c>
      <c r="F111" s="608"/>
      <c r="H111" s="752"/>
      <c r="J111" s="609">
        <v>5.4169665000000013E-2</v>
      </c>
      <c r="K111" s="700">
        <v>1</v>
      </c>
      <c r="L111" s="609">
        <f>IF(M111=1,J111,0)</f>
        <v>0</v>
      </c>
      <c r="M111" s="700"/>
      <c r="N111" s="626"/>
      <c r="O111" s="752"/>
      <c r="Q111" s="376" t="s">
        <v>56</v>
      </c>
      <c r="R111" s="376" t="s">
        <v>959</v>
      </c>
      <c r="S111" s="376" t="s">
        <v>960</v>
      </c>
      <c r="T111" s="376" t="s">
        <v>1516</v>
      </c>
      <c r="U111" s="952" t="s">
        <v>965</v>
      </c>
      <c r="V111" s="376"/>
      <c r="W111" s="376">
        <v>0</v>
      </c>
      <c r="Y111" s="752"/>
      <c r="AC111" s="881"/>
    </row>
    <row r="112" spans="1:29" ht="12.75" hidden="1" outlineLevel="3">
      <c r="B112" s="943" t="s">
        <v>1450</v>
      </c>
      <c r="C112" s="882" t="s">
        <v>1513</v>
      </c>
      <c r="D112" s="948"/>
      <c r="E112" s="948"/>
      <c r="F112" s="948"/>
      <c r="H112" s="752"/>
      <c r="J112" s="692"/>
      <c r="K112" s="692"/>
      <c r="L112" s="692"/>
      <c r="M112" s="692"/>
      <c r="O112" s="752"/>
      <c r="T112" s="742"/>
      <c r="U112" s="742"/>
      <c r="Y112" s="752"/>
      <c r="AC112" s="881"/>
    </row>
    <row r="113" spans="1:29" ht="12.75" hidden="1" outlineLevel="3">
      <c r="B113" s="943" t="s">
        <v>1504</v>
      </c>
      <c r="C113" s="882" t="s">
        <v>1514</v>
      </c>
      <c r="D113" s="948"/>
      <c r="E113" s="948"/>
      <c r="F113" s="948"/>
      <c r="H113" s="752"/>
      <c r="J113" s="692"/>
      <c r="K113" s="692"/>
      <c r="L113" s="692"/>
      <c r="M113" s="692"/>
      <c r="O113" s="752"/>
      <c r="T113" s="742"/>
      <c r="U113" s="742"/>
      <c r="Y113" s="752"/>
      <c r="AC113" s="881"/>
    </row>
    <row r="114" spans="1:29" ht="102.75" hidden="1" outlineLevel="2">
      <c r="B114" s="416" t="s">
        <v>252</v>
      </c>
      <c r="C114" s="750" t="s">
        <v>1199</v>
      </c>
      <c r="D114" s="951"/>
      <c r="E114" s="750" t="s">
        <v>56</v>
      </c>
      <c r="F114" s="950" t="s">
        <v>1517</v>
      </c>
      <c r="G114" s="944"/>
      <c r="H114" s="945"/>
      <c r="I114" s="944"/>
      <c r="J114" s="609">
        <v>0.10833933000000003</v>
      </c>
      <c r="K114" s="947">
        <v>1</v>
      </c>
      <c r="L114" s="946">
        <f>IF(M114=1,J114,0)</f>
        <v>0</v>
      </c>
      <c r="M114" s="692"/>
      <c r="O114" s="752"/>
      <c r="Q114" s="416" t="s">
        <v>56</v>
      </c>
      <c r="R114" s="416" t="s">
        <v>959</v>
      </c>
      <c r="S114" s="416" t="s">
        <v>960</v>
      </c>
      <c r="T114" s="416" t="s">
        <v>1516</v>
      </c>
      <c r="U114" s="952" t="s">
        <v>965</v>
      </c>
      <c r="W114" s="416">
        <v>0</v>
      </c>
      <c r="Y114" s="752"/>
      <c r="AC114" s="416"/>
    </row>
    <row r="115" spans="1:29" ht="12.75" hidden="1" outlineLevel="3">
      <c r="B115" s="943" t="s">
        <v>1450</v>
      </c>
      <c r="C115" s="882" t="s">
        <v>1513</v>
      </c>
      <c r="D115" s="948"/>
      <c r="E115" s="948"/>
      <c r="F115"/>
      <c r="G115" s="944"/>
      <c r="H115" s="945"/>
      <c r="I115" s="944"/>
      <c r="J115" s="692"/>
      <c r="K115" s="692"/>
      <c r="L115" s="692"/>
      <c r="M115" s="692"/>
      <c r="O115" s="752"/>
      <c r="T115" s="742"/>
      <c r="U115" s="742"/>
      <c r="Y115" s="752"/>
      <c r="AC115" s="416"/>
    </row>
    <row r="116" spans="1:29" ht="12.75" hidden="1" outlineLevel="3">
      <c r="B116" s="943" t="s">
        <v>1504</v>
      </c>
      <c r="C116" s="882" t="s">
        <v>1514</v>
      </c>
      <c r="D116" s="948"/>
      <c r="E116" s="948"/>
      <c r="F116" s="948"/>
      <c r="G116" s="944"/>
      <c r="H116" s="945"/>
      <c r="I116" s="944"/>
      <c r="J116" s="692"/>
      <c r="K116" s="692"/>
      <c r="L116" s="692"/>
      <c r="M116" s="692"/>
      <c r="O116" s="752"/>
      <c r="T116" s="742"/>
      <c r="U116" s="742"/>
      <c r="Y116" s="752"/>
      <c r="AC116" s="416"/>
    </row>
    <row r="117" spans="1:29" ht="13.5" hidden="1" outlineLevel="2">
      <c r="A117" s="376"/>
      <c r="B117" s="376" t="s">
        <v>252</v>
      </c>
      <c r="C117" s="608" t="s">
        <v>1201</v>
      </c>
      <c r="D117" s="881">
        <v>46320</v>
      </c>
      <c r="E117" s="608" t="s">
        <v>56</v>
      </c>
      <c r="F117" s="608"/>
      <c r="G117" s="944"/>
      <c r="H117" s="945"/>
      <c r="I117" s="944"/>
      <c r="J117" s="609">
        <v>5.4169665000000013E-2</v>
      </c>
      <c r="K117" s="700">
        <v>1</v>
      </c>
      <c r="L117" s="609">
        <f>IF(M117=1,J117,0)</f>
        <v>0</v>
      </c>
      <c r="M117" s="700"/>
      <c r="N117" s="626"/>
      <c r="O117" s="752"/>
      <c r="Q117" s="376" t="s">
        <v>56</v>
      </c>
      <c r="R117" s="376" t="s">
        <v>959</v>
      </c>
      <c r="S117" s="376" t="s">
        <v>960</v>
      </c>
      <c r="T117" s="376" t="s">
        <v>1516</v>
      </c>
      <c r="U117" s="952" t="s">
        <v>965</v>
      </c>
      <c r="V117" s="376"/>
      <c r="W117" s="376">
        <v>0</v>
      </c>
      <c r="Y117" s="752"/>
      <c r="AC117" s="881"/>
    </row>
    <row r="118" spans="1:29" ht="12.75" hidden="1" outlineLevel="3">
      <c r="A118" s="376"/>
      <c r="B118" s="943" t="s">
        <v>1450</v>
      </c>
      <c r="C118" s="882" t="s">
        <v>1513</v>
      </c>
      <c r="D118" s="948"/>
      <c r="E118" s="608"/>
      <c r="F118" s="608"/>
      <c r="G118" s="944"/>
      <c r="H118" s="945"/>
      <c r="I118" s="944"/>
      <c r="J118" s="609"/>
      <c r="K118" s="700"/>
      <c r="L118" s="609"/>
      <c r="M118" s="700"/>
      <c r="N118" s="626"/>
      <c r="O118" s="752"/>
      <c r="Q118" s="376"/>
      <c r="R118" s="376"/>
      <c r="S118" s="376"/>
      <c r="T118" s="392"/>
      <c r="U118" s="392"/>
      <c r="V118" s="376"/>
      <c r="W118" s="376"/>
      <c r="Y118" s="752"/>
      <c r="AC118" s="881"/>
    </row>
    <row r="119" spans="1:29" ht="12.75" hidden="1" outlineLevel="3">
      <c r="A119" s="376"/>
      <c r="B119" s="943" t="s">
        <v>1504</v>
      </c>
      <c r="C119" s="882" t="s">
        <v>1514</v>
      </c>
      <c r="D119" s="948"/>
      <c r="E119" s="608"/>
      <c r="F119" s="608"/>
      <c r="G119" s="944"/>
      <c r="H119" s="945"/>
      <c r="I119" s="944"/>
      <c r="J119" s="609"/>
      <c r="K119" s="700"/>
      <c r="L119" s="609"/>
      <c r="M119" s="700"/>
      <c r="N119" s="626"/>
      <c r="O119" s="752"/>
      <c r="Q119" s="376"/>
      <c r="R119" s="376"/>
      <c r="S119" s="376"/>
      <c r="T119" s="392"/>
      <c r="U119" s="392"/>
      <c r="V119" s="376"/>
      <c r="W119" s="376"/>
      <c r="Y119" s="752"/>
      <c r="AC119" s="881"/>
    </row>
    <row r="120" spans="1:29" ht="13.5" hidden="1" outlineLevel="2">
      <c r="A120" s="376"/>
      <c r="B120" s="376" t="s">
        <v>252</v>
      </c>
      <c r="C120" s="608" t="s">
        <v>1202</v>
      </c>
      <c r="D120" s="881">
        <v>46320</v>
      </c>
      <c r="E120" s="608" t="s">
        <v>56</v>
      </c>
      <c r="F120" s="608"/>
      <c r="H120" s="752"/>
      <c r="J120" s="609">
        <v>5.4169665000000013E-2</v>
      </c>
      <c r="K120" s="700">
        <v>1</v>
      </c>
      <c r="L120" s="609">
        <f>IF(M120=1,J120,0)</f>
        <v>0</v>
      </c>
      <c r="M120" s="700"/>
      <c r="N120" s="626"/>
      <c r="O120" s="752"/>
      <c r="Q120" s="376" t="s">
        <v>56</v>
      </c>
      <c r="R120" s="376" t="s">
        <v>959</v>
      </c>
      <c r="S120" s="376" t="s">
        <v>960</v>
      </c>
      <c r="T120" s="376" t="s">
        <v>1516</v>
      </c>
      <c r="U120" s="952" t="s">
        <v>965</v>
      </c>
      <c r="V120" s="376"/>
      <c r="W120" s="376">
        <v>0</v>
      </c>
      <c r="Y120" s="752"/>
      <c r="AC120" s="881"/>
    </row>
    <row r="121" spans="1:29" ht="12.75" hidden="1" outlineLevel="3">
      <c r="A121" s="376"/>
      <c r="B121" s="943" t="s">
        <v>1450</v>
      </c>
      <c r="C121" s="882" t="s">
        <v>1513</v>
      </c>
      <c r="D121" s="948"/>
      <c r="E121" s="608"/>
      <c r="F121" s="608"/>
      <c r="H121" s="752"/>
      <c r="J121" s="609"/>
      <c r="K121" s="700"/>
      <c r="L121" s="609"/>
      <c r="M121" s="700"/>
      <c r="N121" s="626"/>
      <c r="O121" s="752"/>
      <c r="Q121" s="376"/>
      <c r="R121" s="376"/>
      <c r="S121" s="376"/>
      <c r="T121" s="392"/>
      <c r="U121" s="392"/>
      <c r="V121" s="376"/>
      <c r="W121" s="376"/>
      <c r="Y121" s="752"/>
      <c r="AC121" s="881"/>
    </row>
    <row r="122" spans="1:29" ht="12.75" hidden="1" outlineLevel="3">
      <c r="A122" s="376"/>
      <c r="B122" s="943" t="s">
        <v>1504</v>
      </c>
      <c r="C122" s="882" t="s">
        <v>1514</v>
      </c>
      <c r="D122" s="948"/>
      <c r="E122" s="608"/>
      <c r="F122" s="608"/>
      <c r="H122" s="752"/>
      <c r="J122" s="609"/>
      <c r="K122" s="700"/>
      <c r="L122" s="609"/>
      <c r="M122" s="700"/>
      <c r="N122" s="626"/>
      <c r="O122" s="752"/>
      <c r="Q122" s="376"/>
      <c r="R122" s="376"/>
      <c r="S122" s="376"/>
      <c r="T122" s="392"/>
      <c r="U122" s="392"/>
      <c r="V122" s="376"/>
      <c r="W122" s="376"/>
      <c r="Y122" s="752"/>
      <c r="AC122" s="881"/>
    </row>
    <row r="123" spans="1:29" ht="102.75" hidden="1" outlineLevel="2">
      <c r="A123" s="376"/>
      <c r="B123" s="376" t="s">
        <v>252</v>
      </c>
      <c r="C123" s="608" t="s">
        <v>1203</v>
      </c>
      <c r="D123" s="951"/>
      <c r="E123" s="608" t="s">
        <v>56</v>
      </c>
      <c r="F123" s="950" t="s">
        <v>1517</v>
      </c>
      <c r="G123" s="944"/>
      <c r="H123" s="945"/>
      <c r="I123" s="944"/>
      <c r="J123" s="609">
        <v>5.1225570000000005E-2</v>
      </c>
      <c r="K123" s="700">
        <v>1</v>
      </c>
      <c r="L123" s="609">
        <f>IF(M123=1,J123,0)</f>
        <v>0</v>
      </c>
      <c r="M123" s="700"/>
      <c r="N123" s="626"/>
      <c r="O123" s="752"/>
      <c r="Q123" s="376" t="s">
        <v>56</v>
      </c>
      <c r="R123" s="376" t="s">
        <v>959</v>
      </c>
      <c r="S123" s="376" t="s">
        <v>960</v>
      </c>
      <c r="T123" s="376" t="s">
        <v>1516</v>
      </c>
      <c r="U123" s="952" t="s">
        <v>965</v>
      </c>
      <c r="V123" s="376"/>
      <c r="W123" s="376">
        <v>0</v>
      </c>
      <c r="Y123" s="752"/>
    </row>
    <row r="124" spans="1:29" ht="12.75" hidden="1" outlineLevel="3">
      <c r="A124" s="376"/>
      <c r="B124" s="943" t="s">
        <v>1450</v>
      </c>
      <c r="C124" s="882" t="s">
        <v>1513</v>
      </c>
      <c r="D124" s="948"/>
      <c r="E124" s="608"/>
      <c r="F124" s="608"/>
      <c r="G124" s="944"/>
      <c r="H124" s="945"/>
      <c r="I124" s="944"/>
      <c r="J124" s="609"/>
      <c r="K124" s="700"/>
      <c r="L124" s="609"/>
      <c r="M124" s="700"/>
      <c r="N124" s="626"/>
      <c r="O124" s="752"/>
      <c r="Q124" s="376"/>
      <c r="R124" s="376"/>
      <c r="S124" s="376"/>
      <c r="T124" s="392"/>
      <c r="U124" s="392"/>
      <c r="V124" s="376"/>
      <c r="W124" s="376"/>
      <c r="Y124" s="752"/>
    </row>
    <row r="125" spans="1:29" ht="12.75" hidden="1" outlineLevel="3">
      <c r="A125" s="376"/>
      <c r="B125" s="943" t="s">
        <v>1504</v>
      </c>
      <c r="C125" s="882" t="s">
        <v>1514</v>
      </c>
      <c r="D125" s="948"/>
      <c r="E125" s="608"/>
      <c r="F125" s="608"/>
      <c r="G125" s="944"/>
      <c r="H125" s="945"/>
      <c r="I125" s="944"/>
      <c r="J125" s="609"/>
      <c r="K125" s="700"/>
      <c r="L125" s="609"/>
      <c r="M125" s="700"/>
      <c r="N125" s="626"/>
      <c r="O125" s="752"/>
      <c r="Q125" s="376"/>
      <c r="R125" s="376"/>
      <c r="S125" s="376"/>
      <c r="T125" s="392"/>
      <c r="U125" s="392"/>
      <c r="V125" s="376"/>
      <c r="W125" s="376"/>
      <c r="Y125" s="752"/>
    </row>
    <row r="126" spans="1:29" ht="13.5" hidden="1" outlineLevel="2">
      <c r="A126" s="376"/>
      <c r="B126" s="376" t="s">
        <v>252</v>
      </c>
      <c r="C126" s="608" t="s">
        <v>1206</v>
      </c>
      <c r="D126" s="881">
        <v>46341</v>
      </c>
      <c r="E126" s="608" t="s">
        <v>56</v>
      </c>
      <c r="F126" s="608"/>
      <c r="G126" s="944"/>
      <c r="H126" s="945"/>
      <c r="I126" s="944"/>
      <c r="J126" s="609">
        <v>2.5612785000000002E-2</v>
      </c>
      <c r="K126" s="700">
        <v>1</v>
      </c>
      <c r="L126" s="609">
        <f>IF(M126=1,J126,0)</f>
        <v>0</v>
      </c>
      <c r="M126" s="700"/>
      <c r="N126" s="626"/>
      <c r="O126" s="752"/>
      <c r="Q126" s="376" t="s">
        <v>56</v>
      </c>
      <c r="R126" s="376" t="s">
        <v>959</v>
      </c>
      <c r="S126" s="376" t="s">
        <v>960</v>
      </c>
      <c r="T126" s="376" t="s">
        <v>1516</v>
      </c>
      <c r="U126" s="952" t="s">
        <v>965</v>
      </c>
      <c r="V126" s="376"/>
      <c r="W126" s="376">
        <v>0</v>
      </c>
      <c r="Y126" s="752"/>
      <c r="AC126" s="881"/>
    </row>
    <row r="127" spans="1:29" ht="12.75" hidden="1" outlineLevel="3">
      <c r="A127" s="376"/>
      <c r="B127" s="943" t="s">
        <v>1450</v>
      </c>
      <c r="C127" s="882" t="s">
        <v>1513</v>
      </c>
      <c r="D127" s="948"/>
      <c r="E127" s="608"/>
      <c r="F127" s="608"/>
      <c r="G127" s="944"/>
      <c r="H127" s="945"/>
      <c r="I127" s="944"/>
      <c r="J127" s="609"/>
      <c r="K127" s="700"/>
      <c r="L127" s="609"/>
      <c r="M127" s="700"/>
      <c r="N127" s="626"/>
      <c r="O127" s="752"/>
      <c r="Q127" s="376"/>
      <c r="R127" s="376"/>
      <c r="S127" s="376"/>
      <c r="T127" s="392"/>
      <c r="U127" s="392"/>
      <c r="V127" s="376"/>
      <c r="W127" s="376"/>
      <c r="Y127" s="752"/>
      <c r="AC127" s="881"/>
    </row>
    <row r="128" spans="1:29" ht="12.75" hidden="1" outlineLevel="3">
      <c r="A128" s="376"/>
      <c r="B128" s="943" t="s">
        <v>1504</v>
      </c>
      <c r="C128" s="882" t="s">
        <v>1514</v>
      </c>
      <c r="D128" s="948"/>
      <c r="E128" s="608"/>
      <c r="F128" s="608"/>
      <c r="G128" s="944"/>
      <c r="H128" s="945"/>
      <c r="I128" s="944"/>
      <c r="J128" s="609"/>
      <c r="K128" s="700"/>
      <c r="L128" s="609"/>
      <c r="M128" s="700"/>
      <c r="N128" s="626"/>
      <c r="O128" s="752"/>
      <c r="Q128" s="376"/>
      <c r="R128" s="376"/>
      <c r="S128" s="376"/>
      <c r="T128" s="392"/>
      <c r="U128" s="392"/>
      <c r="V128" s="376"/>
      <c r="W128" s="376"/>
      <c r="Y128" s="752"/>
      <c r="AC128" s="881"/>
    </row>
    <row r="129" spans="1:34" ht="13.5" hidden="1" outlineLevel="2">
      <c r="A129" s="376"/>
      <c r="B129" s="376" t="s">
        <v>252</v>
      </c>
      <c r="C129" s="608" t="s">
        <v>1207</v>
      </c>
      <c r="D129" s="881">
        <v>46341</v>
      </c>
      <c r="E129" s="608" t="s">
        <v>56</v>
      </c>
      <c r="F129" s="608"/>
      <c r="G129" s="944"/>
      <c r="H129" s="945"/>
      <c r="I129" s="944"/>
      <c r="J129" s="609">
        <v>2.5612785000000002E-2</v>
      </c>
      <c r="K129" s="700">
        <v>1</v>
      </c>
      <c r="L129" s="609">
        <f>IF(M129=1,J129,0)</f>
        <v>0</v>
      </c>
      <c r="M129" s="700"/>
      <c r="N129" s="626"/>
      <c r="O129" s="752"/>
      <c r="Q129" s="376" t="s">
        <v>56</v>
      </c>
      <c r="R129" s="376" t="s">
        <v>959</v>
      </c>
      <c r="S129" s="376" t="s">
        <v>960</v>
      </c>
      <c r="T129" s="376" t="s">
        <v>1516</v>
      </c>
      <c r="U129" s="952" t="s">
        <v>965</v>
      </c>
      <c r="V129" s="376"/>
      <c r="W129" s="376">
        <v>0</v>
      </c>
      <c r="Y129" s="752"/>
      <c r="AC129" s="881"/>
    </row>
    <row r="130" spans="1:34" ht="12.75" hidden="1" outlineLevel="3">
      <c r="A130" s="376"/>
      <c r="B130" s="943" t="s">
        <v>1450</v>
      </c>
      <c r="C130" s="882" t="s">
        <v>1513</v>
      </c>
      <c r="D130" s="948"/>
      <c r="E130" s="608"/>
      <c r="F130" s="608"/>
      <c r="G130" s="944"/>
      <c r="H130" s="945"/>
      <c r="I130" s="944"/>
      <c r="J130" s="609"/>
      <c r="K130" s="700"/>
      <c r="L130" s="609"/>
      <c r="M130" s="700"/>
      <c r="N130" s="626"/>
      <c r="O130" s="752"/>
      <c r="Q130" s="376"/>
      <c r="R130" s="376"/>
      <c r="S130" s="376"/>
      <c r="T130" s="376"/>
      <c r="U130" s="376"/>
      <c r="V130" s="376"/>
      <c r="W130" s="376"/>
      <c r="Y130" s="752"/>
      <c r="AC130" s="881"/>
    </row>
    <row r="131" spans="1:34" ht="12.75" hidden="1" outlineLevel="3">
      <c r="A131" s="376"/>
      <c r="B131" s="943" t="s">
        <v>1504</v>
      </c>
      <c r="C131" s="882" t="s">
        <v>1514</v>
      </c>
      <c r="D131" s="948"/>
      <c r="E131" s="608"/>
      <c r="F131" s="608"/>
      <c r="G131" s="944"/>
      <c r="H131" s="945"/>
      <c r="I131" s="944"/>
      <c r="J131" s="609"/>
      <c r="K131" s="700"/>
      <c r="L131" s="609"/>
      <c r="M131" s="700"/>
      <c r="N131" s="626"/>
      <c r="O131" s="752"/>
      <c r="Q131" s="376"/>
      <c r="R131" s="376"/>
      <c r="S131" s="376"/>
      <c r="T131" s="376"/>
      <c r="U131" s="376"/>
      <c r="V131" s="376"/>
      <c r="W131" s="376"/>
      <c r="Y131" s="752"/>
      <c r="AC131" s="881"/>
    </row>
    <row r="132" spans="1:34" outlineLevel="1">
      <c r="A132" s="376"/>
      <c r="B132" s="940" t="s">
        <v>441</v>
      </c>
      <c r="C132" s="941" t="s">
        <v>1176</v>
      </c>
      <c r="D132" s="941"/>
      <c r="E132" s="941"/>
      <c r="F132" s="941"/>
      <c r="H132" s="752"/>
      <c r="J132" s="942">
        <f>SUBTOTAL(9,J136)</f>
        <v>0</v>
      </c>
      <c r="K132" s="942">
        <f>SUBTOTAL(9,K136)</f>
        <v>1</v>
      </c>
      <c r="L132" s="942">
        <f>SUBTOTAL(9,L136)</f>
        <v>0</v>
      </c>
      <c r="M132" s="942">
        <f>SUBTOTAL(9,M136)</f>
        <v>0</v>
      </c>
      <c r="N132" s="626"/>
      <c r="O132" s="752"/>
      <c r="Q132" s="941"/>
      <c r="R132" s="941"/>
      <c r="S132" s="941"/>
      <c r="T132" s="941"/>
      <c r="U132" s="941"/>
      <c r="V132" s="941"/>
      <c r="W132" s="941"/>
      <c r="Y132" s="752"/>
    </row>
    <row r="133" spans="1:34" ht="54.75" outlineLevel="2">
      <c r="A133" s="952"/>
      <c r="B133" s="952" t="s">
        <v>252</v>
      </c>
      <c r="C133" s="948" t="s">
        <v>1208</v>
      </c>
      <c r="D133" s="954">
        <v>46341</v>
      </c>
      <c r="E133" s="948" t="s">
        <v>437</v>
      </c>
      <c r="F133" s="948"/>
      <c r="G133" s="955"/>
      <c r="H133" s="956"/>
      <c r="I133" s="955"/>
      <c r="J133" s="609">
        <v>3.6853334887931043E-2</v>
      </c>
      <c r="K133" s="692">
        <v>1</v>
      </c>
      <c r="L133" s="609">
        <f>IF(M133=1,J133,0)</f>
        <v>0</v>
      </c>
      <c r="M133" s="692"/>
      <c r="N133" s="957"/>
      <c r="O133" s="958"/>
      <c r="P133" s="959"/>
      <c r="Q133" s="952" t="s">
        <v>437</v>
      </c>
      <c r="R133" s="952" t="s">
        <v>966</v>
      </c>
      <c r="S133" s="948" t="s">
        <v>1518</v>
      </c>
      <c r="T133" s="952" t="s">
        <v>1210</v>
      </c>
      <c r="U133" s="952"/>
      <c r="V133" s="952"/>
      <c r="W133" s="952"/>
      <c r="X133" s="959"/>
      <c r="Y133" s="958"/>
      <c r="Z133" s="959"/>
      <c r="AA133" s="959"/>
      <c r="AB133" s="959"/>
      <c r="AC133" s="959"/>
      <c r="AD133" s="959"/>
      <c r="AE133" s="959"/>
      <c r="AF133" s="959"/>
      <c r="AG133" s="959"/>
      <c r="AH133" s="959"/>
    </row>
    <row r="134" spans="1:34" ht="12.75" outlineLevel="3">
      <c r="A134" s="952"/>
      <c r="B134" s="960" t="s">
        <v>1450</v>
      </c>
      <c r="C134" s="949" t="s">
        <v>1513</v>
      </c>
      <c r="D134" s="948"/>
      <c r="E134" s="948"/>
      <c r="F134" s="948"/>
      <c r="G134" s="955"/>
      <c r="H134" s="956"/>
      <c r="I134" s="955"/>
      <c r="J134" s="609"/>
      <c r="K134" s="692"/>
      <c r="L134" s="609"/>
      <c r="M134" s="692"/>
      <c r="N134" s="957"/>
      <c r="O134" s="958"/>
      <c r="P134" s="959"/>
      <c r="Q134" s="952"/>
      <c r="R134" s="952"/>
      <c r="S134" s="952"/>
      <c r="T134" s="952"/>
      <c r="U134" s="952"/>
      <c r="V134" s="952"/>
      <c r="W134" s="952"/>
      <c r="X134" s="959"/>
      <c r="Y134" s="958"/>
      <c r="Z134" s="959"/>
      <c r="AA134" s="959"/>
      <c r="AB134" s="959"/>
      <c r="AC134" s="954"/>
      <c r="AD134" s="959"/>
      <c r="AE134" s="959"/>
      <c r="AF134" s="959"/>
      <c r="AG134" s="959"/>
      <c r="AH134" s="959"/>
    </row>
    <row r="135" spans="1:34" ht="12.75" outlineLevel="3">
      <c r="A135" s="952"/>
      <c r="B135" s="960" t="s">
        <v>1504</v>
      </c>
      <c r="C135" s="949" t="s">
        <v>1514</v>
      </c>
      <c r="D135" s="948"/>
      <c r="E135" s="948"/>
      <c r="F135" s="948"/>
      <c r="G135" s="959"/>
      <c r="H135" s="958"/>
      <c r="I135" s="959"/>
      <c r="J135" s="609"/>
      <c r="K135" s="692"/>
      <c r="L135" s="609"/>
      <c r="M135" s="692"/>
      <c r="N135" s="957"/>
      <c r="O135" s="958"/>
      <c r="P135" s="959"/>
      <c r="Q135" s="952"/>
      <c r="R135" s="952"/>
      <c r="S135" s="952"/>
      <c r="T135" s="952"/>
      <c r="U135" s="952"/>
      <c r="V135" s="952"/>
      <c r="W135" s="952"/>
      <c r="X135" s="959"/>
      <c r="Y135" s="958"/>
      <c r="Z135" s="959"/>
      <c r="AA135" s="959"/>
      <c r="AB135" s="959"/>
      <c r="AC135" s="954"/>
      <c r="AD135" s="959"/>
      <c r="AE135" s="959"/>
      <c r="AF135" s="959"/>
      <c r="AG135" s="959"/>
      <c r="AH135" s="959"/>
    </row>
    <row r="136" spans="1:34" ht="54.75" outlineLevel="2">
      <c r="A136" s="376"/>
      <c r="B136" s="376" t="s">
        <v>252</v>
      </c>
      <c r="C136" s="608" t="s">
        <v>1519</v>
      </c>
      <c r="D136" s="881">
        <v>46341</v>
      </c>
      <c r="E136" s="608" t="s">
        <v>437</v>
      </c>
      <c r="F136" s="608"/>
      <c r="G136" s="944"/>
      <c r="H136" s="945"/>
      <c r="I136" s="944"/>
      <c r="J136" s="609"/>
      <c r="K136" s="700">
        <v>1</v>
      </c>
      <c r="L136" s="609"/>
      <c r="M136" s="700"/>
      <c r="N136" s="626"/>
      <c r="O136" s="752"/>
      <c r="Q136" s="376" t="s">
        <v>437</v>
      </c>
      <c r="R136" s="376" t="s">
        <v>966</v>
      </c>
      <c r="S136" s="608" t="s">
        <v>1518</v>
      </c>
      <c r="T136" s="376" t="s">
        <v>1210</v>
      </c>
      <c r="U136" s="376"/>
      <c r="V136" s="376"/>
      <c r="W136" s="376"/>
      <c r="Y136" s="752"/>
      <c r="AC136" s="881"/>
    </row>
    <row r="137" spans="1:34" outlineLevel="3">
      <c r="A137" s="376"/>
      <c r="B137" s="943" t="s">
        <v>1450</v>
      </c>
      <c r="C137" s="882" t="s">
        <v>1513</v>
      </c>
      <c r="D137" s="608"/>
      <c r="E137" s="608"/>
      <c r="F137" s="608"/>
      <c r="G137" s="944"/>
      <c r="H137" s="945"/>
      <c r="I137" s="944"/>
      <c r="J137" s="609"/>
      <c r="K137" s="700"/>
      <c r="L137" s="609"/>
      <c r="M137" s="700"/>
      <c r="N137" s="626"/>
      <c r="O137" s="752"/>
      <c r="Q137" s="376"/>
      <c r="R137" s="376"/>
      <c r="S137" s="376"/>
      <c r="T137" s="376"/>
      <c r="U137" s="376"/>
      <c r="V137" s="376"/>
      <c r="W137" s="376"/>
      <c r="Y137" s="752"/>
      <c r="AC137" s="881"/>
    </row>
    <row r="138" spans="1:34" outlineLevel="3">
      <c r="A138" s="376"/>
      <c r="B138" s="943" t="s">
        <v>1504</v>
      </c>
      <c r="C138" s="882" t="s">
        <v>1514</v>
      </c>
      <c r="D138" s="608"/>
      <c r="E138" s="608"/>
      <c r="F138" s="608"/>
      <c r="H138" s="752"/>
      <c r="J138" s="609"/>
      <c r="K138" s="700"/>
      <c r="L138" s="609"/>
      <c r="M138" s="700"/>
      <c r="N138" s="626"/>
      <c r="O138" s="752"/>
      <c r="Q138" s="376"/>
      <c r="R138" s="376"/>
      <c r="S138" s="376"/>
      <c r="T138" s="376"/>
      <c r="U138" s="376"/>
      <c r="V138" s="376"/>
      <c r="W138" s="376"/>
      <c r="Y138" s="752"/>
      <c r="AC138" s="881"/>
    </row>
    <row r="139" spans="1:34" ht="3" hidden="1" customHeight="1">
      <c r="A139" s="376"/>
      <c r="B139" s="392"/>
      <c r="C139" s="608"/>
      <c r="D139" s="608"/>
      <c r="E139" s="608"/>
      <c r="F139" s="608"/>
      <c r="G139" s="944"/>
      <c r="H139" s="945"/>
      <c r="I139" s="944"/>
      <c r="J139" s="695"/>
      <c r="K139" s="700"/>
      <c r="L139" s="695"/>
      <c r="M139" s="700"/>
      <c r="N139" s="626"/>
      <c r="O139" s="752"/>
      <c r="Q139" s="392"/>
      <c r="R139" s="392"/>
      <c r="S139" s="392"/>
      <c r="T139" s="392"/>
      <c r="U139" s="392"/>
      <c r="V139" s="392"/>
      <c r="W139" s="392"/>
      <c r="Y139" s="752"/>
    </row>
    <row r="140" spans="1:34">
      <c r="G140" s="944"/>
      <c r="H140" s="945"/>
      <c r="I140" s="944"/>
    </row>
    <row r="141" spans="1:34">
      <c r="H141" s="752"/>
    </row>
    <row r="142" spans="1:34">
      <c r="G142" s="944"/>
      <c r="H142" s="945"/>
      <c r="I142" s="944"/>
    </row>
    <row r="143" spans="1:34">
      <c r="G143" s="944"/>
      <c r="H143" s="945"/>
      <c r="I143" s="944"/>
    </row>
    <row r="144" spans="1:34">
      <c r="H144" s="752"/>
    </row>
    <row r="145" spans="7:9">
      <c r="G145" s="944"/>
      <c r="H145" s="945"/>
      <c r="I145" s="944"/>
    </row>
    <row r="146" spans="7:9">
      <c r="G146" s="944"/>
      <c r="H146" s="945"/>
      <c r="I146" s="944"/>
    </row>
    <row r="147" spans="7:9">
      <c r="H147" s="752"/>
    </row>
    <row r="148" spans="7:9">
      <c r="G148" s="944"/>
      <c r="H148" s="945"/>
      <c r="I148" s="944"/>
    </row>
    <row r="149" spans="7:9">
      <c r="G149" s="944"/>
      <c r="H149" s="945"/>
      <c r="I149" s="944"/>
    </row>
    <row r="150" spans="7:9">
      <c r="H150" s="752"/>
    </row>
    <row r="151" spans="7:9">
      <c r="G151" s="944"/>
      <c r="H151" s="945"/>
      <c r="I151" s="944"/>
    </row>
    <row r="152" spans="7:9">
      <c r="G152" s="944"/>
      <c r="H152" s="945"/>
      <c r="I152" s="944"/>
    </row>
    <row r="153" spans="7:9">
      <c r="H153" s="752"/>
    </row>
    <row r="154" spans="7:9">
      <c r="G154" s="944"/>
      <c r="H154" s="945"/>
      <c r="I154" s="944"/>
    </row>
    <row r="155" spans="7:9">
      <c r="G155" s="944"/>
      <c r="H155" s="945"/>
      <c r="I155" s="944"/>
    </row>
    <row r="156" spans="7:9">
      <c r="H156" s="752"/>
    </row>
    <row r="157" spans="7:9">
      <c r="G157" s="944"/>
      <c r="H157" s="945"/>
      <c r="I157" s="944"/>
    </row>
    <row r="158" spans="7:9">
      <c r="G158" s="944"/>
      <c r="H158" s="945"/>
      <c r="I158" s="944"/>
    </row>
    <row r="159" spans="7:9">
      <c r="H159" s="752"/>
    </row>
    <row r="160" spans="7:9">
      <c r="G160" s="944"/>
      <c r="H160" s="945"/>
      <c r="I160" s="944"/>
    </row>
    <row r="161" spans="7:9">
      <c r="G161" s="944"/>
      <c r="H161" s="945"/>
      <c r="I161" s="944"/>
    </row>
    <row r="162" spans="7:9">
      <c r="H162" s="752"/>
    </row>
    <row r="163" spans="7:9">
      <c r="G163" s="944"/>
      <c r="H163" s="945"/>
      <c r="I163" s="944"/>
    </row>
    <row r="164" spans="7:9">
      <c r="G164" s="944"/>
      <c r="H164" s="945"/>
      <c r="I164" s="944"/>
    </row>
    <row r="165" spans="7:9">
      <c r="G165" s="711"/>
      <c r="H165" s="756"/>
      <c r="I165" s="711"/>
    </row>
    <row r="166" spans="7:9">
      <c r="H166" s="752"/>
    </row>
    <row r="167" spans="7:9">
      <c r="G167" s="944"/>
      <c r="H167" s="945"/>
      <c r="I167" s="944"/>
    </row>
    <row r="168" spans="7:9">
      <c r="G168" s="944"/>
      <c r="H168" s="945"/>
      <c r="I168" s="944"/>
    </row>
    <row r="169" spans="7:9">
      <c r="H169" s="752"/>
    </row>
    <row r="170" spans="7:9">
      <c r="G170" s="944"/>
      <c r="H170" s="945"/>
      <c r="I170" s="944"/>
    </row>
    <row r="171" spans="7:9">
      <c r="G171" s="944"/>
      <c r="H171" s="945"/>
      <c r="I171" s="944"/>
    </row>
    <row r="172" spans="7:9">
      <c r="H172" s="752"/>
    </row>
    <row r="173" spans="7:9">
      <c r="G173" s="944"/>
      <c r="H173" s="945"/>
      <c r="I173" s="944"/>
    </row>
    <row r="174" spans="7:9">
      <c r="G174" s="944"/>
      <c r="H174" s="945"/>
      <c r="I174" s="944"/>
    </row>
    <row r="175" spans="7:9">
      <c r="H175" s="752"/>
    </row>
    <row r="176" spans="7:9">
      <c r="G176" s="944"/>
      <c r="H176" s="945"/>
      <c r="I176" s="944"/>
    </row>
    <row r="177" spans="7:9">
      <c r="G177" s="944"/>
      <c r="H177" s="945"/>
      <c r="I177" s="944"/>
    </row>
    <row r="178" spans="7:9">
      <c r="H178" s="752"/>
    </row>
    <row r="179" spans="7:9">
      <c r="G179" s="944"/>
      <c r="H179" s="945"/>
      <c r="I179" s="944"/>
    </row>
    <row r="180" spans="7:9">
      <c r="G180" s="944"/>
      <c r="H180" s="945"/>
      <c r="I180" s="944"/>
    </row>
    <row r="181" spans="7:9">
      <c r="H181" s="752"/>
    </row>
    <row r="182" spans="7:9">
      <c r="G182" s="944"/>
      <c r="H182" s="945"/>
      <c r="I182" s="944"/>
    </row>
    <row r="183" spans="7:9">
      <c r="G183" s="944"/>
      <c r="H183" s="945"/>
      <c r="I183" s="944"/>
    </row>
    <row r="184" spans="7:9">
      <c r="H184" s="752"/>
    </row>
    <row r="185" spans="7:9">
      <c r="G185" s="944"/>
      <c r="H185" s="945"/>
      <c r="I185" s="944"/>
    </row>
    <row r="186" spans="7:9">
      <c r="G186" s="944"/>
      <c r="H186" s="945"/>
      <c r="I186" s="944"/>
    </row>
    <row r="187" spans="7:9">
      <c r="G187" s="711"/>
      <c r="H187" s="756"/>
      <c r="I187" s="711"/>
    </row>
    <row r="188" spans="7:9">
      <c r="H188" s="752"/>
    </row>
    <row r="189" spans="7:9">
      <c r="G189" s="944"/>
      <c r="H189" s="945"/>
      <c r="I189" s="944"/>
    </row>
    <row r="190" spans="7:9">
      <c r="G190" s="944"/>
      <c r="H190" s="945"/>
      <c r="I190" s="944"/>
    </row>
    <row r="191" spans="7:9">
      <c r="H191" s="752"/>
    </row>
    <row r="192" spans="7:9">
      <c r="G192" s="944"/>
      <c r="H192" s="945"/>
      <c r="I192" s="944"/>
    </row>
    <row r="193" spans="7:9">
      <c r="G193" s="944"/>
      <c r="H193" s="945"/>
      <c r="I193" s="944"/>
    </row>
    <row r="194" spans="7:9">
      <c r="H194" s="752"/>
    </row>
    <row r="195" spans="7:9">
      <c r="G195" s="944"/>
      <c r="H195" s="945"/>
      <c r="I195" s="944"/>
    </row>
    <row r="196" spans="7:9">
      <c r="G196" s="944"/>
      <c r="H196" s="945"/>
      <c r="I196" s="944"/>
    </row>
    <row r="197" spans="7:9">
      <c r="H197" s="752"/>
    </row>
    <row r="198" spans="7:9">
      <c r="G198" s="944"/>
      <c r="H198" s="945"/>
      <c r="I198" s="944"/>
    </row>
    <row r="199" spans="7:9">
      <c r="G199" s="944"/>
      <c r="H199" s="945"/>
      <c r="I199" s="944"/>
    </row>
    <row r="200" spans="7:9">
      <c r="H200" s="752"/>
    </row>
    <row r="201" spans="7:9">
      <c r="G201" s="944"/>
      <c r="H201" s="945"/>
      <c r="I201" s="944"/>
    </row>
    <row r="202" spans="7:9">
      <c r="G202" s="944"/>
      <c r="H202" s="945"/>
      <c r="I202" s="944"/>
    </row>
    <row r="203" spans="7:9">
      <c r="H203" s="752"/>
    </row>
    <row r="204" spans="7:9">
      <c r="G204" s="944"/>
      <c r="H204" s="945"/>
      <c r="I204" s="944"/>
    </row>
    <row r="205" spans="7:9">
      <c r="G205" s="944"/>
      <c r="H205" s="945"/>
      <c r="I205" s="944"/>
    </row>
    <row r="206" spans="7:9">
      <c r="G206" s="711"/>
      <c r="H206" s="756"/>
      <c r="I206" s="711"/>
    </row>
    <row r="207" spans="7:9">
      <c r="H207" s="752"/>
    </row>
    <row r="208" spans="7:9">
      <c r="G208" s="944"/>
      <c r="H208" s="945"/>
      <c r="I208" s="944"/>
    </row>
    <row r="209" spans="7:9">
      <c r="G209" s="944"/>
      <c r="H209" s="945"/>
      <c r="I209" s="944"/>
    </row>
    <row r="210" spans="7:9">
      <c r="H210" s="752"/>
    </row>
    <row r="211" spans="7:9">
      <c r="G211" s="944"/>
      <c r="H211" s="945"/>
      <c r="I211" s="944"/>
    </row>
    <row r="212" spans="7:9">
      <c r="G212" s="944"/>
      <c r="H212" s="945"/>
      <c r="I212" s="944"/>
    </row>
    <row r="213" spans="7:9">
      <c r="H213" s="752"/>
    </row>
    <row r="214" spans="7:9">
      <c r="G214" s="944"/>
      <c r="H214" s="945"/>
      <c r="I214" s="944"/>
    </row>
    <row r="215" spans="7:9">
      <c r="G215" s="944"/>
      <c r="H215" s="945"/>
      <c r="I215" s="944"/>
    </row>
    <row r="216" spans="7:9" ht="12.75"/>
    <row r="217" spans="7:9" ht="12.75"/>
    <row r="218" spans="7:9" ht="12.75"/>
    <row r="220" spans="7:9" ht="12.75"/>
    <row r="221" spans="7:9" ht="12.75"/>
    <row r="230" ht="12.75"/>
    <row r="232" ht="12.75"/>
  </sheetData>
  <autoFilter ref="B4:Z139" xr:uid="{57F02A47-1D5F-458C-8847-CD7E7A6C8A72}">
    <filterColumn colId="3">
      <filters>
        <filter val="Prakash C"/>
      </filters>
    </filterColumn>
  </autoFilter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C547-E533-44EF-B52B-35BCD27E0509}">
  <sheetPr>
    <outlinePr summaryBelow="0" summaryRight="0"/>
    <pageSetUpPr fitToPage="1"/>
  </sheetPr>
  <dimension ref="A1:Z129"/>
  <sheetViews>
    <sheetView zoomScaleNormal="100" zoomScaleSheetLayoutView="35" workbookViewId="0">
      <pane xSplit="5" ySplit="7" topLeftCell="F8" activePane="bottomRight" state="frozen"/>
      <selection pane="bottomRight" activeCell="D117" sqref="D117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891" customWidth="1"/>
    <col min="2" max="2" width="7.7109375" style="924" bestFit="1" customWidth="1"/>
    <col min="3" max="3" width="5.42578125" style="938" bestFit="1" customWidth="1"/>
    <col min="4" max="4" width="69.42578125" style="939" bestFit="1" customWidth="1"/>
    <col min="5" max="5" width="0.42578125" style="891" customWidth="1"/>
    <col min="6" max="6" width="7.5703125" style="925" customWidth="1"/>
    <col min="7" max="7" width="0.42578125" style="926" customWidth="1"/>
    <col min="8" max="8" width="7.5703125" style="925" customWidth="1"/>
    <col min="9" max="9" width="0.42578125" style="926" customWidth="1"/>
    <col min="10" max="10" width="7.5703125" style="925" customWidth="1"/>
    <col min="11" max="11" width="0.42578125" style="926" customWidth="1"/>
    <col min="12" max="12" width="7.5703125" style="925" customWidth="1"/>
    <col min="13" max="13" width="0.42578125" style="926" customWidth="1"/>
    <col min="14" max="16384" width="11.42578125" style="891"/>
  </cols>
  <sheetData>
    <row r="1" spans="1:17" ht="3" customHeight="1">
      <c r="A1" s="885"/>
      <c r="B1" s="886"/>
      <c r="C1" s="887"/>
      <c r="D1" s="888"/>
      <c r="E1" s="885"/>
      <c r="F1" s="889"/>
      <c r="G1" s="890"/>
      <c r="H1" s="889"/>
      <c r="I1" s="890"/>
      <c r="J1" s="889"/>
      <c r="K1" s="890"/>
      <c r="L1" s="889"/>
      <c r="M1" s="890"/>
    </row>
    <row r="2" spans="1:17" s="897" customFormat="1" ht="17.45">
      <c r="A2" s="892"/>
      <c r="B2" s="893"/>
      <c r="C2" s="964" t="s">
        <v>1520</v>
      </c>
      <c r="D2" s="964"/>
      <c r="E2" s="894"/>
      <c r="F2" s="895" t="s">
        <v>1521</v>
      </c>
      <c r="G2" s="896"/>
      <c r="H2" s="895" t="s">
        <v>1522</v>
      </c>
      <c r="I2" s="896"/>
      <c r="J2" s="895" t="s">
        <v>441</v>
      </c>
      <c r="K2" s="896"/>
      <c r="L2" s="895" t="s">
        <v>453</v>
      </c>
      <c r="M2" s="896"/>
      <c r="P2" s="893" t="s">
        <v>1523</v>
      </c>
      <c r="Q2" s="898">
        <v>1</v>
      </c>
    </row>
    <row r="3" spans="1:17" s="903" customFormat="1" ht="15.6">
      <c r="A3" s="899"/>
      <c r="B3" s="900"/>
      <c r="C3" s="901"/>
      <c r="D3" s="902" t="s">
        <v>1524</v>
      </c>
      <c r="E3" s="899"/>
      <c r="F3" s="899">
        <f>COUNTA(F$8:F$108)</f>
        <v>77</v>
      </c>
      <c r="G3" s="899"/>
      <c r="H3" s="899">
        <f>COUNTA(H$8:H$108)</f>
        <v>52</v>
      </c>
      <c r="I3" s="899"/>
      <c r="J3" s="899">
        <f>COUNTA(J$8:J$108)</f>
        <v>42</v>
      </c>
      <c r="K3" s="899"/>
      <c r="L3" s="899">
        <f>COUNTA(L$8:L$108)</f>
        <v>14</v>
      </c>
      <c r="M3" s="899"/>
      <c r="P3" s="893" t="s">
        <v>1525</v>
      </c>
      <c r="Q3" s="898">
        <v>-1</v>
      </c>
    </row>
    <row r="4" spans="1:17" s="903" customFormat="1" ht="15.6">
      <c r="A4" s="899"/>
      <c r="B4" s="900"/>
      <c r="C4" s="901"/>
      <c r="D4" s="902" t="s">
        <v>3</v>
      </c>
      <c r="E4" s="899"/>
      <c r="F4" s="899">
        <f>COUNTIF(F$8:F$108,1)</f>
        <v>62</v>
      </c>
      <c r="G4" s="899"/>
      <c r="H4" s="899">
        <f>COUNTIF(H$8:H$108,1)</f>
        <v>21</v>
      </c>
      <c r="I4" s="899"/>
      <c r="J4" s="899">
        <f>COUNTIF(J$8:J$108,1)</f>
        <v>34</v>
      </c>
      <c r="K4" s="899"/>
      <c r="L4" s="899">
        <f>COUNTIF(L$8:L$108,1)</f>
        <v>8</v>
      </c>
      <c r="M4" s="899"/>
      <c r="P4" s="893" t="s">
        <v>1526</v>
      </c>
      <c r="Q4" s="893"/>
    </row>
    <row r="5" spans="1:17" ht="3" customHeight="1">
      <c r="A5" s="885"/>
      <c r="B5" s="886"/>
      <c r="C5" s="887"/>
      <c r="D5" s="904"/>
      <c r="E5" s="905"/>
      <c r="F5" s="889"/>
      <c r="G5" s="906"/>
      <c r="H5" s="889"/>
      <c r="I5" s="906"/>
      <c r="J5" s="889"/>
      <c r="K5" s="906"/>
      <c r="L5" s="889"/>
      <c r="M5" s="899"/>
    </row>
    <row r="6" spans="1:17" ht="3" customHeight="1">
      <c r="A6" s="885"/>
      <c r="B6" s="907"/>
      <c r="C6" s="908"/>
      <c r="D6" s="909"/>
      <c r="E6" s="910"/>
      <c r="F6" s="911"/>
      <c r="G6" s="911"/>
      <c r="H6" s="911"/>
      <c r="I6" s="911"/>
      <c r="J6" s="911"/>
      <c r="K6" s="911"/>
      <c r="L6" s="911"/>
      <c r="M6" s="899"/>
    </row>
    <row r="7" spans="1:17" ht="3.6" customHeight="1">
      <c r="A7" s="885"/>
      <c r="B7" s="886"/>
      <c r="C7" s="887"/>
      <c r="D7" s="904"/>
      <c r="E7" s="905"/>
      <c r="F7" s="912"/>
      <c r="G7" s="906"/>
      <c r="H7" s="912"/>
      <c r="I7" s="906"/>
      <c r="J7" s="912"/>
      <c r="K7" s="906"/>
      <c r="L7" s="912"/>
      <c r="M7" s="899"/>
    </row>
    <row r="8" spans="1:17" ht="17.45">
      <c r="A8" s="885"/>
      <c r="B8" s="774"/>
      <c r="C8" s="965" t="s">
        <v>1527</v>
      </c>
      <c r="D8" s="965"/>
      <c r="E8" s="905"/>
      <c r="F8" s="913"/>
      <c r="G8" s="914"/>
      <c r="H8" s="913"/>
      <c r="I8" s="914"/>
      <c r="J8" s="913"/>
      <c r="K8" s="914"/>
      <c r="L8" s="913"/>
      <c r="M8" s="899"/>
    </row>
    <row r="9" spans="1:17" ht="13.15" outlineLevel="1">
      <c r="A9" s="885"/>
      <c r="B9" s="916">
        <v>1</v>
      </c>
      <c r="C9" s="917">
        <v>1</v>
      </c>
      <c r="D9" s="918" t="s">
        <v>205</v>
      </c>
      <c r="E9" s="919"/>
      <c r="F9" s="920">
        <v>1</v>
      </c>
      <c r="G9" s="921"/>
      <c r="H9" s="929"/>
      <c r="I9" s="921"/>
      <c r="J9" s="929"/>
      <c r="K9" s="921"/>
      <c r="L9" s="929"/>
      <c r="M9" s="899"/>
    </row>
    <row r="10" spans="1:17" ht="13.15" outlineLevel="1">
      <c r="A10" s="885"/>
      <c r="B10" s="916">
        <v>2</v>
      </c>
      <c r="C10" s="917">
        <v>2</v>
      </c>
      <c r="D10" s="918" t="s">
        <v>206</v>
      </c>
      <c r="E10" s="919"/>
      <c r="F10" s="920">
        <v>1</v>
      </c>
      <c r="G10" s="921"/>
      <c r="H10" s="920">
        <v>1</v>
      </c>
      <c r="I10" s="921"/>
      <c r="J10" s="920">
        <v>1</v>
      </c>
      <c r="K10" s="921"/>
      <c r="L10" s="920">
        <v>1</v>
      </c>
      <c r="M10" s="899"/>
    </row>
    <row r="11" spans="1:17" ht="13.9" outlineLevel="1">
      <c r="B11" s="916">
        <v>3</v>
      </c>
      <c r="C11" s="917">
        <v>3</v>
      </c>
      <c r="D11" s="918" t="s">
        <v>208</v>
      </c>
      <c r="E11" s="919"/>
      <c r="F11" s="920">
        <v>1</v>
      </c>
      <c r="G11" s="923"/>
      <c r="H11" s="929"/>
      <c r="I11" s="923"/>
      <c r="J11" s="920">
        <v>1</v>
      </c>
      <c r="K11" s="923"/>
      <c r="L11" s="920">
        <v>1</v>
      </c>
      <c r="M11" s="899"/>
    </row>
    <row r="12" spans="1:17" ht="13.9" outlineLevel="1">
      <c r="B12" s="916">
        <v>4</v>
      </c>
      <c r="C12" s="917">
        <v>4</v>
      </c>
      <c r="D12" s="918" t="s">
        <v>199</v>
      </c>
      <c r="E12" s="919"/>
      <c r="F12" s="920">
        <v>1</v>
      </c>
      <c r="G12" s="923"/>
      <c r="H12" s="920">
        <v>1</v>
      </c>
      <c r="I12" s="923"/>
      <c r="J12" s="920">
        <v>1</v>
      </c>
      <c r="K12" s="923"/>
      <c r="L12" s="920">
        <v>1</v>
      </c>
      <c r="M12" s="899"/>
    </row>
    <row r="13" spans="1:17" ht="13.9" outlineLevel="1">
      <c r="B13" s="916">
        <v>5</v>
      </c>
      <c r="C13" s="917">
        <v>5</v>
      </c>
      <c r="D13" s="918" t="s">
        <v>209</v>
      </c>
      <c r="E13" s="919"/>
      <c r="F13" s="920">
        <v>1</v>
      </c>
      <c r="G13" s="923"/>
      <c r="H13" s="920">
        <v>1</v>
      </c>
      <c r="I13" s="923"/>
      <c r="J13" s="920">
        <v>1</v>
      </c>
      <c r="K13" s="923"/>
      <c r="L13" s="920">
        <v>1</v>
      </c>
      <c r="M13" s="899"/>
    </row>
    <row r="14" spans="1:17" ht="13.9" outlineLevel="1">
      <c r="B14" s="916">
        <v>6</v>
      </c>
      <c r="C14" s="917">
        <v>6</v>
      </c>
      <c r="D14" s="918" t="s">
        <v>198</v>
      </c>
      <c r="E14" s="919"/>
      <c r="F14" s="920">
        <v>1</v>
      </c>
      <c r="G14" s="923"/>
      <c r="H14" s="929"/>
      <c r="I14" s="923"/>
      <c r="J14" s="929"/>
      <c r="K14" s="923"/>
      <c r="L14" s="920">
        <v>1</v>
      </c>
      <c r="M14" s="899"/>
    </row>
    <row r="15" spans="1:17" ht="17.45">
      <c r="B15" s="774"/>
      <c r="C15" s="965" t="s">
        <v>1528</v>
      </c>
      <c r="D15" s="965"/>
      <c r="E15" s="905"/>
      <c r="F15" s="913"/>
      <c r="G15" s="914"/>
      <c r="H15" s="913"/>
      <c r="I15" s="914"/>
      <c r="J15" s="913"/>
      <c r="K15" s="914"/>
      <c r="L15" s="913"/>
      <c r="M15" s="899"/>
    </row>
    <row r="16" spans="1:17" ht="13.15" outlineLevel="1">
      <c r="B16" s="917">
        <v>1</v>
      </c>
      <c r="C16" s="917">
        <v>1</v>
      </c>
      <c r="D16" s="918" t="s">
        <v>1529</v>
      </c>
      <c r="E16" s="919"/>
      <c r="F16" s="922"/>
      <c r="G16" s="922"/>
      <c r="H16" s="922"/>
      <c r="I16" s="922"/>
      <c r="J16" s="922"/>
      <c r="K16" s="922"/>
      <c r="L16" s="922"/>
      <c r="M16" s="899"/>
    </row>
    <row r="17" spans="2:26" ht="13.15" outlineLevel="2">
      <c r="B17" s="927" t="s">
        <v>1530</v>
      </c>
      <c r="C17" s="927">
        <v>1</v>
      </c>
      <c r="D17" s="774" t="s">
        <v>844</v>
      </c>
      <c r="E17" s="885"/>
      <c r="F17" s="920">
        <v>1</v>
      </c>
      <c r="G17" s="928"/>
      <c r="H17" s="920">
        <v>1</v>
      </c>
      <c r="I17" s="928"/>
      <c r="J17" s="920">
        <v>1</v>
      </c>
      <c r="K17" s="928"/>
      <c r="L17" s="929"/>
      <c r="M17" s="899"/>
    </row>
    <row r="18" spans="2:26" ht="13.15" outlineLevel="2">
      <c r="B18" s="927" t="s">
        <v>1531</v>
      </c>
      <c r="C18" s="927">
        <v>2</v>
      </c>
      <c r="D18" s="774" t="s">
        <v>1532</v>
      </c>
      <c r="E18" s="885"/>
      <c r="F18" s="920">
        <v>1</v>
      </c>
      <c r="G18" s="928"/>
      <c r="H18" s="920">
        <v>1</v>
      </c>
      <c r="I18" s="928"/>
      <c r="J18" s="929"/>
      <c r="K18" s="928"/>
      <c r="L18" s="929"/>
      <c r="M18" s="899"/>
    </row>
    <row r="19" spans="2:26" ht="13.15" outlineLevel="2">
      <c r="B19" s="927" t="s">
        <v>1533</v>
      </c>
      <c r="C19" s="927">
        <v>3</v>
      </c>
      <c r="D19" s="774" t="s">
        <v>1534</v>
      </c>
      <c r="E19" s="885"/>
      <c r="F19" s="920">
        <v>1</v>
      </c>
      <c r="G19" s="928"/>
      <c r="H19" s="929"/>
      <c r="I19" s="928"/>
      <c r="J19" s="929"/>
      <c r="K19" s="928"/>
      <c r="L19" s="929"/>
      <c r="M19" s="899"/>
    </row>
    <row r="20" spans="2:26" ht="13.15" outlineLevel="2">
      <c r="B20" s="927" t="s">
        <v>1535</v>
      </c>
      <c r="C20" s="927">
        <v>4</v>
      </c>
      <c r="D20" s="774" t="s">
        <v>1536</v>
      </c>
      <c r="E20" s="885"/>
      <c r="F20" s="920">
        <v>1</v>
      </c>
      <c r="G20" s="928"/>
      <c r="H20" s="920">
        <v>1</v>
      </c>
      <c r="I20" s="928"/>
      <c r="J20" s="920">
        <v>1</v>
      </c>
      <c r="K20" s="928"/>
      <c r="L20" s="929"/>
      <c r="M20" s="899"/>
    </row>
    <row r="21" spans="2:26" ht="13.15" outlineLevel="2">
      <c r="B21" s="927" t="s">
        <v>1537</v>
      </c>
      <c r="C21" s="927">
        <v>5</v>
      </c>
      <c r="D21" s="774" t="s">
        <v>1538</v>
      </c>
      <c r="E21" s="885"/>
      <c r="F21" s="920">
        <v>1</v>
      </c>
      <c r="G21" s="928"/>
      <c r="H21" s="920">
        <v>-1</v>
      </c>
      <c r="I21" s="928"/>
      <c r="J21" s="929"/>
      <c r="K21" s="928"/>
      <c r="L21" s="929"/>
      <c r="M21" s="899"/>
    </row>
    <row r="22" spans="2:26" ht="13.15" outlineLevel="2">
      <c r="B22" s="927" t="s">
        <v>1539</v>
      </c>
      <c r="C22" s="927">
        <v>6</v>
      </c>
      <c r="D22" s="774" t="s">
        <v>1540</v>
      </c>
      <c r="E22" s="885"/>
      <c r="F22" s="920">
        <v>1</v>
      </c>
      <c r="G22" s="928"/>
      <c r="H22" s="920">
        <v>-1</v>
      </c>
      <c r="I22" s="928"/>
      <c r="J22" s="929"/>
      <c r="K22" s="928"/>
      <c r="L22" s="929"/>
      <c r="M22" s="899"/>
    </row>
    <row r="23" spans="2:26" s="934" customFormat="1" ht="13.15" outlineLevel="2">
      <c r="B23" s="927" t="s">
        <v>1541</v>
      </c>
      <c r="C23" s="930">
        <v>7</v>
      </c>
      <c r="D23" s="931" t="s">
        <v>1542</v>
      </c>
      <c r="E23" s="932"/>
      <c r="F23" s="920">
        <v>1</v>
      </c>
      <c r="G23" s="933"/>
      <c r="H23" s="929"/>
      <c r="I23" s="933"/>
      <c r="J23" s="920">
        <v>1</v>
      </c>
      <c r="K23" s="933"/>
      <c r="L23" s="929"/>
      <c r="M23" s="899"/>
      <c r="Z23" s="934" t="s">
        <v>1180</v>
      </c>
    </row>
    <row r="24" spans="2:26" ht="13.15" outlineLevel="2">
      <c r="B24" s="927" t="s">
        <v>1543</v>
      </c>
      <c r="C24" s="927">
        <v>8</v>
      </c>
      <c r="D24" s="774" t="s">
        <v>544</v>
      </c>
      <c r="E24" s="885"/>
      <c r="F24" s="929"/>
      <c r="G24" s="928"/>
      <c r="H24" s="929"/>
      <c r="I24" s="928"/>
      <c r="J24" s="929"/>
      <c r="K24" s="928"/>
      <c r="L24" s="929"/>
      <c r="M24" s="899"/>
    </row>
    <row r="25" spans="2:26" s="934" customFormat="1" ht="13.15" outlineLevel="2">
      <c r="B25" s="927" t="s">
        <v>1544</v>
      </c>
      <c r="C25" s="930">
        <v>9</v>
      </c>
      <c r="D25" s="931" t="s">
        <v>545</v>
      </c>
      <c r="E25" s="932"/>
      <c r="F25" s="920">
        <v>1</v>
      </c>
      <c r="G25" s="933"/>
      <c r="H25" s="920">
        <v>-1</v>
      </c>
      <c r="I25" s="933"/>
      <c r="J25" s="920">
        <v>1</v>
      </c>
      <c r="K25" s="933"/>
      <c r="L25" s="929"/>
      <c r="M25" s="899"/>
    </row>
    <row r="26" spans="2:26" s="934" customFormat="1" ht="13.15" outlineLevel="2">
      <c r="B26" s="927" t="s">
        <v>1545</v>
      </c>
      <c r="C26" s="930">
        <v>10</v>
      </c>
      <c r="D26" s="931" t="s">
        <v>1546</v>
      </c>
      <c r="E26" s="932"/>
      <c r="F26" s="920">
        <v>1</v>
      </c>
      <c r="G26" s="933"/>
      <c r="H26" s="929"/>
      <c r="I26" s="933"/>
      <c r="J26" s="929"/>
      <c r="K26" s="933"/>
      <c r="L26" s="929"/>
      <c r="M26" s="899"/>
    </row>
    <row r="27" spans="2:26" ht="13.15" outlineLevel="1">
      <c r="B27" s="917">
        <v>2</v>
      </c>
      <c r="C27" s="917">
        <v>2</v>
      </c>
      <c r="D27" s="918" t="s">
        <v>1547</v>
      </c>
      <c r="E27" s="919"/>
      <c r="F27" s="922"/>
      <c r="G27" s="922"/>
      <c r="H27" s="922"/>
      <c r="I27" s="922"/>
      <c r="J27" s="922"/>
      <c r="K27" s="922"/>
      <c r="L27" s="922"/>
      <c r="M27" s="899"/>
    </row>
    <row r="28" spans="2:26" ht="13.15" outlineLevel="2">
      <c r="B28" s="927" t="s">
        <v>1548</v>
      </c>
      <c r="C28" s="927">
        <v>1</v>
      </c>
      <c r="D28" s="774" t="s">
        <v>844</v>
      </c>
      <c r="E28" s="885"/>
      <c r="F28" s="920">
        <v>1</v>
      </c>
      <c r="G28" s="928"/>
      <c r="H28" s="920">
        <v>1</v>
      </c>
      <c r="I28" s="928"/>
      <c r="J28" s="920">
        <v>1</v>
      </c>
      <c r="K28" s="928"/>
      <c r="L28" s="929"/>
      <c r="M28" s="899"/>
    </row>
    <row r="29" spans="2:26" ht="13.15" outlineLevel="2">
      <c r="B29" s="927" t="s">
        <v>1549</v>
      </c>
      <c r="C29" s="927">
        <v>2</v>
      </c>
      <c r="D29" s="774" t="s">
        <v>1532</v>
      </c>
      <c r="E29" s="885"/>
      <c r="F29" s="920">
        <v>1</v>
      </c>
      <c r="G29" s="928"/>
      <c r="H29" s="920">
        <v>1</v>
      </c>
      <c r="I29" s="928"/>
      <c r="J29" s="929"/>
      <c r="K29" s="928"/>
      <c r="L29" s="929"/>
      <c r="M29" s="899"/>
    </row>
    <row r="30" spans="2:26" s="934" customFormat="1" ht="13.15" outlineLevel="2">
      <c r="B30" s="927" t="s">
        <v>1550</v>
      </c>
      <c r="C30" s="930">
        <v>3</v>
      </c>
      <c r="D30" s="774" t="s">
        <v>1534</v>
      </c>
      <c r="E30" s="932"/>
      <c r="F30" s="920">
        <v>1</v>
      </c>
      <c r="G30" s="933"/>
      <c r="H30" s="929"/>
      <c r="I30" s="933"/>
      <c r="J30" s="929"/>
      <c r="K30" s="928"/>
      <c r="L30" s="929"/>
      <c r="M30" s="899"/>
    </row>
    <row r="31" spans="2:26" ht="13.15" outlineLevel="2">
      <c r="B31" s="927" t="s">
        <v>1551</v>
      </c>
      <c r="C31" s="927">
        <v>4</v>
      </c>
      <c r="D31" s="774" t="s">
        <v>1536</v>
      </c>
      <c r="E31" s="885"/>
      <c r="F31" s="920">
        <v>1</v>
      </c>
      <c r="G31" s="928"/>
      <c r="H31" s="920">
        <v>1</v>
      </c>
      <c r="I31" s="928"/>
      <c r="J31" s="920">
        <v>1</v>
      </c>
      <c r="K31" s="928"/>
      <c r="L31" s="929"/>
      <c r="M31" s="899"/>
    </row>
    <row r="32" spans="2:26" ht="13.15" outlineLevel="2">
      <c r="B32" s="927" t="s">
        <v>1552</v>
      </c>
      <c r="C32" s="927">
        <v>5</v>
      </c>
      <c r="D32" s="774" t="s">
        <v>1538</v>
      </c>
      <c r="E32" s="885"/>
      <c r="F32" s="920">
        <v>1</v>
      </c>
      <c r="G32" s="928"/>
      <c r="H32" s="920">
        <v>-1</v>
      </c>
      <c r="I32" s="928"/>
      <c r="J32" s="929"/>
      <c r="K32" s="928"/>
      <c r="L32" s="929"/>
      <c r="M32" s="899"/>
    </row>
    <row r="33" spans="2:13" ht="13.15" outlineLevel="2">
      <c r="B33" s="927" t="s">
        <v>1553</v>
      </c>
      <c r="C33" s="927">
        <v>6</v>
      </c>
      <c r="D33" s="774" t="s">
        <v>1540</v>
      </c>
      <c r="E33" s="885"/>
      <c r="F33" s="920">
        <v>1</v>
      </c>
      <c r="G33" s="928"/>
      <c r="H33" s="920">
        <v>-1</v>
      </c>
      <c r="I33" s="928"/>
      <c r="J33" s="929"/>
      <c r="K33" s="928"/>
      <c r="L33" s="929"/>
      <c r="M33" s="899"/>
    </row>
    <row r="34" spans="2:13" s="934" customFormat="1" ht="13.15" outlineLevel="2">
      <c r="B34" s="927" t="s">
        <v>1554</v>
      </c>
      <c r="C34" s="930">
        <v>7</v>
      </c>
      <c r="D34" s="931" t="s">
        <v>1542</v>
      </c>
      <c r="E34" s="932"/>
      <c r="F34" s="920">
        <v>1</v>
      </c>
      <c r="G34" s="933"/>
      <c r="H34" s="929"/>
      <c r="I34" s="933"/>
      <c r="J34" s="920">
        <v>1</v>
      </c>
      <c r="K34" s="933"/>
      <c r="L34" s="929"/>
      <c r="M34" s="899"/>
    </row>
    <row r="35" spans="2:13" ht="13.15" outlineLevel="2">
      <c r="B35" s="927" t="s">
        <v>1555</v>
      </c>
      <c r="C35" s="927">
        <v>8</v>
      </c>
      <c r="D35" s="774" t="s">
        <v>544</v>
      </c>
      <c r="E35" s="885"/>
      <c r="F35" s="929"/>
      <c r="G35" s="928"/>
      <c r="H35" s="929"/>
      <c r="I35" s="928"/>
      <c r="J35" s="929"/>
      <c r="K35" s="928"/>
      <c r="L35" s="929"/>
      <c r="M35" s="899"/>
    </row>
    <row r="36" spans="2:13" ht="13.15" outlineLevel="2">
      <c r="B36" s="927" t="s">
        <v>1556</v>
      </c>
      <c r="C36" s="927">
        <v>9</v>
      </c>
      <c r="D36" s="931" t="s">
        <v>545</v>
      </c>
      <c r="E36" s="885"/>
      <c r="F36" s="920">
        <v>1</v>
      </c>
      <c r="G36" s="928"/>
      <c r="H36" s="920">
        <v>-1</v>
      </c>
      <c r="I36" s="928"/>
      <c r="J36" s="920">
        <v>1</v>
      </c>
      <c r="K36" s="933"/>
      <c r="L36" s="929"/>
      <c r="M36" s="899"/>
    </row>
    <row r="37" spans="2:13" ht="13.15" outlineLevel="2">
      <c r="B37" s="927" t="s">
        <v>1557</v>
      </c>
      <c r="C37" s="927">
        <v>10</v>
      </c>
      <c r="D37" s="931" t="s">
        <v>1546</v>
      </c>
      <c r="E37" s="885"/>
      <c r="F37" s="920">
        <v>1</v>
      </c>
      <c r="G37" s="928"/>
      <c r="H37" s="929"/>
      <c r="I37" s="928"/>
      <c r="J37" s="929"/>
      <c r="K37" s="933"/>
      <c r="L37" s="929"/>
      <c r="M37" s="899"/>
    </row>
    <row r="38" spans="2:13" ht="13.15" outlineLevel="1">
      <c r="B38" s="917">
        <v>3</v>
      </c>
      <c r="C38" s="917">
        <v>3</v>
      </c>
      <c r="D38" s="918" t="s">
        <v>1558</v>
      </c>
      <c r="E38" s="919"/>
      <c r="F38" s="922"/>
      <c r="G38" s="922"/>
      <c r="H38" s="922"/>
      <c r="I38" s="922"/>
      <c r="J38" s="922"/>
      <c r="K38" s="922"/>
      <c r="L38" s="922"/>
      <c r="M38" s="899"/>
    </row>
    <row r="39" spans="2:13" s="934" customFormat="1" ht="13.15" outlineLevel="2">
      <c r="B39" s="927" t="s">
        <v>1559</v>
      </c>
      <c r="C39" s="930">
        <v>1</v>
      </c>
      <c r="D39" s="774" t="s">
        <v>844</v>
      </c>
      <c r="E39" s="932"/>
      <c r="F39" s="920">
        <v>1</v>
      </c>
      <c r="G39" s="928"/>
      <c r="H39" s="920">
        <v>1</v>
      </c>
      <c r="I39" s="928"/>
      <c r="J39" s="920">
        <v>1</v>
      </c>
      <c r="K39" s="928"/>
      <c r="L39" s="929"/>
      <c r="M39" s="899"/>
    </row>
    <row r="40" spans="2:13" ht="13.15" outlineLevel="2">
      <c r="B40" s="927" t="s">
        <v>1560</v>
      </c>
      <c r="C40" s="927">
        <v>2</v>
      </c>
      <c r="D40" s="774" t="s">
        <v>1532</v>
      </c>
      <c r="E40" s="885"/>
      <c r="F40" s="920">
        <v>1</v>
      </c>
      <c r="G40" s="928"/>
      <c r="H40" s="920">
        <v>1</v>
      </c>
      <c r="I40" s="928"/>
      <c r="J40" s="929"/>
      <c r="K40" s="928"/>
      <c r="L40" s="929"/>
      <c r="M40" s="899"/>
    </row>
    <row r="41" spans="2:13" ht="13.15" outlineLevel="2">
      <c r="B41" s="927" t="s">
        <v>1561</v>
      </c>
      <c r="C41" s="927">
        <v>3</v>
      </c>
      <c r="D41" s="774" t="s">
        <v>1534</v>
      </c>
      <c r="E41" s="885"/>
      <c r="F41" s="920">
        <v>1</v>
      </c>
      <c r="G41" s="933"/>
      <c r="H41" s="929"/>
      <c r="I41" s="933"/>
      <c r="J41" s="929"/>
      <c r="K41" s="928"/>
      <c r="L41" s="929"/>
      <c r="M41" s="899"/>
    </row>
    <row r="42" spans="2:13" ht="13.15" outlineLevel="2">
      <c r="B42" s="927" t="s">
        <v>1562</v>
      </c>
      <c r="C42" s="930">
        <v>4</v>
      </c>
      <c r="D42" s="774" t="s">
        <v>1536</v>
      </c>
      <c r="E42" s="885"/>
      <c r="F42" s="920">
        <v>1</v>
      </c>
      <c r="G42" s="928"/>
      <c r="H42" s="920">
        <v>1</v>
      </c>
      <c r="I42" s="928"/>
      <c r="J42" s="920">
        <v>1</v>
      </c>
      <c r="K42" s="928"/>
      <c r="L42" s="929"/>
      <c r="M42" s="899"/>
    </row>
    <row r="43" spans="2:13" s="934" customFormat="1" ht="13.15" outlineLevel="2">
      <c r="B43" s="927" t="s">
        <v>1563</v>
      </c>
      <c r="C43" s="930">
        <v>5</v>
      </c>
      <c r="D43" s="774" t="s">
        <v>1538</v>
      </c>
      <c r="E43" s="932"/>
      <c r="F43" s="920">
        <v>1</v>
      </c>
      <c r="G43" s="928"/>
      <c r="H43" s="920">
        <v>-1</v>
      </c>
      <c r="I43" s="928"/>
      <c r="J43" s="929"/>
      <c r="K43" s="928"/>
      <c r="L43" s="929"/>
      <c r="M43" s="899"/>
    </row>
    <row r="44" spans="2:13" ht="13.15" outlineLevel="2">
      <c r="B44" s="927" t="s">
        <v>1564</v>
      </c>
      <c r="C44" s="930">
        <v>6</v>
      </c>
      <c r="D44" s="774" t="s">
        <v>1540</v>
      </c>
      <c r="E44" s="885"/>
      <c r="F44" s="920">
        <v>1</v>
      </c>
      <c r="G44" s="928"/>
      <c r="H44" s="920">
        <v>-1</v>
      </c>
      <c r="I44" s="928"/>
      <c r="J44" s="929"/>
      <c r="K44" s="928"/>
      <c r="L44" s="929"/>
      <c r="M44" s="899"/>
    </row>
    <row r="45" spans="2:13" ht="13.15" outlineLevel="2">
      <c r="B45" s="927" t="s">
        <v>1565</v>
      </c>
      <c r="C45" s="930">
        <v>7</v>
      </c>
      <c r="D45" s="931" t="s">
        <v>1542</v>
      </c>
      <c r="E45" s="885"/>
      <c r="F45" s="920">
        <v>1</v>
      </c>
      <c r="G45" s="933"/>
      <c r="H45" s="929"/>
      <c r="I45" s="933"/>
      <c r="J45" s="920">
        <v>1</v>
      </c>
      <c r="K45" s="933"/>
      <c r="L45" s="929"/>
      <c r="M45" s="899"/>
    </row>
    <row r="46" spans="2:13" ht="13.15" outlineLevel="2">
      <c r="B46" s="927" t="s">
        <v>1566</v>
      </c>
      <c r="C46" s="930">
        <v>8</v>
      </c>
      <c r="D46" s="774" t="s">
        <v>544</v>
      </c>
      <c r="E46" s="885"/>
      <c r="F46" s="929"/>
      <c r="G46" s="928"/>
      <c r="H46" s="929"/>
      <c r="I46" s="928"/>
      <c r="J46" s="929"/>
      <c r="K46" s="928"/>
      <c r="L46" s="929"/>
      <c r="M46" s="899"/>
    </row>
    <row r="47" spans="2:13" ht="13.15" outlineLevel="2">
      <c r="B47" s="927" t="s">
        <v>1567</v>
      </c>
      <c r="C47" s="930">
        <v>9</v>
      </c>
      <c r="D47" s="931" t="s">
        <v>545</v>
      </c>
      <c r="E47" s="885"/>
      <c r="F47" s="920">
        <v>1</v>
      </c>
      <c r="G47" s="928"/>
      <c r="H47" s="920">
        <v>-1</v>
      </c>
      <c r="I47" s="928"/>
      <c r="J47" s="920">
        <v>1</v>
      </c>
      <c r="K47" s="933"/>
      <c r="L47" s="929"/>
      <c r="M47" s="899"/>
    </row>
    <row r="48" spans="2:13" ht="13.15" outlineLevel="2">
      <c r="B48" s="927" t="s">
        <v>1568</v>
      </c>
      <c r="C48" s="935"/>
      <c r="D48" s="931" t="s">
        <v>1546</v>
      </c>
      <c r="E48" s="885"/>
      <c r="F48" s="920">
        <v>1</v>
      </c>
      <c r="G48" s="928"/>
      <c r="H48" s="929"/>
      <c r="I48" s="928"/>
      <c r="J48" s="929"/>
      <c r="K48" s="933"/>
      <c r="L48" s="929"/>
      <c r="M48" s="899"/>
    </row>
    <row r="49" spans="2:13" ht="13.15" outlineLevel="1">
      <c r="B49" s="917">
        <v>4</v>
      </c>
      <c r="C49" s="917">
        <v>4</v>
      </c>
      <c r="D49" s="918" t="s">
        <v>1569</v>
      </c>
      <c r="E49" s="919"/>
      <c r="F49" s="922"/>
      <c r="G49" s="922"/>
      <c r="H49" s="922"/>
      <c r="I49" s="922"/>
      <c r="J49" s="922"/>
      <c r="K49" s="922"/>
      <c r="L49" s="922"/>
      <c r="M49" s="899"/>
    </row>
    <row r="50" spans="2:13" ht="13.15" outlineLevel="2">
      <c r="B50" s="927" t="s">
        <v>1570</v>
      </c>
      <c r="C50" s="927">
        <v>1</v>
      </c>
      <c r="D50" s="774" t="s">
        <v>844</v>
      </c>
      <c r="E50" s="885"/>
      <c r="F50" s="920">
        <v>1</v>
      </c>
      <c r="G50" s="928"/>
      <c r="H50" s="920">
        <v>1</v>
      </c>
      <c r="I50" s="928"/>
      <c r="J50" s="920">
        <v>1</v>
      </c>
      <c r="K50" s="928"/>
      <c r="L50" s="929"/>
      <c r="M50" s="899"/>
    </row>
    <row r="51" spans="2:13" ht="13.15" outlineLevel="2">
      <c r="B51" s="927" t="s">
        <v>1571</v>
      </c>
      <c r="C51" s="927">
        <v>2</v>
      </c>
      <c r="D51" s="774" t="s">
        <v>1532</v>
      </c>
      <c r="E51" s="885"/>
      <c r="F51" s="920">
        <v>1</v>
      </c>
      <c r="G51" s="928"/>
      <c r="H51" s="920">
        <v>1</v>
      </c>
      <c r="I51" s="928"/>
      <c r="J51" s="929"/>
      <c r="K51" s="928"/>
      <c r="L51" s="929"/>
      <c r="M51" s="899"/>
    </row>
    <row r="52" spans="2:13" ht="13.15" outlineLevel="2">
      <c r="B52" s="927" t="s">
        <v>1572</v>
      </c>
      <c r="C52" s="927">
        <v>3</v>
      </c>
      <c r="D52" s="774" t="s">
        <v>1534</v>
      </c>
      <c r="E52" s="885"/>
      <c r="F52" s="920">
        <v>1</v>
      </c>
      <c r="G52" s="933"/>
      <c r="H52" s="929"/>
      <c r="I52" s="933"/>
      <c r="J52" s="929"/>
      <c r="K52" s="928"/>
      <c r="L52" s="929"/>
      <c r="M52" s="899"/>
    </row>
    <row r="53" spans="2:13" ht="13.15" outlineLevel="2">
      <c r="B53" s="927" t="s">
        <v>1573</v>
      </c>
      <c r="C53" s="927">
        <v>4</v>
      </c>
      <c r="D53" s="774" t="s">
        <v>1536</v>
      </c>
      <c r="E53" s="885"/>
      <c r="F53" s="920">
        <v>1</v>
      </c>
      <c r="G53" s="928"/>
      <c r="H53" s="920">
        <v>1</v>
      </c>
      <c r="I53" s="928"/>
      <c r="J53" s="920">
        <v>1</v>
      </c>
      <c r="K53" s="928"/>
      <c r="L53" s="929"/>
      <c r="M53" s="899"/>
    </row>
    <row r="54" spans="2:13" ht="13.15" outlineLevel="2">
      <c r="B54" s="927" t="s">
        <v>1574</v>
      </c>
      <c r="C54" s="927">
        <v>5</v>
      </c>
      <c r="D54" s="774" t="s">
        <v>1538</v>
      </c>
      <c r="E54" s="885"/>
      <c r="F54" s="920">
        <v>1</v>
      </c>
      <c r="G54" s="928"/>
      <c r="H54" s="920">
        <v>-1</v>
      </c>
      <c r="I54" s="928"/>
      <c r="J54" s="929"/>
      <c r="K54" s="928"/>
      <c r="L54" s="929"/>
      <c r="M54" s="899"/>
    </row>
    <row r="55" spans="2:13" s="934" customFormat="1" ht="13.15" outlineLevel="2">
      <c r="B55" s="927" t="s">
        <v>1575</v>
      </c>
      <c r="C55" s="930">
        <v>6</v>
      </c>
      <c r="D55" s="774" t="s">
        <v>1540</v>
      </c>
      <c r="E55" s="932"/>
      <c r="F55" s="920">
        <v>1</v>
      </c>
      <c r="G55" s="928"/>
      <c r="H55" s="920">
        <v>-1</v>
      </c>
      <c r="I55" s="928"/>
      <c r="J55" s="929"/>
      <c r="K55" s="928"/>
      <c r="L55" s="929"/>
      <c r="M55" s="899"/>
    </row>
    <row r="56" spans="2:13" ht="13.15" outlineLevel="2">
      <c r="B56" s="927" t="s">
        <v>1576</v>
      </c>
      <c r="C56" s="927">
        <v>7</v>
      </c>
      <c r="D56" s="931" t="s">
        <v>1542</v>
      </c>
      <c r="E56" s="885"/>
      <c r="F56" s="920">
        <v>1</v>
      </c>
      <c r="G56" s="933"/>
      <c r="H56" s="929"/>
      <c r="I56" s="933"/>
      <c r="J56" s="920">
        <v>1</v>
      </c>
      <c r="K56" s="933"/>
      <c r="L56" s="929"/>
      <c r="M56" s="899"/>
    </row>
    <row r="57" spans="2:13" ht="13.15" outlineLevel="2">
      <c r="B57" s="927" t="s">
        <v>1577</v>
      </c>
      <c r="C57" s="927">
        <v>8</v>
      </c>
      <c r="D57" s="774" t="s">
        <v>544</v>
      </c>
      <c r="E57" s="885"/>
      <c r="F57" s="929"/>
      <c r="G57" s="928"/>
      <c r="H57" s="929"/>
      <c r="I57" s="928"/>
      <c r="J57" s="929"/>
      <c r="K57" s="928"/>
      <c r="L57" s="929"/>
      <c r="M57" s="899"/>
    </row>
    <row r="58" spans="2:13" ht="13.15" outlineLevel="2">
      <c r="B58" s="927" t="s">
        <v>1578</v>
      </c>
      <c r="C58" s="927">
        <v>9</v>
      </c>
      <c r="D58" s="931" t="s">
        <v>545</v>
      </c>
      <c r="E58" s="885"/>
      <c r="F58" s="920">
        <v>1</v>
      </c>
      <c r="G58" s="928"/>
      <c r="H58" s="920">
        <v>-1</v>
      </c>
      <c r="I58" s="928"/>
      <c r="J58" s="920">
        <v>1</v>
      </c>
      <c r="K58" s="933"/>
      <c r="L58" s="929"/>
      <c r="M58" s="899"/>
    </row>
    <row r="59" spans="2:13" ht="13.15" outlineLevel="2">
      <c r="B59" s="927" t="s">
        <v>1579</v>
      </c>
      <c r="C59" s="927">
        <v>10</v>
      </c>
      <c r="D59" s="931" t="s">
        <v>1546</v>
      </c>
      <c r="E59" s="885"/>
      <c r="F59" s="920">
        <v>1</v>
      </c>
      <c r="G59" s="928"/>
      <c r="H59" s="929"/>
      <c r="I59" s="928"/>
      <c r="J59" s="929"/>
      <c r="K59" s="933"/>
      <c r="L59" s="929"/>
      <c r="M59" s="899"/>
    </row>
    <row r="60" spans="2:13" ht="13.15" outlineLevel="1">
      <c r="B60" s="917">
        <v>5</v>
      </c>
      <c r="C60" s="917">
        <v>5</v>
      </c>
      <c r="D60" s="918" t="s">
        <v>1580</v>
      </c>
      <c r="E60" s="919"/>
      <c r="F60" s="922"/>
      <c r="G60" s="922"/>
      <c r="H60" s="922"/>
      <c r="I60" s="922"/>
      <c r="J60" s="922"/>
      <c r="K60" s="922"/>
      <c r="L60" s="922"/>
      <c r="M60" s="899"/>
    </row>
    <row r="61" spans="2:13" ht="13.15" outlineLevel="2">
      <c r="B61" s="927" t="s">
        <v>1581</v>
      </c>
      <c r="C61" s="927">
        <v>1</v>
      </c>
      <c r="D61" s="774" t="s">
        <v>844</v>
      </c>
      <c r="E61" s="885"/>
      <c r="F61" s="920">
        <v>1</v>
      </c>
      <c r="G61" s="928"/>
      <c r="H61" s="920">
        <v>1</v>
      </c>
      <c r="I61" s="928"/>
      <c r="J61" s="920">
        <v>1</v>
      </c>
      <c r="K61" s="928"/>
      <c r="L61" s="929"/>
      <c r="M61" s="899"/>
    </row>
    <row r="62" spans="2:13" ht="13.15" outlineLevel="2">
      <c r="B62" s="927" t="s">
        <v>1582</v>
      </c>
      <c r="C62" s="927">
        <v>2</v>
      </c>
      <c r="D62" s="774" t="s">
        <v>1532</v>
      </c>
      <c r="E62" s="885"/>
      <c r="F62" s="920">
        <v>1</v>
      </c>
      <c r="G62" s="928"/>
      <c r="H62" s="920">
        <v>1</v>
      </c>
      <c r="I62" s="928"/>
      <c r="J62" s="929"/>
      <c r="K62" s="928"/>
      <c r="L62" s="929"/>
      <c r="M62" s="899"/>
    </row>
    <row r="63" spans="2:13" ht="13.15" outlineLevel="2">
      <c r="B63" s="927" t="s">
        <v>1583</v>
      </c>
      <c r="C63" s="927">
        <v>3</v>
      </c>
      <c r="D63" s="774" t="s">
        <v>1534</v>
      </c>
      <c r="E63" s="885"/>
      <c r="F63" s="920">
        <v>1</v>
      </c>
      <c r="G63" s="933"/>
      <c r="H63" s="929"/>
      <c r="I63" s="933"/>
      <c r="J63" s="929"/>
      <c r="K63" s="928"/>
      <c r="L63" s="929"/>
      <c r="M63" s="899"/>
    </row>
    <row r="64" spans="2:13" ht="13.15" outlineLevel="2">
      <c r="B64" s="927" t="s">
        <v>1584</v>
      </c>
      <c r="C64" s="927">
        <v>4</v>
      </c>
      <c r="D64" s="774" t="s">
        <v>1536</v>
      </c>
      <c r="E64" s="885"/>
      <c r="F64" s="920">
        <v>1</v>
      </c>
      <c r="G64" s="928"/>
      <c r="H64" s="920">
        <v>1</v>
      </c>
      <c r="I64" s="928"/>
      <c r="J64" s="920">
        <v>1</v>
      </c>
      <c r="K64" s="928"/>
      <c r="L64" s="929"/>
      <c r="M64" s="899"/>
    </row>
    <row r="65" spans="1:13" ht="13.15" outlineLevel="2">
      <c r="B65" s="927" t="s">
        <v>1585</v>
      </c>
      <c r="C65" s="927">
        <v>5</v>
      </c>
      <c r="D65" s="931" t="s">
        <v>1538</v>
      </c>
      <c r="E65" s="885"/>
      <c r="F65" s="920">
        <v>1</v>
      </c>
      <c r="G65" s="928"/>
      <c r="H65" s="920">
        <v>-1</v>
      </c>
      <c r="I65" s="928"/>
      <c r="J65" s="929"/>
      <c r="K65" s="928"/>
      <c r="L65" s="929"/>
      <c r="M65" s="899"/>
    </row>
    <row r="66" spans="1:13" ht="13.15" outlineLevel="2">
      <c r="B66" s="927" t="s">
        <v>1586</v>
      </c>
      <c r="C66" s="927">
        <v>6</v>
      </c>
      <c r="D66" s="931" t="s">
        <v>1540</v>
      </c>
      <c r="E66" s="885"/>
      <c r="F66" s="920">
        <v>1</v>
      </c>
      <c r="G66" s="928"/>
      <c r="H66" s="920">
        <v>-1</v>
      </c>
      <c r="I66" s="928"/>
      <c r="J66" s="929"/>
      <c r="K66" s="928"/>
      <c r="L66" s="929"/>
      <c r="M66" s="899"/>
    </row>
    <row r="67" spans="1:13" ht="13.15" outlineLevel="2">
      <c r="B67" s="927" t="s">
        <v>1587</v>
      </c>
      <c r="C67" s="927">
        <v>7</v>
      </c>
      <c r="D67" s="774" t="s">
        <v>1542</v>
      </c>
      <c r="E67" s="885"/>
      <c r="F67" s="920">
        <v>1</v>
      </c>
      <c r="G67" s="933"/>
      <c r="H67" s="929"/>
      <c r="I67" s="933"/>
      <c r="J67" s="920">
        <v>1</v>
      </c>
      <c r="K67" s="933"/>
      <c r="L67" s="929"/>
      <c r="M67" s="899"/>
    </row>
    <row r="68" spans="1:13" ht="13.15" outlineLevel="2">
      <c r="B68" s="927" t="s">
        <v>1588</v>
      </c>
      <c r="C68" s="927"/>
      <c r="D68" s="774" t="s">
        <v>544</v>
      </c>
      <c r="E68" s="885"/>
      <c r="F68" s="929"/>
      <c r="G68" s="928"/>
      <c r="H68" s="929"/>
      <c r="I68" s="928"/>
      <c r="J68" s="929"/>
      <c r="K68" s="928"/>
      <c r="L68" s="929"/>
      <c r="M68" s="899"/>
    </row>
    <row r="69" spans="1:13" ht="13.15" outlineLevel="2">
      <c r="B69" s="927" t="s">
        <v>1589</v>
      </c>
      <c r="C69" s="927">
        <v>8</v>
      </c>
      <c r="D69" s="774" t="s">
        <v>545</v>
      </c>
      <c r="E69" s="885"/>
      <c r="F69" s="920">
        <v>1</v>
      </c>
      <c r="G69" s="928"/>
      <c r="H69" s="920">
        <v>-1</v>
      </c>
      <c r="I69" s="928"/>
      <c r="J69" s="920">
        <v>1</v>
      </c>
      <c r="K69" s="933"/>
      <c r="L69" s="929"/>
      <c r="M69" s="899"/>
    </row>
    <row r="70" spans="1:13" ht="13.15" outlineLevel="2">
      <c r="B70" s="927" t="s">
        <v>1590</v>
      </c>
      <c r="C70" s="927">
        <v>9</v>
      </c>
      <c r="D70" s="774" t="s">
        <v>1546</v>
      </c>
      <c r="E70" s="885"/>
      <c r="F70" s="920">
        <v>1</v>
      </c>
      <c r="G70" s="928"/>
      <c r="H70" s="929"/>
      <c r="I70" s="928"/>
      <c r="J70" s="929"/>
      <c r="K70" s="933"/>
      <c r="L70" s="929"/>
      <c r="M70" s="899"/>
    </row>
    <row r="71" spans="1:13" ht="13.15" outlineLevel="1">
      <c r="B71" s="917">
        <v>6</v>
      </c>
      <c r="C71" s="917">
        <v>6</v>
      </c>
      <c r="D71" s="918" t="s">
        <v>1591</v>
      </c>
      <c r="E71" s="919"/>
      <c r="F71" s="922"/>
      <c r="G71" s="922"/>
      <c r="H71" s="922"/>
      <c r="I71" s="922"/>
      <c r="J71" s="922"/>
      <c r="K71" s="922"/>
      <c r="L71" s="922"/>
      <c r="M71" s="899"/>
    </row>
    <row r="72" spans="1:13" ht="13.15" outlineLevel="2">
      <c r="B72" s="927" t="s">
        <v>1592</v>
      </c>
      <c r="C72" s="927">
        <v>1</v>
      </c>
      <c r="D72" s="774" t="s">
        <v>844</v>
      </c>
      <c r="E72" s="885"/>
      <c r="F72" s="920">
        <v>-2</v>
      </c>
      <c r="G72" s="928"/>
      <c r="H72" s="920">
        <v>-1</v>
      </c>
      <c r="I72" s="928"/>
      <c r="J72" s="920">
        <v>1</v>
      </c>
      <c r="K72" s="928"/>
      <c r="L72" s="929"/>
      <c r="M72" s="899"/>
    </row>
    <row r="73" spans="1:13" ht="13.15" outlineLevel="2">
      <c r="B73" s="927" t="s">
        <v>1593</v>
      </c>
      <c r="C73" s="927">
        <v>2</v>
      </c>
      <c r="D73" s="774" t="s">
        <v>1532</v>
      </c>
      <c r="E73" s="885"/>
      <c r="F73" s="920">
        <v>1</v>
      </c>
      <c r="G73" s="928"/>
      <c r="H73" s="920">
        <v>1</v>
      </c>
      <c r="I73" s="928"/>
      <c r="J73" s="929"/>
      <c r="K73" s="928"/>
      <c r="L73" s="929"/>
      <c r="M73" s="899"/>
    </row>
    <row r="74" spans="1:13" ht="13.15" outlineLevel="2">
      <c r="B74" s="927" t="s">
        <v>1594</v>
      </c>
      <c r="C74" s="927">
        <v>3</v>
      </c>
      <c r="D74" s="774" t="s">
        <v>1534</v>
      </c>
      <c r="E74" s="885"/>
      <c r="F74" s="920">
        <v>1</v>
      </c>
      <c r="G74" s="928"/>
      <c r="H74" s="929"/>
      <c r="I74" s="928"/>
      <c r="J74" s="929"/>
      <c r="K74" s="928"/>
      <c r="L74" s="929"/>
      <c r="M74" s="899"/>
    </row>
    <row r="75" spans="1:13" ht="13.15" outlineLevel="2">
      <c r="B75" s="927" t="s">
        <v>1595</v>
      </c>
      <c r="C75" s="927">
        <v>4</v>
      </c>
      <c r="D75" s="774" t="s">
        <v>1536</v>
      </c>
      <c r="E75" s="885"/>
      <c r="F75" s="920">
        <v>1</v>
      </c>
      <c r="G75" s="928"/>
      <c r="H75" s="920">
        <v>1</v>
      </c>
      <c r="I75" s="928"/>
      <c r="J75" s="920">
        <v>1</v>
      </c>
      <c r="K75" s="928"/>
      <c r="L75" s="929"/>
      <c r="M75" s="899"/>
    </row>
    <row r="76" spans="1:13" s="934" customFormat="1" ht="13.15" outlineLevel="2">
      <c r="B76" s="927" t="s">
        <v>1596</v>
      </c>
      <c r="C76" s="930">
        <v>5</v>
      </c>
      <c r="D76" s="931" t="s">
        <v>1538</v>
      </c>
      <c r="E76" s="932"/>
      <c r="F76" s="920">
        <v>1</v>
      </c>
      <c r="G76" s="933"/>
      <c r="H76" s="920">
        <v>-1</v>
      </c>
      <c r="I76" s="933"/>
      <c r="J76" s="929"/>
      <c r="K76" s="928"/>
      <c r="L76" s="929"/>
      <c r="M76" s="899"/>
    </row>
    <row r="77" spans="1:13" s="934" customFormat="1" ht="13.15" outlineLevel="2">
      <c r="A77" s="932"/>
      <c r="B77" s="927" t="s">
        <v>1597</v>
      </c>
      <c r="C77" s="930">
        <v>6</v>
      </c>
      <c r="D77" s="931" t="s">
        <v>1540</v>
      </c>
      <c r="E77" s="932"/>
      <c r="F77" s="920">
        <v>1</v>
      </c>
      <c r="G77" s="933"/>
      <c r="H77" s="920">
        <v>-1</v>
      </c>
      <c r="I77" s="933"/>
      <c r="J77" s="929"/>
      <c r="K77" s="928"/>
      <c r="L77" s="929"/>
      <c r="M77" s="899"/>
    </row>
    <row r="78" spans="1:13" ht="13.15" outlineLevel="2">
      <c r="A78" s="885"/>
      <c r="B78" s="927" t="s">
        <v>1598</v>
      </c>
      <c r="C78" s="927">
        <v>7</v>
      </c>
      <c r="D78" s="774" t="s">
        <v>1542</v>
      </c>
      <c r="E78" s="885"/>
      <c r="F78" s="920">
        <v>1</v>
      </c>
      <c r="G78" s="928"/>
      <c r="H78" s="929"/>
      <c r="I78" s="928"/>
      <c r="J78" s="920">
        <v>1</v>
      </c>
      <c r="K78" s="933"/>
      <c r="L78" s="929"/>
      <c r="M78" s="899"/>
    </row>
    <row r="79" spans="1:13" ht="13.15" outlineLevel="2">
      <c r="A79" s="885"/>
      <c r="B79" s="927" t="s">
        <v>1599</v>
      </c>
      <c r="C79" s="927">
        <v>8</v>
      </c>
      <c r="D79" s="774" t="s">
        <v>544</v>
      </c>
      <c r="E79" s="885"/>
      <c r="F79" s="929"/>
      <c r="G79" s="928"/>
      <c r="H79" s="929"/>
      <c r="I79" s="928"/>
      <c r="J79" s="929"/>
      <c r="K79" s="928"/>
      <c r="L79" s="929"/>
      <c r="M79" s="899"/>
    </row>
    <row r="80" spans="1:13" ht="13.15" outlineLevel="2">
      <c r="A80" s="885"/>
      <c r="B80" s="927" t="s">
        <v>1600</v>
      </c>
      <c r="C80" s="927">
        <v>9</v>
      </c>
      <c r="D80" s="774" t="s">
        <v>545</v>
      </c>
      <c r="E80" s="885"/>
      <c r="F80" s="920">
        <v>1</v>
      </c>
      <c r="G80" s="928"/>
      <c r="H80" s="920">
        <v>-1</v>
      </c>
      <c r="I80" s="928"/>
      <c r="J80" s="920">
        <v>1</v>
      </c>
      <c r="K80" s="933"/>
      <c r="L80" s="929"/>
      <c r="M80" s="899"/>
    </row>
    <row r="81" spans="1:13" ht="13.15" outlineLevel="2">
      <c r="A81" s="885"/>
      <c r="B81" s="927" t="s">
        <v>1601</v>
      </c>
      <c r="C81" s="927">
        <v>10</v>
      </c>
      <c r="D81" s="774" t="s">
        <v>1546</v>
      </c>
      <c r="E81" s="885"/>
      <c r="F81" s="920">
        <v>1</v>
      </c>
      <c r="G81" s="928"/>
      <c r="H81" s="929"/>
      <c r="I81" s="928"/>
      <c r="J81" s="929"/>
      <c r="K81" s="933"/>
      <c r="L81" s="929"/>
      <c r="M81" s="899"/>
    </row>
    <row r="82" spans="1:13" ht="13.15" outlineLevel="1">
      <c r="B82" s="917">
        <v>7</v>
      </c>
      <c r="C82" s="917">
        <v>9</v>
      </c>
      <c r="D82" s="918" t="s">
        <v>1602</v>
      </c>
      <c r="E82" s="919"/>
      <c r="F82" s="922"/>
      <c r="G82" s="922"/>
      <c r="H82" s="922"/>
      <c r="I82" s="922"/>
      <c r="J82" s="922"/>
      <c r="K82" s="922"/>
      <c r="L82" s="922"/>
      <c r="M82" s="899"/>
    </row>
    <row r="83" spans="1:13" ht="13.15" outlineLevel="2">
      <c r="B83" s="927" t="s">
        <v>1603</v>
      </c>
      <c r="C83" s="927">
        <v>1</v>
      </c>
      <c r="D83" s="774" t="s">
        <v>1604</v>
      </c>
      <c r="E83" s="885"/>
      <c r="F83" s="929"/>
      <c r="G83" s="928"/>
      <c r="H83" s="920">
        <v>1</v>
      </c>
      <c r="I83" s="928"/>
      <c r="J83" s="929"/>
      <c r="K83" s="928"/>
      <c r="L83" s="929"/>
      <c r="M83" s="899"/>
    </row>
    <row r="84" spans="1:13" ht="13.15" outlineLevel="2">
      <c r="B84" s="927" t="s">
        <v>1605</v>
      </c>
      <c r="C84" s="927">
        <v>2</v>
      </c>
      <c r="D84" s="774" t="s">
        <v>575</v>
      </c>
      <c r="E84" s="885"/>
      <c r="F84" s="920">
        <v>-2</v>
      </c>
      <c r="G84" s="928"/>
      <c r="H84" s="920">
        <v>-2</v>
      </c>
      <c r="I84" s="928"/>
      <c r="J84" s="920">
        <v>1</v>
      </c>
      <c r="K84" s="928"/>
      <c r="L84" s="929"/>
      <c r="M84" s="899"/>
    </row>
    <row r="85" spans="1:13" ht="13.15" outlineLevel="2">
      <c r="B85" s="927" t="s">
        <v>1606</v>
      </c>
      <c r="C85" s="927">
        <v>3</v>
      </c>
      <c r="D85" s="774" t="s">
        <v>576</v>
      </c>
      <c r="E85" s="885"/>
      <c r="F85" s="920">
        <v>1</v>
      </c>
      <c r="G85" s="928"/>
      <c r="H85" s="920">
        <v>-2</v>
      </c>
      <c r="I85" s="928"/>
      <c r="J85" s="920">
        <v>1</v>
      </c>
      <c r="K85" s="928"/>
      <c r="L85" s="929"/>
      <c r="M85" s="899"/>
    </row>
    <row r="86" spans="1:13" s="934" customFormat="1" ht="13.15" outlineLevel="2">
      <c r="B86" s="927" t="s">
        <v>1607</v>
      </c>
      <c r="C86" s="930">
        <v>4</v>
      </c>
      <c r="D86" s="931" t="s">
        <v>577</v>
      </c>
      <c r="E86" s="932"/>
      <c r="F86" s="920">
        <v>-2</v>
      </c>
      <c r="G86" s="933"/>
      <c r="H86" s="920">
        <v>-2</v>
      </c>
      <c r="I86" s="933"/>
      <c r="J86" s="920">
        <v>1</v>
      </c>
      <c r="K86" s="933"/>
      <c r="L86" s="929"/>
      <c r="M86" s="899"/>
    </row>
    <row r="87" spans="1:13" ht="13.15" outlineLevel="2">
      <c r="B87" s="927" t="s">
        <v>1608</v>
      </c>
      <c r="C87" s="927">
        <v>5</v>
      </c>
      <c r="D87" s="774" t="s">
        <v>1609</v>
      </c>
      <c r="E87" s="885"/>
      <c r="F87" s="920">
        <v>1</v>
      </c>
      <c r="G87" s="928"/>
      <c r="H87" s="929"/>
      <c r="I87" s="928"/>
      <c r="J87" s="920">
        <v>1</v>
      </c>
      <c r="K87" s="928"/>
      <c r="L87" s="929"/>
      <c r="M87" s="899"/>
    </row>
    <row r="88" spans="1:13" ht="13.15" outlineLevel="1">
      <c r="B88" s="917">
        <v>8</v>
      </c>
      <c r="C88" s="917">
        <v>14</v>
      </c>
      <c r="D88" s="918" t="s">
        <v>1610</v>
      </c>
      <c r="E88" s="919"/>
      <c r="F88" s="922"/>
      <c r="G88" s="922"/>
      <c r="H88" s="922"/>
      <c r="I88" s="922"/>
      <c r="J88" s="922"/>
      <c r="K88" s="922"/>
      <c r="L88" s="922"/>
      <c r="M88" s="922"/>
    </row>
    <row r="89" spans="1:13" ht="13.15" outlineLevel="2">
      <c r="B89" s="927" t="s">
        <v>1611</v>
      </c>
      <c r="C89" s="927">
        <v>1</v>
      </c>
      <c r="D89" s="931" t="s">
        <v>1612</v>
      </c>
      <c r="E89" s="885"/>
      <c r="F89" s="920">
        <v>-2</v>
      </c>
      <c r="G89" s="928"/>
      <c r="H89" s="929"/>
      <c r="I89" s="928"/>
      <c r="J89" s="920">
        <v>-2</v>
      </c>
      <c r="K89" s="928"/>
      <c r="L89" s="920">
        <v>1</v>
      </c>
      <c r="M89" s="928"/>
    </row>
    <row r="90" spans="1:13" ht="13.15" outlineLevel="2">
      <c r="B90" s="927" t="s">
        <v>1613</v>
      </c>
      <c r="C90" s="927">
        <v>2</v>
      </c>
      <c r="D90" s="931" t="s">
        <v>780</v>
      </c>
      <c r="E90" s="885"/>
      <c r="F90" s="920">
        <v>-2</v>
      </c>
      <c r="G90" s="928"/>
      <c r="H90" s="929"/>
      <c r="I90" s="928"/>
      <c r="J90" s="920">
        <v>1</v>
      </c>
      <c r="K90" s="928"/>
      <c r="L90" s="920">
        <v>1</v>
      </c>
      <c r="M90" s="928"/>
    </row>
    <row r="91" spans="1:13" ht="13.15" outlineLevel="2">
      <c r="A91" s="885"/>
      <c r="B91" s="927" t="s">
        <v>1614</v>
      </c>
      <c r="C91" s="927">
        <v>3</v>
      </c>
      <c r="D91" s="931" t="s">
        <v>783</v>
      </c>
      <c r="E91" s="885"/>
      <c r="F91" s="920">
        <v>-2</v>
      </c>
      <c r="G91" s="928"/>
      <c r="H91" s="929"/>
      <c r="I91" s="928"/>
      <c r="J91" s="920">
        <v>1</v>
      </c>
      <c r="K91" s="928"/>
      <c r="L91" s="920">
        <v>1</v>
      </c>
      <c r="M91" s="928"/>
    </row>
    <row r="92" spans="1:13" ht="13.15" outlineLevel="1">
      <c r="A92" s="885"/>
      <c r="B92" s="917">
        <v>9</v>
      </c>
      <c r="C92" s="917">
        <v>15</v>
      </c>
      <c r="D92" s="918" t="s">
        <v>1615</v>
      </c>
      <c r="E92" s="919"/>
      <c r="F92" s="922"/>
      <c r="G92" s="922"/>
      <c r="H92" s="922"/>
      <c r="I92" s="922"/>
      <c r="J92" s="922"/>
      <c r="K92" s="922"/>
      <c r="L92" s="922"/>
      <c r="M92" s="922"/>
    </row>
    <row r="93" spans="1:13" ht="13.15" outlineLevel="2">
      <c r="A93" s="885"/>
      <c r="B93" s="927" t="s">
        <v>1616</v>
      </c>
      <c r="C93" s="927">
        <v>1</v>
      </c>
      <c r="D93" s="774" t="s">
        <v>244</v>
      </c>
      <c r="E93" s="885"/>
      <c r="F93" s="920">
        <v>1</v>
      </c>
      <c r="G93" s="928"/>
      <c r="H93" s="920">
        <v>-2</v>
      </c>
      <c r="I93" s="928"/>
      <c r="J93" s="920">
        <v>-2</v>
      </c>
      <c r="K93" s="928"/>
      <c r="L93" s="920">
        <v>-2</v>
      </c>
      <c r="M93" s="928"/>
    </row>
    <row r="94" spans="1:13" ht="13.15" outlineLevel="2">
      <c r="A94" s="885"/>
      <c r="B94" s="927" t="s">
        <v>1617</v>
      </c>
      <c r="C94" s="927">
        <v>2</v>
      </c>
      <c r="D94" s="774" t="s">
        <v>543</v>
      </c>
      <c r="E94" s="885"/>
      <c r="F94" s="920">
        <v>-2</v>
      </c>
      <c r="G94" s="928"/>
      <c r="H94" s="920">
        <v>-2</v>
      </c>
      <c r="I94" s="928"/>
      <c r="J94" s="929"/>
      <c r="K94" s="928"/>
      <c r="L94" s="929"/>
      <c r="M94" s="928"/>
    </row>
    <row r="95" spans="1:13" ht="13.15" outlineLevel="2">
      <c r="A95" s="885"/>
      <c r="B95" s="927" t="s">
        <v>1618</v>
      </c>
      <c r="C95" s="927">
        <v>3</v>
      </c>
      <c r="D95" s="774" t="s">
        <v>221</v>
      </c>
      <c r="E95" s="885"/>
      <c r="F95" s="920">
        <v>-2</v>
      </c>
      <c r="G95" s="928"/>
      <c r="H95" s="920">
        <v>-2</v>
      </c>
      <c r="I95" s="928"/>
      <c r="J95" s="920">
        <v>-2</v>
      </c>
      <c r="K95" s="928"/>
      <c r="L95" s="929"/>
      <c r="M95" s="928"/>
    </row>
    <row r="96" spans="1:13" ht="13.15" outlineLevel="2">
      <c r="A96" s="885"/>
      <c r="B96" s="927" t="s">
        <v>1619</v>
      </c>
      <c r="C96" s="927">
        <v>4</v>
      </c>
      <c r="D96" s="774" t="s">
        <v>222</v>
      </c>
      <c r="E96" s="885"/>
      <c r="F96" s="920">
        <v>-2</v>
      </c>
      <c r="G96" s="928"/>
      <c r="H96" s="920">
        <v>-2</v>
      </c>
      <c r="I96" s="928"/>
      <c r="J96" s="929"/>
      <c r="K96" s="928"/>
      <c r="L96" s="920">
        <v>-2</v>
      </c>
      <c r="M96" s="928"/>
    </row>
    <row r="97" spans="1:13" ht="13.15" outlineLevel="1">
      <c r="A97" s="885"/>
      <c r="B97" s="917">
        <v>10</v>
      </c>
      <c r="C97" s="917">
        <v>16</v>
      </c>
      <c r="D97" s="918" t="s">
        <v>1620</v>
      </c>
      <c r="E97" s="919"/>
      <c r="F97" s="922"/>
      <c r="G97" s="922"/>
      <c r="H97" s="922"/>
      <c r="I97" s="922"/>
      <c r="J97" s="922"/>
      <c r="K97" s="922"/>
      <c r="L97" s="922"/>
      <c r="M97" s="922"/>
    </row>
    <row r="98" spans="1:13" ht="13.15" outlineLevel="2">
      <c r="A98" s="885" t="str">
        <f>"Amenities &amp; Facilities - "&amp;D98</f>
        <v>Amenities &amp; Facilities - Clubhouse—Structure and Envelope</v>
      </c>
      <c r="B98" s="927" t="s">
        <v>1621</v>
      </c>
      <c r="C98" s="927">
        <v>1</v>
      </c>
      <c r="D98" s="931" t="s">
        <v>243</v>
      </c>
      <c r="E98" s="885"/>
      <c r="F98" s="920">
        <v>-2</v>
      </c>
      <c r="G98" s="928"/>
      <c r="H98" s="920">
        <v>-2</v>
      </c>
      <c r="I98" s="928"/>
      <c r="J98" s="920">
        <v>-2</v>
      </c>
      <c r="K98" s="928"/>
      <c r="L98" s="929"/>
      <c r="M98" s="928"/>
    </row>
    <row r="99" spans="1:13" ht="13.15" outlineLevel="2">
      <c r="A99" s="885" t="str">
        <f t="shared" ref="A99:A102" si="0">"Amenities &amp; Facilities - "&amp;D99</f>
        <v>Amenities &amp; Facilities - Clubhouse—Interiors and Facilities</v>
      </c>
      <c r="B99" s="927" t="s">
        <v>1622</v>
      </c>
      <c r="C99" s="927">
        <v>2</v>
      </c>
      <c r="D99" s="931" t="s">
        <v>249</v>
      </c>
      <c r="E99" s="885"/>
      <c r="F99" s="920">
        <v>-2</v>
      </c>
      <c r="G99" s="928"/>
      <c r="H99" s="929"/>
      <c r="I99" s="928"/>
      <c r="J99" s="920">
        <v>-2</v>
      </c>
      <c r="K99" s="928"/>
      <c r="L99" s="920">
        <v>-2</v>
      </c>
      <c r="M99" s="928"/>
    </row>
    <row r="100" spans="1:13" s="934" customFormat="1" ht="13.15" outlineLevel="2">
      <c r="A100" s="885" t="str">
        <f t="shared" si="0"/>
        <v>Amenities &amp; Facilities - Clubhouse—Outdoor Spaces and Pool</v>
      </c>
      <c r="B100" s="927" t="s">
        <v>1623</v>
      </c>
      <c r="C100" s="927">
        <v>3</v>
      </c>
      <c r="D100" s="931" t="s">
        <v>245</v>
      </c>
      <c r="E100" s="932"/>
      <c r="F100" s="920">
        <v>-2</v>
      </c>
      <c r="G100" s="933"/>
      <c r="H100" s="920">
        <v>-2</v>
      </c>
      <c r="I100" s="933"/>
      <c r="J100" s="920">
        <v>-2</v>
      </c>
      <c r="K100" s="933"/>
      <c r="L100" s="920">
        <v>-2</v>
      </c>
      <c r="M100" s="933"/>
    </row>
    <row r="101" spans="1:13" ht="13.15" outlineLevel="2">
      <c r="A101" s="885" t="str">
        <f t="shared" si="0"/>
        <v>Amenities &amp; Facilities - Community spaces [Board Walk, Children play area]</v>
      </c>
      <c r="B101" s="927" t="s">
        <v>1624</v>
      </c>
      <c r="C101" s="927">
        <v>4</v>
      </c>
      <c r="D101" s="931" t="s">
        <v>283</v>
      </c>
      <c r="E101" s="885"/>
      <c r="F101" s="920">
        <v>-2</v>
      </c>
      <c r="G101" s="928"/>
      <c r="H101" s="920">
        <v>-2</v>
      </c>
      <c r="I101" s="928"/>
      <c r="J101" s="929"/>
      <c r="K101" s="928"/>
      <c r="L101" s="920">
        <v>-2</v>
      </c>
      <c r="M101" s="928"/>
    </row>
    <row r="102" spans="1:13" ht="13.15" outlineLevel="2">
      <c r="A102" s="885" t="str">
        <f t="shared" si="0"/>
        <v>Amenities &amp; Facilities - Sporting Facilities</v>
      </c>
      <c r="B102" s="927" t="s">
        <v>1625</v>
      </c>
      <c r="C102" s="927">
        <v>5</v>
      </c>
      <c r="D102" s="931" t="s">
        <v>254</v>
      </c>
      <c r="E102" s="885"/>
      <c r="F102" s="920">
        <v>-2</v>
      </c>
      <c r="G102" s="928"/>
      <c r="H102" s="920">
        <v>-2</v>
      </c>
      <c r="I102" s="928"/>
      <c r="J102" s="920">
        <v>-2</v>
      </c>
      <c r="K102" s="928"/>
      <c r="L102" s="929"/>
      <c r="M102" s="928"/>
    </row>
    <row r="103" spans="1:13" ht="17.45">
      <c r="A103" s="885"/>
      <c r="B103" s="774"/>
      <c r="C103" s="966" t="s">
        <v>1626</v>
      </c>
      <c r="D103" s="966"/>
      <c r="E103" s="905"/>
      <c r="F103" s="913"/>
      <c r="G103" s="914"/>
      <c r="H103" s="913"/>
      <c r="I103" s="914"/>
      <c r="J103" s="913"/>
      <c r="K103" s="914"/>
      <c r="L103" s="913"/>
      <c r="M103" s="914"/>
    </row>
    <row r="104" spans="1:13" ht="3" customHeight="1" outlineLevel="1">
      <c r="A104" s="885"/>
      <c r="B104" s="886"/>
      <c r="C104" s="886"/>
      <c r="D104" s="936"/>
      <c r="E104" s="905"/>
      <c r="F104" s="912"/>
      <c r="G104" s="915"/>
      <c r="H104" s="912"/>
      <c r="I104" s="915"/>
      <c r="J104" s="912"/>
      <c r="K104" s="915"/>
      <c r="L104" s="912"/>
      <c r="M104" s="915"/>
    </row>
    <row r="105" spans="1:13" ht="13.15" outlineLevel="1">
      <c r="A105" s="885"/>
      <c r="B105" s="917">
        <v>1</v>
      </c>
      <c r="C105" s="917">
        <v>1</v>
      </c>
      <c r="D105" s="918" t="s">
        <v>652</v>
      </c>
      <c r="E105" s="919"/>
      <c r="F105" s="922"/>
      <c r="G105" s="922"/>
      <c r="H105" s="922"/>
      <c r="I105" s="922"/>
      <c r="J105" s="922"/>
      <c r="K105" s="922"/>
      <c r="L105" s="922"/>
      <c r="M105" s="922"/>
    </row>
    <row r="106" spans="1:13" ht="13.15" outlineLevel="2">
      <c r="A106" s="885"/>
      <c r="B106" s="927">
        <v>1</v>
      </c>
      <c r="C106" s="927">
        <v>1</v>
      </c>
      <c r="D106" s="811" t="s">
        <v>1627</v>
      </c>
      <c r="E106" s="888"/>
      <c r="F106" s="920">
        <v>-2</v>
      </c>
      <c r="G106" s="937"/>
      <c r="H106" s="920">
        <v>-2</v>
      </c>
      <c r="I106" s="937"/>
      <c r="J106" s="920">
        <v>-2</v>
      </c>
      <c r="K106" s="937"/>
      <c r="L106" s="920">
        <v>-2</v>
      </c>
      <c r="M106" s="937"/>
    </row>
    <row r="107" spans="1:13" ht="3" customHeight="1">
      <c r="A107" s="885"/>
      <c r="B107" s="927"/>
      <c r="C107" s="927"/>
      <c r="D107" s="811"/>
      <c r="E107" s="888"/>
      <c r="F107" s="929"/>
      <c r="G107" s="937"/>
      <c r="H107" s="929"/>
      <c r="I107" s="937"/>
      <c r="J107" s="929"/>
      <c r="K107" s="937"/>
      <c r="L107" s="929"/>
      <c r="M107" s="937"/>
    </row>
    <row r="108" spans="1:13" ht="17.45" hidden="1">
      <c r="A108" s="885"/>
      <c r="B108" s="774"/>
      <c r="C108" s="966" t="s">
        <v>1628</v>
      </c>
      <c r="D108" s="966"/>
      <c r="E108" s="905"/>
      <c r="F108" s="913"/>
      <c r="G108" s="914"/>
      <c r="H108" s="913"/>
      <c r="I108" s="914"/>
      <c r="J108" s="913"/>
      <c r="K108" s="914"/>
      <c r="L108" s="913"/>
      <c r="M108" s="914"/>
    </row>
    <row r="126" spans="1:26" s="925" customFormat="1" ht="11.85" customHeight="1">
      <c r="A126" s="891"/>
      <c r="B126" s="891"/>
      <c r="C126" s="891"/>
      <c r="D126" s="891"/>
      <c r="E126" s="891"/>
      <c r="F126" s="891"/>
      <c r="G126" s="891"/>
      <c r="H126" s="891"/>
      <c r="I126" s="891"/>
      <c r="K126" s="926"/>
      <c r="M126" s="926"/>
      <c r="N126" s="891"/>
      <c r="O126" s="891"/>
      <c r="P126" s="891"/>
      <c r="Q126" s="891"/>
      <c r="R126" s="891"/>
      <c r="S126" s="891"/>
      <c r="T126" s="891"/>
      <c r="U126" s="891"/>
      <c r="V126" s="891"/>
      <c r="W126" s="891"/>
      <c r="X126" s="891"/>
      <c r="Y126" s="891"/>
      <c r="Z126" s="891"/>
    </row>
    <row r="127" spans="1:26" s="925" customFormat="1" ht="11.85" customHeight="1">
      <c r="A127" s="891"/>
      <c r="B127" s="891"/>
      <c r="C127" s="891"/>
      <c r="D127" s="891"/>
      <c r="E127" s="891"/>
      <c r="F127" s="891"/>
      <c r="G127" s="891"/>
      <c r="H127" s="891"/>
      <c r="I127" s="891"/>
      <c r="K127" s="926"/>
      <c r="M127" s="926"/>
      <c r="N127" s="891"/>
      <c r="O127" s="891"/>
      <c r="P127" s="891"/>
      <c r="Q127" s="891"/>
      <c r="R127" s="891"/>
      <c r="S127" s="891"/>
      <c r="T127" s="891"/>
      <c r="U127" s="891"/>
      <c r="V127" s="891"/>
      <c r="W127" s="891"/>
      <c r="X127" s="891"/>
      <c r="Y127" s="891"/>
      <c r="Z127" s="891"/>
    </row>
    <row r="129" spans="1:26" s="925" customFormat="1" ht="11.85" customHeight="1">
      <c r="A129" s="891"/>
      <c r="B129" s="891"/>
      <c r="C129" s="891"/>
      <c r="D129" s="891"/>
      <c r="E129" s="891"/>
      <c r="F129" s="891"/>
      <c r="G129" s="891"/>
      <c r="H129" s="891"/>
      <c r="I129" s="891"/>
      <c r="K129" s="926"/>
      <c r="M129" s="926"/>
      <c r="N129" s="891"/>
      <c r="O129" s="891"/>
      <c r="P129" s="891"/>
      <c r="Q129" s="891"/>
      <c r="R129" s="891"/>
      <c r="S129" s="891"/>
      <c r="T129" s="891"/>
      <c r="U129" s="891"/>
      <c r="V129" s="891"/>
      <c r="W129" s="891"/>
      <c r="X129" s="891"/>
      <c r="Y129" s="891"/>
      <c r="Z129" s="891"/>
    </row>
  </sheetData>
  <mergeCells count="5">
    <mergeCell ref="C2:D2"/>
    <mergeCell ref="C8:D8"/>
    <mergeCell ref="C15:D15"/>
    <mergeCell ref="C103:D103"/>
    <mergeCell ref="C108:D108"/>
  </mergeCells>
  <conditionalFormatting sqref="F9">
    <cfRule type="iconSet" priority="118">
      <iconSet iconSet="3Symbols2" showValue="0">
        <cfvo type="percent" val="0"/>
        <cfvo type="num" val="0"/>
        <cfvo type="num" val="1"/>
      </iconSet>
    </cfRule>
  </conditionalFormatting>
  <conditionalFormatting sqref="F10:F11">
    <cfRule type="iconSet" priority="117">
      <iconSet iconSet="3Symbols2" showValue="0">
        <cfvo type="percent" val="0"/>
        <cfvo type="num" val="0"/>
        <cfvo type="num" val="1"/>
      </iconSet>
    </cfRule>
  </conditionalFormatting>
  <conditionalFormatting sqref="F12:F13">
    <cfRule type="iconSet" priority="115">
      <iconSet iconSet="3Symbols2" showValue="0">
        <cfvo type="percent" val="0"/>
        <cfvo type="num" val="0"/>
        <cfvo type="num" val="1"/>
      </iconSet>
    </cfRule>
  </conditionalFormatting>
  <conditionalFormatting sqref="F14">
    <cfRule type="iconSet" priority="114">
      <iconSet iconSet="3Symbols2" showValue="0">
        <cfvo type="percent" val="0"/>
        <cfvo type="num" val="0"/>
        <cfvo type="num" val="1"/>
      </iconSet>
    </cfRule>
  </conditionalFormatting>
  <conditionalFormatting sqref="F72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F84 F86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F85">
    <cfRule type="iconSet" priority="85">
      <iconSet iconSet="3Symbols2" showValue="0">
        <cfvo type="percent" val="0"/>
        <cfvo type="num" val="0"/>
        <cfvo type="num" val="1"/>
      </iconSet>
    </cfRule>
  </conditionalFormatting>
  <conditionalFormatting sqref="F87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F89:F91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F93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F94:F96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F98:F102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F106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113">
      <iconSet iconSet="3Symbols2" showValue="0">
        <cfvo type="percent" val="0"/>
        <cfvo type="num" val="0"/>
        <cfvo type="num" val="1"/>
      </iconSet>
    </cfRule>
  </conditionalFormatting>
  <conditionalFormatting sqref="H12:H13">
    <cfRule type="iconSet" priority="110">
      <iconSet iconSet="3Symbols2" showValue="0">
        <cfvo type="percent" val="0"/>
        <cfvo type="num" val="0"/>
        <cfvo type="num" val="1"/>
      </iconSet>
    </cfRule>
  </conditionalFormatting>
  <conditionalFormatting sqref="H17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H18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H20">
    <cfRule type="iconSet" priority="95">
      <iconSet iconSet="3Symbols2" showValue="0">
        <cfvo type="percent" val="0"/>
        <cfvo type="num" val="0"/>
        <cfvo type="num" val="1"/>
      </iconSet>
    </cfRule>
  </conditionalFormatting>
  <conditionalFormatting sqref="H21:H22 H25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H32:H33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H36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H43:H44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H47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H54:H55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H58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H65:H66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H69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H72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H76:H77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H80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H83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H84:H86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H93:H96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H98">
    <cfRule type="iconSet" priority="69">
      <iconSet iconSet="3Symbols2" showValue="0">
        <cfvo type="percent" val="0"/>
        <cfvo type="num" val="0"/>
        <cfvo type="num" val="1"/>
      </iconSet>
    </cfRule>
  </conditionalFormatting>
  <conditionalFormatting sqref="H100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H101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H102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H106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107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106">
      <iconSet iconSet="3Symbols2" showValue="0">
        <cfvo type="percent" val="0"/>
        <cfvo type="num" val="0"/>
        <cfvo type="num" val="1"/>
      </iconSet>
    </cfRule>
  </conditionalFormatting>
  <conditionalFormatting sqref="J12:J13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J17">
    <cfRule type="iconSet" priority="52">
      <iconSet iconSet="3Symbols2" showValue="0">
        <cfvo type="percent" val="0"/>
        <cfvo type="num" val="0"/>
        <cfvo type="num" val="1"/>
      </iconSet>
    </cfRule>
  </conditionalFormatting>
  <conditionalFormatting sqref="J20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J23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J25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J28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J31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J34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J36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J39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J42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J45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J47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J50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J53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J56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J58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J61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J64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J67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J69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J72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J75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J78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J80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J84:J87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J89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J90:J91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J95 J93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J98:J100">
    <cfRule type="iconSet" priority="65">
      <iconSet iconSet="3Symbols2" showValue="0">
        <cfvo type="percent" val="0"/>
        <cfvo type="num" val="0"/>
        <cfvo type="num" val="1"/>
      </iconSet>
    </cfRule>
  </conditionalFormatting>
  <conditionalFormatting sqref="J102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J106">
    <cfRule type="iconSet" priority="60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102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L12:L13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L14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L89:L91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L93">
    <cfRule type="iconSet" priority="72">
      <iconSet iconSet="3Symbols2" showValue="0">
        <cfvo type="percent" val="0"/>
        <cfvo type="num" val="0"/>
        <cfvo type="num" val="1"/>
      </iconSet>
    </cfRule>
  </conditionalFormatting>
  <conditionalFormatting sqref="L96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L99:L101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L106">
    <cfRule type="iconSet" priority="59">
      <iconSet iconSet="3Symbols2" showValue="0">
        <cfvo type="percent" val="0"/>
        <cfvo type="num" val="0"/>
        <cfvo type="num" val="1"/>
      </iconSet>
    </cfRule>
  </conditionalFormatting>
  <conditionalFormatting sqref="Q2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Q3">
    <cfRule type="iconSet" priority="90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8" id="{5127A785-F798-4F9A-BDC3-DC6B8869C1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F17:F23 F25:F26</xm:sqref>
        </x14:conditionalFormatting>
        <x14:conditionalFormatting xmlns:xm="http://schemas.microsoft.com/office/excel/2006/main">
          <x14:cfRule type="iconSet" priority="58" id="{65268F9F-02B2-4ABC-BC11-C35B98B1FC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F28:F34 F36:F37</xm:sqref>
        </x14:conditionalFormatting>
        <x14:conditionalFormatting xmlns:xm="http://schemas.microsoft.com/office/excel/2006/main">
          <x14:cfRule type="iconSet" priority="256" id="{B28B91C0-8752-42F2-94B3-5DAC4F81CF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F39:F45 F47:F48</xm:sqref>
        </x14:conditionalFormatting>
        <x14:conditionalFormatting xmlns:xm="http://schemas.microsoft.com/office/excel/2006/main">
          <x14:cfRule type="iconSet" priority="29" id="{29DE6068-4A92-4E0D-9D70-710FEABE42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F50:F56 F58:F59</xm:sqref>
        </x14:conditionalFormatting>
        <x14:conditionalFormatting xmlns:xm="http://schemas.microsoft.com/office/excel/2006/main">
          <x14:cfRule type="iconSet" priority="19" id="{3FA36658-674F-47CA-9908-DE10AA4CA7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F61:F67 F69:F70</xm:sqref>
        </x14:conditionalFormatting>
        <x14:conditionalFormatting xmlns:xm="http://schemas.microsoft.com/office/excel/2006/main">
          <x14:cfRule type="iconSet" priority="54" id="{B08D0296-1FCF-477D-B080-32EA6A6DE2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F73:F78 F80:F81</xm:sqref>
        </x14:conditionalFormatting>
        <x14:conditionalFormatting xmlns:xm="http://schemas.microsoft.com/office/excel/2006/main">
          <x14:cfRule type="iconSet" priority="48" id="{A4A3C20D-1230-4943-8195-83FE484D88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H28</xm:sqref>
        </x14:conditionalFormatting>
        <x14:conditionalFormatting xmlns:xm="http://schemas.microsoft.com/office/excel/2006/main">
          <x14:cfRule type="iconSet" priority="47" id="{91F0440F-8B87-40EE-AFA7-5647A8223E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H29</xm:sqref>
        </x14:conditionalFormatting>
        <x14:conditionalFormatting xmlns:xm="http://schemas.microsoft.com/office/excel/2006/main">
          <x14:cfRule type="iconSet" priority="46" id="{E3966919-AC75-4BC2-8B6A-1585BAC20F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H31</xm:sqref>
        </x14:conditionalFormatting>
        <x14:conditionalFormatting xmlns:xm="http://schemas.microsoft.com/office/excel/2006/main">
          <x14:cfRule type="iconSet" priority="38" id="{079E71AF-52EE-4B96-A4CC-004BEBBEED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H39</xm:sqref>
        </x14:conditionalFormatting>
        <x14:conditionalFormatting xmlns:xm="http://schemas.microsoft.com/office/excel/2006/main">
          <x14:cfRule type="iconSet" priority="37" id="{C299EF3E-F701-48C4-82FC-9A8D47AB08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H40</xm:sqref>
        </x14:conditionalFormatting>
        <x14:conditionalFormatting xmlns:xm="http://schemas.microsoft.com/office/excel/2006/main">
          <x14:cfRule type="iconSet" priority="36" id="{35789F6E-EA07-4EC5-AC3B-78C2AC28E0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H42</xm:sqref>
        </x14:conditionalFormatting>
        <x14:conditionalFormatting xmlns:xm="http://schemas.microsoft.com/office/excel/2006/main">
          <x14:cfRule type="iconSet" priority="28" id="{9E3D093A-BBDB-4CE3-810A-B45B366EC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H50</xm:sqref>
        </x14:conditionalFormatting>
        <x14:conditionalFormatting xmlns:xm="http://schemas.microsoft.com/office/excel/2006/main">
          <x14:cfRule type="iconSet" priority="27" id="{44062703-4463-4EB8-BEEA-DF64F4A0B9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H51</xm:sqref>
        </x14:conditionalFormatting>
        <x14:conditionalFormatting xmlns:xm="http://schemas.microsoft.com/office/excel/2006/main">
          <x14:cfRule type="iconSet" priority="26" id="{E2913571-EA1D-41EF-9944-5FE854D068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H53</xm:sqref>
        </x14:conditionalFormatting>
        <x14:conditionalFormatting xmlns:xm="http://schemas.microsoft.com/office/excel/2006/main">
          <x14:cfRule type="iconSet" priority="18" id="{763A51AF-E6E7-453A-9045-352E69ABA5F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H61</xm:sqref>
        </x14:conditionalFormatting>
        <x14:conditionalFormatting xmlns:xm="http://schemas.microsoft.com/office/excel/2006/main">
          <x14:cfRule type="iconSet" priority="17" id="{860E023A-DBC2-44DD-823A-03DCAB975C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H62</xm:sqref>
        </x14:conditionalFormatting>
        <x14:conditionalFormatting xmlns:xm="http://schemas.microsoft.com/office/excel/2006/main">
          <x14:cfRule type="iconSet" priority="16" id="{B2E3F30D-F290-45A3-9DF8-A2EFC29580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H64</xm:sqref>
        </x14:conditionalFormatting>
        <x14:conditionalFormatting xmlns:xm="http://schemas.microsoft.com/office/excel/2006/main">
          <x14:cfRule type="iconSet" priority="8" id="{46C07413-F97A-4B8A-B163-1462B18110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H73</xm:sqref>
        </x14:conditionalFormatting>
        <x14:conditionalFormatting xmlns:xm="http://schemas.microsoft.com/office/excel/2006/main">
          <x14:cfRule type="iconSet" priority="7" id="{1158B14B-0E84-4EEA-B233-77063AB241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H75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0C64-6B93-4603-B852-54914DD5DF68}">
  <sheetPr filterMode="1">
    <outlinePr summaryBelow="0" summaryRight="0"/>
    <pageSetUpPr fitToPage="1"/>
  </sheetPr>
  <dimension ref="A1:AM180"/>
  <sheetViews>
    <sheetView zoomScaleNormal="100" workbookViewId="0">
      <selection activeCell="H1" sqref="H1"/>
    </sheetView>
  </sheetViews>
  <sheetFormatPr defaultColWidth="8.7109375" defaultRowHeight="13.9" outlineLevelCol="1"/>
  <cols>
    <col min="1" max="1" width="12.7109375" style="790" customWidth="1"/>
    <col min="2" max="2" width="9.7109375" style="794" bestFit="1" customWidth="1" collapsed="1"/>
    <col min="3" max="3" width="14.7109375" style="795" hidden="1" customWidth="1" outlineLevel="1"/>
    <col min="4" max="4" width="8.7109375" style="793" bestFit="1" customWidth="1"/>
    <col min="5" max="5" width="11.5703125" style="796" bestFit="1" customWidth="1"/>
    <col min="6" max="6" width="9.5703125" style="797" bestFit="1" customWidth="1"/>
    <col min="7" max="7" width="8" style="796" customWidth="1"/>
    <col min="8" max="8" width="52.42578125" style="796" customWidth="1"/>
    <col min="9" max="9" width="16.7109375" style="798" customWidth="1"/>
    <col min="10" max="10" width="12.28515625" style="799" customWidth="1"/>
    <col min="11" max="11" width="10.42578125" style="800" customWidth="1"/>
    <col min="12" max="12" width="15.5703125" style="801" customWidth="1"/>
    <col min="13" max="13" width="14.7109375" style="802" customWidth="1"/>
    <col min="14" max="14" width="14.7109375" style="799" customWidth="1"/>
    <col min="15" max="15" width="13.5703125" style="793" customWidth="1"/>
    <col min="16" max="16" width="16.5703125" style="793" customWidth="1"/>
    <col min="17" max="17" width="20.28515625" style="793" customWidth="1" collapsed="1"/>
    <col min="18" max="20" width="0" style="793" hidden="1" customWidth="1" outlineLevel="1"/>
    <col min="21" max="21" width="0" style="793" hidden="1" customWidth="1"/>
    <col min="22" max="22" width="17.42578125" style="793" bestFit="1" customWidth="1" collapsed="1"/>
    <col min="23" max="24" width="17.42578125" style="793" hidden="1" customWidth="1" outlineLevel="1"/>
    <col min="25" max="27" width="0" style="803" hidden="1" customWidth="1"/>
    <col min="28" max="28" width="15.7109375" style="803" customWidth="1" collapsed="1"/>
    <col min="29" max="33" width="0" style="803" hidden="1" customWidth="1" outlineLevel="1"/>
    <col min="34" max="34" width="15.7109375" style="799" customWidth="1"/>
    <col min="35" max="35" width="0.42578125" style="790" customWidth="1"/>
    <col min="36" max="36" width="9.7109375" style="790" bestFit="1" customWidth="1"/>
    <col min="37" max="37" width="13" style="790" bestFit="1" customWidth="1"/>
    <col min="38" max="16384" width="8.7109375" style="790"/>
  </cols>
  <sheetData>
    <row r="1" spans="1:39">
      <c r="A1" s="829"/>
      <c r="B1" s="830"/>
      <c r="C1" s="831"/>
      <c r="D1" s="832"/>
      <c r="E1" s="828"/>
      <c r="G1" s="828"/>
      <c r="H1" s="828"/>
      <c r="I1" s="833"/>
      <c r="J1" s="834"/>
      <c r="L1" s="835"/>
      <c r="N1" s="834"/>
      <c r="O1" s="836"/>
      <c r="P1" s="836"/>
      <c r="Q1" s="832"/>
      <c r="R1" s="832"/>
      <c r="S1" s="832"/>
      <c r="T1" s="832" t="s">
        <v>1629</v>
      </c>
      <c r="U1" s="832"/>
      <c r="V1" s="832"/>
      <c r="W1" s="832"/>
      <c r="X1" s="832"/>
      <c r="Y1" s="837"/>
      <c r="Z1" s="837"/>
      <c r="AA1" s="837"/>
      <c r="AB1" s="837"/>
      <c r="AC1" s="837"/>
      <c r="AD1" s="837"/>
      <c r="AE1" s="837"/>
      <c r="AF1" s="837"/>
      <c r="AG1" s="837"/>
      <c r="AH1" s="837"/>
      <c r="AI1" s="829"/>
      <c r="AJ1" s="829"/>
      <c r="AK1" s="829"/>
      <c r="AL1" s="829"/>
      <c r="AM1" s="829"/>
    </row>
    <row r="2" spans="1:39" ht="79.150000000000006">
      <c r="A2" s="838" t="s">
        <v>1630</v>
      </c>
      <c r="B2" s="838" t="s">
        <v>1631</v>
      </c>
      <c r="C2" s="838" t="s">
        <v>1632</v>
      </c>
      <c r="D2" s="838" t="s">
        <v>642</v>
      </c>
      <c r="E2" s="838" t="s">
        <v>643</v>
      </c>
      <c r="F2" s="838" t="s">
        <v>1633</v>
      </c>
      <c r="G2" s="838" t="s">
        <v>1634</v>
      </c>
      <c r="H2" s="838" t="s">
        <v>1635</v>
      </c>
      <c r="I2" s="838" t="s">
        <v>1636</v>
      </c>
      <c r="J2" s="838" t="s">
        <v>1637</v>
      </c>
      <c r="K2" s="838" t="s">
        <v>1638</v>
      </c>
      <c r="L2" s="838" t="s">
        <v>1639</v>
      </c>
      <c r="M2" s="838" t="s">
        <v>1640</v>
      </c>
      <c r="N2" s="838" t="s">
        <v>1641</v>
      </c>
      <c r="O2" s="838" t="s">
        <v>1642</v>
      </c>
      <c r="P2" s="838" t="s">
        <v>1643</v>
      </c>
      <c r="Q2" s="838" t="s">
        <v>650</v>
      </c>
      <c r="R2" s="838" t="s">
        <v>1644</v>
      </c>
      <c r="S2" s="838" t="s">
        <v>5</v>
      </c>
      <c r="T2" s="838" t="s">
        <v>1645</v>
      </c>
      <c r="U2" s="838" t="s">
        <v>1646</v>
      </c>
      <c r="V2" s="838" t="s">
        <v>1647</v>
      </c>
      <c r="W2" s="838" t="s">
        <v>1648</v>
      </c>
      <c r="X2" s="838" t="s">
        <v>1649</v>
      </c>
      <c r="Y2" s="838" t="s">
        <v>1650</v>
      </c>
      <c r="Z2" s="838" t="s">
        <v>1651</v>
      </c>
      <c r="AA2" s="838" t="s">
        <v>1652</v>
      </c>
      <c r="AB2" s="838" t="s">
        <v>1653</v>
      </c>
      <c r="AC2" s="839" t="s">
        <v>1654</v>
      </c>
      <c r="AD2" s="839" t="s">
        <v>1655</v>
      </c>
      <c r="AE2" s="839" t="s">
        <v>1656</v>
      </c>
      <c r="AF2" s="839" t="s">
        <v>1657</v>
      </c>
      <c r="AG2" s="839" t="s">
        <v>1658</v>
      </c>
      <c r="AH2" s="838" t="s">
        <v>1659</v>
      </c>
      <c r="AI2" s="829"/>
      <c r="AJ2" s="829"/>
      <c r="AK2" s="829" t="s">
        <v>1660</v>
      </c>
      <c r="AL2" s="829">
        <v>12.24</v>
      </c>
      <c r="AM2" s="829">
        <f>AL2*2%</f>
        <v>0.24480000000000002</v>
      </c>
    </row>
    <row r="3" spans="1:39" ht="3" hidden="1" customHeight="1">
      <c r="A3" s="829"/>
      <c r="B3" s="830"/>
      <c r="C3" s="831"/>
      <c r="D3" s="832"/>
      <c r="E3" s="828"/>
      <c r="G3" s="828"/>
      <c r="H3" s="828"/>
      <c r="I3" s="833"/>
      <c r="J3" s="834"/>
      <c r="L3" s="835"/>
      <c r="N3" s="834"/>
      <c r="O3" s="836"/>
      <c r="P3" s="836"/>
      <c r="Q3" s="832"/>
      <c r="R3" s="832"/>
      <c r="S3" s="832"/>
      <c r="T3" s="832"/>
      <c r="U3" s="832"/>
      <c r="V3" s="832"/>
      <c r="W3" s="832"/>
      <c r="X3" s="832"/>
      <c r="Y3" s="837"/>
      <c r="Z3" s="837"/>
      <c r="AA3" s="837"/>
      <c r="AB3" s="837"/>
      <c r="AC3" s="837"/>
      <c r="AD3" s="837"/>
      <c r="AE3" s="837"/>
      <c r="AF3" s="837"/>
      <c r="AG3" s="837"/>
      <c r="AH3" s="837"/>
      <c r="AI3" s="829"/>
      <c r="AJ3" s="829"/>
      <c r="AK3" s="829"/>
      <c r="AL3" s="829"/>
      <c r="AM3" s="829"/>
    </row>
    <row r="4" spans="1:39" hidden="1">
      <c r="A4" s="829" t="str">
        <f t="shared" ref="A4:A35" si="0">_xlfn.CONCAT(D4,F4)</f>
        <v>TMD48</v>
      </c>
      <c r="B4" s="840">
        <v>1</v>
      </c>
      <c r="C4" s="841"/>
      <c r="D4" s="828" t="s">
        <v>622</v>
      </c>
      <c r="E4" s="828" t="s">
        <v>1661</v>
      </c>
      <c r="F4" s="797">
        <v>48</v>
      </c>
      <c r="G4" s="828" t="s">
        <v>1662</v>
      </c>
      <c r="H4" s="828" t="s">
        <v>1663</v>
      </c>
      <c r="I4" s="833" t="s">
        <v>1664</v>
      </c>
      <c r="J4" s="828" t="s">
        <v>618</v>
      </c>
      <c r="K4" s="800">
        <v>4776</v>
      </c>
      <c r="L4" s="835" t="s">
        <v>1665</v>
      </c>
      <c r="M4" s="802">
        <v>45016</v>
      </c>
      <c r="N4" s="804">
        <v>43879</v>
      </c>
      <c r="O4" s="802">
        <v>46233</v>
      </c>
      <c r="P4" s="802">
        <v>46265</v>
      </c>
      <c r="Q4" s="842" t="e">
        <f>_xlfn.XLOOKUP(A4,'[1]Delivery Report'!$A:$A,'[1]Delivery Report'!$AQ:$AQ)</f>
        <v>#N/A</v>
      </c>
      <c r="R4" s="843" t="e">
        <f t="shared" ref="R4:R35" si="1">Q4</f>
        <v>#N/A</v>
      </c>
      <c r="S4" s="843"/>
      <c r="T4" s="843"/>
      <c r="U4" s="844" t="s">
        <v>1666</v>
      </c>
      <c r="V4" s="805">
        <f t="shared" ref="V4:V35" si="2">SUM(W4+X4)</f>
        <v>0.63043199999999999</v>
      </c>
      <c r="W4" s="805">
        <f>($K4*'[2]Fee Assumptions'!$D$2)/10^7</f>
        <v>0.63043199999999999</v>
      </c>
      <c r="X4" s="805"/>
      <c r="Y4" s="831"/>
      <c r="Z4" s="831"/>
      <c r="AA4" s="845" t="str">
        <f>IFERROR(VLOOKUP(#REF!,'[3]ID Goals 2026'!$B:$R,17,0)," ")</f>
        <v xml:space="preserve"> </v>
      </c>
      <c r="AB4" s="845"/>
      <c r="AC4" s="845"/>
      <c r="AD4" s="845"/>
      <c r="AE4" s="845"/>
      <c r="AF4" s="845"/>
      <c r="AG4" s="845"/>
      <c r="AH4" s="845"/>
      <c r="AI4" s="829"/>
      <c r="AJ4" s="829"/>
      <c r="AK4" s="806">
        <f>(2%*V4)+((160*K4)/10^7)</f>
        <v>8.9024640000000002E-2</v>
      </c>
      <c r="AL4" s="829"/>
      <c r="AM4" s="829"/>
    </row>
    <row r="5" spans="1:39" hidden="1">
      <c r="A5" s="829" t="str">
        <f t="shared" si="0"/>
        <v>ATR140</v>
      </c>
      <c r="B5" s="840">
        <v>2</v>
      </c>
      <c r="C5" s="841"/>
      <c r="D5" s="828" t="s">
        <v>305</v>
      </c>
      <c r="E5" s="828" t="s">
        <v>1667</v>
      </c>
      <c r="F5" s="797">
        <v>140</v>
      </c>
      <c r="G5" s="828" t="s">
        <v>1668</v>
      </c>
      <c r="H5" s="828" t="s">
        <v>1669</v>
      </c>
      <c r="I5" s="833" t="s">
        <v>1670</v>
      </c>
      <c r="J5" s="828" t="s">
        <v>618</v>
      </c>
      <c r="K5" s="800">
        <v>5120</v>
      </c>
      <c r="L5" s="835" t="s">
        <v>1665</v>
      </c>
      <c r="M5" s="802">
        <v>45381</v>
      </c>
      <c r="N5" s="804">
        <v>45290</v>
      </c>
      <c r="O5" s="802">
        <v>46173</v>
      </c>
      <c r="P5" s="802">
        <v>46233</v>
      </c>
      <c r="Q5" s="842" t="e">
        <f>_xlfn.XLOOKUP(A5,'[1]Delivery Report'!$A:$A,'[1]Delivery Report'!$AQ:$AQ)</f>
        <v>#N/A</v>
      </c>
      <c r="R5" s="843" t="e">
        <f t="shared" si="1"/>
        <v>#N/A</v>
      </c>
      <c r="S5" s="843"/>
      <c r="T5" s="843"/>
      <c r="U5" s="844"/>
      <c r="V5" s="805">
        <f t="shared" si="2"/>
        <v>0.67584</v>
      </c>
      <c r="W5" s="805">
        <f>($K5*'[2]Fee Assumptions'!$D$2)/10^7</f>
        <v>0.67584</v>
      </c>
      <c r="X5" s="805"/>
      <c r="Y5" s="831"/>
      <c r="Z5" s="831"/>
      <c r="AA5" s="845" t="s">
        <v>1671</v>
      </c>
      <c r="AB5" s="846"/>
      <c r="AC5" s="846"/>
      <c r="AD5" s="846"/>
      <c r="AE5" s="846"/>
      <c r="AF5" s="846"/>
      <c r="AG5" s="846"/>
      <c r="AH5" s="847"/>
      <c r="AI5" s="829"/>
      <c r="AJ5" s="829"/>
      <c r="AK5" s="829"/>
      <c r="AL5" s="829"/>
      <c r="AM5" s="829"/>
    </row>
    <row r="6" spans="1:39" hidden="1">
      <c r="A6" s="848" t="str">
        <f t="shared" si="0"/>
        <v>ATR158-160</v>
      </c>
      <c r="B6" s="840">
        <v>3</v>
      </c>
      <c r="C6" s="841" t="s">
        <v>1672</v>
      </c>
      <c r="D6" s="828" t="s">
        <v>305</v>
      </c>
      <c r="E6" s="828" t="s">
        <v>1667</v>
      </c>
      <c r="F6" s="797" t="s">
        <v>1673</v>
      </c>
      <c r="G6" s="828" t="s">
        <v>1674</v>
      </c>
      <c r="H6" s="828" t="s">
        <v>1675</v>
      </c>
      <c r="I6" s="833" t="s">
        <v>1664</v>
      </c>
      <c r="J6" s="828" t="s">
        <v>6</v>
      </c>
      <c r="K6" s="800">
        <v>3255</v>
      </c>
      <c r="L6" s="835" t="s">
        <v>1665</v>
      </c>
      <c r="M6" s="802">
        <v>45657</v>
      </c>
      <c r="N6" s="804">
        <v>45032</v>
      </c>
      <c r="O6" s="802">
        <v>46127</v>
      </c>
      <c r="P6" s="802">
        <v>46233</v>
      </c>
      <c r="Q6" s="842" t="e">
        <f>_xlfn.XLOOKUP(A6,'[1]Delivery Report'!$A:$A,'[1]Delivery Report'!$AQ:$AQ)</f>
        <v>#N/A</v>
      </c>
      <c r="R6" s="843" t="e">
        <f t="shared" si="1"/>
        <v>#N/A</v>
      </c>
      <c r="S6" s="843"/>
      <c r="T6" s="843"/>
      <c r="U6" s="844"/>
      <c r="V6" s="805">
        <f t="shared" si="2"/>
        <v>0.42965999999999999</v>
      </c>
      <c r="W6" s="805">
        <f>($K6*'[2]Fee Assumptions'!$D$2)/10^7</f>
        <v>0.42965999999999999</v>
      </c>
      <c r="X6" s="805"/>
      <c r="Y6" s="831"/>
      <c r="Z6" s="831"/>
      <c r="AA6" s="845" t="str">
        <f>IFERROR(VLOOKUP(#REF!,'[3]ID Goals 2026'!$B:$R,17,0)," ")</f>
        <v xml:space="preserve"> </v>
      </c>
      <c r="AB6" s="847"/>
      <c r="AC6" s="847"/>
      <c r="AD6" s="847"/>
      <c r="AE6" s="847"/>
      <c r="AF6" s="847"/>
      <c r="AG6" s="847"/>
      <c r="AH6" s="847"/>
      <c r="AI6" s="829"/>
      <c r="AJ6" s="829"/>
      <c r="AK6" s="829"/>
      <c r="AL6" s="829"/>
      <c r="AM6" s="829"/>
    </row>
    <row r="7" spans="1:39" hidden="1">
      <c r="A7" s="848" t="str">
        <f t="shared" si="0"/>
        <v>ATR158-160</v>
      </c>
      <c r="B7" s="840">
        <v>4</v>
      </c>
      <c r="C7" s="841" t="s">
        <v>1672</v>
      </c>
      <c r="D7" s="828" t="s">
        <v>305</v>
      </c>
      <c r="E7" s="828" t="s">
        <v>1667</v>
      </c>
      <c r="F7" s="797" t="s">
        <v>1673</v>
      </c>
      <c r="G7" s="828" t="s">
        <v>1674</v>
      </c>
      <c r="H7" s="828" t="s">
        <v>1675</v>
      </c>
      <c r="I7" s="833" t="s">
        <v>1664</v>
      </c>
      <c r="J7" s="828" t="s">
        <v>6</v>
      </c>
      <c r="K7" s="800">
        <v>3255</v>
      </c>
      <c r="L7" s="835" t="s">
        <v>1665</v>
      </c>
      <c r="M7" s="802">
        <v>45657</v>
      </c>
      <c r="N7" s="804">
        <v>45032</v>
      </c>
      <c r="O7" s="802">
        <v>46127</v>
      </c>
      <c r="P7" s="802">
        <v>46233</v>
      </c>
      <c r="Q7" s="842" t="e">
        <f>_xlfn.XLOOKUP(A7,'[1]Delivery Report'!$A:$A,'[1]Delivery Report'!$AQ:$AQ)</f>
        <v>#N/A</v>
      </c>
      <c r="R7" s="843" t="e">
        <f t="shared" si="1"/>
        <v>#N/A</v>
      </c>
      <c r="S7" s="843"/>
      <c r="T7" s="843"/>
      <c r="U7" s="844"/>
      <c r="V7" s="805">
        <f t="shared" si="2"/>
        <v>0.42965999999999999</v>
      </c>
      <c r="W7" s="805">
        <f>($K7*'[2]Fee Assumptions'!$D$2)/10^7</f>
        <v>0.42965999999999999</v>
      </c>
      <c r="X7" s="805"/>
      <c r="Y7" s="831"/>
      <c r="Z7" s="831"/>
      <c r="AA7" s="845" t="str">
        <f>IFERROR(VLOOKUP(#REF!,'[3]ID Goals 2026'!$B:$R,17,0)," ")</f>
        <v xml:space="preserve"> </v>
      </c>
      <c r="AB7" s="849"/>
      <c r="AC7" s="849"/>
      <c r="AD7" s="849"/>
      <c r="AE7" s="849"/>
      <c r="AF7" s="849"/>
      <c r="AG7" s="849"/>
      <c r="AH7" s="847"/>
      <c r="AI7" s="829"/>
      <c r="AJ7" s="829"/>
      <c r="AK7" s="829"/>
      <c r="AL7" s="829"/>
      <c r="AM7" s="829"/>
    </row>
    <row r="8" spans="1:39" hidden="1">
      <c r="A8" s="829" t="str">
        <f t="shared" si="0"/>
        <v>ATR231</v>
      </c>
      <c r="B8" s="840">
        <v>5</v>
      </c>
      <c r="C8" s="841"/>
      <c r="D8" s="828" t="s">
        <v>305</v>
      </c>
      <c r="E8" s="828" t="s">
        <v>1676</v>
      </c>
      <c r="F8" s="797">
        <v>231</v>
      </c>
      <c r="G8" s="828" t="s">
        <v>1674</v>
      </c>
      <c r="H8" s="828" t="s">
        <v>1677</v>
      </c>
      <c r="I8" s="833" t="s">
        <v>1670</v>
      </c>
      <c r="J8" s="828" t="s">
        <v>618</v>
      </c>
      <c r="K8" s="800">
        <v>3310</v>
      </c>
      <c r="L8" s="835" t="s">
        <v>1665</v>
      </c>
      <c r="M8" s="802">
        <v>46630</v>
      </c>
      <c r="N8" s="804">
        <v>45942</v>
      </c>
      <c r="O8" s="802">
        <v>46264</v>
      </c>
      <c r="P8" s="802">
        <v>46295</v>
      </c>
      <c r="Q8" s="842" t="e">
        <f>_xlfn.XLOOKUP(A8,'[1]Delivery Report'!$A:$A,'[1]Delivery Report'!$AQ:$AQ)</f>
        <v>#N/A</v>
      </c>
      <c r="R8" s="843" t="e">
        <f t="shared" si="1"/>
        <v>#N/A</v>
      </c>
      <c r="S8" s="843"/>
      <c r="T8" s="843"/>
      <c r="U8" s="844"/>
      <c r="V8" s="805">
        <f t="shared" si="2"/>
        <v>0.43691999999999998</v>
      </c>
      <c r="W8" s="805">
        <f>($K8*'[2]Fee Assumptions'!$D$2)/10^7</f>
        <v>0.43691999999999998</v>
      </c>
      <c r="X8" s="805"/>
      <c r="Y8" s="831"/>
      <c r="Z8" s="831"/>
      <c r="AA8" s="845" t="s">
        <v>1671</v>
      </c>
      <c r="AB8" s="849"/>
      <c r="AC8" s="849"/>
      <c r="AD8" s="849"/>
      <c r="AE8" s="849"/>
      <c r="AF8" s="849"/>
      <c r="AG8" s="849"/>
      <c r="AH8" s="847"/>
      <c r="AI8" s="829"/>
      <c r="AJ8" s="829"/>
      <c r="AK8" s="829">
        <f>(V8*0.02)/10^7</f>
        <v>8.7384000000000006E-10</v>
      </c>
      <c r="AL8" s="829"/>
      <c r="AM8" s="829"/>
    </row>
    <row r="9" spans="1:39" hidden="1">
      <c r="A9" s="829" t="str">
        <f t="shared" si="0"/>
        <v>ATR277</v>
      </c>
      <c r="B9" s="840">
        <v>6</v>
      </c>
      <c r="C9" s="841"/>
      <c r="D9" s="828" t="s">
        <v>305</v>
      </c>
      <c r="E9" s="828">
        <v>3</v>
      </c>
      <c r="F9" s="797">
        <v>277</v>
      </c>
      <c r="G9" s="828" t="s">
        <v>1678</v>
      </c>
      <c r="H9" s="828" t="s">
        <v>1679</v>
      </c>
      <c r="I9" s="833" t="s">
        <v>1664</v>
      </c>
      <c r="J9" s="828" t="s">
        <v>6</v>
      </c>
      <c r="K9" s="800">
        <v>7419</v>
      </c>
      <c r="L9" s="835" t="s">
        <v>1665</v>
      </c>
      <c r="M9" s="802">
        <v>47208</v>
      </c>
      <c r="N9" s="804">
        <v>45821</v>
      </c>
      <c r="O9" s="802">
        <v>46203</v>
      </c>
      <c r="P9" s="802">
        <v>46264</v>
      </c>
      <c r="Q9" s="842" t="s">
        <v>890</v>
      </c>
      <c r="R9" s="843" t="str">
        <f t="shared" si="1"/>
        <v>Ongoing</v>
      </c>
      <c r="S9" s="843"/>
      <c r="T9" s="843"/>
      <c r="U9" s="844"/>
      <c r="V9" s="805">
        <f t="shared" si="2"/>
        <v>0.97930799999999996</v>
      </c>
      <c r="W9" s="805">
        <f>($K9*'[2]Fee Assumptions'!$D$2)/10^7</f>
        <v>0.97930799999999996</v>
      </c>
      <c r="X9" s="805"/>
      <c r="Y9" s="831"/>
      <c r="Z9" s="831"/>
      <c r="AA9" s="845"/>
      <c r="AB9" s="849"/>
      <c r="AC9" s="849"/>
      <c r="AD9" s="849"/>
      <c r="AE9" s="849"/>
      <c r="AF9" s="849"/>
      <c r="AG9" s="849"/>
      <c r="AH9" s="847"/>
      <c r="AI9" s="829"/>
      <c r="AJ9" s="829"/>
      <c r="AK9" s="806">
        <f>(2%*V9)+((160*K9)/10^7)</f>
        <v>0.13829016</v>
      </c>
      <c r="AL9" s="829"/>
      <c r="AM9" s="829"/>
    </row>
    <row r="10" spans="1:39" hidden="1">
      <c r="A10" s="829" t="str">
        <f t="shared" si="0"/>
        <v>ATR278</v>
      </c>
      <c r="B10" s="840">
        <v>7</v>
      </c>
      <c r="C10" s="841"/>
      <c r="D10" s="828" t="s">
        <v>305</v>
      </c>
      <c r="E10" s="828">
        <v>3</v>
      </c>
      <c r="F10" s="797">
        <v>278</v>
      </c>
      <c r="G10" s="828" t="s">
        <v>1678</v>
      </c>
      <c r="H10" s="828" t="s">
        <v>1680</v>
      </c>
      <c r="I10" s="833" t="s">
        <v>1664</v>
      </c>
      <c r="J10" s="828" t="s">
        <v>6</v>
      </c>
      <c r="K10" s="800">
        <v>7419</v>
      </c>
      <c r="L10" s="835" t="s">
        <v>1665</v>
      </c>
      <c r="M10" s="802">
        <v>47208</v>
      </c>
      <c r="N10" s="804">
        <v>45821</v>
      </c>
      <c r="O10" s="802">
        <v>46203</v>
      </c>
      <c r="P10" s="802">
        <v>46264</v>
      </c>
      <c r="Q10" s="842" t="s">
        <v>890</v>
      </c>
      <c r="R10" s="843" t="str">
        <f t="shared" si="1"/>
        <v>Ongoing</v>
      </c>
      <c r="S10" s="843"/>
      <c r="T10" s="843"/>
      <c r="U10" s="844"/>
      <c r="V10" s="805">
        <f t="shared" si="2"/>
        <v>0.97930799999999996</v>
      </c>
      <c r="W10" s="805">
        <f>($K10*'[2]Fee Assumptions'!$D$2)/10^7</f>
        <v>0.97930799999999996</v>
      </c>
      <c r="X10" s="805"/>
      <c r="Y10" s="831"/>
      <c r="Z10" s="831"/>
      <c r="AA10" s="845"/>
      <c r="AB10" s="849"/>
      <c r="AC10" s="849"/>
      <c r="AD10" s="849"/>
      <c r="AE10" s="849"/>
      <c r="AF10" s="849"/>
      <c r="AG10" s="849"/>
      <c r="AH10" s="847"/>
      <c r="AI10" s="829"/>
      <c r="AJ10" s="829"/>
      <c r="AK10" s="806">
        <f>(2%*V10)+((160*K10)/10^7)</f>
        <v>0.13829016</v>
      </c>
      <c r="AL10" s="829"/>
      <c r="AM10" s="829"/>
    </row>
    <row r="11" spans="1:39" hidden="1">
      <c r="A11" s="829" t="str">
        <f t="shared" si="0"/>
        <v>POARR51</v>
      </c>
      <c r="B11" s="840">
        <v>8</v>
      </c>
      <c r="C11" s="841"/>
      <c r="D11" s="828" t="s">
        <v>1681</v>
      </c>
      <c r="E11" s="828" t="s">
        <v>1682</v>
      </c>
      <c r="F11" s="797">
        <v>51</v>
      </c>
      <c r="G11" s="828" t="s">
        <v>1682</v>
      </c>
      <c r="H11" s="828" t="s">
        <v>1683</v>
      </c>
      <c r="I11" s="833" t="s">
        <v>1664</v>
      </c>
      <c r="J11" s="828" t="s">
        <v>157</v>
      </c>
      <c r="K11" s="800">
        <v>4686</v>
      </c>
      <c r="L11" s="835" t="s">
        <v>1665</v>
      </c>
      <c r="M11" s="802">
        <v>46387</v>
      </c>
      <c r="N11" s="804">
        <v>45849</v>
      </c>
      <c r="O11" s="802">
        <v>46142</v>
      </c>
      <c r="P11" s="802">
        <v>46233</v>
      </c>
      <c r="Q11" s="842" t="e">
        <f>_xlfn.XLOOKUP(A11,'[1]Delivery Report'!$A:$A,'[1]Delivery Report'!$AQ:$AQ)</f>
        <v>#N/A</v>
      </c>
      <c r="R11" s="843" t="e">
        <f t="shared" si="1"/>
        <v>#N/A</v>
      </c>
      <c r="S11" s="843" t="s">
        <v>1684</v>
      </c>
      <c r="T11" s="843"/>
      <c r="U11" s="844"/>
      <c r="V11" s="805">
        <f t="shared" si="2"/>
        <v>0.61855199999999999</v>
      </c>
      <c r="W11" s="805">
        <f>($K11*'[2]Fee Assumptions'!$D$2)/10^7</f>
        <v>0.61855199999999999</v>
      </c>
      <c r="X11" s="805"/>
      <c r="Y11" s="831" t="s">
        <v>1685</v>
      </c>
      <c r="Z11" s="831" t="s">
        <v>1685</v>
      </c>
      <c r="AA11" s="845" t="str">
        <f>IFERROR(VLOOKUP(#REF!,'[3]ID Goals 2026'!$B:$R,17,0)," ")</f>
        <v xml:space="preserve"> </v>
      </c>
      <c r="AB11" s="849"/>
      <c r="AC11" s="849"/>
      <c r="AD11" s="849"/>
      <c r="AE11" s="849"/>
      <c r="AF11" s="849"/>
      <c r="AG11" s="849"/>
      <c r="AH11" s="850"/>
      <c r="AI11" s="829"/>
      <c r="AJ11" s="829"/>
      <c r="AK11" s="829"/>
      <c r="AL11" s="829"/>
      <c r="AM11" s="829"/>
    </row>
    <row r="12" spans="1:39" hidden="1">
      <c r="A12" s="829" t="str">
        <f t="shared" si="0"/>
        <v>POARR55</v>
      </c>
      <c r="B12" s="840">
        <v>9</v>
      </c>
      <c r="C12" s="841"/>
      <c r="D12" s="828" t="s">
        <v>1681</v>
      </c>
      <c r="E12" s="828" t="s">
        <v>1682</v>
      </c>
      <c r="F12" s="797">
        <v>55</v>
      </c>
      <c r="G12" s="828" t="s">
        <v>1682</v>
      </c>
      <c r="H12" s="828" t="s">
        <v>1686</v>
      </c>
      <c r="I12" s="833" t="s">
        <v>1664</v>
      </c>
      <c r="J12" s="828" t="s">
        <v>6</v>
      </c>
      <c r="K12" s="800">
        <v>4686</v>
      </c>
      <c r="L12" s="835" t="s">
        <v>1665</v>
      </c>
      <c r="M12" s="802">
        <v>46387</v>
      </c>
      <c r="N12" s="804">
        <v>45824</v>
      </c>
      <c r="O12" s="802">
        <v>46142</v>
      </c>
      <c r="P12" s="802">
        <v>46233</v>
      </c>
      <c r="Q12" s="842" t="e">
        <f>_xlfn.XLOOKUP(A12,'[1]Delivery Report'!$A:$A,'[1]Delivery Report'!$AQ:$AQ)</f>
        <v>#N/A</v>
      </c>
      <c r="R12" s="843" t="e">
        <f t="shared" si="1"/>
        <v>#N/A</v>
      </c>
      <c r="S12" s="843" t="s">
        <v>1684</v>
      </c>
      <c r="T12" s="843"/>
      <c r="U12" s="844"/>
      <c r="V12" s="805">
        <f t="shared" si="2"/>
        <v>0.61855199999999999</v>
      </c>
      <c r="W12" s="805">
        <f>($K12*'[2]Fee Assumptions'!$D$2)/10^7</f>
        <v>0.61855199999999999</v>
      </c>
      <c r="X12" s="805"/>
      <c r="Y12" s="831" t="s">
        <v>1685</v>
      </c>
      <c r="Z12" s="831" t="s">
        <v>1685</v>
      </c>
      <c r="AA12" s="845" t="str">
        <f>IFERROR(VLOOKUP(#REF!,'[3]ID Goals 2026'!$B:$R,17,0)," ")</f>
        <v xml:space="preserve"> </v>
      </c>
      <c r="AB12" s="849"/>
      <c r="AC12" s="849"/>
      <c r="AD12" s="849"/>
      <c r="AE12" s="849"/>
      <c r="AF12" s="849"/>
      <c r="AG12" s="849"/>
      <c r="AH12" s="850"/>
      <c r="AI12" s="829"/>
      <c r="AJ12" s="829"/>
      <c r="AK12" s="829"/>
      <c r="AL12" s="829"/>
      <c r="AM12" s="829"/>
    </row>
    <row r="13" spans="1:39" hidden="1">
      <c r="A13" s="829" t="str">
        <f t="shared" si="0"/>
        <v>POARR56</v>
      </c>
      <c r="B13" s="840">
        <v>10</v>
      </c>
      <c r="C13" s="841"/>
      <c r="D13" s="828" t="s">
        <v>1681</v>
      </c>
      <c r="E13" s="828" t="s">
        <v>1682</v>
      </c>
      <c r="F13" s="797">
        <v>56</v>
      </c>
      <c r="G13" s="828" t="s">
        <v>1682</v>
      </c>
      <c r="H13" s="828" t="s">
        <v>1687</v>
      </c>
      <c r="I13" s="833" t="s">
        <v>1664</v>
      </c>
      <c r="J13" s="828" t="s">
        <v>157</v>
      </c>
      <c r="K13" s="800">
        <v>4686</v>
      </c>
      <c r="L13" s="835" t="s">
        <v>1665</v>
      </c>
      <c r="M13" s="802">
        <v>46387</v>
      </c>
      <c r="N13" s="804">
        <v>45915</v>
      </c>
      <c r="O13" s="802">
        <v>46142</v>
      </c>
      <c r="P13" s="802">
        <v>46233</v>
      </c>
      <c r="Q13" s="842" t="e">
        <f>_xlfn.XLOOKUP(A13,'[1]Delivery Report'!$A:$A,'[1]Delivery Report'!$AQ:$AQ)</f>
        <v>#N/A</v>
      </c>
      <c r="R13" s="843" t="e">
        <f t="shared" si="1"/>
        <v>#N/A</v>
      </c>
      <c r="S13" s="843" t="s">
        <v>1684</v>
      </c>
      <c r="T13" s="843"/>
      <c r="U13" s="844"/>
      <c r="V13" s="805">
        <f t="shared" si="2"/>
        <v>0.61855199999999999</v>
      </c>
      <c r="W13" s="805">
        <f>($K13*'[2]Fee Assumptions'!$D$2)/10^7</f>
        <v>0.61855199999999999</v>
      </c>
      <c r="X13" s="805"/>
      <c r="Y13" s="831" t="s">
        <v>1685</v>
      </c>
      <c r="Z13" s="831" t="s">
        <v>1685</v>
      </c>
      <c r="AA13" s="845" t="str">
        <f>IFERROR(VLOOKUP(#REF!,'[3]ID Goals 2026'!$B:$R,17,0)," ")</f>
        <v xml:space="preserve"> </v>
      </c>
      <c r="AB13" s="849"/>
      <c r="AC13" s="849"/>
      <c r="AD13" s="849"/>
      <c r="AE13" s="849"/>
      <c r="AF13" s="849"/>
      <c r="AG13" s="849"/>
      <c r="AH13" s="850"/>
      <c r="AI13" s="829"/>
      <c r="AJ13" s="829"/>
      <c r="AK13" s="829"/>
      <c r="AL13" s="829"/>
      <c r="AM13" s="829"/>
    </row>
    <row r="14" spans="1:39" hidden="1">
      <c r="A14" s="829" t="str">
        <f t="shared" si="0"/>
        <v>POARR58</v>
      </c>
      <c r="B14" s="840">
        <v>11</v>
      </c>
      <c r="C14" s="841"/>
      <c r="D14" s="828" t="s">
        <v>1681</v>
      </c>
      <c r="E14" s="828" t="s">
        <v>1682</v>
      </c>
      <c r="F14" s="797">
        <v>58</v>
      </c>
      <c r="G14" s="828" t="s">
        <v>1682</v>
      </c>
      <c r="H14" s="828" t="s">
        <v>1688</v>
      </c>
      <c r="I14" s="833" t="s">
        <v>1664</v>
      </c>
      <c r="J14" s="828" t="s">
        <v>157</v>
      </c>
      <c r="K14" s="800">
        <v>4686</v>
      </c>
      <c r="L14" s="835" t="s">
        <v>1665</v>
      </c>
      <c r="M14" s="802">
        <v>46387</v>
      </c>
      <c r="N14" s="804">
        <v>45901</v>
      </c>
      <c r="O14" s="802">
        <v>46142</v>
      </c>
      <c r="P14" s="802">
        <v>46233</v>
      </c>
      <c r="Q14" s="842" t="e">
        <f>_xlfn.XLOOKUP(A14,'[1]Delivery Report'!$A:$A,'[1]Delivery Report'!$AQ:$AQ)</f>
        <v>#N/A</v>
      </c>
      <c r="R14" s="843" t="e">
        <f t="shared" si="1"/>
        <v>#N/A</v>
      </c>
      <c r="S14" s="843" t="s">
        <v>1684</v>
      </c>
      <c r="T14" s="843"/>
      <c r="U14" s="844"/>
      <c r="V14" s="805">
        <f t="shared" si="2"/>
        <v>0.61855199999999999</v>
      </c>
      <c r="W14" s="805">
        <f>($K14*'[2]Fee Assumptions'!$D$2)/10^7</f>
        <v>0.61855199999999999</v>
      </c>
      <c r="X14" s="805"/>
      <c r="Y14" s="831" t="s">
        <v>1685</v>
      </c>
      <c r="Z14" s="831" t="s">
        <v>1685</v>
      </c>
      <c r="AA14" s="845" t="str">
        <f>IFERROR(VLOOKUP(#REF!,'[3]ID Goals 2026'!$B:$R,17,0)," ")</f>
        <v xml:space="preserve"> </v>
      </c>
      <c r="AB14" s="849"/>
      <c r="AC14" s="849"/>
      <c r="AD14" s="849"/>
      <c r="AE14" s="849"/>
      <c r="AF14" s="849"/>
      <c r="AG14" s="849"/>
      <c r="AH14" s="850"/>
      <c r="AI14" s="829"/>
      <c r="AJ14" s="829"/>
      <c r="AK14" s="829"/>
      <c r="AL14" s="829"/>
      <c r="AM14" s="829"/>
    </row>
    <row r="15" spans="1:39" hidden="1">
      <c r="A15" s="829" t="str">
        <f t="shared" si="0"/>
        <v>POARR60</v>
      </c>
      <c r="B15" s="840">
        <v>12</v>
      </c>
      <c r="C15" s="841"/>
      <c r="D15" s="828" t="s">
        <v>1681</v>
      </c>
      <c r="E15" s="828" t="s">
        <v>1682</v>
      </c>
      <c r="F15" s="797">
        <v>60</v>
      </c>
      <c r="G15" s="828" t="s">
        <v>1682</v>
      </c>
      <c r="H15" s="828" t="s">
        <v>1689</v>
      </c>
      <c r="I15" s="833" t="s">
        <v>1664</v>
      </c>
      <c r="J15" s="828" t="s">
        <v>618</v>
      </c>
      <c r="K15" s="800">
        <v>4686</v>
      </c>
      <c r="L15" s="835" t="s">
        <v>1665</v>
      </c>
      <c r="M15" s="802">
        <v>46387</v>
      </c>
      <c r="N15" s="804">
        <v>45849</v>
      </c>
      <c r="O15" s="802">
        <v>46295</v>
      </c>
      <c r="P15" s="802">
        <v>46295</v>
      </c>
      <c r="Q15" s="842" t="e">
        <f>_xlfn.XLOOKUP(A15,'[1]Delivery Report'!$A:$A,'[1]Delivery Report'!$AQ:$AQ)</f>
        <v>#N/A</v>
      </c>
      <c r="R15" s="843" t="e">
        <f t="shared" si="1"/>
        <v>#N/A</v>
      </c>
      <c r="S15" s="843" t="s">
        <v>1684</v>
      </c>
      <c r="T15" s="843"/>
      <c r="U15" s="844"/>
      <c r="V15" s="805">
        <f t="shared" si="2"/>
        <v>0.61855199999999999</v>
      </c>
      <c r="W15" s="805">
        <f>($K15*'[2]Fee Assumptions'!$D$2)/10^7</f>
        <v>0.61855199999999999</v>
      </c>
      <c r="X15" s="805"/>
      <c r="Y15" s="831" t="s">
        <v>1685</v>
      </c>
      <c r="Z15" s="831" t="s">
        <v>1685</v>
      </c>
      <c r="AA15" s="845" t="s">
        <v>1690</v>
      </c>
      <c r="AB15" s="849"/>
      <c r="AC15" s="849"/>
      <c r="AD15" s="849"/>
      <c r="AE15" s="849"/>
      <c r="AF15" s="849"/>
      <c r="AG15" s="849"/>
      <c r="AH15" s="850"/>
      <c r="AI15" s="829"/>
      <c r="AJ15" s="829"/>
      <c r="AK15" s="806">
        <f>(2%*V15)+((160*K15)/10^7)</f>
        <v>8.7347040000000001E-2</v>
      </c>
      <c r="AL15" s="829"/>
      <c r="AM15" s="829"/>
    </row>
    <row r="16" spans="1:39" hidden="1">
      <c r="A16" s="829" t="str">
        <f t="shared" si="0"/>
        <v>POARR62</v>
      </c>
      <c r="B16" s="840">
        <v>13</v>
      </c>
      <c r="C16" s="841"/>
      <c r="D16" s="828" t="s">
        <v>1681</v>
      </c>
      <c r="E16" s="828" t="s">
        <v>1682</v>
      </c>
      <c r="F16" s="797">
        <v>62</v>
      </c>
      <c r="G16" s="828" t="s">
        <v>1682</v>
      </c>
      <c r="H16" s="828" t="s">
        <v>1689</v>
      </c>
      <c r="I16" s="833" t="s">
        <v>1664</v>
      </c>
      <c r="J16" s="828" t="s">
        <v>618</v>
      </c>
      <c r="K16" s="800">
        <v>4686</v>
      </c>
      <c r="L16" s="835" t="s">
        <v>1665</v>
      </c>
      <c r="M16" s="802">
        <v>46387</v>
      </c>
      <c r="N16" s="804">
        <v>45849</v>
      </c>
      <c r="O16" s="802">
        <v>46295</v>
      </c>
      <c r="P16" s="802">
        <v>46295</v>
      </c>
      <c r="Q16" s="842" t="e">
        <f>_xlfn.XLOOKUP(A16,'[1]Delivery Report'!$A:$A,'[1]Delivery Report'!$AQ:$AQ)</f>
        <v>#N/A</v>
      </c>
      <c r="R16" s="843" t="e">
        <f t="shared" si="1"/>
        <v>#N/A</v>
      </c>
      <c r="S16" s="843" t="s">
        <v>1684</v>
      </c>
      <c r="T16" s="843"/>
      <c r="U16" s="844"/>
      <c r="V16" s="805">
        <f t="shared" si="2"/>
        <v>0.61855199999999999</v>
      </c>
      <c r="W16" s="805">
        <f>($K16*'[2]Fee Assumptions'!$D$2)/10^7</f>
        <v>0.61855199999999999</v>
      </c>
      <c r="X16" s="805"/>
      <c r="Y16" s="831" t="s">
        <v>1685</v>
      </c>
      <c r="Z16" s="831" t="s">
        <v>1685</v>
      </c>
      <c r="AA16" s="845" t="s">
        <v>1690</v>
      </c>
      <c r="AB16" s="849"/>
      <c r="AC16" s="849"/>
      <c r="AD16" s="849"/>
      <c r="AE16" s="849"/>
      <c r="AF16" s="849"/>
      <c r="AG16" s="849"/>
      <c r="AH16" s="850"/>
      <c r="AI16" s="829"/>
      <c r="AJ16" s="829"/>
      <c r="AK16" s="806">
        <f>(2%*V16)+((160*K16)/10^7)</f>
        <v>8.7347040000000001E-2</v>
      </c>
      <c r="AL16" s="829"/>
      <c r="AM16" s="829"/>
    </row>
    <row r="17" spans="1:37" hidden="1">
      <c r="A17" s="829" t="str">
        <f t="shared" si="0"/>
        <v>POARR63</v>
      </c>
      <c r="B17" s="840">
        <v>14</v>
      </c>
      <c r="C17" s="841"/>
      <c r="D17" s="828" t="s">
        <v>1681</v>
      </c>
      <c r="E17" s="828" t="s">
        <v>1682</v>
      </c>
      <c r="F17" s="797">
        <v>63</v>
      </c>
      <c r="G17" s="828" t="s">
        <v>1682</v>
      </c>
      <c r="H17" s="828" t="s">
        <v>1691</v>
      </c>
      <c r="I17" s="833" t="s">
        <v>1664</v>
      </c>
      <c r="J17" s="828" t="s">
        <v>6</v>
      </c>
      <c r="K17" s="800">
        <v>4686</v>
      </c>
      <c r="L17" s="835" t="s">
        <v>1665</v>
      </c>
      <c r="M17" s="802">
        <v>46568</v>
      </c>
      <c r="N17" s="804">
        <v>45808</v>
      </c>
      <c r="O17" s="802">
        <v>46142</v>
      </c>
      <c r="P17" s="802">
        <v>46233</v>
      </c>
      <c r="Q17" s="842" t="e">
        <f>_xlfn.XLOOKUP(A17,'[1]Delivery Report'!$A:$A,'[1]Delivery Report'!$AQ:$AQ)</f>
        <v>#N/A</v>
      </c>
      <c r="R17" s="843" t="e">
        <f t="shared" si="1"/>
        <v>#N/A</v>
      </c>
      <c r="S17" s="843"/>
      <c r="T17" s="843"/>
      <c r="U17" s="844"/>
      <c r="V17" s="805">
        <f t="shared" si="2"/>
        <v>0.61855199999999999</v>
      </c>
      <c r="W17" s="805">
        <f>($K17*'[2]Fee Assumptions'!$D$2)/10^7</f>
        <v>0.61855199999999999</v>
      </c>
      <c r="X17" s="805"/>
      <c r="Y17" s="831" t="s">
        <v>1685</v>
      </c>
      <c r="Z17" s="831" t="s">
        <v>1685</v>
      </c>
      <c r="AA17" s="845" t="str">
        <f>IFERROR(VLOOKUP(#REF!,'[3]ID Goals 2026'!$B:$R,17,0)," ")</f>
        <v xml:space="preserve"> </v>
      </c>
      <c r="AB17" s="849"/>
      <c r="AC17" s="849"/>
      <c r="AD17" s="849"/>
      <c r="AE17" s="849"/>
      <c r="AF17" s="849"/>
      <c r="AG17" s="849"/>
      <c r="AH17" s="851"/>
      <c r="AI17" s="829"/>
      <c r="AJ17" s="829"/>
      <c r="AK17" s="829"/>
    </row>
    <row r="18" spans="1:37" hidden="1">
      <c r="A18" s="829" t="str">
        <f t="shared" si="0"/>
        <v>POARR64</v>
      </c>
      <c r="B18" s="840">
        <v>15</v>
      </c>
      <c r="C18" s="841"/>
      <c r="D18" s="828" t="s">
        <v>1681</v>
      </c>
      <c r="E18" s="828" t="s">
        <v>1682</v>
      </c>
      <c r="F18" s="797">
        <v>64</v>
      </c>
      <c r="G18" s="828" t="s">
        <v>1682</v>
      </c>
      <c r="H18" s="828" t="s">
        <v>1692</v>
      </c>
      <c r="I18" s="833" t="s">
        <v>1664</v>
      </c>
      <c r="J18" s="828" t="s">
        <v>6</v>
      </c>
      <c r="K18" s="800">
        <v>4686</v>
      </c>
      <c r="L18" s="835" t="s">
        <v>1665</v>
      </c>
      <c r="M18" s="802">
        <v>46387</v>
      </c>
      <c r="N18" s="804">
        <v>45821</v>
      </c>
      <c r="O18" s="802">
        <v>46142</v>
      </c>
      <c r="P18" s="802">
        <v>46233</v>
      </c>
      <c r="Q18" s="842" t="e">
        <f>_xlfn.XLOOKUP(A18,'[1]Delivery Report'!$A:$A,'[1]Delivery Report'!$AQ:$AQ)</f>
        <v>#N/A</v>
      </c>
      <c r="R18" s="843" t="e">
        <f t="shared" si="1"/>
        <v>#N/A</v>
      </c>
      <c r="S18" s="843"/>
      <c r="T18" s="843"/>
      <c r="U18" s="844"/>
      <c r="V18" s="805">
        <f t="shared" si="2"/>
        <v>0.61855199999999999</v>
      </c>
      <c r="W18" s="805">
        <f>($K18*'[2]Fee Assumptions'!$D$2)/10^7</f>
        <v>0.61855199999999999</v>
      </c>
      <c r="X18" s="805"/>
      <c r="Y18" s="831" t="s">
        <v>1685</v>
      </c>
      <c r="Z18" s="831" t="s">
        <v>1685</v>
      </c>
      <c r="AA18" s="845" t="str">
        <f>IFERROR(VLOOKUP(#REF!,'[3]ID Goals 2026'!$B:$R,17,0)," ")</f>
        <v xml:space="preserve"> </v>
      </c>
      <c r="AB18" s="852"/>
      <c r="AC18" s="852"/>
      <c r="AD18" s="852"/>
      <c r="AE18" s="852"/>
      <c r="AF18" s="852"/>
      <c r="AG18" s="852"/>
      <c r="AH18" s="851"/>
      <c r="AI18" s="829"/>
      <c r="AJ18" s="829"/>
      <c r="AK18" s="829"/>
    </row>
    <row r="19" spans="1:37" hidden="1">
      <c r="A19" s="829" t="str">
        <f t="shared" si="0"/>
        <v>POARR66</v>
      </c>
      <c r="B19" s="840">
        <v>16</v>
      </c>
      <c r="C19" s="841"/>
      <c r="D19" s="828" t="s">
        <v>1681</v>
      </c>
      <c r="E19" s="828" t="s">
        <v>1682</v>
      </c>
      <c r="F19" s="797">
        <v>66</v>
      </c>
      <c r="G19" s="828" t="s">
        <v>1682</v>
      </c>
      <c r="H19" s="828" t="s">
        <v>1693</v>
      </c>
      <c r="I19" s="833" t="s">
        <v>1664</v>
      </c>
      <c r="J19" s="828" t="s">
        <v>157</v>
      </c>
      <c r="K19" s="800">
        <v>4686</v>
      </c>
      <c r="L19" s="835" t="s">
        <v>1665</v>
      </c>
      <c r="M19" s="802">
        <v>46387</v>
      </c>
      <c r="N19" s="804">
        <v>45839</v>
      </c>
      <c r="O19" s="802">
        <v>46265</v>
      </c>
      <c r="P19" s="802">
        <v>46295</v>
      </c>
      <c r="Q19" s="842" t="e">
        <f>_xlfn.XLOOKUP(A19,'[1]Delivery Report'!$A:$A,'[1]Delivery Report'!$AQ:$AQ)</f>
        <v>#N/A</v>
      </c>
      <c r="R19" s="843" t="e">
        <f t="shared" si="1"/>
        <v>#N/A</v>
      </c>
      <c r="S19" s="843" t="s">
        <v>1684</v>
      </c>
      <c r="T19" s="843"/>
      <c r="U19" s="844"/>
      <c r="V19" s="805">
        <f t="shared" si="2"/>
        <v>0.61855199999999999</v>
      </c>
      <c r="W19" s="805">
        <f>($K19*'[2]Fee Assumptions'!$D$2)/10^7</f>
        <v>0.61855199999999999</v>
      </c>
      <c r="X19" s="805"/>
      <c r="Y19" s="831"/>
      <c r="Z19" s="831"/>
      <c r="AA19" s="845" t="str">
        <f>IFERROR(VLOOKUP(#REF!,'[3]ID Goals 2026'!$B:$R,17,0)," ")</f>
        <v xml:space="preserve"> </v>
      </c>
      <c r="AB19" s="850"/>
      <c r="AC19" s="850"/>
      <c r="AD19" s="850"/>
      <c r="AE19" s="850"/>
      <c r="AF19" s="850"/>
      <c r="AG19" s="850"/>
      <c r="AH19" s="851"/>
      <c r="AI19" s="829"/>
      <c r="AJ19" s="829"/>
      <c r="AK19" s="806">
        <f>(2%*V19)+((160*K19)/10^7)</f>
        <v>8.7347040000000001E-2</v>
      </c>
    </row>
    <row r="20" spans="1:37" s="791" customFormat="1" hidden="1">
      <c r="A20" s="829" t="str">
        <f t="shared" si="0"/>
        <v>POARR2031</v>
      </c>
      <c r="B20" s="840">
        <v>17</v>
      </c>
      <c r="C20" s="841"/>
      <c r="D20" s="828" t="s">
        <v>1681</v>
      </c>
      <c r="E20" s="828" t="s">
        <v>1694</v>
      </c>
      <c r="F20" s="797">
        <v>2031</v>
      </c>
      <c r="G20" s="828" t="s">
        <v>1695</v>
      </c>
      <c r="H20" s="828" t="s">
        <v>1696</v>
      </c>
      <c r="I20" s="833" t="s">
        <v>1670</v>
      </c>
      <c r="J20" s="828" t="s">
        <v>618</v>
      </c>
      <c r="K20" s="800">
        <v>5679</v>
      </c>
      <c r="L20" s="835" t="s">
        <v>1665</v>
      </c>
      <c r="M20" s="802">
        <v>46387</v>
      </c>
      <c r="N20" s="804">
        <v>45807</v>
      </c>
      <c r="O20" s="802">
        <v>46142</v>
      </c>
      <c r="P20" s="802">
        <v>46233</v>
      </c>
      <c r="Q20" s="842" t="e">
        <f>_xlfn.XLOOKUP(A20,'[1]Delivery Report'!$A:$A,'[1]Delivery Report'!$AQ:$AQ)</f>
        <v>#N/A</v>
      </c>
      <c r="R20" s="843" t="e">
        <f t="shared" si="1"/>
        <v>#N/A</v>
      </c>
      <c r="S20" s="843" t="s">
        <v>1697</v>
      </c>
      <c r="T20" s="843"/>
      <c r="U20" s="844" t="s">
        <v>1698</v>
      </c>
      <c r="V20" s="805">
        <f t="shared" si="2"/>
        <v>0.56789999999999996</v>
      </c>
      <c r="W20" s="805">
        <f>($K20*'[2]Fee Assumptions'!$D$4)/10^7</f>
        <v>0.56789999999999996</v>
      </c>
      <c r="X20" s="805"/>
      <c r="Y20" s="831" t="s">
        <v>1685</v>
      </c>
      <c r="Z20" s="831" t="s">
        <v>1685</v>
      </c>
      <c r="AA20" s="845" t="str">
        <f>IFERROR(VLOOKUP(#REF!,'[3]ID Goals 2026'!$B:$R,17,0)," ")</f>
        <v xml:space="preserve"> </v>
      </c>
      <c r="AB20" s="850"/>
      <c r="AC20" s="850"/>
      <c r="AD20" s="850"/>
      <c r="AE20" s="850"/>
      <c r="AF20" s="850"/>
      <c r="AG20" s="850"/>
      <c r="AH20" s="851"/>
      <c r="AI20" s="848"/>
      <c r="AJ20" s="848"/>
      <c r="AK20" s="848"/>
    </row>
    <row r="21" spans="1:37" hidden="1">
      <c r="A21" s="829" t="str">
        <f t="shared" si="0"/>
        <v>POARR2292</v>
      </c>
      <c r="B21" s="840">
        <v>18</v>
      </c>
      <c r="C21" s="841"/>
      <c r="D21" s="828" t="s">
        <v>1681</v>
      </c>
      <c r="E21" s="828" t="s">
        <v>1694</v>
      </c>
      <c r="F21" s="797">
        <v>2292</v>
      </c>
      <c r="G21" s="828" t="s">
        <v>1699</v>
      </c>
      <c r="H21" s="828" t="s">
        <v>1700</v>
      </c>
      <c r="I21" s="833" t="s">
        <v>1670</v>
      </c>
      <c r="J21" s="828" t="s">
        <v>618</v>
      </c>
      <c r="K21" s="800">
        <v>4100</v>
      </c>
      <c r="L21" s="835" t="s">
        <v>1665</v>
      </c>
      <c r="M21" s="802">
        <v>45473</v>
      </c>
      <c r="N21" s="804">
        <v>45172</v>
      </c>
      <c r="O21" s="802">
        <v>46203</v>
      </c>
      <c r="P21" s="802">
        <v>46234</v>
      </c>
      <c r="Q21" s="842" t="e">
        <f>_xlfn.XLOOKUP(A21,'[1]Delivery Report'!$A:$A,'[1]Delivery Report'!$AQ:$AQ)</f>
        <v>#N/A</v>
      </c>
      <c r="R21" s="843" t="e">
        <f t="shared" si="1"/>
        <v>#N/A</v>
      </c>
      <c r="S21" s="843"/>
      <c r="T21" s="843"/>
      <c r="U21" s="844" t="s">
        <v>1698</v>
      </c>
      <c r="V21" s="805">
        <f t="shared" si="2"/>
        <v>0.41</v>
      </c>
      <c r="W21" s="805">
        <f>($K21*'[2]Fee Assumptions'!$D$4)/10^7</f>
        <v>0.41</v>
      </c>
      <c r="X21" s="805"/>
      <c r="Y21" s="831"/>
      <c r="Z21" s="831"/>
      <c r="AA21" s="845" t="s">
        <v>1671</v>
      </c>
      <c r="AB21" s="850"/>
      <c r="AC21" s="850"/>
      <c r="AD21" s="850"/>
      <c r="AE21" s="850"/>
      <c r="AF21" s="850"/>
      <c r="AG21" s="850"/>
      <c r="AH21" s="851"/>
      <c r="AI21" s="829"/>
      <c r="AJ21" s="829"/>
      <c r="AK21" s="829"/>
    </row>
    <row r="22" spans="1:37" s="792" customFormat="1" hidden="1">
      <c r="A22" s="848" t="str">
        <f t="shared" si="0"/>
        <v>POARR3061</v>
      </c>
      <c r="B22" s="840">
        <v>19</v>
      </c>
      <c r="C22" s="841"/>
      <c r="D22" s="828" t="s">
        <v>1681</v>
      </c>
      <c r="E22" s="828" t="s">
        <v>1701</v>
      </c>
      <c r="F22" s="797">
        <v>3061</v>
      </c>
      <c r="G22" s="828" t="s">
        <v>1702</v>
      </c>
      <c r="H22" s="828" t="s">
        <v>1703</v>
      </c>
      <c r="I22" s="833" t="s">
        <v>1664</v>
      </c>
      <c r="J22" s="828" t="s">
        <v>6</v>
      </c>
      <c r="K22" s="800">
        <v>9869</v>
      </c>
      <c r="L22" s="835" t="s">
        <v>1665</v>
      </c>
      <c r="M22" s="802">
        <v>45657</v>
      </c>
      <c r="N22" s="804">
        <v>45353</v>
      </c>
      <c r="O22" s="802">
        <v>46142</v>
      </c>
      <c r="P22" s="802">
        <v>46233</v>
      </c>
      <c r="Q22" s="842" t="e">
        <f>_xlfn.XLOOKUP(A22,'[1]Delivery Report'!$A:$A,'[1]Delivery Report'!$AQ:$AQ)</f>
        <v>#N/A</v>
      </c>
      <c r="R22" s="843" t="e">
        <f t="shared" si="1"/>
        <v>#N/A</v>
      </c>
      <c r="S22" s="843"/>
      <c r="T22" s="843"/>
      <c r="U22" s="844"/>
      <c r="V22" s="805">
        <f t="shared" si="2"/>
        <v>0.9869</v>
      </c>
      <c r="W22" s="805">
        <f>($K22*'[2]Fee Assumptions'!$D$4)/10^7</f>
        <v>0.9869</v>
      </c>
      <c r="X22" s="805"/>
      <c r="Y22" s="831"/>
      <c r="Z22" s="831"/>
      <c r="AA22" s="845" t="str">
        <f>IFERROR(VLOOKUP(#REF!,'[3]ID Goals 2026'!$B:$R,17,0)," ")</f>
        <v xml:space="preserve"> </v>
      </c>
      <c r="AB22" s="850"/>
      <c r="AC22" s="850"/>
      <c r="AD22" s="850"/>
      <c r="AE22" s="850"/>
      <c r="AF22" s="850"/>
      <c r="AG22" s="850"/>
      <c r="AH22" s="851"/>
      <c r="AI22" s="853"/>
      <c r="AJ22" s="853"/>
      <c r="AK22" s="853"/>
    </row>
    <row r="23" spans="1:37" hidden="1">
      <c r="A23" s="829" t="str">
        <f t="shared" si="0"/>
        <v>POARR3062</v>
      </c>
      <c r="B23" s="840">
        <v>20</v>
      </c>
      <c r="C23" s="841"/>
      <c r="D23" s="828" t="s">
        <v>1681</v>
      </c>
      <c r="E23" s="828" t="s">
        <v>1701</v>
      </c>
      <c r="F23" s="797">
        <v>3062</v>
      </c>
      <c r="G23" s="828" t="s">
        <v>1704</v>
      </c>
      <c r="H23" s="828" t="s">
        <v>1669</v>
      </c>
      <c r="I23" s="833" t="s">
        <v>1664</v>
      </c>
      <c r="J23" s="828" t="s">
        <v>6</v>
      </c>
      <c r="K23" s="800">
        <v>9760</v>
      </c>
      <c r="L23" s="835" t="s">
        <v>1665</v>
      </c>
      <c r="M23" s="802">
        <v>45657</v>
      </c>
      <c r="N23" s="804">
        <v>45476</v>
      </c>
      <c r="O23" s="802">
        <v>46173</v>
      </c>
      <c r="P23" s="802">
        <v>46233</v>
      </c>
      <c r="Q23" s="842" t="e">
        <f>_xlfn.XLOOKUP(A23,'[1]Delivery Report'!$A:$A,'[1]Delivery Report'!$AQ:$AQ)</f>
        <v>#N/A</v>
      </c>
      <c r="R23" s="843" t="e">
        <f t="shared" si="1"/>
        <v>#N/A</v>
      </c>
      <c r="S23" s="843"/>
      <c r="T23" s="843"/>
      <c r="U23" s="844" t="s">
        <v>1698</v>
      </c>
      <c r="V23" s="805">
        <f t="shared" si="2"/>
        <v>0.97599999999999998</v>
      </c>
      <c r="W23" s="805">
        <f>($K23*'[2]Fee Assumptions'!$D$4)/10^7</f>
        <v>0.97599999999999998</v>
      </c>
      <c r="X23" s="805"/>
      <c r="Y23" s="831" t="s">
        <v>1685</v>
      </c>
      <c r="Z23" s="831"/>
      <c r="AA23" s="845" t="s">
        <v>1671</v>
      </c>
      <c r="AB23" s="850"/>
      <c r="AC23" s="850"/>
      <c r="AD23" s="850"/>
      <c r="AE23" s="850"/>
      <c r="AF23" s="850"/>
      <c r="AG23" s="850"/>
      <c r="AH23" s="851"/>
      <c r="AI23" s="829"/>
      <c r="AJ23" s="829"/>
      <c r="AK23" s="829"/>
    </row>
    <row r="24" spans="1:37" hidden="1">
      <c r="A24" s="829" t="str">
        <f t="shared" si="0"/>
        <v>POARR4011</v>
      </c>
      <c r="B24" s="840">
        <v>21</v>
      </c>
      <c r="C24" s="841"/>
      <c r="D24" s="828" t="s">
        <v>1681</v>
      </c>
      <c r="E24" s="828" t="s">
        <v>1705</v>
      </c>
      <c r="F24" s="797">
        <v>4011</v>
      </c>
      <c r="G24" s="828" t="s">
        <v>1695</v>
      </c>
      <c r="H24" s="828" t="s">
        <v>1706</v>
      </c>
      <c r="I24" s="833" t="s">
        <v>1664</v>
      </c>
      <c r="J24" s="828" t="s">
        <v>618</v>
      </c>
      <c r="K24" s="800">
        <v>6109</v>
      </c>
      <c r="L24" s="835" t="s">
        <v>1665</v>
      </c>
      <c r="M24" s="802">
        <v>45169</v>
      </c>
      <c r="N24" s="804">
        <v>44777</v>
      </c>
      <c r="O24" s="802">
        <v>46233</v>
      </c>
      <c r="P24" s="802">
        <v>46234</v>
      </c>
      <c r="Q24" s="842" t="e">
        <f>_xlfn.XLOOKUP(A24,'[1]Delivery Report'!$A:$A,'[1]Delivery Report'!$AQ:$AQ)</f>
        <v>#N/A</v>
      </c>
      <c r="R24" s="843" t="e">
        <f t="shared" si="1"/>
        <v>#N/A</v>
      </c>
      <c r="S24" s="843"/>
      <c r="T24" s="843"/>
      <c r="U24" s="844"/>
      <c r="V24" s="805">
        <f t="shared" si="2"/>
        <v>0.6109</v>
      </c>
      <c r="W24" s="805">
        <f>($K24*'[2]Fee Assumptions'!$D$4)/10^7</f>
        <v>0.6109</v>
      </c>
      <c r="X24" s="805"/>
      <c r="Y24" s="831" t="s">
        <v>1685</v>
      </c>
      <c r="Z24" s="831" t="s">
        <v>1685</v>
      </c>
      <c r="AA24" s="845" t="str">
        <f>IFERROR(VLOOKUP(#REF!,'[3]ID Goals 2026'!$B:$R,17,0)," ")</f>
        <v xml:space="preserve"> </v>
      </c>
      <c r="AB24" s="852"/>
      <c r="AC24" s="852"/>
      <c r="AD24" s="852"/>
      <c r="AE24" s="852"/>
      <c r="AF24" s="852"/>
      <c r="AG24" s="852"/>
      <c r="AH24" s="851"/>
      <c r="AI24" s="829"/>
      <c r="AJ24" s="829"/>
      <c r="AK24" s="806">
        <f>(2%*V24)+((160*K24)/10^7)</f>
        <v>0.109962</v>
      </c>
    </row>
    <row r="25" spans="1:37" hidden="1">
      <c r="A25" s="829" t="str">
        <f t="shared" si="0"/>
        <v>POARR4031</v>
      </c>
      <c r="B25" s="840">
        <v>22</v>
      </c>
      <c r="C25" s="841"/>
      <c r="D25" s="828" t="s">
        <v>1681</v>
      </c>
      <c r="E25" s="828" t="s">
        <v>1707</v>
      </c>
      <c r="F25" s="797">
        <v>4031</v>
      </c>
      <c r="G25" s="828" t="s">
        <v>1695</v>
      </c>
      <c r="H25" s="828" t="s">
        <v>1708</v>
      </c>
      <c r="I25" s="833" t="s">
        <v>1670</v>
      </c>
      <c r="J25" s="828" t="s">
        <v>618</v>
      </c>
      <c r="K25" s="800">
        <v>5679</v>
      </c>
      <c r="L25" s="835" t="s">
        <v>1665</v>
      </c>
      <c r="M25" s="802">
        <v>45107</v>
      </c>
      <c r="N25" s="804">
        <v>0</v>
      </c>
      <c r="O25" s="802">
        <v>46265</v>
      </c>
      <c r="P25" s="802">
        <v>46295</v>
      </c>
      <c r="Q25" s="842" t="e">
        <f>_xlfn.XLOOKUP(A25,'[1]Delivery Report'!$A:$A,'[1]Delivery Report'!$AQ:$AQ)</f>
        <v>#N/A</v>
      </c>
      <c r="R25" s="843" t="e">
        <f t="shared" si="1"/>
        <v>#N/A</v>
      </c>
      <c r="S25" s="843"/>
      <c r="T25" s="843"/>
      <c r="U25" s="844"/>
      <c r="V25" s="805">
        <f t="shared" si="2"/>
        <v>0.56789999999999996</v>
      </c>
      <c r="W25" s="805">
        <f>($K25*'[2]Fee Assumptions'!$D$4)/10^7</f>
        <v>0.56789999999999996</v>
      </c>
      <c r="X25" s="805"/>
      <c r="Y25" s="831"/>
      <c r="Z25" s="831"/>
      <c r="AA25" s="845" t="str">
        <f>IFERROR(VLOOKUP(#REF!,'[3]ID Goals 2026'!$B:$R,17,0)," ")</f>
        <v xml:space="preserve"> </v>
      </c>
      <c r="AB25" s="852"/>
      <c r="AC25" s="852"/>
      <c r="AD25" s="852"/>
      <c r="AE25" s="852"/>
      <c r="AF25" s="852"/>
      <c r="AG25" s="852"/>
      <c r="AH25" s="851"/>
      <c r="AI25" s="829"/>
      <c r="AJ25" s="829"/>
      <c r="AK25" s="829"/>
    </row>
    <row r="26" spans="1:37" hidden="1">
      <c r="A26" s="829" t="str">
        <f t="shared" si="0"/>
        <v>POARR3302</v>
      </c>
      <c r="B26" s="840">
        <v>23</v>
      </c>
      <c r="C26" s="841"/>
      <c r="D26" s="828" t="s">
        <v>1681</v>
      </c>
      <c r="E26" s="828" t="s">
        <v>1701</v>
      </c>
      <c r="F26" s="797">
        <v>3302</v>
      </c>
      <c r="G26" s="828" t="s">
        <v>1699</v>
      </c>
      <c r="H26" s="828" t="s">
        <v>1709</v>
      </c>
      <c r="I26" s="833" t="s">
        <v>1664</v>
      </c>
      <c r="J26" s="828" t="s">
        <v>6</v>
      </c>
      <c r="K26" s="800">
        <v>8023</v>
      </c>
      <c r="L26" s="835" t="s">
        <v>1665</v>
      </c>
      <c r="M26" s="802">
        <v>46387</v>
      </c>
      <c r="N26" s="804">
        <v>45943</v>
      </c>
      <c r="O26" s="802">
        <v>46172</v>
      </c>
      <c r="P26" s="802">
        <v>46233</v>
      </c>
      <c r="Q26" s="842" t="e">
        <f>_xlfn.XLOOKUP(A26,'[1]Delivery Report'!$A:$A,'[1]Delivery Report'!$AQ:$AQ)</f>
        <v>#N/A</v>
      </c>
      <c r="R26" s="843" t="e">
        <f t="shared" si="1"/>
        <v>#N/A</v>
      </c>
      <c r="S26" s="843"/>
      <c r="T26" s="843"/>
      <c r="U26" s="844" t="s">
        <v>1698</v>
      </c>
      <c r="V26" s="805">
        <f t="shared" si="2"/>
        <v>0.80230000000000001</v>
      </c>
      <c r="W26" s="805">
        <f>($K26*'[2]Fee Assumptions'!$D$4)/10^7</f>
        <v>0.80230000000000001</v>
      </c>
      <c r="X26" s="805"/>
      <c r="Y26" s="831" t="s">
        <v>1685</v>
      </c>
      <c r="Z26" s="831" t="s">
        <v>1685</v>
      </c>
      <c r="AA26" s="845" t="str">
        <f>IFERROR(VLOOKUP(#REF!,'[3]ID Goals 2026'!$B:$R,17,0)," ")</f>
        <v xml:space="preserve"> </v>
      </c>
      <c r="AB26" s="847"/>
      <c r="AC26" s="847"/>
      <c r="AD26" s="847"/>
      <c r="AE26" s="847"/>
      <c r="AF26" s="847"/>
      <c r="AG26" s="847"/>
      <c r="AH26" s="851"/>
      <c r="AI26" s="829"/>
      <c r="AJ26" s="829"/>
      <c r="AK26" s="829"/>
    </row>
    <row r="27" spans="1:37" hidden="1">
      <c r="A27" s="829" t="str">
        <f t="shared" si="0"/>
        <v>POARR4062</v>
      </c>
      <c r="B27" s="840">
        <v>24</v>
      </c>
      <c r="C27" s="841"/>
      <c r="D27" s="828" t="s">
        <v>1681</v>
      </c>
      <c r="E27" s="828" t="s">
        <v>1707</v>
      </c>
      <c r="F27" s="797">
        <v>4062</v>
      </c>
      <c r="G27" s="828" t="s">
        <v>1704</v>
      </c>
      <c r="H27" s="828" t="s">
        <v>1710</v>
      </c>
      <c r="I27" s="833" t="s">
        <v>1664</v>
      </c>
      <c r="J27" s="828" t="s">
        <v>6</v>
      </c>
      <c r="K27" s="800">
        <v>9760</v>
      </c>
      <c r="L27" s="835" t="s">
        <v>1665</v>
      </c>
      <c r="M27" s="802">
        <v>46203</v>
      </c>
      <c r="N27" s="804">
        <v>45611</v>
      </c>
      <c r="O27" s="802">
        <v>46203</v>
      </c>
      <c r="P27" s="802">
        <v>46264</v>
      </c>
      <c r="Q27" s="842" t="e">
        <f>_xlfn.XLOOKUP(A27,'[1]Delivery Report'!$A:$A,'[1]Delivery Report'!$AQ:$AQ)</f>
        <v>#N/A</v>
      </c>
      <c r="R27" s="843" t="e">
        <f t="shared" si="1"/>
        <v>#N/A</v>
      </c>
      <c r="S27" s="843"/>
      <c r="T27" s="843"/>
      <c r="U27" s="844" t="s">
        <v>1698</v>
      </c>
      <c r="V27" s="805">
        <f t="shared" si="2"/>
        <v>0.97599999999999998</v>
      </c>
      <c r="W27" s="805">
        <f>($K27*'[2]Fee Assumptions'!$D$4)/10^7</f>
        <v>0.97599999999999998</v>
      </c>
      <c r="X27" s="805"/>
      <c r="Y27" s="831" t="s">
        <v>1685</v>
      </c>
      <c r="Z27" s="831" t="s">
        <v>1685</v>
      </c>
      <c r="AA27" s="845" t="s">
        <v>1671</v>
      </c>
      <c r="AB27" s="847"/>
      <c r="AC27" s="847"/>
      <c r="AD27" s="847"/>
      <c r="AE27" s="847"/>
      <c r="AF27" s="847"/>
      <c r="AG27" s="847"/>
      <c r="AH27" s="851"/>
      <c r="AI27" s="829"/>
      <c r="AJ27" s="829"/>
      <c r="AK27" s="806">
        <f>(2%*V27)+((160*K27)/10^7)</f>
        <v>0.17568</v>
      </c>
    </row>
    <row r="28" spans="1:37" hidden="1">
      <c r="A28" s="829" t="str">
        <f t="shared" si="0"/>
        <v>POARR4162</v>
      </c>
      <c r="B28" s="840">
        <v>25</v>
      </c>
      <c r="C28" s="841"/>
      <c r="D28" s="828" t="s">
        <v>1681</v>
      </c>
      <c r="E28" s="828" t="s">
        <v>1707</v>
      </c>
      <c r="F28" s="797">
        <v>4162</v>
      </c>
      <c r="G28" s="828" t="s">
        <v>1699</v>
      </c>
      <c r="H28" s="828" t="s">
        <v>1711</v>
      </c>
      <c r="I28" s="833" t="s">
        <v>1664</v>
      </c>
      <c r="J28" s="828" t="s">
        <v>618</v>
      </c>
      <c r="K28" s="800">
        <v>4100</v>
      </c>
      <c r="L28" s="835" t="s">
        <v>1665</v>
      </c>
      <c r="M28" s="802">
        <v>45382</v>
      </c>
      <c r="N28" s="804">
        <v>44933</v>
      </c>
      <c r="O28" s="802">
        <v>46233</v>
      </c>
      <c r="P28" s="802">
        <v>46234</v>
      </c>
      <c r="Q28" s="842" t="e">
        <f>_xlfn.XLOOKUP(A28,'[1]Delivery Report'!$A:$A,'[1]Delivery Report'!$AQ:$AQ)</f>
        <v>#N/A</v>
      </c>
      <c r="R28" s="843" t="e">
        <f t="shared" si="1"/>
        <v>#N/A</v>
      </c>
      <c r="S28" s="843"/>
      <c r="T28" s="843"/>
      <c r="U28" s="844"/>
      <c r="V28" s="805">
        <f t="shared" si="2"/>
        <v>0.41</v>
      </c>
      <c r="W28" s="805">
        <f>($K28*'[2]Fee Assumptions'!$D$4)/10^7</f>
        <v>0.41</v>
      </c>
      <c r="X28" s="805"/>
      <c r="Y28" s="831" t="s">
        <v>1685</v>
      </c>
      <c r="Z28" s="831" t="s">
        <v>1685</v>
      </c>
      <c r="AA28" s="845" t="str">
        <f>IFERROR(VLOOKUP(#REF!,'[3]ID Goals 2026'!$B:$R,17,0)," ")</f>
        <v xml:space="preserve"> </v>
      </c>
      <c r="AB28" s="847"/>
      <c r="AC28" s="847"/>
      <c r="AD28" s="847"/>
      <c r="AE28" s="847"/>
      <c r="AF28" s="847"/>
      <c r="AG28" s="847"/>
      <c r="AH28" s="851"/>
      <c r="AI28" s="829"/>
      <c r="AJ28" s="829"/>
      <c r="AK28" s="806">
        <f>(2%*V28)+((160*K28)/10^7)</f>
        <v>7.3800000000000004E-2</v>
      </c>
    </row>
    <row r="29" spans="1:37" hidden="1">
      <c r="A29" s="829" t="str">
        <f t="shared" si="0"/>
        <v>POARR4243</v>
      </c>
      <c r="B29" s="840">
        <v>26</v>
      </c>
      <c r="C29" s="841"/>
      <c r="D29" s="828" t="s">
        <v>1681</v>
      </c>
      <c r="E29" s="828" t="s">
        <v>1707</v>
      </c>
      <c r="F29" s="797">
        <v>4243</v>
      </c>
      <c r="G29" s="828" t="s">
        <v>1712</v>
      </c>
      <c r="H29" s="828" t="s">
        <v>1713</v>
      </c>
      <c r="I29" s="833" t="s">
        <v>1670</v>
      </c>
      <c r="J29" s="828" t="s">
        <v>618</v>
      </c>
      <c r="K29" s="800">
        <v>2753</v>
      </c>
      <c r="L29" s="835" t="s">
        <v>1665</v>
      </c>
      <c r="M29" s="802">
        <v>44926</v>
      </c>
      <c r="N29" s="804">
        <v>44679</v>
      </c>
      <c r="O29" s="802">
        <v>46233</v>
      </c>
      <c r="P29" s="802">
        <v>46233</v>
      </c>
      <c r="Q29" s="842" t="e">
        <f>_xlfn.XLOOKUP(A29,'[1]Delivery Report'!$A:$A,'[1]Delivery Report'!$AQ:$AQ)</f>
        <v>#N/A</v>
      </c>
      <c r="R29" s="843" t="e">
        <f t="shared" si="1"/>
        <v>#N/A</v>
      </c>
      <c r="S29" s="843" t="s">
        <v>1714</v>
      </c>
      <c r="T29" s="843"/>
      <c r="U29" s="844"/>
      <c r="V29" s="805">
        <f t="shared" si="2"/>
        <v>0.27529999999999999</v>
      </c>
      <c r="W29" s="805">
        <f>($K29*'[2]Fee Assumptions'!$D$4)/10^7</f>
        <v>0.27529999999999999</v>
      </c>
      <c r="X29" s="805"/>
      <c r="Y29" s="831"/>
      <c r="Z29" s="831"/>
      <c r="AA29" s="845" t="str">
        <f>IFERROR(VLOOKUP(#REF!,'[3]ID Goals 2026'!$B:$R,17,0)," ")</f>
        <v xml:space="preserve"> </v>
      </c>
      <c r="AB29" s="847"/>
      <c r="AC29" s="847"/>
      <c r="AD29" s="847"/>
      <c r="AE29" s="847"/>
      <c r="AF29" s="847"/>
      <c r="AG29" s="847"/>
      <c r="AH29" s="851"/>
      <c r="AI29" s="829"/>
      <c r="AJ29" s="829"/>
      <c r="AK29" s="829"/>
    </row>
    <row r="30" spans="1:37">
      <c r="A30" s="848" t="str">
        <f t="shared" si="0"/>
        <v>POARR4301</v>
      </c>
      <c r="B30" s="840">
        <v>27</v>
      </c>
      <c r="C30" s="841"/>
      <c r="D30" s="828" t="s">
        <v>1681</v>
      </c>
      <c r="E30" s="828" t="s">
        <v>1707</v>
      </c>
      <c r="F30" s="797">
        <v>4301</v>
      </c>
      <c r="G30" s="828" t="s">
        <v>1715</v>
      </c>
      <c r="H30" s="828" t="s">
        <v>1716</v>
      </c>
      <c r="I30" s="833" t="s">
        <v>1664</v>
      </c>
      <c r="J30" s="828" t="s">
        <v>6</v>
      </c>
      <c r="K30" s="800">
        <v>8023</v>
      </c>
      <c r="L30" s="835" t="s">
        <v>1665</v>
      </c>
      <c r="M30" s="802">
        <v>45808</v>
      </c>
      <c r="N30" s="804">
        <v>45494</v>
      </c>
      <c r="O30" s="802" t="e">
        <f>_xlfn.XLOOKUP(A30,'[1]Delivery Report'!$A:$A,'[1]Delivery Report'!$AA:$AA)</f>
        <v>#N/A</v>
      </c>
      <c r="P30" s="802">
        <v>46233</v>
      </c>
      <c r="Q30" s="842" t="s">
        <v>1717</v>
      </c>
      <c r="R30" s="843" t="str">
        <f t="shared" si="1"/>
        <v>Released to Site</v>
      </c>
      <c r="S30" s="843"/>
      <c r="T30" s="843"/>
      <c r="U30" s="844"/>
      <c r="V30" s="805">
        <f t="shared" si="2"/>
        <v>0.80230000000000001</v>
      </c>
      <c r="W30" s="805">
        <f>($K30*'[2]Fee Assumptions'!$D$4)/10^7</f>
        <v>0.80230000000000001</v>
      </c>
      <c r="X30" s="805"/>
      <c r="Y30" s="831" t="s">
        <v>1685</v>
      </c>
      <c r="Z30" s="831" t="s">
        <v>1685</v>
      </c>
      <c r="AA30" s="845" t="str">
        <f>IFERROR(VLOOKUP(#REF!,'[3]ID Goals 2026'!$B:$R,17,0)," ")</f>
        <v xml:space="preserve"> </v>
      </c>
      <c r="AB30" s="847"/>
      <c r="AC30" s="847"/>
      <c r="AD30" s="847"/>
      <c r="AE30" s="847"/>
      <c r="AF30" s="847"/>
      <c r="AG30" s="847"/>
      <c r="AH30" s="851"/>
      <c r="AI30" s="829"/>
      <c r="AJ30" s="829"/>
      <c r="AK30" s="829"/>
    </row>
    <row r="31" spans="1:37" hidden="1">
      <c r="A31" s="848" t="str">
        <f t="shared" si="0"/>
        <v>POARR5011</v>
      </c>
      <c r="B31" s="840">
        <v>28</v>
      </c>
      <c r="C31" s="841"/>
      <c r="D31" s="828" t="s">
        <v>1681</v>
      </c>
      <c r="E31" s="828" t="s">
        <v>1718</v>
      </c>
      <c r="F31" s="797">
        <v>5011</v>
      </c>
      <c r="G31" s="828" t="s">
        <v>1695</v>
      </c>
      <c r="H31" s="828" t="s">
        <v>1719</v>
      </c>
      <c r="I31" s="833" t="s">
        <v>1670</v>
      </c>
      <c r="J31" s="828" t="s">
        <v>618</v>
      </c>
      <c r="K31" s="800">
        <v>6109</v>
      </c>
      <c r="L31" s="835" t="s">
        <v>1665</v>
      </c>
      <c r="M31" s="802">
        <v>46477</v>
      </c>
      <c r="N31" s="804">
        <v>45380</v>
      </c>
      <c r="O31" s="802">
        <v>46127</v>
      </c>
      <c r="P31" s="802">
        <v>46233</v>
      </c>
      <c r="Q31" s="842" t="e">
        <f>_xlfn.XLOOKUP(A31,'[1]Delivery Report'!$A:$A,'[1]Delivery Report'!$AQ:$AQ)</f>
        <v>#N/A</v>
      </c>
      <c r="R31" s="843" t="e">
        <f t="shared" si="1"/>
        <v>#N/A</v>
      </c>
      <c r="S31" s="843"/>
      <c r="T31" s="843"/>
      <c r="U31" s="844"/>
      <c r="V31" s="805">
        <f t="shared" si="2"/>
        <v>0.6109</v>
      </c>
      <c r="W31" s="805">
        <f>($K31*'[2]Fee Assumptions'!$D$4)/10^7</f>
        <v>0.6109</v>
      </c>
      <c r="X31" s="805"/>
      <c r="Y31" s="831" t="s">
        <v>1685</v>
      </c>
      <c r="Z31" s="831" t="s">
        <v>1685</v>
      </c>
      <c r="AA31" s="845" t="str">
        <f>IFERROR(VLOOKUP(#REF!,'[3]ID Goals 2026'!$B:$R,17,0)," ")</f>
        <v xml:space="preserve"> </v>
      </c>
      <c r="AB31" s="847"/>
      <c r="AC31" s="847"/>
      <c r="AD31" s="847"/>
      <c r="AE31" s="847"/>
      <c r="AF31" s="847"/>
      <c r="AG31" s="847"/>
      <c r="AH31" s="851"/>
      <c r="AI31" s="829"/>
      <c r="AJ31" s="829"/>
      <c r="AK31" s="829"/>
    </row>
    <row r="32" spans="1:37" hidden="1">
      <c r="A32" s="829" t="str">
        <f t="shared" si="0"/>
        <v>POARR5012</v>
      </c>
      <c r="B32" s="840">
        <v>29</v>
      </c>
      <c r="C32" s="841"/>
      <c r="D32" s="828" t="s">
        <v>1681</v>
      </c>
      <c r="E32" s="828" t="s">
        <v>1720</v>
      </c>
      <c r="F32" s="797">
        <v>5012</v>
      </c>
      <c r="G32" s="828" t="s">
        <v>1695</v>
      </c>
      <c r="H32" s="828" t="s">
        <v>1721</v>
      </c>
      <c r="I32" s="833" t="s">
        <v>1670</v>
      </c>
      <c r="J32" s="828" t="s">
        <v>618</v>
      </c>
      <c r="K32" s="800">
        <v>6109</v>
      </c>
      <c r="L32" s="835" t="s">
        <v>1665</v>
      </c>
      <c r="M32" s="802">
        <v>46477</v>
      </c>
      <c r="N32" s="804">
        <v>45152</v>
      </c>
      <c r="O32" s="802">
        <v>46173</v>
      </c>
      <c r="P32" s="802">
        <v>46233</v>
      </c>
      <c r="Q32" s="842" t="e">
        <f>_xlfn.XLOOKUP(A32,'[1]Delivery Report'!$A:$A,'[1]Delivery Report'!$AQ:$AQ)</f>
        <v>#N/A</v>
      </c>
      <c r="R32" s="843" t="e">
        <f t="shared" si="1"/>
        <v>#N/A</v>
      </c>
      <c r="S32" s="843"/>
      <c r="T32" s="843"/>
      <c r="U32" s="844"/>
      <c r="V32" s="805">
        <f t="shared" si="2"/>
        <v>0.6109</v>
      </c>
      <c r="W32" s="805">
        <f>($K32*'[2]Fee Assumptions'!$D$4)/10^7</f>
        <v>0.6109</v>
      </c>
      <c r="X32" s="805"/>
      <c r="Y32" s="831" t="s">
        <v>1685</v>
      </c>
      <c r="Z32" s="831" t="s">
        <v>1685</v>
      </c>
      <c r="AA32" s="845" t="str">
        <f>IFERROR(VLOOKUP(#REF!,'[3]ID Goals 2026'!$B:$R,17,0)," ")</f>
        <v xml:space="preserve"> </v>
      </c>
      <c r="AB32" s="847"/>
      <c r="AC32" s="847"/>
      <c r="AD32" s="847"/>
      <c r="AE32" s="847"/>
      <c r="AF32" s="847"/>
      <c r="AG32" s="847"/>
      <c r="AH32" s="851"/>
      <c r="AI32" s="829"/>
      <c r="AJ32" s="829"/>
      <c r="AK32" s="829"/>
    </row>
    <row r="33" spans="1:37" hidden="1">
      <c r="A33" s="829" t="str">
        <f t="shared" si="0"/>
        <v>POARR5021</v>
      </c>
      <c r="B33" s="840">
        <v>30</v>
      </c>
      <c r="C33" s="841"/>
      <c r="D33" s="828" t="s">
        <v>1681</v>
      </c>
      <c r="E33" s="828" t="s">
        <v>1720</v>
      </c>
      <c r="F33" s="797">
        <v>5021</v>
      </c>
      <c r="G33" s="828" t="s">
        <v>1695</v>
      </c>
      <c r="H33" s="828" t="s">
        <v>1722</v>
      </c>
      <c r="I33" s="833" t="s">
        <v>1670</v>
      </c>
      <c r="J33" s="828" t="s">
        <v>618</v>
      </c>
      <c r="K33" s="800">
        <v>5679</v>
      </c>
      <c r="L33" s="835" t="s">
        <v>1665</v>
      </c>
      <c r="M33" s="802">
        <v>46477</v>
      </c>
      <c r="N33" s="804">
        <v>45681</v>
      </c>
      <c r="O33" s="802">
        <v>46173</v>
      </c>
      <c r="P33" s="802">
        <v>46233</v>
      </c>
      <c r="Q33" s="842" t="e">
        <f>_xlfn.XLOOKUP(A33,'[1]Delivery Report'!$A:$A,'[1]Delivery Report'!$AQ:$AQ)</f>
        <v>#N/A</v>
      </c>
      <c r="R33" s="843" t="e">
        <f t="shared" si="1"/>
        <v>#N/A</v>
      </c>
      <c r="S33" s="843"/>
      <c r="T33" s="843"/>
      <c r="U33" s="844"/>
      <c r="V33" s="805">
        <f t="shared" si="2"/>
        <v>0.56789999999999996</v>
      </c>
      <c r="W33" s="805">
        <f>($K33*'[2]Fee Assumptions'!$D$4)/10^7</f>
        <v>0.56789999999999996</v>
      </c>
      <c r="X33" s="805"/>
      <c r="Y33" s="831" t="s">
        <v>1685</v>
      </c>
      <c r="Z33" s="831" t="s">
        <v>1685</v>
      </c>
      <c r="AA33" s="845" t="str">
        <f>IFERROR(VLOOKUP(#REF!,'[3]ID Goals 2026'!$B:$R,17,0)," ")</f>
        <v xml:space="preserve"> </v>
      </c>
      <c r="AB33" s="847"/>
      <c r="AC33" s="847"/>
      <c r="AD33" s="847"/>
      <c r="AE33" s="847"/>
      <c r="AF33" s="847"/>
      <c r="AG33" s="847"/>
      <c r="AH33" s="851"/>
      <c r="AI33" s="829"/>
      <c r="AJ33" s="829"/>
      <c r="AK33" s="829"/>
    </row>
    <row r="34" spans="1:37" hidden="1">
      <c r="A34" s="829" t="str">
        <f t="shared" si="0"/>
        <v>POARR5032</v>
      </c>
      <c r="B34" s="840">
        <v>31</v>
      </c>
      <c r="C34" s="841"/>
      <c r="D34" s="828" t="s">
        <v>1681</v>
      </c>
      <c r="E34" s="828" t="s">
        <v>1720</v>
      </c>
      <c r="F34" s="797">
        <v>5032</v>
      </c>
      <c r="G34" s="828" t="s">
        <v>1695</v>
      </c>
      <c r="H34" s="828" t="s">
        <v>1723</v>
      </c>
      <c r="I34" s="833" t="s">
        <v>1670</v>
      </c>
      <c r="J34" s="828" t="s">
        <v>618</v>
      </c>
      <c r="K34" s="800">
        <v>5679</v>
      </c>
      <c r="L34" s="835" t="s">
        <v>1665</v>
      </c>
      <c r="M34" s="802">
        <v>46477</v>
      </c>
      <c r="N34" s="804">
        <v>45046</v>
      </c>
      <c r="O34" s="802">
        <v>46173</v>
      </c>
      <c r="P34" s="802">
        <v>46233</v>
      </c>
      <c r="Q34" s="842" t="e">
        <f>_xlfn.XLOOKUP(A34,'[1]Delivery Report'!$A:$A,'[1]Delivery Report'!$AQ:$AQ)</f>
        <v>#N/A</v>
      </c>
      <c r="R34" s="843" t="e">
        <f t="shared" si="1"/>
        <v>#N/A</v>
      </c>
      <c r="S34" s="843"/>
      <c r="T34" s="843"/>
      <c r="U34" s="844"/>
      <c r="V34" s="805">
        <f t="shared" si="2"/>
        <v>0.56789999999999996</v>
      </c>
      <c r="W34" s="805">
        <f>($K34*'[2]Fee Assumptions'!$D$4)/10^7</f>
        <v>0.56789999999999996</v>
      </c>
      <c r="X34" s="805"/>
      <c r="Y34" s="831"/>
      <c r="Z34" s="831"/>
      <c r="AA34" s="845" t="str">
        <f>IFERROR(VLOOKUP(#REF!,'[3]ID Goals 2026'!$B:$R,17,0)," ")</f>
        <v xml:space="preserve"> </v>
      </c>
      <c r="AB34" s="847"/>
      <c r="AC34" s="847"/>
      <c r="AD34" s="847"/>
      <c r="AE34" s="847"/>
      <c r="AF34" s="847"/>
      <c r="AG34" s="847"/>
      <c r="AH34" s="851"/>
      <c r="AI34" s="829"/>
      <c r="AJ34" s="829"/>
      <c r="AK34" s="829"/>
    </row>
    <row r="35" spans="1:37" hidden="1">
      <c r="A35" s="829" t="str">
        <f t="shared" si="0"/>
        <v>POARR5033</v>
      </c>
      <c r="B35" s="840">
        <v>32</v>
      </c>
      <c r="C35" s="841"/>
      <c r="D35" s="828" t="s">
        <v>1681</v>
      </c>
      <c r="E35" s="828" t="s">
        <v>1720</v>
      </c>
      <c r="F35" s="797">
        <v>5033</v>
      </c>
      <c r="G35" s="828" t="s">
        <v>1712</v>
      </c>
      <c r="H35" s="828" t="s">
        <v>1724</v>
      </c>
      <c r="I35" s="833" t="s">
        <v>1670</v>
      </c>
      <c r="J35" s="828" t="s">
        <v>618</v>
      </c>
      <c r="K35" s="800">
        <v>2753</v>
      </c>
      <c r="L35" s="835" t="s">
        <v>1665</v>
      </c>
      <c r="M35" s="802">
        <v>46477</v>
      </c>
      <c r="N35" s="804">
        <v>45676</v>
      </c>
      <c r="O35" s="802">
        <v>46172</v>
      </c>
      <c r="P35" s="802">
        <v>46233</v>
      </c>
      <c r="Q35" s="842" t="e">
        <f>_xlfn.XLOOKUP(A35,'[1]Delivery Report'!$A:$A,'[1]Delivery Report'!$AQ:$AQ)</f>
        <v>#N/A</v>
      </c>
      <c r="R35" s="843" t="e">
        <f t="shared" si="1"/>
        <v>#N/A</v>
      </c>
      <c r="S35" s="843"/>
      <c r="T35" s="843"/>
      <c r="U35" s="844"/>
      <c r="V35" s="805">
        <f t="shared" si="2"/>
        <v>0.27529999999999999</v>
      </c>
      <c r="W35" s="805">
        <f>($K35*'[2]Fee Assumptions'!$D$4)/10^7</f>
        <v>0.27529999999999999</v>
      </c>
      <c r="X35" s="805"/>
      <c r="Y35" s="831"/>
      <c r="Z35" s="831"/>
      <c r="AA35" s="845" t="str">
        <f>IFERROR(VLOOKUP(#REF!,'[3]ID Goals 2026'!$B:$R,17,0)," ")</f>
        <v xml:space="preserve"> </v>
      </c>
      <c r="AB35" s="847"/>
      <c r="AC35" s="847"/>
      <c r="AD35" s="847"/>
      <c r="AE35" s="847"/>
      <c r="AF35" s="847"/>
      <c r="AG35" s="847"/>
      <c r="AH35" s="851"/>
      <c r="AI35" s="829"/>
      <c r="AJ35" s="829"/>
      <c r="AK35" s="829"/>
    </row>
    <row r="36" spans="1:37" hidden="1">
      <c r="A36" s="829" t="str">
        <f t="shared" ref="A36:A67" si="3">_xlfn.CONCAT(D36,F36)</f>
        <v>POARR5041</v>
      </c>
      <c r="B36" s="840">
        <v>33</v>
      </c>
      <c r="C36" s="841"/>
      <c r="D36" s="828" t="s">
        <v>1681</v>
      </c>
      <c r="E36" s="828" t="s">
        <v>1720</v>
      </c>
      <c r="F36" s="797">
        <v>5041</v>
      </c>
      <c r="G36" s="828" t="s">
        <v>1695</v>
      </c>
      <c r="H36" s="828" t="s">
        <v>1725</v>
      </c>
      <c r="I36" s="833" t="s">
        <v>1670</v>
      </c>
      <c r="J36" s="828" t="s">
        <v>618</v>
      </c>
      <c r="K36" s="800">
        <v>5679</v>
      </c>
      <c r="L36" s="835" t="s">
        <v>1665</v>
      </c>
      <c r="M36" s="802">
        <v>46477</v>
      </c>
      <c r="N36" s="804">
        <v>45688</v>
      </c>
      <c r="O36" s="802">
        <v>46173</v>
      </c>
      <c r="P36" s="802">
        <v>46233</v>
      </c>
      <c r="Q36" s="842" t="e">
        <f>_xlfn.XLOOKUP(A36,'[1]Delivery Report'!$A:$A,'[1]Delivery Report'!$AQ:$AQ)</f>
        <v>#N/A</v>
      </c>
      <c r="R36" s="843" t="e">
        <f t="shared" ref="R36:R67" si="4">Q36</f>
        <v>#N/A</v>
      </c>
      <c r="S36" s="843"/>
      <c r="T36" s="843"/>
      <c r="U36" s="844"/>
      <c r="V36" s="805">
        <f t="shared" ref="V36:V67" si="5">SUM(W36+X36)</f>
        <v>0.56789999999999996</v>
      </c>
      <c r="W36" s="805">
        <f>($K36*'[2]Fee Assumptions'!$D$4)/10^7</f>
        <v>0.56789999999999996</v>
      </c>
      <c r="X36" s="805"/>
      <c r="Y36" s="831" t="s">
        <v>1685</v>
      </c>
      <c r="Z36" s="831" t="s">
        <v>1685</v>
      </c>
      <c r="AA36" s="845" t="str">
        <f>IFERROR(VLOOKUP(#REF!,'[3]ID Goals 2026'!$B:$R,17,0)," ")</f>
        <v xml:space="preserve"> </v>
      </c>
      <c r="AB36" s="847"/>
      <c r="AC36" s="847"/>
      <c r="AD36" s="847"/>
      <c r="AE36" s="847"/>
      <c r="AF36" s="847"/>
      <c r="AG36" s="847"/>
      <c r="AH36" s="851"/>
      <c r="AI36" s="829"/>
      <c r="AJ36" s="829"/>
      <c r="AK36" s="829"/>
    </row>
    <row r="37" spans="1:37" hidden="1">
      <c r="A37" s="829" t="str">
        <f t="shared" si="3"/>
        <v>POARR5042</v>
      </c>
      <c r="B37" s="840">
        <v>34</v>
      </c>
      <c r="C37" s="841"/>
      <c r="D37" s="828" t="s">
        <v>1681</v>
      </c>
      <c r="E37" s="828" t="s">
        <v>1720</v>
      </c>
      <c r="F37" s="797">
        <v>5042</v>
      </c>
      <c r="G37" s="828" t="s">
        <v>1695</v>
      </c>
      <c r="H37" s="828" t="s">
        <v>1726</v>
      </c>
      <c r="I37" s="833" t="s">
        <v>1670</v>
      </c>
      <c r="J37" s="828" t="s">
        <v>618</v>
      </c>
      <c r="K37" s="800">
        <v>5679</v>
      </c>
      <c r="L37" s="835" t="s">
        <v>1665</v>
      </c>
      <c r="M37" s="802">
        <v>46477</v>
      </c>
      <c r="N37" s="804">
        <v>45082</v>
      </c>
      <c r="O37" s="802">
        <v>46173</v>
      </c>
      <c r="P37" s="802">
        <v>46233</v>
      </c>
      <c r="Q37" s="842" t="e">
        <f>_xlfn.XLOOKUP(A37,'[1]Delivery Report'!$A:$A,'[1]Delivery Report'!$AQ:$AQ)</f>
        <v>#N/A</v>
      </c>
      <c r="R37" s="843" t="e">
        <f t="shared" si="4"/>
        <v>#N/A</v>
      </c>
      <c r="S37" s="843"/>
      <c r="T37" s="843"/>
      <c r="U37" s="844"/>
      <c r="V37" s="805">
        <f t="shared" si="5"/>
        <v>0.56789999999999996</v>
      </c>
      <c r="W37" s="805">
        <f>($K37*'[2]Fee Assumptions'!$D$4)/10^7</f>
        <v>0.56789999999999996</v>
      </c>
      <c r="X37" s="805"/>
      <c r="Y37" s="831" t="s">
        <v>1685</v>
      </c>
      <c r="Z37" s="831" t="s">
        <v>1685</v>
      </c>
      <c r="AA37" s="845" t="str">
        <f>IFERROR(VLOOKUP(#REF!,'[3]ID Goals 2026'!$B:$R,17,0)," ")</f>
        <v xml:space="preserve"> </v>
      </c>
      <c r="AB37" s="847"/>
      <c r="AC37" s="847"/>
      <c r="AD37" s="847"/>
      <c r="AE37" s="847"/>
      <c r="AF37" s="847"/>
      <c r="AG37" s="847"/>
      <c r="AH37" s="851"/>
      <c r="AI37" s="829"/>
      <c r="AJ37" s="829"/>
      <c r="AK37" s="829"/>
    </row>
    <row r="38" spans="1:37" hidden="1">
      <c r="A38" s="829" t="str">
        <f t="shared" si="3"/>
        <v>POARR5062</v>
      </c>
      <c r="B38" s="840">
        <v>35</v>
      </c>
      <c r="C38" s="841"/>
      <c r="D38" s="828" t="s">
        <v>1681</v>
      </c>
      <c r="E38" s="828" t="s">
        <v>1720</v>
      </c>
      <c r="F38" s="797">
        <v>5062</v>
      </c>
      <c r="G38" s="828" t="s">
        <v>1704</v>
      </c>
      <c r="H38" s="828" t="s">
        <v>1727</v>
      </c>
      <c r="I38" s="833" t="s">
        <v>1664</v>
      </c>
      <c r="J38" s="828" t="s">
        <v>6</v>
      </c>
      <c r="K38" s="800">
        <v>9760</v>
      </c>
      <c r="L38" s="835" t="s">
        <v>1665</v>
      </c>
      <c r="M38" s="802">
        <v>46477</v>
      </c>
      <c r="N38" s="804">
        <v>45680</v>
      </c>
      <c r="O38" s="802">
        <v>46203</v>
      </c>
      <c r="P38" s="802">
        <v>46264</v>
      </c>
      <c r="Q38" s="842" t="e">
        <f>_xlfn.XLOOKUP(A38,'[1]Delivery Report'!$A:$A,'[1]Delivery Report'!$AQ:$AQ)</f>
        <v>#N/A</v>
      </c>
      <c r="R38" s="843" t="e">
        <f t="shared" si="4"/>
        <v>#N/A</v>
      </c>
      <c r="S38" s="843" t="s">
        <v>1728</v>
      </c>
      <c r="T38" s="843"/>
      <c r="U38" s="844"/>
      <c r="V38" s="805">
        <f t="shared" si="5"/>
        <v>0.97599999999999998</v>
      </c>
      <c r="W38" s="805">
        <f>($K38*'[2]Fee Assumptions'!$D$4)/10^7</f>
        <v>0.97599999999999998</v>
      </c>
      <c r="X38" s="805"/>
      <c r="Y38" s="831" t="s">
        <v>1685</v>
      </c>
      <c r="Z38" s="831" t="s">
        <v>1685</v>
      </c>
      <c r="AA38" s="845" t="str">
        <f>IFERROR(VLOOKUP(#REF!,'[3]ID Goals 2026'!$B:$R,17,0)," ")</f>
        <v xml:space="preserve"> </v>
      </c>
      <c r="AB38" s="849"/>
      <c r="AC38" s="849"/>
      <c r="AD38" s="849"/>
      <c r="AE38" s="849"/>
      <c r="AF38" s="849"/>
      <c r="AG38" s="849"/>
      <c r="AH38" s="851"/>
      <c r="AI38" s="829"/>
      <c r="AJ38" s="829"/>
      <c r="AK38" s="806">
        <f>(2%*V38)+((160*K38)/10^7)</f>
        <v>0.17568</v>
      </c>
    </row>
    <row r="39" spans="1:37" hidden="1">
      <c r="A39" s="829" t="str">
        <f t="shared" si="3"/>
        <v>POARR5087</v>
      </c>
      <c r="B39" s="840">
        <v>36</v>
      </c>
      <c r="C39" s="841"/>
      <c r="D39" s="828" t="s">
        <v>1681</v>
      </c>
      <c r="E39" s="828" t="s">
        <v>1720</v>
      </c>
      <c r="F39" s="797">
        <v>5087</v>
      </c>
      <c r="G39" s="828" t="s">
        <v>1729</v>
      </c>
      <c r="H39" s="828" t="s">
        <v>1730</v>
      </c>
      <c r="I39" s="833" t="s">
        <v>1670</v>
      </c>
      <c r="J39" s="828" t="s">
        <v>618</v>
      </c>
      <c r="K39" s="800">
        <v>1384</v>
      </c>
      <c r="L39" s="835" t="s">
        <v>1665</v>
      </c>
      <c r="M39" s="802">
        <v>46477</v>
      </c>
      <c r="N39" s="804">
        <v>45614</v>
      </c>
      <c r="O39" s="802">
        <v>46233</v>
      </c>
      <c r="P39" s="802">
        <v>46264</v>
      </c>
      <c r="Q39" s="842" t="e">
        <f>_xlfn.XLOOKUP(A39,'[1]Delivery Report'!$A:$A,'[1]Delivery Report'!$AQ:$AQ)</f>
        <v>#N/A</v>
      </c>
      <c r="R39" s="843" t="e">
        <f t="shared" si="4"/>
        <v>#N/A</v>
      </c>
      <c r="S39" s="843" t="s">
        <v>1728</v>
      </c>
      <c r="T39" s="843"/>
      <c r="U39" s="844"/>
      <c r="V39" s="805">
        <f t="shared" si="5"/>
        <v>0.1384</v>
      </c>
      <c r="W39" s="805">
        <f>($K39*'[2]Fee Assumptions'!$D$4)/10^7</f>
        <v>0.1384</v>
      </c>
      <c r="X39" s="805"/>
      <c r="Y39" s="831" t="s">
        <v>1685</v>
      </c>
      <c r="Z39" s="831" t="s">
        <v>1685</v>
      </c>
      <c r="AA39" s="845" t="str">
        <f>IFERROR(VLOOKUP(#REF!,'[3]ID Goals 2026'!$B:$R,17,0)," ")</f>
        <v xml:space="preserve"> </v>
      </c>
      <c r="AB39" s="850"/>
      <c r="AC39" s="850"/>
      <c r="AD39" s="850"/>
      <c r="AE39" s="850"/>
      <c r="AF39" s="850"/>
      <c r="AG39" s="850"/>
      <c r="AH39" s="851"/>
      <c r="AI39" s="829"/>
      <c r="AJ39" s="829"/>
      <c r="AK39" s="829"/>
    </row>
    <row r="40" spans="1:37" hidden="1">
      <c r="A40" s="829" t="str">
        <f t="shared" si="3"/>
        <v>POARR5102</v>
      </c>
      <c r="B40" s="840">
        <v>37</v>
      </c>
      <c r="C40" s="841"/>
      <c r="D40" s="828" t="s">
        <v>1681</v>
      </c>
      <c r="E40" s="828" t="s">
        <v>1720</v>
      </c>
      <c r="F40" s="797">
        <v>5102</v>
      </c>
      <c r="G40" s="828" t="s">
        <v>1699</v>
      </c>
      <c r="H40" s="828" t="s">
        <v>1731</v>
      </c>
      <c r="I40" s="833" t="s">
        <v>1670</v>
      </c>
      <c r="J40" s="828" t="s">
        <v>618</v>
      </c>
      <c r="K40" s="800">
        <v>4100</v>
      </c>
      <c r="L40" s="835" t="s">
        <v>1665</v>
      </c>
      <c r="M40" s="802">
        <v>47118</v>
      </c>
      <c r="N40" s="804">
        <v>45956</v>
      </c>
      <c r="O40" s="802">
        <v>46265</v>
      </c>
      <c r="P40" s="802">
        <v>46295</v>
      </c>
      <c r="Q40" s="842" t="e">
        <f>_xlfn.XLOOKUP(A40,'[1]Delivery Report'!$A:$A,'[1]Delivery Report'!$AQ:$AQ)</f>
        <v>#N/A</v>
      </c>
      <c r="R40" s="843" t="e">
        <f t="shared" si="4"/>
        <v>#N/A</v>
      </c>
      <c r="S40" s="843"/>
      <c r="T40" s="843"/>
      <c r="U40" s="844"/>
      <c r="V40" s="805">
        <f t="shared" si="5"/>
        <v>0.41</v>
      </c>
      <c r="W40" s="805">
        <f>($K40*'[2]Fee Assumptions'!$D$4)/10^7</f>
        <v>0.41</v>
      </c>
      <c r="X40" s="805"/>
      <c r="Y40" s="831" t="s">
        <v>1685</v>
      </c>
      <c r="Z40" s="831" t="s">
        <v>1685</v>
      </c>
      <c r="AA40" s="845" t="str">
        <f>IFERROR(VLOOKUP(#REF!,'[3]ID Goals 2026'!$B:$R,17,0)," ")</f>
        <v xml:space="preserve"> </v>
      </c>
      <c r="AB40" s="850"/>
      <c r="AC40" s="850"/>
      <c r="AD40" s="850"/>
      <c r="AE40" s="850"/>
      <c r="AF40" s="850"/>
      <c r="AG40" s="850"/>
      <c r="AH40" s="851"/>
      <c r="AI40" s="829"/>
      <c r="AJ40" s="829"/>
      <c r="AK40" s="829"/>
    </row>
    <row r="41" spans="1:37" hidden="1">
      <c r="A41" s="829" t="str">
        <f t="shared" si="3"/>
        <v>POARR5103</v>
      </c>
      <c r="B41" s="840">
        <v>38</v>
      </c>
      <c r="C41" s="841"/>
      <c r="D41" s="828" t="s">
        <v>1681</v>
      </c>
      <c r="E41" s="828" t="s">
        <v>1720</v>
      </c>
      <c r="F41" s="797">
        <v>5103</v>
      </c>
      <c r="G41" s="828" t="s">
        <v>1712</v>
      </c>
      <c r="H41" s="828" t="s">
        <v>1732</v>
      </c>
      <c r="I41" s="833" t="s">
        <v>1670</v>
      </c>
      <c r="J41" s="828" t="s">
        <v>618</v>
      </c>
      <c r="K41" s="800">
        <v>2753</v>
      </c>
      <c r="L41" s="835" t="s">
        <v>1665</v>
      </c>
      <c r="M41" s="802">
        <v>46477</v>
      </c>
      <c r="N41" s="804">
        <v>45225</v>
      </c>
      <c r="O41" s="802">
        <v>46173</v>
      </c>
      <c r="P41" s="802">
        <v>46233</v>
      </c>
      <c r="Q41" s="842" t="e">
        <f>_xlfn.XLOOKUP(A41,'[1]Delivery Report'!$A:$A,'[1]Delivery Report'!$AQ:$AQ)</f>
        <v>#N/A</v>
      </c>
      <c r="R41" s="843" t="e">
        <f t="shared" si="4"/>
        <v>#N/A</v>
      </c>
      <c r="S41" s="843"/>
      <c r="T41" s="843"/>
      <c r="U41" s="844"/>
      <c r="V41" s="805">
        <f t="shared" si="5"/>
        <v>0.27529999999999999</v>
      </c>
      <c r="W41" s="805">
        <f>($K41*'[2]Fee Assumptions'!$D$4)/10^7</f>
        <v>0.27529999999999999</v>
      </c>
      <c r="X41" s="805"/>
      <c r="Y41" s="831" t="s">
        <v>1685</v>
      </c>
      <c r="Z41" s="831" t="s">
        <v>1685</v>
      </c>
      <c r="AA41" s="845" t="str">
        <f>IFERROR(VLOOKUP(#REF!,'[3]ID Goals 2026'!$B:$R,17,0)," ")</f>
        <v xml:space="preserve"> </v>
      </c>
      <c r="AB41" s="850"/>
      <c r="AC41" s="850"/>
      <c r="AD41" s="850"/>
      <c r="AE41" s="850"/>
      <c r="AF41" s="850"/>
      <c r="AG41" s="850"/>
      <c r="AH41" s="851"/>
      <c r="AI41" s="829"/>
      <c r="AJ41" s="829"/>
      <c r="AK41" s="829"/>
    </row>
    <row r="42" spans="1:37" hidden="1">
      <c r="A42" s="829" t="str">
        <f t="shared" si="3"/>
        <v>POARR5112</v>
      </c>
      <c r="B42" s="840">
        <v>39</v>
      </c>
      <c r="C42" s="841"/>
      <c r="D42" s="828" t="s">
        <v>1681</v>
      </c>
      <c r="E42" s="828" t="s">
        <v>1720</v>
      </c>
      <c r="F42" s="797">
        <v>5112</v>
      </c>
      <c r="G42" s="828" t="s">
        <v>1699</v>
      </c>
      <c r="H42" s="828" t="s">
        <v>1733</v>
      </c>
      <c r="I42" s="833" t="s">
        <v>1670</v>
      </c>
      <c r="J42" s="828" t="s">
        <v>618</v>
      </c>
      <c r="K42" s="800">
        <v>4100</v>
      </c>
      <c r="L42" s="835" t="s">
        <v>1665</v>
      </c>
      <c r="M42" s="802">
        <v>46477</v>
      </c>
      <c r="N42" s="804">
        <v>45497</v>
      </c>
      <c r="O42" s="802" t="e">
        <f>_xlfn.XLOOKUP(A42,'[1]Delivery Report'!$A:$A,'[1]Delivery Report'!$AA:$AA)</f>
        <v>#N/A</v>
      </c>
      <c r="P42" s="802">
        <v>46233</v>
      </c>
      <c r="Q42" s="842" t="e">
        <f>_xlfn.XLOOKUP(A42,'[1]Delivery Report'!$A:$A,'[1]Delivery Report'!$AQ:$AQ)</f>
        <v>#N/A</v>
      </c>
      <c r="R42" s="843" t="e">
        <f t="shared" si="4"/>
        <v>#N/A</v>
      </c>
      <c r="S42" s="843"/>
      <c r="T42" s="843"/>
      <c r="U42" s="844"/>
      <c r="V42" s="805">
        <f t="shared" si="5"/>
        <v>0.41</v>
      </c>
      <c r="W42" s="805">
        <f>($K42*'[2]Fee Assumptions'!$D$4)/10^7</f>
        <v>0.41</v>
      </c>
      <c r="X42" s="805"/>
      <c r="Y42" s="831" t="s">
        <v>1685</v>
      </c>
      <c r="Z42" s="831" t="s">
        <v>1685</v>
      </c>
      <c r="AA42" s="845" t="str">
        <f>IFERROR(VLOOKUP(#REF!,'[3]ID Goals 2026'!$B:$R,17,0)," ")</f>
        <v xml:space="preserve"> </v>
      </c>
      <c r="AB42" s="850"/>
      <c r="AC42" s="850"/>
      <c r="AD42" s="850"/>
      <c r="AE42" s="850"/>
      <c r="AF42" s="850"/>
      <c r="AG42" s="850"/>
      <c r="AH42" s="851"/>
      <c r="AI42" s="829"/>
      <c r="AJ42" s="829"/>
      <c r="AK42" s="829"/>
    </row>
    <row r="43" spans="1:37" hidden="1">
      <c r="A43" s="829" t="str">
        <f t="shared" si="3"/>
        <v>POARR5121</v>
      </c>
      <c r="B43" s="840">
        <v>40</v>
      </c>
      <c r="C43" s="841"/>
      <c r="D43" s="828" t="s">
        <v>1681</v>
      </c>
      <c r="E43" s="828" t="s">
        <v>1720</v>
      </c>
      <c r="F43" s="797">
        <v>5121</v>
      </c>
      <c r="G43" s="828" t="s">
        <v>1699</v>
      </c>
      <c r="H43" s="828" t="s">
        <v>1734</v>
      </c>
      <c r="I43" s="833" t="s">
        <v>1670</v>
      </c>
      <c r="J43" s="828" t="s">
        <v>618</v>
      </c>
      <c r="K43" s="800">
        <v>4100</v>
      </c>
      <c r="L43" s="835" t="s">
        <v>1665</v>
      </c>
      <c r="M43" s="802">
        <v>46477</v>
      </c>
      <c r="N43" s="804">
        <v>45305</v>
      </c>
      <c r="O43" s="802" t="e">
        <f>_xlfn.XLOOKUP(A43,'[1]Delivery Report'!$A:$A,'[1]Delivery Report'!$AA:$AA)</f>
        <v>#N/A</v>
      </c>
      <c r="P43" s="802">
        <v>46233</v>
      </c>
      <c r="Q43" s="842" t="e">
        <f>_xlfn.XLOOKUP(A43,'[1]Delivery Report'!$A:$A,'[1]Delivery Report'!$AQ:$AQ)</f>
        <v>#N/A</v>
      </c>
      <c r="R43" s="843" t="e">
        <f t="shared" si="4"/>
        <v>#N/A</v>
      </c>
      <c r="S43" s="843"/>
      <c r="T43" s="843"/>
      <c r="U43" s="844"/>
      <c r="V43" s="805">
        <f t="shared" si="5"/>
        <v>0.41</v>
      </c>
      <c r="W43" s="805">
        <f>($K43*'[2]Fee Assumptions'!$D$4)/10^7</f>
        <v>0.41</v>
      </c>
      <c r="X43" s="805"/>
      <c r="Y43" s="831"/>
      <c r="Z43" s="831"/>
      <c r="AA43" s="845" t="str">
        <f>IFERROR(VLOOKUP(#REF!,'[3]ID Goals 2026'!$B:$R,17,0)," ")</f>
        <v xml:space="preserve"> </v>
      </c>
      <c r="AB43" s="850"/>
      <c r="AC43" s="850"/>
      <c r="AD43" s="850"/>
      <c r="AE43" s="850"/>
      <c r="AF43" s="850"/>
      <c r="AG43" s="850"/>
      <c r="AH43" s="851"/>
      <c r="AI43" s="829"/>
      <c r="AJ43" s="829"/>
      <c r="AK43" s="829"/>
    </row>
    <row r="44" spans="1:37" hidden="1">
      <c r="A44" s="829" t="str">
        <f t="shared" si="3"/>
        <v>POARR5122</v>
      </c>
      <c r="B44" s="840">
        <v>41</v>
      </c>
      <c r="C44" s="841"/>
      <c r="D44" s="828" t="s">
        <v>1681</v>
      </c>
      <c r="E44" s="828" t="s">
        <v>1720</v>
      </c>
      <c r="F44" s="797">
        <v>5122</v>
      </c>
      <c r="G44" s="828" t="s">
        <v>1699</v>
      </c>
      <c r="H44" s="828" t="s">
        <v>1735</v>
      </c>
      <c r="I44" s="833" t="s">
        <v>1670</v>
      </c>
      <c r="J44" s="828" t="s">
        <v>618</v>
      </c>
      <c r="K44" s="800">
        <v>4100</v>
      </c>
      <c r="L44" s="835" t="s">
        <v>1665</v>
      </c>
      <c r="M44" s="802">
        <v>46934</v>
      </c>
      <c r="N44" s="804">
        <v>45944</v>
      </c>
      <c r="O44" s="802">
        <v>46265</v>
      </c>
      <c r="P44" s="802">
        <v>46295</v>
      </c>
      <c r="Q44" s="842" t="e">
        <f>_xlfn.XLOOKUP(A44,'[1]Delivery Report'!$A:$A,'[1]Delivery Report'!$AQ:$AQ)</f>
        <v>#N/A</v>
      </c>
      <c r="R44" s="843" t="e">
        <f t="shared" si="4"/>
        <v>#N/A</v>
      </c>
      <c r="S44" s="843"/>
      <c r="T44" s="843"/>
      <c r="U44" s="844"/>
      <c r="V44" s="805">
        <f t="shared" si="5"/>
        <v>0.41</v>
      </c>
      <c r="W44" s="805">
        <f>($K44*'[2]Fee Assumptions'!$D$4)/10^7</f>
        <v>0.41</v>
      </c>
      <c r="X44" s="805"/>
      <c r="Y44" s="831"/>
      <c r="Z44" s="831"/>
      <c r="AA44" s="845" t="str">
        <f>IFERROR(VLOOKUP(#REF!,'[3]ID Goals 2026'!$B:$R,17,0)," ")</f>
        <v xml:space="preserve"> </v>
      </c>
      <c r="AB44" s="850"/>
      <c r="AC44" s="850"/>
      <c r="AD44" s="850"/>
      <c r="AE44" s="850"/>
      <c r="AF44" s="850"/>
      <c r="AG44" s="850"/>
      <c r="AH44" s="851"/>
      <c r="AI44" s="829"/>
      <c r="AJ44" s="829"/>
      <c r="AK44" s="829"/>
    </row>
    <row r="45" spans="1:37" hidden="1">
      <c r="A45" s="848" t="str">
        <f t="shared" si="3"/>
        <v>POARR5131</v>
      </c>
      <c r="B45" s="840">
        <v>42</v>
      </c>
      <c r="C45" s="841"/>
      <c r="D45" s="828" t="s">
        <v>1681</v>
      </c>
      <c r="E45" s="828" t="s">
        <v>1720</v>
      </c>
      <c r="F45" s="797">
        <v>5131</v>
      </c>
      <c r="G45" s="828" t="s">
        <v>1699</v>
      </c>
      <c r="H45" s="828" t="s">
        <v>1736</v>
      </c>
      <c r="I45" s="833" t="s">
        <v>1670</v>
      </c>
      <c r="J45" s="828" t="s">
        <v>618</v>
      </c>
      <c r="K45" s="800">
        <v>4100</v>
      </c>
      <c r="L45" s="835" t="s">
        <v>1665</v>
      </c>
      <c r="M45" s="802">
        <v>46477</v>
      </c>
      <c r="N45" s="804">
        <v>45613</v>
      </c>
      <c r="O45" s="802" t="e">
        <f>_xlfn.XLOOKUP(A45,'[1]Delivery Report'!$A:$A,'[1]Delivery Report'!$AA:$AA)</f>
        <v>#N/A</v>
      </c>
      <c r="P45" s="802">
        <v>46233</v>
      </c>
      <c r="Q45" s="842" t="e">
        <f>_xlfn.XLOOKUP(A45,'[1]Delivery Report'!$A:$A,'[1]Delivery Report'!$AQ:$AQ)</f>
        <v>#N/A</v>
      </c>
      <c r="R45" s="843" t="e">
        <f t="shared" si="4"/>
        <v>#N/A</v>
      </c>
      <c r="S45" s="843"/>
      <c r="T45" s="843"/>
      <c r="U45" s="844"/>
      <c r="V45" s="805">
        <f t="shared" si="5"/>
        <v>0.41</v>
      </c>
      <c r="W45" s="805">
        <f>($K45*'[2]Fee Assumptions'!$D$4)/10^7</f>
        <v>0.41</v>
      </c>
      <c r="X45" s="805"/>
      <c r="Y45" s="831"/>
      <c r="Z45" s="831"/>
      <c r="AA45" s="845" t="str">
        <f>IFERROR(VLOOKUP(#REF!,'[3]ID Goals 2026'!$B:$R,17,0)," ")</f>
        <v xml:space="preserve"> </v>
      </c>
      <c r="AB45" s="847"/>
      <c r="AC45" s="847"/>
      <c r="AD45" s="847"/>
      <c r="AE45" s="847"/>
      <c r="AF45" s="847"/>
      <c r="AG45" s="847"/>
      <c r="AH45" s="851"/>
      <c r="AI45" s="829"/>
      <c r="AJ45" s="829"/>
      <c r="AK45" s="829"/>
    </row>
    <row r="46" spans="1:37" hidden="1">
      <c r="A46" s="829" t="str">
        <f t="shared" si="3"/>
        <v>POARR5132</v>
      </c>
      <c r="B46" s="840">
        <v>43</v>
      </c>
      <c r="C46" s="841"/>
      <c r="D46" s="828" t="s">
        <v>1681</v>
      </c>
      <c r="E46" s="828" t="s">
        <v>1720</v>
      </c>
      <c r="F46" s="797">
        <v>5132</v>
      </c>
      <c r="G46" s="828" t="s">
        <v>1699</v>
      </c>
      <c r="H46" s="828" t="s">
        <v>1737</v>
      </c>
      <c r="I46" s="833" t="s">
        <v>1670</v>
      </c>
      <c r="J46" s="828" t="s">
        <v>618</v>
      </c>
      <c r="K46" s="800">
        <v>4100</v>
      </c>
      <c r="L46" s="835" t="s">
        <v>1665</v>
      </c>
      <c r="M46" s="802">
        <v>46477</v>
      </c>
      <c r="N46" s="804">
        <v>45676</v>
      </c>
      <c r="O46" s="802" t="e">
        <f>_xlfn.XLOOKUP(A46,'[1]Delivery Report'!$A:$A,'[1]Delivery Report'!$AA:$AA)</f>
        <v>#N/A</v>
      </c>
      <c r="P46" s="802">
        <v>46233</v>
      </c>
      <c r="Q46" s="842" t="e">
        <f>_xlfn.XLOOKUP(A46,'[1]Delivery Report'!$A:$A,'[1]Delivery Report'!$AQ:$AQ)</f>
        <v>#N/A</v>
      </c>
      <c r="R46" s="843" t="e">
        <f t="shared" si="4"/>
        <v>#N/A</v>
      </c>
      <c r="S46" s="843"/>
      <c r="T46" s="843"/>
      <c r="U46" s="844"/>
      <c r="V46" s="805">
        <f t="shared" si="5"/>
        <v>0.41</v>
      </c>
      <c r="W46" s="805">
        <f>($K46*'[2]Fee Assumptions'!$D$4)/10^7</f>
        <v>0.41</v>
      </c>
      <c r="X46" s="805"/>
      <c r="Y46" s="831" t="s">
        <v>1685</v>
      </c>
      <c r="Z46" s="831" t="s">
        <v>1685</v>
      </c>
      <c r="AA46" s="845" t="str">
        <f>IFERROR(VLOOKUP(#REF!,'[3]ID Goals 2026'!$B:$R,17,0)," ")</f>
        <v xml:space="preserve"> </v>
      </c>
      <c r="AB46" s="850"/>
      <c r="AC46" s="850"/>
      <c r="AD46" s="850"/>
      <c r="AE46" s="850"/>
      <c r="AF46" s="850"/>
      <c r="AG46" s="850"/>
      <c r="AH46" s="851"/>
      <c r="AI46" s="829"/>
      <c r="AJ46" s="829"/>
      <c r="AK46" s="829"/>
    </row>
    <row r="47" spans="1:37" hidden="1">
      <c r="A47" s="829" t="str">
        <f t="shared" si="3"/>
        <v>POARR5152</v>
      </c>
      <c r="B47" s="840">
        <v>44</v>
      </c>
      <c r="C47" s="841"/>
      <c r="D47" s="828" t="s">
        <v>1681</v>
      </c>
      <c r="E47" s="828" t="s">
        <v>1720</v>
      </c>
      <c r="F47" s="797">
        <v>5152</v>
      </c>
      <c r="G47" s="828" t="s">
        <v>1699</v>
      </c>
      <c r="H47" s="828" t="s">
        <v>1738</v>
      </c>
      <c r="I47" s="833" t="s">
        <v>1670</v>
      </c>
      <c r="J47" s="828" t="s">
        <v>618</v>
      </c>
      <c r="K47" s="800">
        <v>4100</v>
      </c>
      <c r="L47" s="835" t="s">
        <v>1665</v>
      </c>
      <c r="M47" s="802">
        <v>46477</v>
      </c>
      <c r="N47" s="804">
        <v>45943</v>
      </c>
      <c r="O47" s="802">
        <v>46264</v>
      </c>
      <c r="P47" s="802">
        <v>46295</v>
      </c>
      <c r="Q47" s="842" t="e">
        <f>_xlfn.XLOOKUP(A47,'[1]Delivery Report'!$A:$A,'[1]Delivery Report'!$AQ:$AQ)</f>
        <v>#N/A</v>
      </c>
      <c r="R47" s="843" t="e">
        <f t="shared" si="4"/>
        <v>#N/A</v>
      </c>
      <c r="S47" s="843"/>
      <c r="T47" s="843"/>
      <c r="U47" s="844"/>
      <c r="V47" s="805">
        <f t="shared" si="5"/>
        <v>0.41</v>
      </c>
      <c r="W47" s="805">
        <f>($K47*'[2]Fee Assumptions'!$D$4)/10^7</f>
        <v>0.41</v>
      </c>
      <c r="X47" s="805"/>
      <c r="Y47" s="831"/>
      <c r="Z47" s="831"/>
      <c r="AA47" s="845" t="str">
        <f>IFERROR(VLOOKUP(#REF!,'[3]ID Goals 2026'!$B:$R,17,0)," ")</f>
        <v xml:space="preserve"> </v>
      </c>
      <c r="AB47" s="850"/>
      <c r="AC47" s="850"/>
      <c r="AD47" s="850"/>
      <c r="AE47" s="850"/>
      <c r="AF47" s="850"/>
      <c r="AG47" s="850"/>
      <c r="AH47" s="851"/>
      <c r="AI47" s="829"/>
      <c r="AJ47" s="829"/>
      <c r="AK47" s="829"/>
    </row>
    <row r="48" spans="1:37" hidden="1">
      <c r="A48" s="829" t="str">
        <f t="shared" si="3"/>
        <v>POARR5182</v>
      </c>
      <c r="B48" s="840">
        <v>45</v>
      </c>
      <c r="C48" s="841"/>
      <c r="D48" s="828" t="s">
        <v>1681</v>
      </c>
      <c r="E48" s="828" t="s">
        <v>1720</v>
      </c>
      <c r="F48" s="797">
        <v>5182</v>
      </c>
      <c r="G48" s="828" t="s">
        <v>1699</v>
      </c>
      <c r="H48" s="828" t="s">
        <v>1739</v>
      </c>
      <c r="I48" s="833" t="s">
        <v>1670</v>
      </c>
      <c r="J48" s="828" t="s">
        <v>618</v>
      </c>
      <c r="K48" s="800">
        <v>4100</v>
      </c>
      <c r="L48" s="835" t="s">
        <v>1665</v>
      </c>
      <c r="M48" s="802">
        <v>46477</v>
      </c>
      <c r="N48" s="804">
        <v>45665</v>
      </c>
      <c r="O48" s="802" t="e">
        <f>_xlfn.XLOOKUP(A48,'[1]Delivery Report'!$A:$A,'[1]Delivery Report'!$AA:$AA)</f>
        <v>#N/A</v>
      </c>
      <c r="P48" s="802">
        <v>46233</v>
      </c>
      <c r="Q48" s="842" t="e">
        <f>_xlfn.XLOOKUP(A48,'[1]Delivery Report'!$A:$A,'[1]Delivery Report'!$AQ:$AQ)</f>
        <v>#N/A</v>
      </c>
      <c r="R48" s="843" t="e">
        <f t="shared" si="4"/>
        <v>#N/A</v>
      </c>
      <c r="S48" s="843"/>
      <c r="T48" s="843"/>
      <c r="U48" s="844"/>
      <c r="V48" s="805">
        <f t="shared" si="5"/>
        <v>0.41</v>
      </c>
      <c r="W48" s="805">
        <f>($K48*'[2]Fee Assumptions'!$D$4)/10^7</f>
        <v>0.41</v>
      </c>
      <c r="X48" s="805"/>
      <c r="Y48" s="831" t="s">
        <v>1685</v>
      </c>
      <c r="Z48" s="831" t="s">
        <v>1685</v>
      </c>
      <c r="AA48" s="845" t="str">
        <f>IFERROR(VLOOKUP(#REF!,'[3]ID Goals 2026'!$B:$R,17,0)," ")</f>
        <v xml:space="preserve"> </v>
      </c>
      <c r="AB48" s="850"/>
      <c r="AC48" s="850"/>
      <c r="AD48" s="850"/>
      <c r="AE48" s="850"/>
      <c r="AF48" s="850"/>
      <c r="AG48" s="850"/>
      <c r="AH48" s="851"/>
      <c r="AI48" s="829"/>
      <c r="AJ48" s="829"/>
      <c r="AK48" s="829"/>
    </row>
    <row r="49" spans="1:27" hidden="1">
      <c r="A49" s="829" t="str">
        <f t="shared" si="3"/>
        <v>POARR5192</v>
      </c>
      <c r="B49" s="840">
        <v>46</v>
      </c>
      <c r="C49" s="841"/>
      <c r="D49" s="828" t="s">
        <v>1681</v>
      </c>
      <c r="E49" s="828" t="s">
        <v>1720</v>
      </c>
      <c r="F49" s="797">
        <v>5192</v>
      </c>
      <c r="G49" s="828" t="s">
        <v>1699</v>
      </c>
      <c r="H49" s="828" t="s">
        <v>1740</v>
      </c>
      <c r="I49" s="833" t="s">
        <v>1670</v>
      </c>
      <c r="J49" s="828" t="s">
        <v>618</v>
      </c>
      <c r="K49" s="800">
        <v>4100</v>
      </c>
      <c r="L49" s="835" t="s">
        <v>1665</v>
      </c>
      <c r="M49" s="802">
        <v>46477</v>
      </c>
      <c r="N49" s="804">
        <v>45334</v>
      </c>
      <c r="O49" s="802" t="e">
        <f>_xlfn.XLOOKUP(A49,'[1]Delivery Report'!$A:$A,'[1]Delivery Report'!$AA:$AA)</f>
        <v>#N/A</v>
      </c>
      <c r="P49" s="802">
        <v>46233</v>
      </c>
      <c r="Q49" s="842" t="e">
        <f>_xlfn.XLOOKUP(A49,'[1]Delivery Report'!$A:$A,'[1]Delivery Report'!$AQ:$AQ)</f>
        <v>#N/A</v>
      </c>
      <c r="R49" s="843" t="e">
        <f t="shared" si="4"/>
        <v>#N/A</v>
      </c>
      <c r="S49" s="843"/>
      <c r="T49" s="843"/>
      <c r="U49" s="844"/>
      <c r="V49" s="805">
        <f t="shared" si="5"/>
        <v>0.41</v>
      </c>
      <c r="W49" s="805">
        <f>($K49*'[2]Fee Assumptions'!$D$4)/10^7</f>
        <v>0.41</v>
      </c>
      <c r="X49" s="805"/>
      <c r="Y49" s="831" t="s">
        <v>1685</v>
      </c>
      <c r="Z49" s="831" t="s">
        <v>1685</v>
      </c>
      <c r="AA49" s="845" t="str">
        <f>IFERROR(VLOOKUP(#REF!,'[3]ID Goals 2026'!$B:$R,17,0)," ")</f>
        <v xml:space="preserve"> </v>
      </c>
    </row>
    <row r="50" spans="1:27" hidden="1">
      <c r="A50" s="829" t="str">
        <f t="shared" si="3"/>
        <v>POARR5194</v>
      </c>
      <c r="B50" s="840">
        <v>47</v>
      </c>
      <c r="C50" s="841"/>
      <c r="D50" s="828" t="s">
        <v>1681</v>
      </c>
      <c r="E50" s="828" t="s">
        <v>1720</v>
      </c>
      <c r="F50" s="797">
        <v>5194</v>
      </c>
      <c r="G50" s="828" t="s">
        <v>1712</v>
      </c>
      <c r="H50" s="828" t="s">
        <v>1741</v>
      </c>
      <c r="I50" s="833" t="s">
        <v>1670</v>
      </c>
      <c r="J50" s="828" t="s">
        <v>618</v>
      </c>
      <c r="K50" s="800">
        <v>2753</v>
      </c>
      <c r="L50" s="835" t="s">
        <v>1665</v>
      </c>
      <c r="M50" s="802">
        <v>46477</v>
      </c>
      <c r="N50" s="804">
        <v>45676</v>
      </c>
      <c r="O50" s="802">
        <v>46264</v>
      </c>
      <c r="P50" s="802">
        <v>46295</v>
      </c>
      <c r="Q50" s="842" t="e">
        <f>_xlfn.XLOOKUP(A50,'[1]Delivery Report'!$A:$A,'[1]Delivery Report'!$AQ:$AQ)</f>
        <v>#N/A</v>
      </c>
      <c r="R50" s="843" t="e">
        <f t="shared" si="4"/>
        <v>#N/A</v>
      </c>
      <c r="S50" s="843"/>
      <c r="T50" s="843"/>
      <c r="U50" s="844"/>
      <c r="V50" s="805">
        <f t="shared" si="5"/>
        <v>0.27529999999999999</v>
      </c>
      <c r="W50" s="805">
        <f>($K50*'[2]Fee Assumptions'!$D$4)/10^7</f>
        <v>0.27529999999999999</v>
      </c>
      <c r="X50" s="805"/>
      <c r="Y50" s="831"/>
      <c r="Z50" s="831"/>
      <c r="AA50" s="845" t="str">
        <f>IFERROR(VLOOKUP(#REF!,'[3]ID Goals 2026'!$B:$R,17,0)," ")</f>
        <v xml:space="preserve"> </v>
      </c>
    </row>
    <row r="51" spans="1:27" hidden="1">
      <c r="A51" s="829" t="str">
        <f t="shared" si="3"/>
        <v>POARR5201</v>
      </c>
      <c r="B51" s="840">
        <v>48</v>
      </c>
      <c r="C51" s="841"/>
      <c r="D51" s="828" t="s">
        <v>1681</v>
      </c>
      <c r="E51" s="828" t="s">
        <v>1720</v>
      </c>
      <c r="F51" s="797">
        <v>5201</v>
      </c>
      <c r="G51" s="828" t="s">
        <v>1699</v>
      </c>
      <c r="H51" s="828" t="s">
        <v>1742</v>
      </c>
      <c r="I51" s="833" t="s">
        <v>1670</v>
      </c>
      <c r="J51" s="828" t="s">
        <v>618</v>
      </c>
      <c r="K51" s="800">
        <v>4100</v>
      </c>
      <c r="L51" s="835" t="s">
        <v>1665</v>
      </c>
      <c r="M51" s="802">
        <v>46477</v>
      </c>
      <c r="N51" s="804">
        <v>45676</v>
      </c>
      <c r="O51" s="802">
        <v>46264</v>
      </c>
      <c r="P51" s="802">
        <v>46295</v>
      </c>
      <c r="Q51" s="842" t="e">
        <f>_xlfn.XLOOKUP(A51,'[1]Delivery Report'!$A:$A,'[1]Delivery Report'!$AQ:$AQ)</f>
        <v>#N/A</v>
      </c>
      <c r="R51" s="843" t="e">
        <f t="shared" si="4"/>
        <v>#N/A</v>
      </c>
      <c r="S51" s="843"/>
      <c r="T51" s="843"/>
      <c r="U51" s="844"/>
      <c r="V51" s="805">
        <f t="shared" si="5"/>
        <v>0.41</v>
      </c>
      <c r="W51" s="805">
        <f>($K51*'[2]Fee Assumptions'!$D$4)/10^7</f>
        <v>0.41</v>
      </c>
      <c r="X51" s="805"/>
      <c r="Y51" s="831" t="s">
        <v>1685</v>
      </c>
      <c r="Z51" s="831" t="s">
        <v>1685</v>
      </c>
      <c r="AA51" s="845" t="str">
        <f>IFERROR(VLOOKUP(#REF!,'[3]ID Goals 2026'!$B:$R,17,0)," ")</f>
        <v xml:space="preserve"> </v>
      </c>
    </row>
    <row r="52" spans="1:27" hidden="1">
      <c r="A52" s="829" t="str">
        <f t="shared" si="3"/>
        <v>POARR5202</v>
      </c>
      <c r="B52" s="840">
        <v>49</v>
      </c>
      <c r="C52" s="841"/>
      <c r="D52" s="828" t="s">
        <v>1681</v>
      </c>
      <c r="E52" s="828" t="s">
        <v>1720</v>
      </c>
      <c r="F52" s="797">
        <v>5202</v>
      </c>
      <c r="G52" s="828" t="s">
        <v>1699</v>
      </c>
      <c r="H52" s="828" t="s">
        <v>1743</v>
      </c>
      <c r="I52" s="833" t="s">
        <v>1670</v>
      </c>
      <c r="J52" s="828" t="s">
        <v>618</v>
      </c>
      <c r="K52" s="800">
        <v>4100</v>
      </c>
      <c r="L52" s="835" t="s">
        <v>1665</v>
      </c>
      <c r="M52" s="802">
        <v>46477</v>
      </c>
      <c r="N52" s="804">
        <v>45668</v>
      </c>
      <c r="O52" s="802">
        <v>46264</v>
      </c>
      <c r="P52" s="802">
        <v>46295</v>
      </c>
      <c r="Q52" s="842" t="e">
        <f>_xlfn.XLOOKUP(A52,'[1]Delivery Report'!$A:$A,'[1]Delivery Report'!$AQ:$AQ)</f>
        <v>#N/A</v>
      </c>
      <c r="R52" s="843" t="e">
        <f t="shared" si="4"/>
        <v>#N/A</v>
      </c>
      <c r="S52" s="843"/>
      <c r="T52" s="843"/>
      <c r="U52" s="844"/>
      <c r="V52" s="805">
        <f t="shared" si="5"/>
        <v>0.41</v>
      </c>
      <c r="W52" s="805">
        <f>($K52*'[2]Fee Assumptions'!$D$4)/10^7</f>
        <v>0.41</v>
      </c>
      <c r="X52" s="805"/>
      <c r="Y52" s="831" t="s">
        <v>1685</v>
      </c>
      <c r="Z52" s="831" t="s">
        <v>1685</v>
      </c>
      <c r="AA52" s="845" t="str">
        <f>IFERROR(VLOOKUP(#REF!,'[3]ID Goals 2026'!$B:$R,17,0)," ")</f>
        <v xml:space="preserve"> </v>
      </c>
    </row>
    <row r="53" spans="1:27" hidden="1">
      <c r="A53" s="829" t="str">
        <f t="shared" si="3"/>
        <v>POARR5221</v>
      </c>
      <c r="B53" s="840">
        <v>50</v>
      </c>
      <c r="C53" s="841"/>
      <c r="D53" s="828" t="s">
        <v>1681</v>
      </c>
      <c r="E53" s="828" t="s">
        <v>1720</v>
      </c>
      <c r="F53" s="797">
        <v>5221</v>
      </c>
      <c r="G53" s="828" t="s">
        <v>1699</v>
      </c>
      <c r="H53" s="828" t="s">
        <v>1744</v>
      </c>
      <c r="I53" s="833" t="s">
        <v>1670</v>
      </c>
      <c r="J53" s="828" t="s">
        <v>618</v>
      </c>
      <c r="K53" s="800">
        <v>4100</v>
      </c>
      <c r="L53" s="835" t="s">
        <v>1665</v>
      </c>
      <c r="M53" s="802">
        <v>46934</v>
      </c>
      <c r="N53" s="804">
        <v>45729</v>
      </c>
      <c r="O53" s="802">
        <v>46173</v>
      </c>
      <c r="P53" s="802">
        <v>46233</v>
      </c>
      <c r="Q53" s="842" t="e">
        <f>_xlfn.XLOOKUP(A53,'[1]Delivery Report'!$A:$A,'[1]Delivery Report'!$AQ:$AQ)</f>
        <v>#N/A</v>
      </c>
      <c r="R53" s="843" t="e">
        <f t="shared" si="4"/>
        <v>#N/A</v>
      </c>
      <c r="S53" s="843"/>
      <c r="T53" s="843"/>
      <c r="U53" s="844"/>
      <c r="V53" s="805">
        <f t="shared" si="5"/>
        <v>0.41</v>
      </c>
      <c r="W53" s="805">
        <f>($K53*'[2]Fee Assumptions'!$D$4)/10^7</f>
        <v>0.41</v>
      </c>
      <c r="X53" s="805"/>
      <c r="Y53" s="831"/>
      <c r="Z53" s="831"/>
      <c r="AA53" s="845" t="str">
        <f>IFERROR(VLOOKUP(#REF!,'[3]ID Goals 2026'!$B:$R,17,0)," ")</f>
        <v xml:space="preserve"> </v>
      </c>
    </row>
    <row r="54" spans="1:27" hidden="1">
      <c r="A54" s="829" t="str">
        <f t="shared" si="3"/>
        <v>POARR5224</v>
      </c>
      <c r="B54" s="840">
        <v>51</v>
      </c>
      <c r="C54" s="841"/>
      <c r="D54" s="828" t="s">
        <v>1681</v>
      </c>
      <c r="E54" s="828" t="s">
        <v>1720</v>
      </c>
      <c r="F54" s="797">
        <v>5224</v>
      </c>
      <c r="G54" s="828" t="s">
        <v>1712</v>
      </c>
      <c r="H54" s="828" t="s">
        <v>1745</v>
      </c>
      <c r="I54" s="833" t="s">
        <v>1670</v>
      </c>
      <c r="J54" s="828" t="s">
        <v>618</v>
      </c>
      <c r="K54" s="800">
        <v>2753</v>
      </c>
      <c r="L54" s="835" t="s">
        <v>1665</v>
      </c>
      <c r="M54" s="802">
        <v>46477</v>
      </c>
      <c r="N54" s="804">
        <v>45676</v>
      </c>
      <c r="O54" s="802">
        <v>46264</v>
      </c>
      <c r="P54" s="802">
        <v>46295</v>
      </c>
      <c r="Q54" s="842" t="e">
        <f>_xlfn.XLOOKUP(A54,'[1]Delivery Report'!$A:$A,'[1]Delivery Report'!$AQ:$AQ)</f>
        <v>#N/A</v>
      </c>
      <c r="R54" s="843" t="e">
        <f t="shared" si="4"/>
        <v>#N/A</v>
      </c>
      <c r="S54" s="843"/>
      <c r="T54" s="843"/>
      <c r="U54" s="844"/>
      <c r="V54" s="805">
        <f t="shared" si="5"/>
        <v>0.27529999999999999</v>
      </c>
      <c r="W54" s="805">
        <f>($K54*'[2]Fee Assumptions'!$D$4)/10^7</f>
        <v>0.27529999999999999</v>
      </c>
      <c r="X54" s="805"/>
      <c r="Y54" s="831"/>
      <c r="Z54" s="831"/>
      <c r="AA54" s="845" t="str">
        <f>IFERROR(VLOOKUP(#REF!,'[3]ID Goals 2026'!$B:$R,17,0)," ")</f>
        <v xml:space="preserve"> </v>
      </c>
    </row>
    <row r="55" spans="1:27" hidden="1">
      <c r="A55" s="829" t="str">
        <f t="shared" si="3"/>
        <v>POARR5233</v>
      </c>
      <c r="B55" s="840">
        <v>52</v>
      </c>
      <c r="C55" s="841"/>
      <c r="D55" s="828" t="s">
        <v>1681</v>
      </c>
      <c r="E55" s="828" t="s">
        <v>1720</v>
      </c>
      <c r="F55" s="797">
        <v>5233</v>
      </c>
      <c r="G55" s="828" t="s">
        <v>1712</v>
      </c>
      <c r="H55" s="828" t="s">
        <v>1746</v>
      </c>
      <c r="I55" s="833" t="s">
        <v>1670</v>
      </c>
      <c r="J55" s="828" t="s">
        <v>618</v>
      </c>
      <c r="K55" s="800">
        <v>2753</v>
      </c>
      <c r="L55" s="835" t="s">
        <v>1665</v>
      </c>
      <c r="M55" s="802">
        <v>46477</v>
      </c>
      <c r="N55" s="804">
        <v>45663</v>
      </c>
      <c r="O55" s="802">
        <v>46264</v>
      </c>
      <c r="P55" s="802">
        <v>46295</v>
      </c>
      <c r="Q55" s="842" t="e">
        <f>_xlfn.XLOOKUP(A55,'[1]Delivery Report'!$A:$A,'[1]Delivery Report'!$AQ:$AQ)</f>
        <v>#N/A</v>
      </c>
      <c r="R55" s="843" t="e">
        <f t="shared" si="4"/>
        <v>#N/A</v>
      </c>
      <c r="S55" s="843"/>
      <c r="T55" s="843"/>
      <c r="U55" s="844"/>
      <c r="V55" s="805">
        <f t="shared" si="5"/>
        <v>0.27529999999999999</v>
      </c>
      <c r="W55" s="805">
        <f>($K55*'[2]Fee Assumptions'!$D$4)/10^7</f>
        <v>0.27529999999999999</v>
      </c>
      <c r="X55" s="805"/>
      <c r="Y55" s="831"/>
      <c r="Z55" s="831"/>
      <c r="AA55" s="845" t="str">
        <f>IFERROR(VLOOKUP(#REF!,'[3]ID Goals 2026'!$B:$R,17,0)," ")</f>
        <v xml:space="preserve"> </v>
      </c>
    </row>
    <row r="56" spans="1:27" hidden="1">
      <c r="A56" s="829" t="str">
        <f t="shared" si="3"/>
        <v>POARR5262</v>
      </c>
      <c r="B56" s="840">
        <v>53</v>
      </c>
      <c r="C56" s="841"/>
      <c r="D56" s="828" t="s">
        <v>1681</v>
      </c>
      <c r="E56" s="828" t="s">
        <v>1720</v>
      </c>
      <c r="F56" s="797">
        <v>5262</v>
      </c>
      <c r="G56" s="828" t="s">
        <v>1699</v>
      </c>
      <c r="H56" s="828" t="s">
        <v>1747</v>
      </c>
      <c r="I56" s="833" t="s">
        <v>1670</v>
      </c>
      <c r="J56" s="828" t="s">
        <v>618</v>
      </c>
      <c r="K56" s="800">
        <v>4100</v>
      </c>
      <c r="L56" s="835" t="s">
        <v>1665</v>
      </c>
      <c r="M56" s="802">
        <v>46477</v>
      </c>
      <c r="N56" s="804">
        <v>45463</v>
      </c>
      <c r="O56" s="802" t="e">
        <f>_xlfn.XLOOKUP(A56,'[1]Delivery Report'!$A:$A,'[1]Delivery Report'!$AA:$AA)</f>
        <v>#N/A</v>
      </c>
      <c r="P56" s="802">
        <v>46233</v>
      </c>
      <c r="Q56" s="842" t="e">
        <f>_xlfn.XLOOKUP(A56,'[1]Delivery Report'!$A:$A,'[1]Delivery Report'!$AQ:$AQ)</f>
        <v>#N/A</v>
      </c>
      <c r="R56" s="843" t="e">
        <f t="shared" si="4"/>
        <v>#N/A</v>
      </c>
      <c r="S56" s="843"/>
      <c r="T56" s="843"/>
      <c r="U56" s="844"/>
      <c r="V56" s="805">
        <f t="shared" si="5"/>
        <v>0.41</v>
      </c>
      <c r="W56" s="805">
        <f>($K56*'[2]Fee Assumptions'!$D$4)/10^7</f>
        <v>0.41</v>
      </c>
      <c r="X56" s="805"/>
      <c r="Y56" s="831"/>
      <c r="Z56" s="831"/>
      <c r="AA56" s="845" t="str">
        <f>IFERROR(VLOOKUP(#REF!,'[3]ID Goals 2026'!$B:$R,17,0)," ")</f>
        <v xml:space="preserve"> </v>
      </c>
    </row>
    <row r="57" spans="1:27" hidden="1">
      <c r="A57" s="829" t="str">
        <f t="shared" si="3"/>
        <v>POARR5264</v>
      </c>
      <c r="B57" s="840">
        <v>54</v>
      </c>
      <c r="C57" s="841"/>
      <c r="D57" s="828" t="s">
        <v>1681</v>
      </c>
      <c r="E57" s="828" t="s">
        <v>1720</v>
      </c>
      <c r="F57" s="797">
        <v>5264</v>
      </c>
      <c r="G57" s="828" t="s">
        <v>1712</v>
      </c>
      <c r="H57" s="828" t="s">
        <v>1748</v>
      </c>
      <c r="I57" s="833" t="s">
        <v>1670</v>
      </c>
      <c r="J57" s="828" t="s">
        <v>618</v>
      </c>
      <c r="K57" s="800">
        <v>2753</v>
      </c>
      <c r="L57" s="835" t="s">
        <v>1665</v>
      </c>
      <c r="M57" s="802">
        <v>46477</v>
      </c>
      <c r="N57" s="804">
        <v>45635</v>
      </c>
      <c r="O57" s="802">
        <v>46265</v>
      </c>
      <c r="P57" s="802">
        <v>46295</v>
      </c>
      <c r="Q57" s="842" t="e">
        <f>_xlfn.XLOOKUP(A57,'[1]Delivery Report'!$A:$A,'[1]Delivery Report'!$AQ:$AQ)</f>
        <v>#N/A</v>
      </c>
      <c r="R57" s="843" t="e">
        <f t="shared" si="4"/>
        <v>#N/A</v>
      </c>
      <c r="S57" s="843"/>
      <c r="T57" s="843"/>
      <c r="U57" s="844"/>
      <c r="V57" s="805">
        <f t="shared" si="5"/>
        <v>0.27529999999999999</v>
      </c>
      <c r="W57" s="805">
        <f>($K57*'[2]Fee Assumptions'!$D$4)/10^7</f>
        <v>0.27529999999999999</v>
      </c>
      <c r="X57" s="805"/>
      <c r="Y57" s="831"/>
      <c r="Z57" s="831" t="s">
        <v>1685</v>
      </c>
      <c r="AA57" s="845" t="str">
        <f>IFERROR(VLOOKUP(#REF!,'[3]ID Goals 2026'!$B:$R,17,0)," ")</f>
        <v xml:space="preserve"> </v>
      </c>
    </row>
    <row r="58" spans="1:27" hidden="1">
      <c r="A58" s="829" t="str">
        <f t="shared" si="3"/>
        <v>POARR5272</v>
      </c>
      <c r="B58" s="840">
        <v>55</v>
      </c>
      <c r="C58" s="841"/>
      <c r="D58" s="828" t="s">
        <v>1681</v>
      </c>
      <c r="E58" s="828" t="s">
        <v>1720</v>
      </c>
      <c r="F58" s="797">
        <v>5272</v>
      </c>
      <c r="G58" s="828" t="s">
        <v>1699</v>
      </c>
      <c r="H58" s="828" t="s">
        <v>1749</v>
      </c>
      <c r="I58" s="833" t="s">
        <v>1670</v>
      </c>
      <c r="J58" s="828" t="s">
        <v>618</v>
      </c>
      <c r="K58" s="800">
        <v>4100</v>
      </c>
      <c r="L58" s="835" t="s">
        <v>1665</v>
      </c>
      <c r="M58" s="802">
        <v>47118</v>
      </c>
      <c r="N58" s="804">
        <v>45941</v>
      </c>
      <c r="O58" s="802">
        <v>46265</v>
      </c>
      <c r="P58" s="802">
        <v>46295</v>
      </c>
      <c r="Q58" s="842" t="e">
        <f>_xlfn.XLOOKUP(A58,'[1]Delivery Report'!$A:$A,'[1]Delivery Report'!$AQ:$AQ)</f>
        <v>#N/A</v>
      </c>
      <c r="R58" s="843" t="e">
        <f t="shared" si="4"/>
        <v>#N/A</v>
      </c>
      <c r="S58" s="843"/>
      <c r="T58" s="843"/>
      <c r="U58" s="844"/>
      <c r="V58" s="805">
        <f t="shared" si="5"/>
        <v>0.41</v>
      </c>
      <c r="W58" s="805">
        <f>($K58*'[2]Fee Assumptions'!$D$4)/10^7</f>
        <v>0.41</v>
      </c>
      <c r="X58" s="805"/>
      <c r="Y58" s="831" t="s">
        <v>1685</v>
      </c>
      <c r="Z58" s="831" t="s">
        <v>1685</v>
      </c>
      <c r="AA58" s="845" t="str">
        <f>IFERROR(VLOOKUP(#REF!,'[3]ID Goals 2026'!$B:$R,17,0)," ")</f>
        <v xml:space="preserve"> </v>
      </c>
    </row>
    <row r="59" spans="1:27" hidden="1">
      <c r="A59" s="829" t="str">
        <f t="shared" si="3"/>
        <v>POARR5281</v>
      </c>
      <c r="B59" s="840">
        <v>56</v>
      </c>
      <c r="C59" s="841"/>
      <c r="D59" s="828" t="s">
        <v>1681</v>
      </c>
      <c r="E59" s="828" t="s">
        <v>1720</v>
      </c>
      <c r="F59" s="797">
        <v>5281</v>
      </c>
      <c r="G59" s="828" t="s">
        <v>1699</v>
      </c>
      <c r="H59" s="828" t="s">
        <v>1750</v>
      </c>
      <c r="I59" s="833" t="s">
        <v>1670</v>
      </c>
      <c r="J59" s="828" t="s">
        <v>618</v>
      </c>
      <c r="K59" s="800">
        <v>4100</v>
      </c>
      <c r="L59" s="835" t="s">
        <v>1665</v>
      </c>
      <c r="M59" s="802">
        <v>46477</v>
      </c>
      <c r="N59" s="804">
        <v>45667</v>
      </c>
      <c r="O59" s="802">
        <v>46264</v>
      </c>
      <c r="P59" s="802">
        <v>46295</v>
      </c>
      <c r="Q59" s="842" t="e">
        <f>_xlfn.XLOOKUP(A59,'[1]Delivery Report'!$A:$A,'[1]Delivery Report'!$AQ:$AQ)</f>
        <v>#N/A</v>
      </c>
      <c r="R59" s="843" t="e">
        <f t="shared" si="4"/>
        <v>#N/A</v>
      </c>
      <c r="S59" s="843"/>
      <c r="T59" s="843"/>
      <c r="U59" s="844"/>
      <c r="V59" s="805">
        <f t="shared" si="5"/>
        <v>0.41</v>
      </c>
      <c r="W59" s="805">
        <f>($K59*'[2]Fee Assumptions'!$D$4)/10^7</f>
        <v>0.41</v>
      </c>
      <c r="X59" s="805"/>
      <c r="Y59" s="831" t="s">
        <v>1685</v>
      </c>
      <c r="Z59" s="831" t="s">
        <v>1685</v>
      </c>
      <c r="AA59" s="845" t="str">
        <f>IFERROR(VLOOKUP(#REF!,'[3]ID Goals 2026'!$B:$R,17,0)," ")</f>
        <v xml:space="preserve"> </v>
      </c>
    </row>
    <row r="60" spans="1:27" hidden="1">
      <c r="A60" s="829" t="str">
        <f t="shared" si="3"/>
        <v>POARR5282</v>
      </c>
      <c r="B60" s="840">
        <v>57</v>
      </c>
      <c r="C60" s="841"/>
      <c r="D60" s="828" t="s">
        <v>1681</v>
      </c>
      <c r="E60" s="828" t="s">
        <v>1720</v>
      </c>
      <c r="F60" s="797">
        <v>5282</v>
      </c>
      <c r="G60" s="828" t="s">
        <v>1699</v>
      </c>
      <c r="H60" s="828" t="s">
        <v>1751</v>
      </c>
      <c r="I60" s="833" t="s">
        <v>1670</v>
      </c>
      <c r="J60" s="828" t="s">
        <v>618</v>
      </c>
      <c r="K60" s="800">
        <v>4100</v>
      </c>
      <c r="L60" s="835" t="s">
        <v>1665</v>
      </c>
      <c r="M60" s="802">
        <v>46477</v>
      </c>
      <c r="N60" s="804">
        <v>45886</v>
      </c>
      <c r="O60" s="802">
        <v>46264</v>
      </c>
      <c r="P60" s="802">
        <v>46295</v>
      </c>
      <c r="Q60" s="842" t="e">
        <f>_xlfn.XLOOKUP(A60,'[1]Delivery Report'!$A:$A,'[1]Delivery Report'!$AQ:$AQ)</f>
        <v>#N/A</v>
      </c>
      <c r="R60" s="843" t="e">
        <f t="shared" si="4"/>
        <v>#N/A</v>
      </c>
      <c r="S60" s="843"/>
      <c r="T60" s="843"/>
      <c r="U60" s="844"/>
      <c r="V60" s="805">
        <f t="shared" si="5"/>
        <v>0.41</v>
      </c>
      <c r="W60" s="805">
        <f>($K60*'[2]Fee Assumptions'!$D$4)/10^7</f>
        <v>0.41</v>
      </c>
      <c r="X60" s="805"/>
      <c r="Y60" s="831" t="s">
        <v>1685</v>
      </c>
      <c r="Z60" s="831" t="s">
        <v>1685</v>
      </c>
      <c r="AA60" s="845" t="str">
        <f>IFERROR(VLOOKUP(#REF!,'[3]ID Goals 2026'!$B:$R,17,0)," ")</f>
        <v xml:space="preserve"> </v>
      </c>
    </row>
    <row r="61" spans="1:27" hidden="1">
      <c r="A61" s="829" t="str">
        <f t="shared" si="3"/>
        <v>POARR5291</v>
      </c>
      <c r="B61" s="840">
        <v>58</v>
      </c>
      <c r="C61" s="841"/>
      <c r="D61" s="828" t="s">
        <v>1681</v>
      </c>
      <c r="E61" s="828" t="s">
        <v>1720</v>
      </c>
      <c r="F61" s="797">
        <v>5291</v>
      </c>
      <c r="G61" s="828" t="s">
        <v>1699</v>
      </c>
      <c r="H61" s="828" t="s">
        <v>1752</v>
      </c>
      <c r="I61" s="833" t="s">
        <v>1670</v>
      </c>
      <c r="J61" s="828" t="s">
        <v>618</v>
      </c>
      <c r="K61" s="800">
        <v>4100</v>
      </c>
      <c r="L61" s="835" t="s">
        <v>1665</v>
      </c>
      <c r="M61" s="802">
        <v>46477</v>
      </c>
      <c r="N61" s="804">
        <v>45676</v>
      </c>
      <c r="O61" s="802" t="e">
        <f>_xlfn.XLOOKUP(A61,'[1]Delivery Report'!$A:$A,'[1]Delivery Report'!$AA:$AA)</f>
        <v>#N/A</v>
      </c>
      <c r="P61" s="802">
        <v>46233</v>
      </c>
      <c r="Q61" s="842" t="e">
        <f>_xlfn.XLOOKUP(A61,'[1]Delivery Report'!$A:$A,'[1]Delivery Report'!$AQ:$AQ)</f>
        <v>#N/A</v>
      </c>
      <c r="R61" s="843" t="e">
        <f t="shared" si="4"/>
        <v>#N/A</v>
      </c>
      <c r="S61" s="843"/>
      <c r="T61" s="843"/>
      <c r="U61" s="844"/>
      <c r="V61" s="805">
        <f t="shared" si="5"/>
        <v>0.41</v>
      </c>
      <c r="W61" s="805">
        <f>($K61*'[2]Fee Assumptions'!$D$4)/10^7</f>
        <v>0.41</v>
      </c>
      <c r="X61" s="805"/>
      <c r="Y61" s="831"/>
      <c r="Z61" s="831"/>
      <c r="AA61" s="845" t="str">
        <f>IFERROR(VLOOKUP(#REF!,'[3]ID Goals 2026'!$B:$R,17,0)," ")</f>
        <v xml:space="preserve"> </v>
      </c>
    </row>
    <row r="62" spans="1:27" hidden="1">
      <c r="A62" s="829" t="str">
        <f t="shared" si="3"/>
        <v>POARR5303</v>
      </c>
      <c r="B62" s="840">
        <v>59</v>
      </c>
      <c r="C62" s="841"/>
      <c r="D62" s="828" t="s">
        <v>1681</v>
      </c>
      <c r="E62" s="828" t="s">
        <v>1720</v>
      </c>
      <c r="F62" s="797">
        <v>5303</v>
      </c>
      <c r="G62" s="828" t="s">
        <v>1712</v>
      </c>
      <c r="H62" s="828" t="s">
        <v>1753</v>
      </c>
      <c r="I62" s="833" t="s">
        <v>1670</v>
      </c>
      <c r="J62" s="828" t="s">
        <v>618</v>
      </c>
      <c r="K62" s="800">
        <v>2753</v>
      </c>
      <c r="L62" s="835" t="s">
        <v>1665</v>
      </c>
      <c r="M62" s="802">
        <v>46477</v>
      </c>
      <c r="N62" s="804">
        <v>45940</v>
      </c>
      <c r="O62" s="802">
        <v>46265</v>
      </c>
      <c r="P62" s="802">
        <v>46295</v>
      </c>
      <c r="Q62" s="842" t="e">
        <f>_xlfn.XLOOKUP(A62,'[1]Delivery Report'!$A:$A,'[1]Delivery Report'!$AQ:$AQ)</f>
        <v>#N/A</v>
      </c>
      <c r="R62" s="843" t="e">
        <f t="shared" si="4"/>
        <v>#N/A</v>
      </c>
      <c r="S62" s="843"/>
      <c r="T62" s="843"/>
      <c r="U62" s="844"/>
      <c r="V62" s="805">
        <f t="shared" si="5"/>
        <v>0.27529999999999999</v>
      </c>
      <c r="W62" s="805">
        <f>($K62*'[2]Fee Assumptions'!$D$4)/10^7</f>
        <v>0.27529999999999999</v>
      </c>
      <c r="X62" s="805"/>
      <c r="Y62" s="831"/>
      <c r="Z62" s="831" t="s">
        <v>1685</v>
      </c>
      <c r="AA62" s="845" t="str">
        <f>IFERROR(VLOOKUP(#REF!,'[3]ID Goals 2026'!$B:$R,17,0)," ")</f>
        <v xml:space="preserve"> </v>
      </c>
    </row>
    <row r="63" spans="1:27" hidden="1">
      <c r="A63" s="829" t="str">
        <f t="shared" si="3"/>
        <v>POARR6061</v>
      </c>
      <c r="B63" s="840">
        <v>60</v>
      </c>
      <c r="C63" s="841"/>
      <c r="D63" s="828" t="s">
        <v>1681</v>
      </c>
      <c r="E63" s="828" t="s">
        <v>1754</v>
      </c>
      <c r="F63" s="797">
        <v>6061</v>
      </c>
      <c r="G63" s="828" t="s">
        <v>1755</v>
      </c>
      <c r="H63" s="828" t="s">
        <v>1756</v>
      </c>
      <c r="I63" s="833" t="s">
        <v>1664</v>
      </c>
      <c r="J63" s="828" t="s">
        <v>6</v>
      </c>
      <c r="K63" s="800">
        <v>9760</v>
      </c>
      <c r="L63" s="835" t="s">
        <v>1665</v>
      </c>
      <c r="M63" s="802">
        <v>46387</v>
      </c>
      <c r="N63" s="804">
        <v>45806</v>
      </c>
      <c r="O63" s="802">
        <v>46173</v>
      </c>
      <c r="P63" s="802">
        <v>46233</v>
      </c>
      <c r="Q63" s="842" t="e">
        <f>_xlfn.XLOOKUP(A63,'[1]Delivery Report'!$A:$A,'[1]Delivery Report'!$AQ:$AQ)</f>
        <v>#N/A</v>
      </c>
      <c r="R63" s="843" t="e">
        <f t="shared" si="4"/>
        <v>#N/A</v>
      </c>
      <c r="S63" s="843" t="s">
        <v>1697</v>
      </c>
      <c r="T63" s="843"/>
      <c r="U63" s="844" t="s">
        <v>1698</v>
      </c>
      <c r="V63" s="805">
        <f t="shared" si="5"/>
        <v>0.97599999999999998</v>
      </c>
      <c r="W63" s="805">
        <f>($K63*'[2]Fee Assumptions'!$D$4)/10^7</f>
        <v>0.97599999999999998</v>
      </c>
      <c r="X63" s="805"/>
      <c r="Y63" s="831" t="s">
        <v>1685</v>
      </c>
      <c r="Z63" s="831" t="s">
        <v>1685</v>
      </c>
      <c r="AA63" s="845" t="str">
        <f>IFERROR(VLOOKUP(#REF!,'[3]ID Goals 2026'!$B:$R,17,0)," ")</f>
        <v xml:space="preserve"> </v>
      </c>
    </row>
    <row r="64" spans="1:27" hidden="1">
      <c r="A64" s="848" t="str">
        <f t="shared" si="3"/>
        <v>POARR7282</v>
      </c>
      <c r="B64" s="840">
        <v>61</v>
      </c>
      <c r="C64" s="841"/>
      <c r="D64" s="828" t="s">
        <v>1681</v>
      </c>
      <c r="E64" s="828" t="s">
        <v>1757</v>
      </c>
      <c r="F64" s="797">
        <v>7282</v>
      </c>
      <c r="G64" s="828" t="s">
        <v>1758</v>
      </c>
      <c r="H64" s="828" t="s">
        <v>1759</v>
      </c>
      <c r="I64" s="833" t="s">
        <v>1664</v>
      </c>
      <c r="J64" s="854" t="s">
        <v>6</v>
      </c>
      <c r="K64" s="800">
        <v>5384</v>
      </c>
      <c r="L64" s="835" t="s">
        <v>1665</v>
      </c>
      <c r="M64" s="802">
        <v>45808</v>
      </c>
      <c r="N64" s="804">
        <v>45427</v>
      </c>
      <c r="O64" s="802">
        <v>46127</v>
      </c>
      <c r="P64" s="802">
        <v>46233</v>
      </c>
      <c r="Q64" s="842" t="e">
        <f>_xlfn.XLOOKUP(A64,'[1]Delivery Report'!$A:$A,'[1]Delivery Report'!$AQ:$AQ)</f>
        <v>#N/A</v>
      </c>
      <c r="R64" s="843" t="e">
        <f t="shared" si="4"/>
        <v>#N/A</v>
      </c>
      <c r="S64" s="843" t="s">
        <v>1697</v>
      </c>
      <c r="T64" s="843"/>
      <c r="U64" s="844"/>
      <c r="V64" s="805">
        <f t="shared" si="5"/>
        <v>0.53839999999999999</v>
      </c>
      <c r="W64" s="805">
        <f>($K64*'[2]Fee Assumptions'!$D$4)/10^7</f>
        <v>0.53839999999999999</v>
      </c>
      <c r="X64" s="805"/>
      <c r="Y64" s="831" t="s">
        <v>1685</v>
      </c>
      <c r="Z64" s="831" t="s">
        <v>1685</v>
      </c>
      <c r="AA64" s="845" t="str">
        <f>IFERROR(VLOOKUP(#REF!,'[3]ID Goals 2026'!$B:$R,17,0)," ")</f>
        <v xml:space="preserve"> </v>
      </c>
    </row>
    <row r="65" spans="1:35" hidden="1">
      <c r="A65" s="848" t="str">
        <f t="shared" si="3"/>
        <v>TMFT3041</v>
      </c>
      <c r="B65" s="840">
        <v>62</v>
      </c>
      <c r="C65" s="841"/>
      <c r="D65" s="828" t="s">
        <v>548</v>
      </c>
      <c r="E65" s="828" t="s">
        <v>1701</v>
      </c>
      <c r="F65" s="797">
        <v>3041</v>
      </c>
      <c r="G65" s="828" t="s">
        <v>1760</v>
      </c>
      <c r="H65" s="828" t="s">
        <v>1761</v>
      </c>
      <c r="I65" s="833" t="s">
        <v>1670</v>
      </c>
      <c r="J65" s="828" t="s">
        <v>618</v>
      </c>
      <c r="K65" s="800">
        <v>4498</v>
      </c>
      <c r="L65" s="835" t="s">
        <v>1665</v>
      </c>
      <c r="M65" s="802">
        <v>46630</v>
      </c>
      <c r="N65" s="804">
        <v>45982</v>
      </c>
      <c r="O65" s="802">
        <v>46142</v>
      </c>
      <c r="P65" s="802">
        <v>46233</v>
      </c>
      <c r="Q65" s="842" t="e">
        <f>_xlfn.XLOOKUP(A65,'[1]Delivery Report'!$A:$A,'[1]Delivery Report'!$AQ:$AQ)</f>
        <v>#N/A</v>
      </c>
      <c r="R65" s="843" t="e">
        <f t="shared" si="4"/>
        <v>#N/A</v>
      </c>
      <c r="S65" s="843"/>
      <c r="T65" s="843"/>
      <c r="U65" s="844" t="s">
        <v>1698</v>
      </c>
      <c r="V65" s="805">
        <f t="shared" si="5"/>
        <v>0.44979999999999998</v>
      </c>
      <c r="W65" s="805">
        <f>($K65*'[2]Fee Assumptions'!$D$4)/10^7</f>
        <v>0.44979999999999998</v>
      </c>
      <c r="X65" s="805"/>
      <c r="Y65" s="831" t="s">
        <v>1685</v>
      </c>
      <c r="Z65" s="831" t="s">
        <v>1685</v>
      </c>
      <c r="AA65" s="845" t="str">
        <f>IFERROR(VLOOKUP(#REF!,'[3]ID Goals 2026'!$B:$R,17,0)," ")</f>
        <v xml:space="preserve"> </v>
      </c>
      <c r="AB65" s="851"/>
      <c r="AC65" s="851"/>
      <c r="AD65" s="851"/>
      <c r="AE65" s="851"/>
      <c r="AF65" s="851"/>
      <c r="AG65" s="851"/>
      <c r="AH65" s="831"/>
      <c r="AI65" s="829"/>
    </row>
    <row r="66" spans="1:35" s="792" customFormat="1" hidden="1">
      <c r="A66" s="848" t="str">
        <f t="shared" si="3"/>
        <v>TMFT3084</v>
      </c>
      <c r="B66" s="840">
        <v>63</v>
      </c>
      <c r="C66" s="841"/>
      <c r="D66" s="828" t="s">
        <v>548</v>
      </c>
      <c r="E66" s="828" t="s">
        <v>1701</v>
      </c>
      <c r="F66" s="797">
        <v>3084</v>
      </c>
      <c r="G66" s="828" t="s">
        <v>1760</v>
      </c>
      <c r="H66" s="828" t="s">
        <v>1762</v>
      </c>
      <c r="I66" s="833" t="s">
        <v>1670</v>
      </c>
      <c r="J66" s="828" t="s">
        <v>618</v>
      </c>
      <c r="K66" s="800">
        <v>4498</v>
      </c>
      <c r="L66" s="835" t="s">
        <v>1665</v>
      </c>
      <c r="M66" s="802">
        <v>46721</v>
      </c>
      <c r="N66" s="804">
        <v>0</v>
      </c>
      <c r="O66" s="802" t="e">
        <f>_xlfn.XLOOKUP(A66,'[1]Delivery Report'!$A:$A,'[1]Delivery Report'!$AA:$AA)</f>
        <v>#N/A</v>
      </c>
      <c r="P66" s="802">
        <v>46233</v>
      </c>
      <c r="Q66" s="842" t="e">
        <f>_xlfn.XLOOKUP(A66,'[1]Delivery Report'!$A:$A,'[1]Delivery Report'!$AQ:$AQ)</f>
        <v>#N/A</v>
      </c>
      <c r="R66" s="843" t="e">
        <f t="shared" si="4"/>
        <v>#N/A</v>
      </c>
      <c r="S66" s="843"/>
      <c r="T66" s="843"/>
      <c r="U66" s="844" t="s">
        <v>1698</v>
      </c>
      <c r="V66" s="805">
        <f t="shared" si="5"/>
        <v>0.44979999999999998</v>
      </c>
      <c r="W66" s="805">
        <f>($K66*'[2]Fee Assumptions'!$D$4)/10^7</f>
        <v>0.44979999999999998</v>
      </c>
      <c r="X66" s="805"/>
      <c r="Y66" s="831"/>
      <c r="Z66" s="831"/>
      <c r="AA66" s="845" t="s">
        <v>1763</v>
      </c>
      <c r="AB66" s="851"/>
      <c r="AC66" s="851"/>
      <c r="AD66" s="851"/>
      <c r="AE66" s="851"/>
      <c r="AF66" s="851"/>
      <c r="AG66" s="851"/>
      <c r="AH66" s="831"/>
      <c r="AI66" s="853" t="s">
        <v>1670</v>
      </c>
    </row>
    <row r="67" spans="1:35" hidden="1">
      <c r="A67" s="848" t="str">
        <f t="shared" si="3"/>
        <v>ITQE2233a</v>
      </c>
      <c r="B67" s="840">
        <v>64</v>
      </c>
      <c r="C67" s="841"/>
      <c r="D67" s="828" t="s">
        <v>170</v>
      </c>
      <c r="E67" s="828" t="s">
        <v>1694</v>
      </c>
      <c r="F67" s="797" t="s">
        <v>1764</v>
      </c>
      <c r="G67" s="828" t="s">
        <v>1765</v>
      </c>
      <c r="H67" s="828" t="s">
        <v>1766</v>
      </c>
      <c r="I67" s="833" t="s">
        <v>1670</v>
      </c>
      <c r="J67" s="828" t="s">
        <v>618</v>
      </c>
      <c r="K67" s="800">
        <v>1431</v>
      </c>
      <c r="L67" s="835" t="s">
        <v>1665</v>
      </c>
      <c r="M67" s="802">
        <v>45230</v>
      </c>
      <c r="N67" s="804">
        <v>45841</v>
      </c>
      <c r="O67" s="802">
        <v>46127</v>
      </c>
      <c r="P67" s="802">
        <v>46233</v>
      </c>
      <c r="Q67" s="842" t="e">
        <f>_xlfn.XLOOKUP(A67,'[1]Delivery Report'!$A:$A,'[1]Delivery Report'!$AQ:$AQ)</f>
        <v>#N/A</v>
      </c>
      <c r="R67" s="843" t="e">
        <f t="shared" si="4"/>
        <v>#N/A</v>
      </c>
      <c r="S67" s="843"/>
      <c r="T67" s="843"/>
      <c r="U67" s="844" t="s">
        <v>1767</v>
      </c>
      <c r="V67" s="805">
        <f t="shared" si="5"/>
        <v>0.1431</v>
      </c>
      <c r="W67" s="805">
        <f>($K67*'[2]Fee Assumptions'!$D$4)/10^7</f>
        <v>0.1431</v>
      </c>
      <c r="X67" s="805"/>
      <c r="Y67" s="831"/>
      <c r="Z67" s="831"/>
      <c r="AA67" s="845" t="str">
        <f>IFERROR(VLOOKUP(#REF!,'[3]ID Goals 2026'!$B:$R,17,0)," ")</f>
        <v xml:space="preserve"> </v>
      </c>
      <c r="AB67" s="851"/>
      <c r="AC67" s="851"/>
      <c r="AD67" s="851"/>
      <c r="AE67" s="851"/>
      <c r="AF67" s="851"/>
      <c r="AG67" s="851"/>
      <c r="AH67" s="831"/>
      <c r="AI67" s="829"/>
    </row>
    <row r="68" spans="1:35" hidden="1">
      <c r="A68" s="829" t="str">
        <f t="shared" ref="A68:A99" si="6">_xlfn.CONCAT(D68,F68)</f>
        <v>ITQE3073b</v>
      </c>
      <c r="B68" s="840">
        <v>65</v>
      </c>
      <c r="C68" s="841"/>
      <c r="D68" s="828" t="s">
        <v>170</v>
      </c>
      <c r="E68" s="828" t="s">
        <v>1701</v>
      </c>
      <c r="F68" s="797" t="s">
        <v>1768</v>
      </c>
      <c r="G68" s="828" t="s">
        <v>1765</v>
      </c>
      <c r="H68" s="828" t="s">
        <v>1769</v>
      </c>
      <c r="I68" s="833" t="s">
        <v>1670</v>
      </c>
      <c r="J68" s="828" t="s">
        <v>618</v>
      </c>
      <c r="K68" s="800">
        <v>1431</v>
      </c>
      <c r="L68" s="835" t="s">
        <v>1665</v>
      </c>
      <c r="M68" s="802">
        <v>45169</v>
      </c>
      <c r="N68" s="804">
        <v>44588</v>
      </c>
      <c r="O68" s="802">
        <v>46295</v>
      </c>
      <c r="P68" s="802">
        <v>46295</v>
      </c>
      <c r="Q68" s="842" t="e">
        <f>_xlfn.XLOOKUP(A68,'[1]Delivery Report'!$A:$A,'[1]Delivery Report'!$AQ:$AQ)</f>
        <v>#N/A</v>
      </c>
      <c r="R68" s="843" t="e">
        <f t="shared" ref="R68:R78" si="7">Q68</f>
        <v>#N/A</v>
      </c>
      <c r="S68" s="843"/>
      <c r="T68" s="843"/>
      <c r="U68" s="844"/>
      <c r="V68" s="805">
        <f t="shared" ref="V68:V99" si="8">SUM(W68+X68)</f>
        <v>0.1431</v>
      </c>
      <c r="W68" s="805">
        <f>($K68*'[2]Fee Assumptions'!$D$4)/10^7</f>
        <v>0.1431</v>
      </c>
      <c r="X68" s="805"/>
      <c r="Y68" s="831"/>
      <c r="Z68" s="831"/>
      <c r="AA68" s="845" t="str">
        <f>IFERROR(VLOOKUP(#REF!,'[3]ID Goals 2026'!$B:$R,17,0)," ")</f>
        <v xml:space="preserve"> </v>
      </c>
      <c r="AB68" s="851"/>
      <c r="AC68" s="851"/>
      <c r="AD68" s="851"/>
      <c r="AE68" s="851"/>
      <c r="AF68" s="851"/>
      <c r="AG68" s="851"/>
      <c r="AH68" s="831"/>
      <c r="AI68" s="829"/>
    </row>
    <row r="69" spans="1:35" hidden="1">
      <c r="A69" s="829" t="str">
        <f t="shared" si="6"/>
        <v>ITQE5044</v>
      </c>
      <c r="B69" s="840">
        <v>66</v>
      </c>
      <c r="C69" s="841"/>
      <c r="D69" s="828" t="s">
        <v>170</v>
      </c>
      <c r="E69" s="828" t="s">
        <v>1720</v>
      </c>
      <c r="F69" s="797">
        <v>5044</v>
      </c>
      <c r="G69" s="828" t="s">
        <v>1770</v>
      </c>
      <c r="H69" s="828" t="s">
        <v>1771</v>
      </c>
      <c r="I69" s="833" t="s">
        <v>1670</v>
      </c>
      <c r="J69" s="828" t="s">
        <v>618</v>
      </c>
      <c r="K69" s="800">
        <v>2628</v>
      </c>
      <c r="L69" s="835" t="s">
        <v>1665</v>
      </c>
      <c r="M69" s="802">
        <v>46752</v>
      </c>
      <c r="N69" s="804">
        <v>45737</v>
      </c>
      <c r="O69" s="802">
        <v>46127</v>
      </c>
      <c r="P69" s="802">
        <v>46233</v>
      </c>
      <c r="Q69" s="842" t="e">
        <f>_xlfn.XLOOKUP(A69,'[1]Delivery Report'!$A:$A,'[1]Delivery Report'!$AQ:$AQ)</f>
        <v>#N/A</v>
      </c>
      <c r="R69" s="843" t="e">
        <f t="shared" si="7"/>
        <v>#N/A</v>
      </c>
      <c r="S69" s="843"/>
      <c r="T69" s="843"/>
      <c r="U69" s="844"/>
      <c r="V69" s="805">
        <f t="shared" si="8"/>
        <v>0.26279999999999998</v>
      </c>
      <c r="W69" s="805">
        <f>($K69*'[2]Fee Assumptions'!$D$4)/10^7</f>
        <v>0.26279999999999998</v>
      </c>
      <c r="X69" s="805"/>
      <c r="Y69" s="831"/>
      <c r="Z69" s="831"/>
      <c r="AA69" s="845" t="str">
        <f>IFERROR(VLOOKUP(#REF!,'[3]ID Goals 2026'!$B:$R,17,0)," ")</f>
        <v xml:space="preserve"> </v>
      </c>
      <c r="AB69" s="851"/>
      <c r="AC69" s="851"/>
      <c r="AD69" s="851"/>
      <c r="AE69" s="851"/>
      <c r="AF69" s="851"/>
      <c r="AG69" s="851"/>
      <c r="AH69" s="831"/>
      <c r="AI69" s="829"/>
    </row>
    <row r="70" spans="1:35" hidden="1">
      <c r="A70" s="829" t="str">
        <f t="shared" si="6"/>
        <v>ITQE5051</v>
      </c>
      <c r="B70" s="840">
        <v>67</v>
      </c>
      <c r="C70" s="841"/>
      <c r="D70" s="828" t="s">
        <v>170</v>
      </c>
      <c r="E70" s="828" t="s">
        <v>1720</v>
      </c>
      <c r="F70" s="797">
        <v>5051</v>
      </c>
      <c r="G70" s="828" t="s">
        <v>1770</v>
      </c>
      <c r="H70" s="828" t="s">
        <v>1772</v>
      </c>
      <c r="I70" s="833" t="s">
        <v>1670</v>
      </c>
      <c r="J70" s="828" t="s">
        <v>618</v>
      </c>
      <c r="K70" s="800">
        <v>2628</v>
      </c>
      <c r="L70" s="835" t="s">
        <v>1665</v>
      </c>
      <c r="M70" s="802">
        <v>46234</v>
      </c>
      <c r="N70" s="804">
        <v>45586</v>
      </c>
      <c r="O70" s="802">
        <v>46157</v>
      </c>
      <c r="P70" s="802">
        <v>46233</v>
      </c>
      <c r="Q70" s="842" t="e">
        <f>_xlfn.XLOOKUP(A70,'[1]Delivery Report'!$A:$A,'[1]Delivery Report'!$AQ:$AQ)</f>
        <v>#N/A</v>
      </c>
      <c r="R70" s="843" t="e">
        <f t="shared" si="7"/>
        <v>#N/A</v>
      </c>
      <c r="S70" s="843"/>
      <c r="T70" s="843"/>
      <c r="U70" s="844"/>
      <c r="V70" s="805">
        <f t="shared" si="8"/>
        <v>0.26279999999999998</v>
      </c>
      <c r="W70" s="805">
        <f>($K70*'[2]Fee Assumptions'!$D$4)/10^7</f>
        <v>0.26279999999999998</v>
      </c>
      <c r="X70" s="805"/>
      <c r="Y70" s="831" t="s">
        <v>1685</v>
      </c>
      <c r="Z70" s="831" t="s">
        <v>1685</v>
      </c>
      <c r="AA70" s="845" t="str">
        <f>IFERROR(VLOOKUP(#REF!,'[3]ID Goals 2026'!$B:$R,17,0)," ")</f>
        <v xml:space="preserve"> </v>
      </c>
      <c r="AB70" s="851"/>
      <c r="AC70" s="851"/>
      <c r="AD70" s="851"/>
      <c r="AE70" s="851"/>
      <c r="AF70" s="851"/>
      <c r="AG70" s="851"/>
      <c r="AH70" s="831"/>
      <c r="AI70" s="829"/>
    </row>
    <row r="71" spans="1:35" hidden="1">
      <c r="A71" s="829" t="str">
        <f t="shared" si="6"/>
        <v>ITQE5071</v>
      </c>
      <c r="B71" s="840">
        <v>68</v>
      </c>
      <c r="C71" s="841"/>
      <c r="D71" s="828" t="s">
        <v>170</v>
      </c>
      <c r="E71" s="828" t="s">
        <v>1720</v>
      </c>
      <c r="F71" s="797">
        <v>5071</v>
      </c>
      <c r="G71" s="828" t="s">
        <v>1770</v>
      </c>
      <c r="H71" s="828" t="s">
        <v>1773</v>
      </c>
      <c r="I71" s="833" t="s">
        <v>1670</v>
      </c>
      <c r="J71" s="828" t="s">
        <v>618</v>
      </c>
      <c r="K71" s="800">
        <v>2628</v>
      </c>
      <c r="L71" s="835" t="s">
        <v>1665</v>
      </c>
      <c r="M71" s="802">
        <v>46387</v>
      </c>
      <c r="N71" s="804">
        <v>45592</v>
      </c>
      <c r="O71" s="802">
        <v>46127</v>
      </c>
      <c r="P71" s="802">
        <v>46233</v>
      </c>
      <c r="Q71" s="842" t="e">
        <f>_xlfn.XLOOKUP(A71,'[1]Delivery Report'!$A:$A,'[1]Delivery Report'!$AQ:$AQ)</f>
        <v>#N/A</v>
      </c>
      <c r="R71" s="843" t="e">
        <f t="shared" si="7"/>
        <v>#N/A</v>
      </c>
      <c r="S71" s="843"/>
      <c r="T71" s="843"/>
      <c r="U71" s="844"/>
      <c r="V71" s="805">
        <f t="shared" si="8"/>
        <v>0.26279999999999998</v>
      </c>
      <c r="W71" s="805">
        <f>($K71*'[2]Fee Assumptions'!$D$4)/10^7</f>
        <v>0.26279999999999998</v>
      </c>
      <c r="X71" s="805"/>
      <c r="Y71" s="831"/>
      <c r="Z71" s="831"/>
      <c r="AA71" s="845" t="str">
        <f>IFERROR(VLOOKUP(#REF!,'[3]ID Goals 2026'!$B:$R,17,0)," ")</f>
        <v xml:space="preserve"> </v>
      </c>
      <c r="AB71" s="851"/>
      <c r="AC71" s="851"/>
      <c r="AD71" s="851"/>
      <c r="AE71" s="851"/>
      <c r="AF71" s="851"/>
      <c r="AG71" s="851"/>
      <c r="AH71" s="831"/>
      <c r="AI71" s="829"/>
    </row>
    <row r="72" spans="1:35" hidden="1">
      <c r="A72" s="829" t="str">
        <f t="shared" si="6"/>
        <v>ITQE5112</v>
      </c>
      <c r="B72" s="840">
        <v>69</v>
      </c>
      <c r="C72" s="841"/>
      <c r="D72" s="828" t="s">
        <v>170</v>
      </c>
      <c r="E72" s="828" t="s">
        <v>1720</v>
      </c>
      <c r="F72" s="797">
        <v>5112</v>
      </c>
      <c r="G72" s="828" t="s">
        <v>1770</v>
      </c>
      <c r="H72" s="828" t="s">
        <v>1774</v>
      </c>
      <c r="I72" s="833" t="s">
        <v>1670</v>
      </c>
      <c r="J72" s="828" t="s">
        <v>618</v>
      </c>
      <c r="K72" s="800">
        <v>2628</v>
      </c>
      <c r="L72" s="835" t="s">
        <v>1665</v>
      </c>
      <c r="M72" s="802">
        <v>46234</v>
      </c>
      <c r="N72" s="804">
        <v>45616</v>
      </c>
      <c r="O72" s="802">
        <v>46127</v>
      </c>
      <c r="P72" s="802">
        <v>46233</v>
      </c>
      <c r="Q72" s="842" t="e">
        <f>_xlfn.XLOOKUP(A72,'[1]Delivery Report'!$A:$A,'[1]Delivery Report'!$AQ:$AQ)</f>
        <v>#N/A</v>
      </c>
      <c r="R72" s="843" t="e">
        <f t="shared" si="7"/>
        <v>#N/A</v>
      </c>
      <c r="S72" s="843"/>
      <c r="T72" s="843"/>
      <c r="U72" s="844"/>
      <c r="V72" s="805">
        <f t="shared" si="8"/>
        <v>0.26279999999999998</v>
      </c>
      <c r="W72" s="805">
        <f>($K72*'[2]Fee Assumptions'!$D$4)/10^7</f>
        <v>0.26279999999999998</v>
      </c>
      <c r="X72" s="805"/>
      <c r="Y72" s="831"/>
      <c r="Z72" s="831"/>
      <c r="AA72" s="845" t="str">
        <f>IFERROR(VLOOKUP(#REF!,'[3]ID Goals 2026'!$B:$R,17,0)," ")</f>
        <v xml:space="preserve"> </v>
      </c>
      <c r="AB72" s="851"/>
      <c r="AC72" s="851"/>
      <c r="AD72" s="851"/>
      <c r="AE72" s="851"/>
      <c r="AF72" s="851"/>
      <c r="AG72" s="851"/>
      <c r="AH72" s="831"/>
      <c r="AI72" s="829"/>
    </row>
    <row r="73" spans="1:35" hidden="1">
      <c r="A73" s="829" t="str">
        <f t="shared" si="6"/>
        <v>ITQE5164</v>
      </c>
      <c r="B73" s="840">
        <v>70</v>
      </c>
      <c r="C73" s="841"/>
      <c r="D73" s="828" t="s">
        <v>170</v>
      </c>
      <c r="E73" s="828" t="s">
        <v>1720</v>
      </c>
      <c r="F73" s="797">
        <v>5164</v>
      </c>
      <c r="G73" s="828" t="s">
        <v>1770</v>
      </c>
      <c r="H73" s="828" t="s">
        <v>1775</v>
      </c>
      <c r="I73" s="833" t="s">
        <v>1670</v>
      </c>
      <c r="J73" s="828" t="s">
        <v>618</v>
      </c>
      <c r="K73" s="800">
        <v>2628</v>
      </c>
      <c r="L73" s="835" t="s">
        <v>1665</v>
      </c>
      <c r="M73" s="802">
        <v>46234</v>
      </c>
      <c r="N73" s="804">
        <v>45604</v>
      </c>
      <c r="O73" s="802">
        <v>46142</v>
      </c>
      <c r="P73" s="802">
        <v>46233</v>
      </c>
      <c r="Q73" s="842" t="e">
        <f>_xlfn.XLOOKUP(A73,'[1]Delivery Report'!$A:$A,'[1]Delivery Report'!$AQ:$AQ)</f>
        <v>#N/A</v>
      </c>
      <c r="R73" s="843" t="e">
        <f t="shared" si="7"/>
        <v>#N/A</v>
      </c>
      <c r="S73" s="843"/>
      <c r="T73" s="843"/>
      <c r="U73" s="844"/>
      <c r="V73" s="805">
        <f t="shared" si="8"/>
        <v>0.26279999999999998</v>
      </c>
      <c r="W73" s="805">
        <f>($K73*'[2]Fee Assumptions'!$D$4)/10^7</f>
        <v>0.26279999999999998</v>
      </c>
      <c r="X73" s="805"/>
      <c r="Y73" s="831"/>
      <c r="Z73" s="831"/>
      <c r="AA73" s="845" t="str">
        <f>IFERROR(VLOOKUP(#REF!,'[3]ID Goals 2026'!$B:$R,17,0)," ")</f>
        <v xml:space="preserve"> </v>
      </c>
      <c r="AB73" s="851"/>
      <c r="AC73" s="851"/>
      <c r="AD73" s="851"/>
      <c r="AE73" s="851"/>
      <c r="AF73" s="851"/>
      <c r="AG73" s="851"/>
      <c r="AH73" s="831"/>
      <c r="AI73" s="829"/>
    </row>
    <row r="74" spans="1:35" hidden="1">
      <c r="A74" s="829" t="str">
        <f t="shared" si="6"/>
        <v>ITQE5171</v>
      </c>
      <c r="B74" s="840">
        <v>71</v>
      </c>
      <c r="C74" s="841"/>
      <c r="D74" s="828" t="s">
        <v>170</v>
      </c>
      <c r="E74" s="828" t="s">
        <v>1720</v>
      </c>
      <c r="F74" s="797">
        <v>5171</v>
      </c>
      <c r="G74" s="828" t="s">
        <v>1770</v>
      </c>
      <c r="H74" s="828" t="s">
        <v>1776</v>
      </c>
      <c r="I74" s="833" t="s">
        <v>1670</v>
      </c>
      <c r="J74" s="828" t="s">
        <v>618</v>
      </c>
      <c r="K74" s="800">
        <v>2628</v>
      </c>
      <c r="L74" s="835" t="s">
        <v>1665</v>
      </c>
      <c r="M74" s="802">
        <v>46234</v>
      </c>
      <c r="N74" s="804">
        <v>45603</v>
      </c>
      <c r="O74" s="802">
        <v>46203</v>
      </c>
      <c r="P74" s="802">
        <v>46234</v>
      </c>
      <c r="Q74" s="842" t="e">
        <f>_xlfn.XLOOKUP(A74,'[1]Delivery Report'!$A:$A,'[1]Delivery Report'!$AQ:$AQ)</f>
        <v>#N/A</v>
      </c>
      <c r="R74" s="843" t="e">
        <f t="shared" si="7"/>
        <v>#N/A</v>
      </c>
      <c r="S74" s="843"/>
      <c r="T74" s="843"/>
      <c r="U74" s="844"/>
      <c r="V74" s="805">
        <f t="shared" si="8"/>
        <v>0.26279999999999998</v>
      </c>
      <c r="W74" s="805">
        <f>($K74*'[2]Fee Assumptions'!$D$4)/10^7</f>
        <v>0.26279999999999998</v>
      </c>
      <c r="X74" s="805"/>
      <c r="Y74" s="831" t="s">
        <v>1685</v>
      </c>
      <c r="Z74" s="831" t="s">
        <v>1685</v>
      </c>
      <c r="AA74" s="845" t="str">
        <f>IFERROR(VLOOKUP(#REF!,'[3]ID Goals 2026'!$B:$R,17,0)," ")</f>
        <v xml:space="preserve"> </v>
      </c>
      <c r="AB74" s="851"/>
      <c r="AC74" s="851"/>
      <c r="AD74" s="851"/>
      <c r="AE74" s="851"/>
      <c r="AF74" s="851"/>
      <c r="AG74" s="851"/>
      <c r="AH74" s="831"/>
      <c r="AI74" s="829"/>
    </row>
    <row r="75" spans="1:35" hidden="1">
      <c r="A75" s="829" t="str">
        <f t="shared" si="6"/>
        <v>ITQE5173</v>
      </c>
      <c r="B75" s="840">
        <v>72</v>
      </c>
      <c r="C75" s="841"/>
      <c r="D75" s="828" t="s">
        <v>170</v>
      </c>
      <c r="E75" s="828" t="s">
        <v>1720</v>
      </c>
      <c r="F75" s="797">
        <v>5173</v>
      </c>
      <c r="G75" s="828" t="s">
        <v>1770</v>
      </c>
      <c r="H75" s="828" t="s">
        <v>1777</v>
      </c>
      <c r="I75" s="833" t="s">
        <v>1670</v>
      </c>
      <c r="J75" s="828" t="s">
        <v>618</v>
      </c>
      <c r="K75" s="800">
        <v>2628</v>
      </c>
      <c r="L75" s="835" t="s">
        <v>1665</v>
      </c>
      <c r="M75" s="802">
        <v>46234</v>
      </c>
      <c r="N75" s="804">
        <v>45608</v>
      </c>
      <c r="O75" s="802">
        <v>46203</v>
      </c>
      <c r="P75" s="802">
        <v>46234</v>
      </c>
      <c r="Q75" s="842" t="e">
        <f>_xlfn.XLOOKUP(A75,'[1]Delivery Report'!$A:$A,'[1]Delivery Report'!$AQ:$AQ)</f>
        <v>#N/A</v>
      </c>
      <c r="R75" s="843" t="e">
        <f t="shared" si="7"/>
        <v>#N/A</v>
      </c>
      <c r="S75" s="843"/>
      <c r="T75" s="843"/>
      <c r="U75" s="844"/>
      <c r="V75" s="805">
        <f t="shared" si="8"/>
        <v>0.26279999999999998</v>
      </c>
      <c r="W75" s="805">
        <f>($K75*'[2]Fee Assumptions'!$D$4)/10^7</f>
        <v>0.26279999999999998</v>
      </c>
      <c r="X75" s="805"/>
      <c r="Y75" s="831"/>
      <c r="Z75" s="831" t="s">
        <v>1685</v>
      </c>
      <c r="AA75" s="845" t="str">
        <f>IFERROR(VLOOKUP(#REF!,'[3]ID Goals 2026'!$B:$R,17,0)," ")</f>
        <v xml:space="preserve"> </v>
      </c>
      <c r="AB75" s="851"/>
      <c r="AC75" s="851"/>
      <c r="AD75" s="851"/>
      <c r="AE75" s="851"/>
      <c r="AF75" s="851"/>
      <c r="AG75" s="851"/>
      <c r="AH75" s="831"/>
      <c r="AI75" s="829"/>
    </row>
    <row r="76" spans="1:35" hidden="1">
      <c r="A76" s="829" t="str">
        <f t="shared" si="6"/>
        <v>ITQE5204</v>
      </c>
      <c r="B76" s="840">
        <v>73</v>
      </c>
      <c r="C76" s="841"/>
      <c r="D76" s="828" t="s">
        <v>170</v>
      </c>
      <c r="E76" s="828" t="s">
        <v>1720</v>
      </c>
      <c r="F76" s="797">
        <v>5204</v>
      </c>
      <c r="G76" s="828" t="s">
        <v>1770</v>
      </c>
      <c r="H76" s="828" t="s">
        <v>1778</v>
      </c>
      <c r="I76" s="833" t="s">
        <v>1670</v>
      </c>
      <c r="J76" s="828" t="s">
        <v>618</v>
      </c>
      <c r="K76" s="800">
        <v>2628</v>
      </c>
      <c r="L76" s="835" t="s">
        <v>1665</v>
      </c>
      <c r="M76" s="802">
        <v>46234</v>
      </c>
      <c r="N76" s="804">
        <v>45606</v>
      </c>
      <c r="O76" s="802">
        <v>46203</v>
      </c>
      <c r="P76" s="802">
        <v>46234</v>
      </c>
      <c r="Q76" s="842" t="e">
        <f>_xlfn.XLOOKUP(A76,'[1]Delivery Report'!$A:$A,'[1]Delivery Report'!$AQ:$AQ)</f>
        <v>#N/A</v>
      </c>
      <c r="R76" s="843" t="e">
        <f t="shared" si="7"/>
        <v>#N/A</v>
      </c>
      <c r="S76" s="843"/>
      <c r="T76" s="843"/>
      <c r="U76" s="844"/>
      <c r="V76" s="805">
        <f t="shared" si="8"/>
        <v>0.26279999999999998</v>
      </c>
      <c r="W76" s="805">
        <f>($K76*'[2]Fee Assumptions'!$D$4)/10^7</f>
        <v>0.26279999999999998</v>
      </c>
      <c r="X76" s="805"/>
      <c r="Y76" s="831"/>
      <c r="Z76" s="831"/>
      <c r="AA76" s="845" t="str">
        <f>IFERROR(VLOOKUP(#REF!,'[3]ID Goals 2026'!$B:$R,17,0)," ")</f>
        <v xml:space="preserve"> </v>
      </c>
      <c r="AB76" s="851"/>
      <c r="AC76" s="851"/>
      <c r="AD76" s="851"/>
      <c r="AE76" s="851"/>
      <c r="AF76" s="851"/>
      <c r="AG76" s="851"/>
      <c r="AH76" s="831"/>
      <c r="AI76" s="829"/>
    </row>
    <row r="77" spans="1:35" hidden="1">
      <c r="A77" s="829" t="str">
        <f t="shared" si="6"/>
        <v>ITQE5243</v>
      </c>
      <c r="B77" s="840">
        <v>74</v>
      </c>
      <c r="C77" s="841"/>
      <c r="D77" s="828" t="s">
        <v>170</v>
      </c>
      <c r="E77" s="828" t="s">
        <v>1720</v>
      </c>
      <c r="F77" s="797">
        <v>5243</v>
      </c>
      <c r="G77" s="828" t="s">
        <v>1770</v>
      </c>
      <c r="H77" s="828" t="s">
        <v>1779</v>
      </c>
      <c r="I77" s="833" t="s">
        <v>1670</v>
      </c>
      <c r="J77" s="828" t="s">
        <v>618</v>
      </c>
      <c r="K77" s="800">
        <v>2628</v>
      </c>
      <c r="L77" s="835" t="s">
        <v>1665</v>
      </c>
      <c r="M77" s="802">
        <v>46234</v>
      </c>
      <c r="N77" s="804">
        <v>45541</v>
      </c>
      <c r="O77" s="802">
        <v>46203</v>
      </c>
      <c r="P77" s="802">
        <v>46234</v>
      </c>
      <c r="Q77" s="842" t="e">
        <f>_xlfn.XLOOKUP(A77,'[1]Delivery Report'!$A:$A,'[1]Delivery Report'!$AQ:$AQ)</f>
        <v>#N/A</v>
      </c>
      <c r="R77" s="843" t="e">
        <f t="shared" si="7"/>
        <v>#N/A</v>
      </c>
      <c r="S77" s="843"/>
      <c r="T77" s="843"/>
      <c r="U77" s="844"/>
      <c r="V77" s="805">
        <f t="shared" si="8"/>
        <v>0.26279999999999998</v>
      </c>
      <c r="W77" s="805">
        <f>($K77*'[2]Fee Assumptions'!$D$4)/10^7</f>
        <v>0.26279999999999998</v>
      </c>
      <c r="X77" s="805"/>
      <c r="Y77" s="831"/>
      <c r="Z77" s="831"/>
      <c r="AA77" s="845" t="str">
        <f>IFERROR(VLOOKUP(#REF!,'[3]ID Goals 2026'!$B:$R,17,0)," ")</f>
        <v xml:space="preserve"> </v>
      </c>
      <c r="AB77" s="851"/>
      <c r="AC77" s="851"/>
      <c r="AD77" s="851"/>
      <c r="AE77" s="851"/>
      <c r="AF77" s="851"/>
      <c r="AG77" s="851"/>
      <c r="AH77" s="831"/>
      <c r="AI77" s="829"/>
    </row>
    <row r="78" spans="1:35" hidden="1">
      <c r="A78" s="829" t="str">
        <f t="shared" si="6"/>
        <v>ITQE5253</v>
      </c>
      <c r="B78" s="840">
        <v>75</v>
      </c>
      <c r="C78" s="841"/>
      <c r="D78" s="828" t="s">
        <v>170</v>
      </c>
      <c r="E78" s="828" t="s">
        <v>1720</v>
      </c>
      <c r="F78" s="797">
        <v>5253</v>
      </c>
      <c r="G78" s="828" t="s">
        <v>1770</v>
      </c>
      <c r="H78" s="828" t="s">
        <v>1780</v>
      </c>
      <c r="I78" s="833" t="s">
        <v>1670</v>
      </c>
      <c r="J78" s="828" t="s">
        <v>618</v>
      </c>
      <c r="K78" s="800">
        <v>2628</v>
      </c>
      <c r="L78" s="835" t="s">
        <v>1665</v>
      </c>
      <c r="M78" s="802">
        <v>46234</v>
      </c>
      <c r="N78" s="804">
        <v>45608</v>
      </c>
      <c r="O78" s="802">
        <v>46203</v>
      </c>
      <c r="P78" s="802">
        <v>46234</v>
      </c>
      <c r="Q78" s="842" t="e">
        <f>_xlfn.XLOOKUP(A78,'[1]Delivery Report'!$A:$A,'[1]Delivery Report'!$AQ:$AQ)</f>
        <v>#N/A</v>
      </c>
      <c r="R78" s="843" t="e">
        <f t="shared" si="7"/>
        <v>#N/A</v>
      </c>
      <c r="S78" s="843"/>
      <c r="T78" s="843"/>
      <c r="U78" s="844"/>
      <c r="V78" s="805">
        <f t="shared" si="8"/>
        <v>0.26279999999999998</v>
      </c>
      <c r="W78" s="805">
        <f>($K78*'[2]Fee Assumptions'!$D$4)/10^7</f>
        <v>0.26279999999999998</v>
      </c>
      <c r="X78" s="805"/>
      <c r="Y78" s="831"/>
      <c r="Z78" s="831"/>
      <c r="AA78" s="845" t="str">
        <f>IFERROR(VLOOKUP(#REF!,'[3]ID Goals 2026'!$B:$R,17,0)," ")</f>
        <v xml:space="preserve"> </v>
      </c>
      <c r="AB78" s="851"/>
      <c r="AC78" s="851"/>
      <c r="AD78" s="851"/>
      <c r="AE78" s="851"/>
      <c r="AF78" s="851"/>
      <c r="AG78" s="851"/>
      <c r="AH78" s="831"/>
      <c r="AI78" s="829"/>
    </row>
    <row r="79" spans="1:35" hidden="1">
      <c r="A79" s="829" t="str">
        <f t="shared" si="6"/>
        <v>ITQE6273</v>
      </c>
      <c r="B79" s="840">
        <v>76</v>
      </c>
      <c r="C79" s="855"/>
      <c r="D79" s="828" t="s">
        <v>170</v>
      </c>
      <c r="E79" s="828" t="s">
        <v>1754</v>
      </c>
      <c r="F79" s="797">
        <v>6273</v>
      </c>
      <c r="G79" s="828"/>
      <c r="H79" s="828" t="s">
        <v>1781</v>
      </c>
      <c r="I79" s="833" t="s">
        <v>1670</v>
      </c>
      <c r="J79" s="807" t="s">
        <v>618</v>
      </c>
      <c r="K79" s="800">
        <v>3188</v>
      </c>
      <c r="L79" s="835" t="s">
        <v>1665</v>
      </c>
      <c r="M79" s="802">
        <v>46568</v>
      </c>
      <c r="N79" s="808">
        <v>46022</v>
      </c>
      <c r="O79" s="802">
        <v>46265</v>
      </c>
      <c r="P79" s="802">
        <v>46295</v>
      </c>
      <c r="Q79" s="842" t="e">
        <f>_xlfn.XLOOKUP(A79,'[1]Delivery Report'!$A:$A,'[1]Delivery Report'!$AQ:$AQ)</f>
        <v>#N/A</v>
      </c>
      <c r="R79" s="842"/>
      <c r="S79" s="842"/>
      <c r="T79" s="856"/>
      <c r="U79" s="809"/>
      <c r="V79" s="805">
        <f t="shared" si="8"/>
        <v>0.31879999999999997</v>
      </c>
      <c r="W79" s="805">
        <f>($K79*'[2]Fee Assumptions'!$D$4)/10^7</f>
        <v>0.31879999999999997</v>
      </c>
      <c r="X79" s="857"/>
      <c r="Y79" s="857"/>
      <c r="Z79" s="857"/>
      <c r="AA79" s="857"/>
      <c r="AB79" s="857"/>
      <c r="AC79" s="857"/>
      <c r="AD79" s="858"/>
      <c r="AE79" s="848"/>
      <c r="AF79" s="848"/>
      <c r="AG79" s="848"/>
      <c r="AH79" s="848"/>
      <c r="AI79" s="848"/>
    </row>
    <row r="80" spans="1:35" hidden="1">
      <c r="A80" s="829" t="str">
        <f t="shared" si="6"/>
        <v>ITQE7012</v>
      </c>
      <c r="B80" s="840">
        <v>77</v>
      </c>
      <c r="C80" s="841"/>
      <c r="D80" s="828" t="s">
        <v>170</v>
      </c>
      <c r="E80" s="828" t="s">
        <v>1757</v>
      </c>
      <c r="F80" s="797">
        <v>7012</v>
      </c>
      <c r="G80" s="828" t="s">
        <v>1770</v>
      </c>
      <c r="H80" s="828" t="s">
        <v>1782</v>
      </c>
      <c r="I80" s="833" t="s">
        <v>1670</v>
      </c>
      <c r="J80" s="828" t="s">
        <v>618</v>
      </c>
      <c r="K80" s="800">
        <v>2628</v>
      </c>
      <c r="L80" s="835" t="s">
        <v>1665</v>
      </c>
      <c r="M80" s="802">
        <v>46934</v>
      </c>
      <c r="N80" s="804">
        <v>45850</v>
      </c>
      <c r="O80" s="802">
        <v>46234</v>
      </c>
      <c r="P80" s="802">
        <v>46234</v>
      </c>
      <c r="Q80" s="842" t="e">
        <f>_xlfn.XLOOKUP(A80,'[1]Delivery Report'!$A:$A,'[1]Delivery Report'!$AQ:$AQ)</f>
        <v>#N/A</v>
      </c>
      <c r="R80" s="843" t="e">
        <f t="shared" ref="R80:R124" si="9">Q80</f>
        <v>#N/A</v>
      </c>
      <c r="S80" s="843" t="s">
        <v>1783</v>
      </c>
      <c r="T80" s="843"/>
      <c r="U80" s="844"/>
      <c r="V80" s="805">
        <f t="shared" si="8"/>
        <v>0.26279999999999998</v>
      </c>
      <c r="W80" s="805">
        <f>($K80*'[2]Fee Assumptions'!$D$4)/10^7</f>
        <v>0.26279999999999998</v>
      </c>
      <c r="X80" s="805"/>
      <c r="Y80" s="831" t="s">
        <v>1685</v>
      </c>
      <c r="Z80" s="831" t="s">
        <v>1685</v>
      </c>
      <c r="AA80" s="845" t="str">
        <f>IFERROR(VLOOKUP(#REF!,'[3]ID Goals 2026'!$B:$R,17,0)," ")</f>
        <v xml:space="preserve"> </v>
      </c>
      <c r="AB80" s="851"/>
      <c r="AC80" s="851"/>
      <c r="AD80" s="851"/>
      <c r="AE80" s="851"/>
      <c r="AF80" s="851"/>
      <c r="AG80" s="851"/>
      <c r="AH80" s="831"/>
      <c r="AI80" s="829"/>
    </row>
    <row r="81" spans="1:27" hidden="1">
      <c r="A81" s="829" t="str">
        <f t="shared" si="6"/>
        <v>ITQE7021</v>
      </c>
      <c r="B81" s="840">
        <v>78</v>
      </c>
      <c r="C81" s="841"/>
      <c r="D81" s="828" t="s">
        <v>170</v>
      </c>
      <c r="E81" s="828" t="s">
        <v>1757</v>
      </c>
      <c r="F81" s="797">
        <v>7021</v>
      </c>
      <c r="G81" s="828" t="s">
        <v>1770</v>
      </c>
      <c r="H81" s="828" t="s">
        <v>1784</v>
      </c>
      <c r="I81" s="833" t="s">
        <v>1670</v>
      </c>
      <c r="J81" s="828" t="s">
        <v>618</v>
      </c>
      <c r="K81" s="800">
        <v>2628</v>
      </c>
      <c r="L81" s="835" t="s">
        <v>1785</v>
      </c>
      <c r="M81" s="802">
        <v>0</v>
      </c>
      <c r="N81" s="804">
        <v>45897</v>
      </c>
      <c r="O81" s="802">
        <v>46234</v>
      </c>
      <c r="P81" s="802">
        <v>46234</v>
      </c>
      <c r="Q81" s="842" t="e">
        <f>_xlfn.XLOOKUP(A81,'[1]Delivery Report'!$A:$A,'[1]Delivery Report'!$AQ:$AQ)</f>
        <v>#N/A</v>
      </c>
      <c r="R81" s="843" t="e">
        <f t="shared" si="9"/>
        <v>#N/A</v>
      </c>
      <c r="S81" s="843" t="s">
        <v>1783</v>
      </c>
      <c r="T81" s="843"/>
      <c r="U81" s="844"/>
      <c r="V81" s="805">
        <f t="shared" si="8"/>
        <v>0.26279999999999998</v>
      </c>
      <c r="W81" s="805">
        <f>($K81*'[2]Fee Assumptions'!$D$4)/10^7</f>
        <v>0.26279999999999998</v>
      </c>
      <c r="X81" s="805"/>
      <c r="Y81" s="831" t="s">
        <v>1685</v>
      </c>
      <c r="Z81" s="831" t="s">
        <v>1685</v>
      </c>
      <c r="AA81" s="845" t="str">
        <f>IFERROR(VLOOKUP(#REF!,'[3]ID Goals 2026'!$B:$R,17,0)," ")</f>
        <v xml:space="preserve"> </v>
      </c>
    </row>
    <row r="82" spans="1:27" hidden="1">
      <c r="A82" s="829" t="str">
        <f t="shared" si="6"/>
        <v>ITQE7031</v>
      </c>
      <c r="B82" s="840">
        <v>79</v>
      </c>
      <c r="C82" s="841"/>
      <c r="D82" s="828" t="s">
        <v>170</v>
      </c>
      <c r="E82" s="828" t="s">
        <v>1757</v>
      </c>
      <c r="F82" s="797">
        <v>7031</v>
      </c>
      <c r="G82" s="828" t="s">
        <v>1770</v>
      </c>
      <c r="H82" s="828" t="s">
        <v>1786</v>
      </c>
      <c r="I82" s="833" t="s">
        <v>1670</v>
      </c>
      <c r="J82" s="828" t="s">
        <v>618</v>
      </c>
      <c r="K82" s="800">
        <v>2628</v>
      </c>
      <c r="L82" s="835" t="s">
        <v>1665</v>
      </c>
      <c r="M82" s="802">
        <v>46752</v>
      </c>
      <c r="N82" s="804">
        <v>45606</v>
      </c>
      <c r="O82" s="802">
        <v>46234</v>
      </c>
      <c r="P82" s="802">
        <v>46234</v>
      </c>
      <c r="Q82" s="842" t="e">
        <f>_xlfn.XLOOKUP(A82,'[1]Delivery Report'!$A:$A,'[1]Delivery Report'!$AQ:$AQ)</f>
        <v>#N/A</v>
      </c>
      <c r="R82" s="843" t="e">
        <f t="shared" si="9"/>
        <v>#N/A</v>
      </c>
      <c r="S82" s="843" t="s">
        <v>1783</v>
      </c>
      <c r="T82" s="843"/>
      <c r="U82" s="844"/>
      <c r="V82" s="805">
        <f t="shared" si="8"/>
        <v>0.26279999999999998</v>
      </c>
      <c r="W82" s="805">
        <f>($K82*'[2]Fee Assumptions'!$D$4)/10^7</f>
        <v>0.26279999999999998</v>
      </c>
      <c r="X82" s="805"/>
      <c r="Y82" s="831"/>
      <c r="Z82" s="831"/>
      <c r="AA82" s="845" t="str">
        <f>IFERROR(VLOOKUP(#REF!,'[3]ID Goals 2026'!$B:$R,17,0)," ")</f>
        <v xml:space="preserve"> </v>
      </c>
    </row>
    <row r="83" spans="1:27" hidden="1">
      <c r="A83" s="829" t="str">
        <f t="shared" si="6"/>
        <v>ITQE7051</v>
      </c>
      <c r="B83" s="840">
        <v>80</v>
      </c>
      <c r="C83" s="841"/>
      <c r="D83" s="828" t="s">
        <v>170</v>
      </c>
      <c r="E83" s="828" t="s">
        <v>1757</v>
      </c>
      <c r="F83" s="797">
        <v>7051</v>
      </c>
      <c r="G83" s="828" t="s">
        <v>1770</v>
      </c>
      <c r="H83" s="828" t="s">
        <v>1787</v>
      </c>
      <c r="I83" s="833" t="s">
        <v>1670</v>
      </c>
      <c r="J83" s="828" t="s">
        <v>618</v>
      </c>
      <c r="K83" s="800">
        <v>2628</v>
      </c>
      <c r="L83" s="835" t="s">
        <v>1665</v>
      </c>
      <c r="M83" s="802">
        <v>46752</v>
      </c>
      <c r="N83" s="804">
        <v>45606</v>
      </c>
      <c r="O83" s="802">
        <v>46234</v>
      </c>
      <c r="P83" s="802">
        <v>46234</v>
      </c>
      <c r="Q83" s="842" t="e">
        <f>_xlfn.XLOOKUP(A83,'[1]Delivery Report'!$A:$A,'[1]Delivery Report'!$AQ:$AQ)</f>
        <v>#N/A</v>
      </c>
      <c r="R83" s="843" t="e">
        <f t="shared" si="9"/>
        <v>#N/A</v>
      </c>
      <c r="S83" s="843" t="s">
        <v>1783</v>
      </c>
      <c r="T83" s="843"/>
      <c r="U83" s="844"/>
      <c r="V83" s="805">
        <f t="shared" si="8"/>
        <v>0.26279999999999998</v>
      </c>
      <c r="W83" s="805">
        <f>($K83*'[2]Fee Assumptions'!$D$4)/10^7</f>
        <v>0.26279999999999998</v>
      </c>
      <c r="X83" s="805"/>
      <c r="Y83" s="831" t="s">
        <v>1685</v>
      </c>
      <c r="Z83" s="831" t="s">
        <v>1685</v>
      </c>
      <c r="AA83" s="845" t="str">
        <f>IFERROR(VLOOKUP(#REF!,'[3]ID Goals 2026'!$B:$R,17,0)," ")</f>
        <v xml:space="preserve"> </v>
      </c>
    </row>
    <row r="84" spans="1:27" hidden="1">
      <c r="A84" s="829" t="str">
        <f t="shared" si="6"/>
        <v>ITQE7053</v>
      </c>
      <c r="B84" s="840">
        <v>81</v>
      </c>
      <c r="C84" s="841"/>
      <c r="D84" s="828" t="s">
        <v>170</v>
      </c>
      <c r="E84" s="828" t="s">
        <v>1757</v>
      </c>
      <c r="F84" s="797">
        <v>7053</v>
      </c>
      <c r="G84" s="828" t="s">
        <v>1770</v>
      </c>
      <c r="H84" s="828" t="s">
        <v>1788</v>
      </c>
      <c r="I84" s="833" t="s">
        <v>1670</v>
      </c>
      <c r="J84" s="828" t="s">
        <v>618</v>
      </c>
      <c r="K84" s="800">
        <v>2628</v>
      </c>
      <c r="L84" s="835" t="s">
        <v>1665</v>
      </c>
      <c r="M84" s="802">
        <v>47118</v>
      </c>
      <c r="N84" s="804">
        <v>0</v>
      </c>
      <c r="O84" s="802">
        <v>46234</v>
      </c>
      <c r="P84" s="802">
        <v>46234</v>
      </c>
      <c r="Q84" s="842" t="e">
        <f>_xlfn.XLOOKUP(A84,'[1]Delivery Report'!$A:$A,'[1]Delivery Report'!$AQ:$AQ)</f>
        <v>#N/A</v>
      </c>
      <c r="R84" s="843" t="e">
        <f t="shared" si="9"/>
        <v>#N/A</v>
      </c>
      <c r="S84" s="843" t="s">
        <v>1783</v>
      </c>
      <c r="T84" s="843"/>
      <c r="U84" s="844"/>
      <c r="V84" s="805">
        <f t="shared" si="8"/>
        <v>0.26279999999999998</v>
      </c>
      <c r="W84" s="805">
        <f>($K84*'[2]Fee Assumptions'!$D$4)/10^7</f>
        <v>0.26279999999999998</v>
      </c>
      <c r="X84" s="805"/>
      <c r="Y84" s="831" t="s">
        <v>1685</v>
      </c>
      <c r="Z84" s="831" t="s">
        <v>1685</v>
      </c>
      <c r="AA84" s="845" t="str">
        <f>IFERROR(VLOOKUP(#REF!,'[3]ID Goals 2026'!$B:$R,17,0)," ")</f>
        <v xml:space="preserve"> </v>
      </c>
    </row>
    <row r="85" spans="1:27" hidden="1">
      <c r="A85" s="829" t="str">
        <f t="shared" si="6"/>
        <v>ITQE7063</v>
      </c>
      <c r="B85" s="840">
        <v>82</v>
      </c>
      <c r="C85" s="841"/>
      <c r="D85" s="828" t="s">
        <v>170</v>
      </c>
      <c r="E85" s="828" t="s">
        <v>1757</v>
      </c>
      <c r="F85" s="797">
        <v>7063</v>
      </c>
      <c r="G85" s="828" t="s">
        <v>1770</v>
      </c>
      <c r="H85" s="828" t="s">
        <v>1789</v>
      </c>
      <c r="I85" s="833" t="s">
        <v>1670</v>
      </c>
      <c r="J85" s="828" t="s">
        <v>618</v>
      </c>
      <c r="K85" s="800">
        <v>2628</v>
      </c>
      <c r="L85" s="835" t="s">
        <v>1665</v>
      </c>
      <c r="M85" s="802">
        <v>46934</v>
      </c>
      <c r="N85" s="804">
        <v>45830</v>
      </c>
      <c r="O85" s="802">
        <v>46264</v>
      </c>
      <c r="P85" s="802">
        <v>46264</v>
      </c>
      <c r="Q85" s="842" t="e">
        <f>_xlfn.XLOOKUP(A85,'[1]Delivery Report'!$A:$A,'[1]Delivery Report'!$AQ:$AQ)</f>
        <v>#N/A</v>
      </c>
      <c r="R85" s="843" t="e">
        <f t="shared" si="9"/>
        <v>#N/A</v>
      </c>
      <c r="S85" s="843" t="s">
        <v>1783</v>
      </c>
      <c r="T85" s="843"/>
      <c r="U85" s="844"/>
      <c r="V85" s="805">
        <f t="shared" si="8"/>
        <v>0.26279999999999998</v>
      </c>
      <c r="W85" s="805">
        <f>($K85*'[2]Fee Assumptions'!$D$4)/10^7</f>
        <v>0.26279999999999998</v>
      </c>
      <c r="X85" s="805"/>
      <c r="Y85" s="831" t="s">
        <v>1685</v>
      </c>
      <c r="Z85" s="831" t="s">
        <v>1685</v>
      </c>
      <c r="AA85" s="845" t="str">
        <f>IFERROR(VLOOKUP(#REF!,'[3]ID Goals 2026'!$B:$R,17,0)," ")</f>
        <v xml:space="preserve"> </v>
      </c>
    </row>
    <row r="86" spans="1:27" hidden="1">
      <c r="A86" s="829" t="str">
        <f t="shared" si="6"/>
        <v>ITQE7071</v>
      </c>
      <c r="B86" s="840">
        <v>83</v>
      </c>
      <c r="C86" s="841"/>
      <c r="D86" s="828" t="s">
        <v>170</v>
      </c>
      <c r="E86" s="828" t="s">
        <v>1757</v>
      </c>
      <c r="F86" s="797">
        <v>7071</v>
      </c>
      <c r="G86" s="828" t="s">
        <v>1770</v>
      </c>
      <c r="H86" s="828" t="s">
        <v>1790</v>
      </c>
      <c r="I86" s="833" t="s">
        <v>1670</v>
      </c>
      <c r="J86" s="828" t="s">
        <v>618</v>
      </c>
      <c r="K86" s="800">
        <v>2628</v>
      </c>
      <c r="L86" s="835" t="s">
        <v>1665</v>
      </c>
      <c r="M86" s="802">
        <v>46752</v>
      </c>
      <c r="N86" s="804">
        <v>45616</v>
      </c>
      <c r="O86" s="802">
        <v>46142</v>
      </c>
      <c r="P86" s="802">
        <v>46233</v>
      </c>
      <c r="Q86" s="842" t="e">
        <f>_xlfn.XLOOKUP(A86,'[1]Delivery Report'!$A:$A,'[1]Delivery Report'!$AQ:$AQ)</f>
        <v>#N/A</v>
      </c>
      <c r="R86" s="843" t="e">
        <f t="shared" si="9"/>
        <v>#N/A</v>
      </c>
      <c r="S86" s="843"/>
      <c r="T86" s="843"/>
      <c r="U86" s="844"/>
      <c r="V86" s="805">
        <f t="shared" si="8"/>
        <v>0.26279999999999998</v>
      </c>
      <c r="W86" s="805">
        <f>($K86*'[2]Fee Assumptions'!$D$4)/10^7</f>
        <v>0.26279999999999998</v>
      </c>
      <c r="X86" s="805"/>
      <c r="Y86" s="831" t="s">
        <v>1685</v>
      </c>
      <c r="Z86" s="831" t="s">
        <v>1685</v>
      </c>
      <c r="AA86" s="845" t="str">
        <f>IFERROR(VLOOKUP(#REF!,'[3]ID Goals 2026'!$B:$R,17,0)," ")</f>
        <v xml:space="preserve"> </v>
      </c>
    </row>
    <row r="87" spans="1:27" hidden="1">
      <c r="A87" s="829" t="str">
        <f t="shared" si="6"/>
        <v>ITQE7092</v>
      </c>
      <c r="B87" s="840">
        <v>84</v>
      </c>
      <c r="C87" s="841"/>
      <c r="D87" s="828" t="s">
        <v>170</v>
      </c>
      <c r="E87" s="828" t="s">
        <v>1757</v>
      </c>
      <c r="F87" s="797">
        <v>7092</v>
      </c>
      <c r="G87" s="828" t="s">
        <v>1770</v>
      </c>
      <c r="H87" s="828" t="s">
        <v>1791</v>
      </c>
      <c r="I87" s="833" t="s">
        <v>1670</v>
      </c>
      <c r="J87" s="828" t="s">
        <v>618</v>
      </c>
      <c r="K87" s="800">
        <v>2628</v>
      </c>
      <c r="L87" s="835" t="s">
        <v>1665</v>
      </c>
      <c r="M87" s="802">
        <v>46752</v>
      </c>
      <c r="N87" s="804">
        <v>45612</v>
      </c>
      <c r="O87" s="802">
        <v>46264</v>
      </c>
      <c r="P87" s="802">
        <v>46264</v>
      </c>
      <c r="Q87" s="842" t="e">
        <f>_xlfn.XLOOKUP(A87,'[1]Delivery Report'!$A:$A,'[1]Delivery Report'!$AQ:$AQ)</f>
        <v>#N/A</v>
      </c>
      <c r="R87" s="843" t="e">
        <f t="shared" si="9"/>
        <v>#N/A</v>
      </c>
      <c r="S87" s="843" t="s">
        <v>1783</v>
      </c>
      <c r="T87" s="843"/>
      <c r="U87" s="844"/>
      <c r="V87" s="805">
        <f t="shared" si="8"/>
        <v>0.26279999999999998</v>
      </c>
      <c r="W87" s="805">
        <f>($K87*'[2]Fee Assumptions'!$D$4)/10^7</f>
        <v>0.26279999999999998</v>
      </c>
      <c r="X87" s="805"/>
      <c r="Y87" s="831"/>
      <c r="Z87" s="831" t="s">
        <v>1685</v>
      </c>
      <c r="AA87" s="845" t="str">
        <f>IFERROR(VLOOKUP(#REF!,'[3]ID Goals 2026'!$B:$R,17,0)," ")</f>
        <v xml:space="preserve"> </v>
      </c>
    </row>
    <row r="88" spans="1:27" hidden="1">
      <c r="A88" s="829" t="str">
        <f t="shared" si="6"/>
        <v>ITQE7103</v>
      </c>
      <c r="B88" s="840">
        <v>85</v>
      </c>
      <c r="C88" s="841"/>
      <c r="D88" s="828" t="s">
        <v>170</v>
      </c>
      <c r="E88" s="828" t="s">
        <v>1757</v>
      </c>
      <c r="F88" s="797">
        <v>7103</v>
      </c>
      <c r="G88" s="828" t="s">
        <v>1770</v>
      </c>
      <c r="H88" s="828" t="s">
        <v>1792</v>
      </c>
      <c r="I88" s="833" t="s">
        <v>1670</v>
      </c>
      <c r="J88" s="828" t="s">
        <v>618</v>
      </c>
      <c r="K88" s="800">
        <v>2628</v>
      </c>
      <c r="L88" s="835" t="s">
        <v>1665</v>
      </c>
      <c r="M88" s="802">
        <v>46934</v>
      </c>
      <c r="N88" s="804">
        <v>45783</v>
      </c>
      <c r="O88" s="802">
        <v>46264</v>
      </c>
      <c r="P88" s="802">
        <v>46264</v>
      </c>
      <c r="Q88" s="842" t="e">
        <f>_xlfn.XLOOKUP(A88,'[1]Delivery Report'!$A:$A,'[1]Delivery Report'!$AQ:$AQ)</f>
        <v>#N/A</v>
      </c>
      <c r="R88" s="843" t="e">
        <f t="shared" si="9"/>
        <v>#N/A</v>
      </c>
      <c r="S88" s="843" t="s">
        <v>1783</v>
      </c>
      <c r="T88" s="843"/>
      <c r="U88" s="844"/>
      <c r="V88" s="805">
        <f t="shared" si="8"/>
        <v>0.26279999999999998</v>
      </c>
      <c r="W88" s="805">
        <f>($K88*'[2]Fee Assumptions'!$D$4)/10^7</f>
        <v>0.26279999999999998</v>
      </c>
      <c r="X88" s="805"/>
      <c r="Y88" s="831"/>
      <c r="Z88" s="831"/>
      <c r="AA88" s="845" t="str">
        <f>IFERROR(VLOOKUP(#REF!,'[3]ID Goals 2026'!$B:$R,17,0)," ")</f>
        <v xml:space="preserve"> </v>
      </c>
    </row>
    <row r="89" spans="1:27" hidden="1">
      <c r="A89" s="829" t="str">
        <f t="shared" si="6"/>
        <v>ITQE7123</v>
      </c>
      <c r="B89" s="840">
        <v>86</v>
      </c>
      <c r="C89" s="841"/>
      <c r="D89" s="828" t="s">
        <v>170</v>
      </c>
      <c r="E89" s="828" t="s">
        <v>1757</v>
      </c>
      <c r="F89" s="797">
        <v>7123</v>
      </c>
      <c r="G89" s="828" t="s">
        <v>1770</v>
      </c>
      <c r="H89" s="828" t="s">
        <v>1793</v>
      </c>
      <c r="I89" s="833" t="s">
        <v>1670</v>
      </c>
      <c r="J89" s="828" t="s">
        <v>618</v>
      </c>
      <c r="K89" s="800">
        <v>2628</v>
      </c>
      <c r="L89" s="835" t="s">
        <v>1665</v>
      </c>
      <c r="M89" s="802">
        <v>46934</v>
      </c>
      <c r="N89" s="804">
        <v>45737</v>
      </c>
      <c r="O89" s="802">
        <v>46142</v>
      </c>
      <c r="P89" s="802">
        <v>46233</v>
      </c>
      <c r="Q89" s="842" t="e">
        <f>_xlfn.XLOOKUP(A89,'[1]Delivery Report'!$A:$A,'[1]Delivery Report'!$AQ:$AQ)</f>
        <v>#N/A</v>
      </c>
      <c r="R89" s="843" t="e">
        <f t="shared" si="9"/>
        <v>#N/A</v>
      </c>
      <c r="S89" s="843"/>
      <c r="T89" s="843"/>
      <c r="U89" s="844"/>
      <c r="V89" s="805">
        <f t="shared" si="8"/>
        <v>0.26279999999999998</v>
      </c>
      <c r="W89" s="805">
        <f>($K89*'[2]Fee Assumptions'!$D$4)/10^7</f>
        <v>0.26279999999999998</v>
      </c>
      <c r="X89" s="805"/>
      <c r="Y89" s="831"/>
      <c r="Z89" s="831"/>
      <c r="AA89" s="845" t="str">
        <f>IFERROR(VLOOKUP(#REF!,'[3]ID Goals 2026'!$B:$R,17,0)," ")</f>
        <v xml:space="preserve"> </v>
      </c>
    </row>
    <row r="90" spans="1:27" hidden="1">
      <c r="A90" s="829" t="str">
        <f t="shared" si="6"/>
        <v>ITQE7143</v>
      </c>
      <c r="B90" s="840">
        <v>87</v>
      </c>
      <c r="C90" s="841"/>
      <c r="D90" s="828" t="s">
        <v>170</v>
      </c>
      <c r="E90" s="828" t="s">
        <v>1757</v>
      </c>
      <c r="F90" s="797">
        <v>7143</v>
      </c>
      <c r="G90" s="828" t="s">
        <v>1770</v>
      </c>
      <c r="H90" s="828" t="s">
        <v>1794</v>
      </c>
      <c r="I90" s="833" t="s">
        <v>1670</v>
      </c>
      <c r="J90" s="828" t="s">
        <v>618</v>
      </c>
      <c r="K90" s="800">
        <v>2628</v>
      </c>
      <c r="L90" s="835" t="s">
        <v>1665</v>
      </c>
      <c r="M90" s="802">
        <v>46934</v>
      </c>
      <c r="N90" s="804">
        <v>45737</v>
      </c>
      <c r="O90" s="802">
        <v>46142</v>
      </c>
      <c r="P90" s="802">
        <v>46233</v>
      </c>
      <c r="Q90" s="842" t="e">
        <f>_xlfn.XLOOKUP(A90,'[1]Delivery Report'!$A:$A,'[1]Delivery Report'!$AQ:$AQ)</f>
        <v>#N/A</v>
      </c>
      <c r="R90" s="843" t="e">
        <f t="shared" si="9"/>
        <v>#N/A</v>
      </c>
      <c r="S90" s="843"/>
      <c r="T90" s="843"/>
      <c r="U90" s="844"/>
      <c r="V90" s="805">
        <f t="shared" si="8"/>
        <v>0.26279999999999998</v>
      </c>
      <c r="W90" s="805">
        <f>($K90*'[2]Fee Assumptions'!$D$4)/10^7</f>
        <v>0.26279999999999998</v>
      </c>
      <c r="X90" s="805"/>
      <c r="Y90" s="831"/>
      <c r="Z90" s="831"/>
      <c r="AA90" s="845" t="str">
        <f>IFERROR(VLOOKUP(#REF!,'[3]ID Goals 2026'!$B:$R,17,0)," ")</f>
        <v xml:space="preserve"> </v>
      </c>
    </row>
    <row r="91" spans="1:27" hidden="1">
      <c r="A91" s="829" t="str">
        <f t="shared" si="6"/>
        <v>ITQE7184</v>
      </c>
      <c r="B91" s="840">
        <v>88</v>
      </c>
      <c r="C91" s="841"/>
      <c r="D91" s="828" t="s">
        <v>170</v>
      </c>
      <c r="E91" s="828" t="s">
        <v>1757</v>
      </c>
      <c r="F91" s="797">
        <v>7184</v>
      </c>
      <c r="G91" s="828" t="s">
        <v>1770</v>
      </c>
      <c r="H91" s="828" t="s">
        <v>1795</v>
      </c>
      <c r="I91" s="833" t="s">
        <v>1670</v>
      </c>
      <c r="J91" s="828" t="s">
        <v>618</v>
      </c>
      <c r="K91" s="800">
        <v>2628</v>
      </c>
      <c r="L91" s="835" t="s">
        <v>1665</v>
      </c>
      <c r="M91" s="802">
        <v>46752</v>
      </c>
      <c r="N91" s="804">
        <v>45813</v>
      </c>
      <c r="O91" s="802">
        <v>46142</v>
      </c>
      <c r="P91" s="802">
        <v>46233</v>
      </c>
      <c r="Q91" s="842" t="e">
        <f>_xlfn.XLOOKUP(A91,'[1]Delivery Report'!$A:$A,'[1]Delivery Report'!$AQ:$AQ)</f>
        <v>#N/A</v>
      </c>
      <c r="R91" s="843" t="e">
        <f t="shared" si="9"/>
        <v>#N/A</v>
      </c>
      <c r="S91" s="843"/>
      <c r="T91" s="843"/>
      <c r="U91" s="844"/>
      <c r="V91" s="805">
        <f t="shared" si="8"/>
        <v>0.26279999999999998</v>
      </c>
      <c r="W91" s="805">
        <f>($K91*'[2]Fee Assumptions'!$D$4)/10^7</f>
        <v>0.26279999999999998</v>
      </c>
      <c r="X91" s="805"/>
      <c r="Y91" s="831"/>
      <c r="Z91" s="831"/>
      <c r="AA91" s="845" t="str">
        <f>IFERROR(VLOOKUP(#REF!,'[3]ID Goals 2026'!$B:$R,17,0)," ")</f>
        <v xml:space="preserve"> </v>
      </c>
    </row>
    <row r="92" spans="1:27" hidden="1">
      <c r="A92" s="829" t="str">
        <f t="shared" si="6"/>
        <v>ITQE7242</v>
      </c>
      <c r="B92" s="840">
        <v>89</v>
      </c>
      <c r="C92" s="841"/>
      <c r="D92" s="828" t="s">
        <v>170</v>
      </c>
      <c r="E92" s="828" t="s">
        <v>1757</v>
      </c>
      <c r="F92" s="797">
        <v>7242</v>
      </c>
      <c r="G92" s="828" t="s">
        <v>1770</v>
      </c>
      <c r="H92" s="828" t="s">
        <v>1796</v>
      </c>
      <c r="I92" s="833" t="s">
        <v>1670</v>
      </c>
      <c r="J92" s="828" t="s">
        <v>618</v>
      </c>
      <c r="K92" s="800">
        <v>2628</v>
      </c>
      <c r="L92" s="835" t="s">
        <v>1665</v>
      </c>
      <c r="M92" s="802">
        <v>46752</v>
      </c>
      <c r="N92" s="804">
        <v>45737</v>
      </c>
      <c r="O92" s="802">
        <v>46142</v>
      </c>
      <c r="P92" s="802">
        <v>46233</v>
      </c>
      <c r="Q92" s="842" t="e">
        <f>_xlfn.XLOOKUP(A92,'[1]Delivery Report'!$A:$A,'[1]Delivery Report'!$AQ:$AQ)</f>
        <v>#N/A</v>
      </c>
      <c r="R92" s="843" t="e">
        <f t="shared" si="9"/>
        <v>#N/A</v>
      </c>
      <c r="S92" s="843"/>
      <c r="T92" s="843"/>
      <c r="U92" s="844"/>
      <c r="V92" s="805">
        <f t="shared" si="8"/>
        <v>0.26279999999999998</v>
      </c>
      <c r="W92" s="805">
        <f>($K92*'[2]Fee Assumptions'!$D$4)/10^7</f>
        <v>0.26279999999999998</v>
      </c>
      <c r="X92" s="805"/>
      <c r="Y92" s="831"/>
      <c r="Z92" s="831"/>
      <c r="AA92" s="845" t="str">
        <f>IFERROR(VLOOKUP(#REF!,'[3]ID Goals 2026'!$B:$R,17,0)," ")</f>
        <v xml:space="preserve"> </v>
      </c>
    </row>
    <row r="93" spans="1:27" hidden="1">
      <c r="A93" s="829" t="str">
        <f t="shared" si="6"/>
        <v>ITQE23</v>
      </c>
      <c r="B93" s="840">
        <v>90</v>
      </c>
      <c r="C93" s="841"/>
      <c r="D93" s="828" t="s">
        <v>170</v>
      </c>
      <c r="E93" s="828" t="s">
        <v>1797</v>
      </c>
      <c r="F93" s="797">
        <v>23</v>
      </c>
      <c r="G93" s="828" t="s">
        <v>1797</v>
      </c>
      <c r="H93" s="828" t="s">
        <v>1798</v>
      </c>
      <c r="I93" s="833" t="s">
        <v>1670</v>
      </c>
      <c r="J93" s="828" t="s">
        <v>618</v>
      </c>
      <c r="K93" s="800">
        <v>3430</v>
      </c>
      <c r="L93" s="835" t="s">
        <v>1665</v>
      </c>
      <c r="M93" s="802">
        <v>46387</v>
      </c>
      <c r="N93" s="804">
        <v>0</v>
      </c>
      <c r="O93" s="802">
        <v>46173</v>
      </c>
      <c r="P93" s="802">
        <v>46233</v>
      </c>
      <c r="Q93" s="842" t="e">
        <f>_xlfn.XLOOKUP(A93,'[1]Delivery Report'!$A:$A,'[1]Delivery Report'!$AQ:$AQ)</f>
        <v>#N/A</v>
      </c>
      <c r="R93" s="843" t="e">
        <f t="shared" si="9"/>
        <v>#N/A</v>
      </c>
      <c r="S93" s="843"/>
      <c r="T93" s="843"/>
      <c r="U93" s="844" t="s">
        <v>1767</v>
      </c>
      <c r="V93" s="805">
        <f t="shared" si="8"/>
        <v>0.45276</v>
      </c>
      <c r="W93" s="805">
        <f>($K93*'[2]Fee Assumptions'!$D$2)/10^7</f>
        <v>0.45276</v>
      </c>
      <c r="X93" s="805"/>
      <c r="Y93" s="831" t="s">
        <v>1685</v>
      </c>
      <c r="Z93" s="831" t="s">
        <v>1685</v>
      </c>
      <c r="AA93" s="845" t="s">
        <v>1799</v>
      </c>
    </row>
    <row r="94" spans="1:27" hidden="1">
      <c r="A94" s="829" t="str">
        <f t="shared" si="6"/>
        <v>ITQE49</v>
      </c>
      <c r="B94" s="840">
        <v>91</v>
      </c>
      <c r="C94" s="841"/>
      <c r="D94" s="828" t="s">
        <v>170</v>
      </c>
      <c r="E94" s="828" t="s">
        <v>1797</v>
      </c>
      <c r="F94" s="797">
        <v>49</v>
      </c>
      <c r="G94" s="828" t="s">
        <v>1797</v>
      </c>
      <c r="H94" s="828" t="s">
        <v>1800</v>
      </c>
      <c r="I94" s="833" t="s">
        <v>1670</v>
      </c>
      <c r="J94" s="828" t="s">
        <v>618</v>
      </c>
      <c r="K94" s="800">
        <v>3430</v>
      </c>
      <c r="L94" s="835" t="s">
        <v>1665</v>
      </c>
      <c r="M94" s="802">
        <v>46567</v>
      </c>
      <c r="N94" s="804">
        <v>45981</v>
      </c>
      <c r="O94" s="802">
        <v>46173</v>
      </c>
      <c r="P94" s="802">
        <v>46233</v>
      </c>
      <c r="Q94" s="842" t="e">
        <f>_xlfn.XLOOKUP(A94,'[1]Delivery Report'!$A:$A,'[1]Delivery Report'!$AQ:$AQ)</f>
        <v>#N/A</v>
      </c>
      <c r="R94" s="843" t="e">
        <f t="shared" si="9"/>
        <v>#N/A</v>
      </c>
      <c r="S94" s="843"/>
      <c r="T94" s="843"/>
      <c r="U94" s="844" t="s">
        <v>1698</v>
      </c>
      <c r="V94" s="805">
        <f t="shared" si="8"/>
        <v>0.45276</v>
      </c>
      <c r="W94" s="805">
        <f>($K94*'[2]Fee Assumptions'!$D$2)/10^7</f>
        <v>0.45276</v>
      </c>
      <c r="X94" s="805"/>
      <c r="Y94" s="831" t="s">
        <v>1685</v>
      </c>
      <c r="Z94" s="831" t="s">
        <v>1685</v>
      </c>
      <c r="AA94" s="845" t="s">
        <v>1801</v>
      </c>
    </row>
    <row r="95" spans="1:27" hidden="1">
      <c r="A95" s="848" t="str">
        <f t="shared" si="6"/>
        <v>SFTW1083</v>
      </c>
      <c r="B95" s="840">
        <v>92</v>
      </c>
      <c r="C95" s="841"/>
      <c r="D95" s="828" t="s">
        <v>241</v>
      </c>
      <c r="E95" s="828">
        <v>1</v>
      </c>
      <c r="F95" s="797">
        <v>1083</v>
      </c>
      <c r="G95" s="828" t="s">
        <v>1760</v>
      </c>
      <c r="H95" s="828" t="s">
        <v>1802</v>
      </c>
      <c r="I95" s="833" t="s">
        <v>1670</v>
      </c>
      <c r="J95" s="828" t="s">
        <v>618</v>
      </c>
      <c r="K95" s="800">
        <v>4568</v>
      </c>
      <c r="L95" s="835" t="s">
        <v>1665</v>
      </c>
      <c r="M95" s="802">
        <v>45291</v>
      </c>
      <c r="N95" s="804">
        <v>45438</v>
      </c>
      <c r="O95" s="802">
        <v>46127</v>
      </c>
      <c r="P95" s="802">
        <v>46233</v>
      </c>
      <c r="Q95" s="842" t="e">
        <f>_xlfn.XLOOKUP(A95,'[1]Delivery Report'!$A:$A,'[1]Delivery Report'!$AQ:$AQ)</f>
        <v>#N/A</v>
      </c>
      <c r="R95" s="843" t="e">
        <f t="shared" si="9"/>
        <v>#N/A</v>
      </c>
      <c r="S95" s="843"/>
      <c r="T95" s="843"/>
      <c r="U95" s="844" t="s">
        <v>1698</v>
      </c>
      <c r="V95" s="805">
        <f t="shared" si="8"/>
        <v>0.45679999999999998</v>
      </c>
      <c r="W95" s="805">
        <f>($K95*'[2]Fee Assumptions'!$D$4)/10^7</f>
        <v>0.45679999999999998</v>
      </c>
      <c r="X95" s="805"/>
      <c r="Y95" s="831"/>
      <c r="Z95" s="831"/>
      <c r="AA95" s="845" t="str">
        <f>IFERROR(VLOOKUP(#REF!,'[3]ID Goals 2026'!$B:$R,17,0)," ")</f>
        <v xml:space="preserve"> </v>
      </c>
    </row>
    <row r="96" spans="1:27" hidden="1">
      <c r="A96" s="848" t="str">
        <f t="shared" si="6"/>
        <v>SFTW1202</v>
      </c>
      <c r="B96" s="840">
        <v>93</v>
      </c>
      <c r="C96" s="841"/>
      <c r="D96" s="828" t="s">
        <v>241</v>
      </c>
      <c r="E96" s="828">
        <v>1</v>
      </c>
      <c r="F96" s="797">
        <v>1202</v>
      </c>
      <c r="G96" s="828" t="s">
        <v>1803</v>
      </c>
      <c r="H96" s="828" t="s">
        <v>1804</v>
      </c>
      <c r="I96" s="833" t="s">
        <v>1664</v>
      </c>
      <c r="J96" s="828" t="s">
        <v>618</v>
      </c>
      <c r="K96" s="800">
        <v>2380</v>
      </c>
      <c r="L96" s="835" t="s">
        <v>1665</v>
      </c>
      <c r="M96" s="802">
        <v>44651</v>
      </c>
      <c r="N96" s="804">
        <v>45614</v>
      </c>
      <c r="O96" s="802">
        <v>46142</v>
      </c>
      <c r="P96" s="802">
        <v>46233</v>
      </c>
      <c r="Q96" s="842" t="e">
        <f>_xlfn.XLOOKUP(A96,'[1]Delivery Report'!$A:$A,'[1]Delivery Report'!$AQ:$AQ)</f>
        <v>#N/A</v>
      </c>
      <c r="R96" s="843" t="e">
        <f t="shared" si="9"/>
        <v>#N/A</v>
      </c>
      <c r="S96" s="843"/>
      <c r="T96" s="843"/>
      <c r="U96" s="844" t="s">
        <v>1698</v>
      </c>
      <c r="V96" s="805">
        <f t="shared" si="8"/>
        <v>0.23799999999999999</v>
      </c>
      <c r="W96" s="805">
        <f>($K96*'[2]Fee Assumptions'!$D$4)/10^7</f>
        <v>0.23799999999999999</v>
      </c>
      <c r="X96" s="805"/>
      <c r="Y96" s="831"/>
      <c r="Z96" s="831"/>
      <c r="AA96" s="845" t="str">
        <f>IFERROR(VLOOKUP(#REF!,'[3]ID Goals 2026'!$B:$R,17,0)," ")</f>
        <v xml:space="preserve"> </v>
      </c>
    </row>
    <row r="97" spans="1:37" hidden="1">
      <c r="A97" s="848" t="str">
        <f t="shared" si="6"/>
        <v>SFTW3041</v>
      </c>
      <c r="B97" s="840">
        <v>94</v>
      </c>
      <c r="C97" s="841"/>
      <c r="D97" s="828" t="s">
        <v>241</v>
      </c>
      <c r="E97" s="828">
        <v>3</v>
      </c>
      <c r="F97" s="797">
        <v>3041</v>
      </c>
      <c r="G97" s="828" t="s">
        <v>1760</v>
      </c>
      <c r="H97" s="828" t="s">
        <v>1805</v>
      </c>
      <c r="I97" s="833" t="s">
        <v>1670</v>
      </c>
      <c r="J97" s="828" t="s">
        <v>618</v>
      </c>
      <c r="K97" s="800">
        <v>4568</v>
      </c>
      <c r="L97" s="835" t="s">
        <v>1665</v>
      </c>
      <c r="M97" s="802">
        <v>46387</v>
      </c>
      <c r="N97" s="804">
        <v>45320</v>
      </c>
      <c r="O97" s="802">
        <v>46218</v>
      </c>
      <c r="P97" s="802">
        <v>46264</v>
      </c>
      <c r="Q97" s="842" t="e">
        <f>_xlfn.XLOOKUP(A97,'[1]Delivery Report'!$A:$A,'[1]Delivery Report'!$AQ:$AQ)</f>
        <v>#N/A</v>
      </c>
      <c r="R97" s="843" t="e">
        <f t="shared" si="9"/>
        <v>#N/A</v>
      </c>
      <c r="S97" s="843" t="s">
        <v>1783</v>
      </c>
      <c r="T97" s="843"/>
      <c r="U97" s="844"/>
      <c r="V97" s="805">
        <f t="shared" si="8"/>
        <v>0.45679999999999998</v>
      </c>
      <c r="W97" s="805">
        <f>($K97*'[2]Fee Assumptions'!$D$4)/10^7</f>
        <v>0.45679999999999998</v>
      </c>
      <c r="X97" s="805"/>
      <c r="Y97" s="831"/>
      <c r="Z97" s="831"/>
      <c r="AA97" s="845" t="str">
        <f>IFERROR(VLOOKUP(#REF!,'[3]ID Goals 2026'!$B:$R,17,0)," ")</f>
        <v xml:space="preserve"> </v>
      </c>
      <c r="AB97" s="851"/>
      <c r="AC97" s="851"/>
      <c r="AD97" s="851"/>
      <c r="AE97" s="851"/>
      <c r="AF97" s="851"/>
      <c r="AG97" s="851"/>
      <c r="AH97" s="831"/>
      <c r="AI97" s="829"/>
      <c r="AJ97" s="829"/>
      <c r="AK97" s="829"/>
    </row>
    <row r="98" spans="1:37" hidden="1">
      <c r="A98" s="829" t="str">
        <f t="shared" si="6"/>
        <v>SFTW3043</v>
      </c>
      <c r="B98" s="840">
        <v>95</v>
      </c>
      <c r="C98" s="841"/>
      <c r="D98" s="828" t="s">
        <v>241</v>
      </c>
      <c r="E98" s="828">
        <v>3</v>
      </c>
      <c r="F98" s="797">
        <v>3043</v>
      </c>
      <c r="G98" s="828" t="s">
        <v>1760</v>
      </c>
      <c r="H98" s="828" t="s">
        <v>1806</v>
      </c>
      <c r="I98" s="833" t="s">
        <v>1670</v>
      </c>
      <c r="J98" s="828" t="s">
        <v>618</v>
      </c>
      <c r="K98" s="800">
        <v>4568</v>
      </c>
      <c r="L98" s="835" t="s">
        <v>1665</v>
      </c>
      <c r="M98" s="802">
        <v>46568</v>
      </c>
      <c r="N98" s="804">
        <v>45765</v>
      </c>
      <c r="O98" s="802">
        <v>46218</v>
      </c>
      <c r="P98" s="802">
        <v>46264</v>
      </c>
      <c r="Q98" s="842" t="e">
        <f>_xlfn.XLOOKUP(A98,'[1]Delivery Report'!$A:$A,'[1]Delivery Report'!$AQ:$AQ)</f>
        <v>#N/A</v>
      </c>
      <c r="R98" s="843" t="e">
        <f t="shared" si="9"/>
        <v>#N/A</v>
      </c>
      <c r="S98" s="843" t="s">
        <v>1783</v>
      </c>
      <c r="T98" s="843"/>
      <c r="U98" s="844"/>
      <c r="V98" s="805">
        <f t="shared" si="8"/>
        <v>0.45679999999999998</v>
      </c>
      <c r="W98" s="805">
        <f>($K98*'[2]Fee Assumptions'!$D$4)/10^7</f>
        <v>0.45679999999999998</v>
      </c>
      <c r="X98" s="805"/>
      <c r="Y98" s="831"/>
      <c r="Z98" s="831" t="s">
        <v>1685</v>
      </c>
      <c r="AA98" s="845" t="str">
        <f>IFERROR(VLOOKUP(#REF!,'[3]ID Goals 2026'!$B:$R,17,0)," ")</f>
        <v xml:space="preserve"> </v>
      </c>
      <c r="AB98" s="851"/>
      <c r="AC98" s="851"/>
      <c r="AD98" s="851"/>
      <c r="AE98" s="851"/>
      <c r="AF98" s="851"/>
      <c r="AG98" s="851"/>
      <c r="AH98" s="831"/>
      <c r="AI98" s="829"/>
      <c r="AJ98" s="829"/>
      <c r="AK98" s="829"/>
    </row>
    <row r="99" spans="1:37" hidden="1">
      <c r="A99" s="829" t="str">
        <f t="shared" si="6"/>
        <v>SFTW3183</v>
      </c>
      <c r="B99" s="840">
        <v>96</v>
      </c>
      <c r="C99" s="841"/>
      <c r="D99" s="828" t="s">
        <v>241</v>
      </c>
      <c r="E99" s="828">
        <v>3</v>
      </c>
      <c r="F99" s="797">
        <v>3183</v>
      </c>
      <c r="G99" s="828" t="s">
        <v>1803</v>
      </c>
      <c r="H99" s="828" t="s">
        <v>1807</v>
      </c>
      <c r="I99" s="833" t="s">
        <v>1670</v>
      </c>
      <c r="J99" s="828" t="s">
        <v>618</v>
      </c>
      <c r="K99" s="800">
        <v>2380</v>
      </c>
      <c r="L99" s="835" t="s">
        <v>1665</v>
      </c>
      <c r="M99" s="802">
        <v>46265</v>
      </c>
      <c r="N99" s="804">
        <v>45183</v>
      </c>
      <c r="O99" s="802">
        <v>46218</v>
      </c>
      <c r="P99" s="802">
        <v>46264</v>
      </c>
      <c r="Q99" s="842" t="e">
        <f>_xlfn.XLOOKUP(A99,'[1]Delivery Report'!$A:$A,'[1]Delivery Report'!$AQ:$AQ)</f>
        <v>#N/A</v>
      </c>
      <c r="R99" s="843" t="e">
        <f t="shared" si="9"/>
        <v>#N/A</v>
      </c>
      <c r="S99" s="843" t="s">
        <v>1783</v>
      </c>
      <c r="T99" s="843"/>
      <c r="U99" s="844"/>
      <c r="V99" s="805">
        <f t="shared" si="8"/>
        <v>0.23799999999999999</v>
      </c>
      <c r="W99" s="805">
        <f>($K99*'[2]Fee Assumptions'!$D$4)/10^7</f>
        <v>0.23799999999999999</v>
      </c>
      <c r="X99" s="805"/>
      <c r="Y99" s="831"/>
      <c r="Z99" s="831"/>
      <c r="AA99" s="845" t="str">
        <f>IFERROR(VLOOKUP(#REF!,'[3]ID Goals 2026'!$B:$R,17,0)," ")</f>
        <v xml:space="preserve"> </v>
      </c>
      <c r="AB99" s="851"/>
      <c r="AC99" s="851"/>
      <c r="AD99" s="851"/>
      <c r="AE99" s="851"/>
      <c r="AF99" s="851"/>
      <c r="AG99" s="851"/>
      <c r="AH99" s="831"/>
      <c r="AI99" s="829"/>
      <c r="AJ99" s="829"/>
      <c r="AK99" s="829"/>
    </row>
    <row r="100" spans="1:37" hidden="1">
      <c r="A100" s="848" t="str">
        <f t="shared" ref="A100:A124" si="10">_xlfn.CONCAT(D100,F100)</f>
        <v>SFTW3222</v>
      </c>
      <c r="B100" s="840">
        <v>97</v>
      </c>
      <c r="C100" s="841"/>
      <c r="D100" s="828" t="s">
        <v>241</v>
      </c>
      <c r="E100" s="828">
        <v>3</v>
      </c>
      <c r="F100" s="797">
        <v>3222</v>
      </c>
      <c r="G100" s="828" t="s">
        <v>1803</v>
      </c>
      <c r="H100" s="828" t="s">
        <v>1808</v>
      </c>
      <c r="I100" s="833" t="s">
        <v>1664</v>
      </c>
      <c r="J100" s="828" t="s">
        <v>618</v>
      </c>
      <c r="K100" s="800">
        <v>2380</v>
      </c>
      <c r="L100" s="835" t="s">
        <v>1665</v>
      </c>
      <c r="M100" s="802">
        <v>46265</v>
      </c>
      <c r="N100" s="804">
        <v>45574</v>
      </c>
      <c r="O100" s="802">
        <v>46218</v>
      </c>
      <c r="P100" s="802">
        <v>46264</v>
      </c>
      <c r="Q100" s="842" t="e">
        <f>_xlfn.XLOOKUP(A100,'[1]Delivery Report'!$A:$A,'[1]Delivery Report'!$AQ:$AQ)</f>
        <v>#N/A</v>
      </c>
      <c r="R100" s="843" t="e">
        <f t="shared" si="9"/>
        <v>#N/A</v>
      </c>
      <c r="S100" s="843" t="s">
        <v>1783</v>
      </c>
      <c r="T100" s="843"/>
      <c r="U100" s="844"/>
      <c r="V100" s="805">
        <f t="shared" ref="V100:V103" si="11">SUM(W100+X100)</f>
        <v>0.23799999999999999</v>
      </c>
      <c r="W100" s="805">
        <f>($K100*'[2]Fee Assumptions'!$D$4)/10^7</f>
        <v>0.23799999999999999</v>
      </c>
      <c r="X100" s="805"/>
      <c r="Y100" s="831"/>
      <c r="Z100" s="831"/>
      <c r="AA100" s="845" t="str">
        <f>IFERROR(VLOOKUP(#REF!,'[3]ID Goals 2026'!$B:$R,17,0)," ")</f>
        <v xml:space="preserve"> </v>
      </c>
      <c r="AB100" s="851"/>
      <c r="AC100" s="851"/>
      <c r="AD100" s="851"/>
      <c r="AE100" s="851"/>
      <c r="AF100" s="851"/>
      <c r="AG100" s="851"/>
      <c r="AH100" s="831"/>
      <c r="AI100" s="829"/>
      <c r="AJ100" s="829"/>
      <c r="AK100" s="806">
        <f>(2%*V100)+((160*K100)/10^7)</f>
        <v>4.2840000000000003E-2</v>
      </c>
    </row>
    <row r="101" spans="1:37" hidden="1">
      <c r="A101" s="829" t="str">
        <f t="shared" si="10"/>
        <v>SFTW3254</v>
      </c>
      <c r="B101" s="840">
        <v>98</v>
      </c>
      <c r="C101" s="841"/>
      <c r="D101" s="828" t="s">
        <v>241</v>
      </c>
      <c r="E101" s="828">
        <v>3</v>
      </c>
      <c r="F101" s="797">
        <v>3254</v>
      </c>
      <c r="G101" s="828" t="s">
        <v>1803</v>
      </c>
      <c r="H101" s="828" t="s">
        <v>1809</v>
      </c>
      <c r="I101" s="833" t="s">
        <v>1670</v>
      </c>
      <c r="J101" s="828" t="s">
        <v>618</v>
      </c>
      <c r="K101" s="800">
        <v>2394</v>
      </c>
      <c r="L101" s="835" t="s">
        <v>1665</v>
      </c>
      <c r="M101" s="802">
        <v>46265</v>
      </c>
      <c r="N101" s="804">
        <v>45402</v>
      </c>
      <c r="O101" s="802">
        <v>46218</v>
      </c>
      <c r="P101" s="802">
        <v>46264</v>
      </c>
      <c r="Q101" s="842" t="e">
        <f>_xlfn.XLOOKUP(A101,'[1]Delivery Report'!$A:$A,'[1]Delivery Report'!$AQ:$AQ)</f>
        <v>#N/A</v>
      </c>
      <c r="R101" s="843" t="e">
        <f t="shared" si="9"/>
        <v>#N/A</v>
      </c>
      <c r="S101" s="843" t="s">
        <v>1783</v>
      </c>
      <c r="T101" s="843"/>
      <c r="U101" s="844"/>
      <c r="V101" s="805">
        <f t="shared" si="11"/>
        <v>0.2394</v>
      </c>
      <c r="W101" s="805">
        <f>($K101*'[2]Fee Assumptions'!$D$4)/10^7</f>
        <v>0.2394</v>
      </c>
      <c r="X101" s="805"/>
      <c r="Y101" s="831"/>
      <c r="Z101" s="831"/>
      <c r="AA101" s="845" t="str">
        <f>IFERROR(VLOOKUP(#REF!,'[3]ID Goals 2026'!$B:$R,17,0)," ")</f>
        <v xml:space="preserve"> </v>
      </c>
      <c r="AB101" s="851"/>
      <c r="AC101" s="851"/>
      <c r="AD101" s="851"/>
      <c r="AE101" s="851"/>
      <c r="AF101" s="851"/>
      <c r="AG101" s="851"/>
      <c r="AH101" s="831"/>
      <c r="AI101" s="829"/>
      <c r="AJ101" s="829"/>
      <c r="AK101" s="829"/>
    </row>
    <row r="102" spans="1:37" hidden="1">
      <c r="A102" s="848" t="str">
        <f t="shared" si="10"/>
        <v>SFTW1203</v>
      </c>
      <c r="B102" s="840">
        <v>99</v>
      </c>
      <c r="C102" s="859"/>
      <c r="D102" s="828" t="s">
        <v>241</v>
      </c>
      <c r="E102" s="828">
        <v>1</v>
      </c>
      <c r="F102" s="797">
        <v>1203</v>
      </c>
      <c r="G102" s="828" t="s">
        <v>1810</v>
      </c>
      <c r="H102" s="828" t="s">
        <v>1811</v>
      </c>
      <c r="I102" s="833" t="s">
        <v>1670</v>
      </c>
      <c r="J102" s="828" t="s">
        <v>618</v>
      </c>
      <c r="K102" s="800">
        <v>2380</v>
      </c>
      <c r="L102" s="835" t="s">
        <v>1665</v>
      </c>
      <c r="M102" s="802">
        <v>45473</v>
      </c>
      <c r="N102" s="804">
        <v>45132</v>
      </c>
      <c r="O102" s="802">
        <v>46142</v>
      </c>
      <c r="P102" s="802">
        <v>46233</v>
      </c>
      <c r="Q102" s="842" t="e">
        <f>_xlfn.XLOOKUP(A102,'[1]Delivery Report'!$A:$A,'[1]Delivery Report'!$AQ:$AQ)</f>
        <v>#N/A</v>
      </c>
      <c r="R102" s="843" t="e">
        <f t="shared" si="9"/>
        <v>#N/A</v>
      </c>
      <c r="S102" s="843"/>
      <c r="T102" s="843"/>
      <c r="U102" s="844" t="s">
        <v>1698</v>
      </c>
      <c r="V102" s="805">
        <f t="shared" si="11"/>
        <v>0.23799999999999999</v>
      </c>
      <c r="W102" s="805">
        <f>($K102*'[2]Fee Assumptions'!$D$4)/10^7</f>
        <v>0.23799999999999999</v>
      </c>
      <c r="X102" s="805"/>
      <c r="Y102" s="831" t="s">
        <v>1685</v>
      </c>
      <c r="Z102" s="831"/>
      <c r="AA102" s="845" t="str">
        <f>IFERROR(VLOOKUP(#REF!,'[3]ID Goals 2026'!$B:$R,17,0)," ")</f>
        <v xml:space="preserve"> </v>
      </c>
      <c r="AB102" s="851"/>
      <c r="AC102" s="851"/>
      <c r="AD102" s="851"/>
      <c r="AE102" s="851"/>
      <c r="AF102" s="851"/>
      <c r="AG102" s="851"/>
      <c r="AH102" s="831"/>
      <c r="AI102" s="829"/>
      <c r="AJ102" s="829"/>
      <c r="AK102" s="829"/>
    </row>
    <row r="103" spans="1:37" hidden="1">
      <c r="A103" s="829" t="str">
        <f t="shared" si="10"/>
        <v>PoaRR2302</v>
      </c>
      <c r="B103" s="840">
        <v>100</v>
      </c>
      <c r="C103" s="859"/>
      <c r="D103" s="828" t="s">
        <v>331</v>
      </c>
      <c r="E103" s="828" t="s">
        <v>1694</v>
      </c>
      <c r="F103" s="797">
        <v>2302</v>
      </c>
      <c r="G103" s="828" t="s">
        <v>1812</v>
      </c>
      <c r="H103" s="828" t="s">
        <v>1813</v>
      </c>
      <c r="I103" s="833" t="s">
        <v>1664</v>
      </c>
      <c r="J103" s="828" t="s">
        <v>6</v>
      </c>
      <c r="K103" s="800">
        <v>8023</v>
      </c>
      <c r="L103" s="835" t="s">
        <v>1665</v>
      </c>
      <c r="M103" s="802">
        <v>45808</v>
      </c>
      <c r="N103" s="804">
        <v>45172</v>
      </c>
      <c r="O103" s="802">
        <v>46127</v>
      </c>
      <c r="P103" s="802">
        <v>46233</v>
      </c>
      <c r="Q103" s="842" t="e">
        <f>_xlfn.XLOOKUP(A103,'[1]Delivery Report'!$A:$A,'[1]Delivery Report'!$AQ:$AQ)</f>
        <v>#N/A</v>
      </c>
      <c r="R103" s="843" t="e">
        <f t="shared" si="9"/>
        <v>#N/A</v>
      </c>
      <c r="S103" s="843" t="s">
        <v>1697</v>
      </c>
      <c r="T103" s="843"/>
      <c r="U103" s="844" t="s">
        <v>1698</v>
      </c>
      <c r="V103" s="805">
        <f t="shared" si="11"/>
        <v>0</v>
      </c>
      <c r="W103" s="805">
        <v>0</v>
      </c>
      <c r="X103" s="805">
        <v>0</v>
      </c>
      <c r="Y103" s="831" t="s">
        <v>1685</v>
      </c>
      <c r="Z103" s="831" t="s">
        <v>1685</v>
      </c>
      <c r="AA103" s="845" t="str">
        <f>IFERROR(VLOOKUP(#REF!,'[3]ID Goals 2026'!$B:$R,17,0)," ")</f>
        <v xml:space="preserve"> </v>
      </c>
      <c r="AB103" s="851"/>
      <c r="AC103" s="851"/>
      <c r="AD103" s="851"/>
      <c r="AE103" s="851"/>
      <c r="AF103" s="851"/>
      <c r="AG103" s="851"/>
      <c r="AH103" s="831"/>
      <c r="AI103" s="829"/>
      <c r="AJ103" s="829"/>
      <c r="AK103" s="829"/>
    </row>
    <row r="104" spans="1:37" hidden="1">
      <c r="A104" s="829" t="str">
        <f t="shared" si="10"/>
        <v>ATR141</v>
      </c>
      <c r="B104" s="840">
        <v>101</v>
      </c>
      <c r="C104" s="841"/>
      <c r="D104" s="828" t="s">
        <v>305</v>
      </c>
      <c r="E104" s="828" t="s">
        <v>1674</v>
      </c>
      <c r="F104" s="797">
        <v>141</v>
      </c>
      <c r="G104" s="828" t="s">
        <v>1674</v>
      </c>
      <c r="H104" s="828" t="s">
        <v>1814</v>
      </c>
      <c r="I104" s="833" t="s">
        <v>1664</v>
      </c>
      <c r="J104" s="828" t="s">
        <v>6</v>
      </c>
      <c r="K104" s="800">
        <v>3310</v>
      </c>
      <c r="L104" s="835" t="s">
        <v>1665</v>
      </c>
      <c r="M104" s="802">
        <v>45107</v>
      </c>
      <c r="N104" s="804">
        <v>44594</v>
      </c>
      <c r="O104" s="802" t="e">
        <f>_xlfn.XLOOKUP(A104,'[1]Delivery Report'!$A:$A,'[1]Delivery Report'!$AA:$AA)</f>
        <v>#N/A</v>
      </c>
      <c r="P104" s="802">
        <v>46233</v>
      </c>
      <c r="Q104" s="842" t="e">
        <f>_xlfn.XLOOKUP(A104,'[1]Delivery Report'!$A:$A,'[1]Delivery Report'!$AQ:$AQ)</f>
        <v>#N/A</v>
      </c>
      <c r="R104" s="843" t="e">
        <f t="shared" si="9"/>
        <v>#N/A</v>
      </c>
      <c r="S104" s="843"/>
      <c r="T104" s="843"/>
      <c r="U104" s="844" t="s">
        <v>1698</v>
      </c>
      <c r="V104" s="805"/>
      <c r="W104" s="805"/>
      <c r="X104" s="805"/>
      <c r="Y104" s="831"/>
      <c r="Z104" s="831"/>
      <c r="AA104" s="845" t="str">
        <f>IFERROR(VLOOKUP(#REF!,'[3]ID Goals 2026'!$B:$R,17,0)," ")</f>
        <v xml:space="preserve"> </v>
      </c>
      <c r="AB104" s="849"/>
      <c r="AC104" s="849"/>
      <c r="AD104" s="849"/>
      <c r="AE104" s="849"/>
      <c r="AF104" s="849"/>
      <c r="AG104" s="849"/>
      <c r="AH104" s="847"/>
      <c r="AI104" s="829"/>
      <c r="AJ104" s="829"/>
      <c r="AK104" s="829"/>
    </row>
    <row r="105" spans="1:37" hidden="1">
      <c r="A105" s="829" t="str">
        <f t="shared" si="10"/>
        <v>ATR243</v>
      </c>
      <c r="B105" s="840">
        <v>102</v>
      </c>
      <c r="C105" s="841"/>
      <c r="D105" s="828" t="s">
        <v>305</v>
      </c>
      <c r="E105" s="828" t="s">
        <v>1668</v>
      </c>
      <c r="F105" s="797">
        <v>243</v>
      </c>
      <c r="G105" s="828" t="s">
        <v>1668</v>
      </c>
      <c r="H105" s="828" t="s">
        <v>1815</v>
      </c>
      <c r="I105" s="833" t="s">
        <v>1670</v>
      </c>
      <c r="J105" s="828" t="s">
        <v>618</v>
      </c>
      <c r="K105" s="800">
        <v>5120</v>
      </c>
      <c r="L105" s="835" t="s">
        <v>1665</v>
      </c>
      <c r="M105" s="802">
        <v>46203</v>
      </c>
      <c r="N105" s="804">
        <v>45540</v>
      </c>
      <c r="O105" s="802" t="e">
        <f>_xlfn.XLOOKUP(A105,'[1]Delivery Report'!$A:$A,'[1]Delivery Report'!$AA:$AA)</f>
        <v>#N/A</v>
      </c>
      <c r="P105" s="802">
        <v>46233</v>
      </c>
      <c r="Q105" s="842" t="e">
        <f>_xlfn.XLOOKUP(A105,'[1]Delivery Report'!$A:$A,'[1]Delivery Report'!$AQ:$AQ)</f>
        <v>#N/A</v>
      </c>
      <c r="R105" s="843" t="e">
        <f t="shared" si="9"/>
        <v>#N/A</v>
      </c>
      <c r="S105" s="843"/>
      <c r="T105" s="843"/>
      <c r="U105" s="844" t="s">
        <v>1698</v>
      </c>
      <c r="V105" s="805"/>
      <c r="W105" s="805"/>
      <c r="X105" s="805"/>
      <c r="Y105" s="831"/>
      <c r="Z105" s="831"/>
      <c r="AA105" s="845" t="str">
        <f>IFERROR(VLOOKUP(#REF!,'[3]ID Goals 2026'!$B:$R,17,0)," ")</f>
        <v xml:space="preserve"> </v>
      </c>
      <c r="AB105" s="849"/>
      <c r="AC105" s="849"/>
      <c r="AD105" s="849"/>
      <c r="AE105" s="849"/>
      <c r="AF105" s="849"/>
      <c r="AG105" s="849"/>
      <c r="AH105" s="847"/>
      <c r="AI105" s="829"/>
      <c r="AJ105" s="829"/>
      <c r="AK105" s="829"/>
    </row>
    <row r="106" spans="1:37" hidden="1">
      <c r="A106" s="848" t="str">
        <f t="shared" si="10"/>
        <v>ITQE4322</v>
      </c>
      <c r="B106" s="840">
        <v>103</v>
      </c>
      <c r="C106" s="841"/>
      <c r="D106" s="828" t="s">
        <v>170</v>
      </c>
      <c r="E106" s="828" t="s">
        <v>1707</v>
      </c>
      <c r="F106" s="797">
        <v>4322</v>
      </c>
      <c r="G106" s="828" t="s">
        <v>1816</v>
      </c>
      <c r="H106" s="828" t="s">
        <v>1817</v>
      </c>
      <c r="I106" s="833" t="s">
        <v>1670</v>
      </c>
      <c r="J106" s="828" t="s">
        <v>618</v>
      </c>
      <c r="K106" s="800">
        <v>2305</v>
      </c>
      <c r="L106" s="835" t="s">
        <v>1665</v>
      </c>
      <c r="M106" s="802">
        <v>45565</v>
      </c>
      <c r="N106" s="804">
        <v>45390</v>
      </c>
      <c r="O106" s="802">
        <v>46172</v>
      </c>
      <c r="P106" s="802">
        <v>46233</v>
      </c>
      <c r="Q106" s="842" t="e">
        <f>_xlfn.XLOOKUP(A106,'[1]Delivery Report'!$A:$A,'[1]Delivery Report'!$AQ:$AQ)</f>
        <v>#N/A</v>
      </c>
      <c r="R106" s="843" t="e">
        <f t="shared" si="9"/>
        <v>#N/A</v>
      </c>
      <c r="S106" s="843"/>
      <c r="T106" s="843"/>
      <c r="U106" s="844"/>
      <c r="V106" s="805">
        <f t="shared" ref="V106:V111" si="12">SUM(W106+X106)</f>
        <v>0.23050000000000001</v>
      </c>
      <c r="W106" s="805">
        <f>($K106*'[2]Fee Assumptions'!$D$4)/10^7</f>
        <v>0.23050000000000001</v>
      </c>
      <c r="X106" s="805"/>
      <c r="Y106" s="831"/>
      <c r="Z106" s="831"/>
      <c r="AA106" s="845" t="str">
        <f>IFERROR(VLOOKUP(#REF!,'[3]ID Goals 2026'!$B:$R,17,0)," ")</f>
        <v xml:space="preserve"> </v>
      </c>
      <c r="AB106" s="851"/>
      <c r="AC106" s="851"/>
      <c r="AD106" s="851"/>
      <c r="AE106" s="851"/>
      <c r="AF106" s="851"/>
      <c r="AG106" s="851"/>
      <c r="AH106" s="831"/>
      <c r="AI106" s="829"/>
      <c r="AJ106" s="829"/>
      <c r="AK106" s="829"/>
    </row>
    <row r="107" spans="1:37" hidden="1">
      <c r="A107" s="848" t="str">
        <f t="shared" si="10"/>
        <v>ITQE4323b</v>
      </c>
      <c r="B107" s="840">
        <v>104</v>
      </c>
      <c r="C107" s="841"/>
      <c r="D107" s="828" t="s">
        <v>170</v>
      </c>
      <c r="E107" s="828" t="s">
        <v>1707</v>
      </c>
      <c r="F107" s="797" t="s">
        <v>1818</v>
      </c>
      <c r="G107" s="828" t="s">
        <v>1765</v>
      </c>
      <c r="H107" s="828" t="s">
        <v>1819</v>
      </c>
      <c r="I107" s="833" t="s">
        <v>1670</v>
      </c>
      <c r="J107" s="828" t="s">
        <v>618</v>
      </c>
      <c r="K107" s="800">
        <v>1431</v>
      </c>
      <c r="L107" s="835" t="s">
        <v>1665</v>
      </c>
      <c r="M107" s="802">
        <v>45565</v>
      </c>
      <c r="N107" s="804">
        <v>45390</v>
      </c>
      <c r="O107" s="802">
        <v>46172</v>
      </c>
      <c r="P107" s="802">
        <v>46233</v>
      </c>
      <c r="Q107" s="842" t="e">
        <f>_xlfn.XLOOKUP(A107,'[1]Delivery Report'!$A:$A,'[1]Delivery Report'!$AQ:$AQ)</f>
        <v>#N/A</v>
      </c>
      <c r="R107" s="843" t="e">
        <f t="shared" si="9"/>
        <v>#N/A</v>
      </c>
      <c r="S107" s="843"/>
      <c r="T107" s="843"/>
      <c r="U107" s="844"/>
      <c r="V107" s="805">
        <f t="shared" si="12"/>
        <v>0.1431</v>
      </c>
      <c r="W107" s="805">
        <f>($K107*'[2]Fee Assumptions'!$D$4)/10^7</f>
        <v>0.1431</v>
      </c>
      <c r="X107" s="805"/>
      <c r="Y107" s="831"/>
      <c r="Z107" s="831"/>
      <c r="AA107" s="845" t="str">
        <f>IFERROR(VLOOKUP(#REF!,'[3]ID Goals 2026'!$B:$R,17,0)," ")</f>
        <v xml:space="preserve"> </v>
      </c>
      <c r="AB107" s="851"/>
      <c r="AC107" s="851"/>
      <c r="AD107" s="851"/>
      <c r="AE107" s="851"/>
      <c r="AF107" s="851"/>
      <c r="AG107" s="851"/>
      <c r="AH107" s="831"/>
      <c r="AI107" s="829"/>
      <c r="AJ107" s="829"/>
      <c r="AK107" s="829"/>
    </row>
    <row r="108" spans="1:37" hidden="1">
      <c r="A108" s="829" t="str">
        <f t="shared" si="10"/>
        <v>ITQE5193</v>
      </c>
      <c r="B108" s="840">
        <v>105</v>
      </c>
      <c r="C108" s="841"/>
      <c r="D108" s="828" t="s">
        <v>170</v>
      </c>
      <c r="E108" s="828" t="s">
        <v>1720</v>
      </c>
      <c r="F108" s="797">
        <v>5193</v>
      </c>
      <c r="G108" s="828" t="s">
        <v>1770</v>
      </c>
      <c r="H108" s="828" t="s">
        <v>1820</v>
      </c>
      <c r="I108" s="833" t="s">
        <v>1670</v>
      </c>
      <c r="J108" s="828" t="s">
        <v>618</v>
      </c>
      <c r="K108" s="800">
        <v>2628</v>
      </c>
      <c r="L108" s="835" t="s">
        <v>1665</v>
      </c>
      <c r="M108" s="802">
        <v>46234</v>
      </c>
      <c r="N108" s="804">
        <v>45702</v>
      </c>
      <c r="O108" s="802" t="e">
        <f>_xlfn.XLOOKUP(A108,'[1]Delivery Report'!$A:$A,'[1]Delivery Report'!$AA:$AA)</f>
        <v>#N/A</v>
      </c>
      <c r="P108" s="802">
        <v>46233</v>
      </c>
      <c r="Q108" s="842" t="e">
        <f>_xlfn.XLOOKUP(A108,'[1]Delivery Report'!$A:$A,'[1]Delivery Report'!$AQ:$AQ)</f>
        <v>#N/A</v>
      </c>
      <c r="R108" s="843" t="e">
        <f t="shared" si="9"/>
        <v>#N/A</v>
      </c>
      <c r="S108" s="843"/>
      <c r="T108" s="843"/>
      <c r="U108" s="844"/>
      <c r="V108" s="805">
        <f t="shared" si="12"/>
        <v>0</v>
      </c>
      <c r="W108" s="805">
        <v>0</v>
      </c>
      <c r="X108" s="805">
        <v>0</v>
      </c>
      <c r="Y108" s="831"/>
      <c r="Z108" s="831"/>
      <c r="AA108" s="845" t="str">
        <f>IFERROR(VLOOKUP(#REF!,'[3]ID Goals 2026'!$B:$R,17,0)," ")</f>
        <v xml:space="preserve"> </v>
      </c>
      <c r="AB108" s="851"/>
      <c r="AC108" s="851"/>
      <c r="AD108" s="851"/>
      <c r="AE108" s="851"/>
      <c r="AF108" s="851"/>
      <c r="AG108" s="851"/>
      <c r="AH108" s="831"/>
      <c r="AI108" s="829"/>
      <c r="AJ108" s="829"/>
      <c r="AK108" s="829"/>
    </row>
    <row r="109" spans="1:37" hidden="1">
      <c r="A109" s="829" t="str">
        <f t="shared" si="10"/>
        <v>ITQE7182</v>
      </c>
      <c r="B109" s="840">
        <v>106</v>
      </c>
      <c r="C109" s="841"/>
      <c r="D109" s="828" t="s">
        <v>170</v>
      </c>
      <c r="E109" s="828" t="s">
        <v>1757</v>
      </c>
      <c r="F109" s="797">
        <v>7182</v>
      </c>
      <c r="G109" s="828" t="s">
        <v>1770</v>
      </c>
      <c r="H109" s="828" t="s">
        <v>1821</v>
      </c>
      <c r="I109" s="833" t="s">
        <v>1670</v>
      </c>
      <c r="J109" s="828" t="s">
        <v>618</v>
      </c>
      <c r="K109" s="800">
        <v>2628</v>
      </c>
      <c r="L109" s="835" t="s">
        <v>1665</v>
      </c>
      <c r="M109" s="802">
        <v>46387</v>
      </c>
      <c r="N109" s="804">
        <v>45737</v>
      </c>
      <c r="O109" s="802" t="e">
        <f>_xlfn.XLOOKUP(A109,'[1]Delivery Report'!$A:$A,'[1]Delivery Report'!$AA:$AA)</f>
        <v>#N/A</v>
      </c>
      <c r="P109" s="802">
        <v>46233</v>
      </c>
      <c r="Q109" s="842" t="e">
        <f>_xlfn.XLOOKUP(A109,'[1]Delivery Report'!$A:$A,'[1]Delivery Report'!$AQ:$AQ)</f>
        <v>#N/A</v>
      </c>
      <c r="R109" s="843" t="e">
        <f t="shared" si="9"/>
        <v>#N/A</v>
      </c>
      <c r="S109" s="843"/>
      <c r="T109" s="843"/>
      <c r="U109" s="844"/>
      <c r="V109" s="805">
        <f t="shared" si="12"/>
        <v>0</v>
      </c>
      <c r="W109" s="805">
        <v>0</v>
      </c>
      <c r="X109" s="805">
        <v>0</v>
      </c>
      <c r="Y109" s="831"/>
      <c r="Z109" s="831"/>
      <c r="AA109" s="845" t="str">
        <f>IFERROR(VLOOKUP(#REF!,'[3]ID Goals 2026'!$B:$R,17,0)," ")</f>
        <v xml:space="preserve"> </v>
      </c>
      <c r="AB109" s="849"/>
      <c r="AC109" s="849"/>
      <c r="AD109" s="849"/>
      <c r="AE109" s="849"/>
      <c r="AF109" s="849"/>
      <c r="AG109" s="849"/>
      <c r="AH109" s="847"/>
      <c r="AI109" s="829"/>
      <c r="AJ109" s="829"/>
      <c r="AK109" s="829"/>
    </row>
    <row r="110" spans="1:37" hidden="1">
      <c r="A110" s="848" t="str">
        <f t="shared" si="10"/>
        <v>TMD68</v>
      </c>
      <c r="B110" s="840">
        <v>107</v>
      </c>
      <c r="C110" s="841"/>
      <c r="D110" s="828" t="s">
        <v>622</v>
      </c>
      <c r="E110" s="828" t="s">
        <v>1822</v>
      </c>
      <c r="F110" s="797">
        <v>68</v>
      </c>
      <c r="G110" s="828" t="s">
        <v>1797</v>
      </c>
      <c r="H110" s="828" t="s">
        <v>1823</v>
      </c>
      <c r="I110" s="833" t="s">
        <v>1670</v>
      </c>
      <c r="J110" s="828" t="s">
        <v>618</v>
      </c>
      <c r="K110" s="800">
        <v>3243</v>
      </c>
      <c r="L110" s="835" t="s">
        <v>1665</v>
      </c>
      <c r="M110" s="802">
        <v>44804</v>
      </c>
      <c r="N110" s="804">
        <v>44441</v>
      </c>
      <c r="O110" s="802">
        <v>46142</v>
      </c>
      <c r="P110" s="802">
        <v>46233</v>
      </c>
      <c r="Q110" s="842" t="e">
        <f>_xlfn.XLOOKUP(A110,'[1]Delivery Report'!$A:$A,'[1]Delivery Report'!$AQ:$AQ)</f>
        <v>#N/A</v>
      </c>
      <c r="R110" s="843" t="e">
        <f t="shared" si="9"/>
        <v>#N/A</v>
      </c>
      <c r="S110" s="843"/>
      <c r="T110" s="843"/>
      <c r="U110" s="844" t="s">
        <v>1698</v>
      </c>
      <c r="V110" s="805">
        <f t="shared" si="12"/>
        <v>0.42807600000000001</v>
      </c>
      <c r="W110" s="805">
        <f>($K110*'[2]Fee Assumptions'!$D$2)/10^7</f>
        <v>0.42807600000000001</v>
      </c>
      <c r="X110" s="805"/>
      <c r="Y110" s="831" t="s">
        <v>1685</v>
      </c>
      <c r="Z110" s="831"/>
      <c r="AA110" s="845" t="str">
        <f>IFERROR(VLOOKUP(#REF!,'[3]ID Goals 2026'!$B:$R,17,0)," ")</f>
        <v xml:space="preserve"> </v>
      </c>
      <c r="AB110" s="849"/>
      <c r="AC110" s="849"/>
      <c r="AD110" s="849"/>
      <c r="AE110" s="849"/>
      <c r="AF110" s="849"/>
      <c r="AG110" s="849"/>
      <c r="AH110" s="847"/>
      <c r="AI110" s="829"/>
      <c r="AJ110" s="829"/>
      <c r="AK110" s="829"/>
    </row>
    <row r="111" spans="1:37" hidden="1">
      <c r="A111" s="848" t="str">
        <f t="shared" si="10"/>
        <v>POARR3182</v>
      </c>
      <c r="B111" s="840">
        <v>108</v>
      </c>
      <c r="C111" s="841"/>
      <c r="D111" s="828" t="s">
        <v>1681</v>
      </c>
      <c r="E111" s="828" t="s">
        <v>1701</v>
      </c>
      <c r="F111" s="797">
        <v>3182</v>
      </c>
      <c r="G111" s="828" t="s">
        <v>1699</v>
      </c>
      <c r="H111" s="828" t="s">
        <v>1824</v>
      </c>
      <c r="I111" s="833" t="s">
        <v>1670</v>
      </c>
      <c r="J111" s="828" t="s">
        <v>618</v>
      </c>
      <c r="K111" s="800">
        <v>4100</v>
      </c>
      <c r="L111" s="835" t="s">
        <v>1665</v>
      </c>
      <c r="M111" s="802">
        <v>45107</v>
      </c>
      <c r="N111" s="804">
        <v>44735</v>
      </c>
      <c r="O111" s="802" t="e">
        <f>_xlfn.XLOOKUP(A111,'[1]Delivery Report'!$A:$A,'[1]Delivery Report'!$AA:$AA)</f>
        <v>#N/A</v>
      </c>
      <c r="P111" s="802">
        <v>46233</v>
      </c>
      <c r="Q111" s="842" t="e">
        <f>_xlfn.XLOOKUP(A111,'[1]Delivery Report'!$A:$A,'[1]Delivery Report'!$AQ:$AQ)</f>
        <v>#N/A</v>
      </c>
      <c r="R111" s="843" t="e">
        <f t="shared" si="9"/>
        <v>#N/A</v>
      </c>
      <c r="S111" s="843"/>
      <c r="T111" s="843"/>
      <c r="U111" s="844"/>
      <c r="V111" s="805">
        <f t="shared" si="12"/>
        <v>0.41</v>
      </c>
      <c r="W111" s="805">
        <f>($K111*'[2]Fee Assumptions'!$D$4)/10^7</f>
        <v>0.41</v>
      </c>
      <c r="X111" s="805"/>
      <c r="Y111" s="831" t="s">
        <v>1685</v>
      </c>
      <c r="Z111" s="831" t="s">
        <v>1685</v>
      </c>
      <c r="AA111" s="845" t="str">
        <f>IFERROR(VLOOKUP(#REF!,'[3]ID Goals 2026'!$B:$R,17,0)," ")</f>
        <v xml:space="preserve"> </v>
      </c>
      <c r="AB111" s="849"/>
      <c r="AC111" s="849"/>
      <c r="AD111" s="849"/>
      <c r="AE111" s="849"/>
      <c r="AF111" s="849"/>
      <c r="AG111" s="849"/>
      <c r="AH111" s="847"/>
      <c r="AI111" s="829"/>
      <c r="AJ111" s="829"/>
      <c r="AK111" s="829"/>
    </row>
    <row r="112" spans="1:37" hidden="1">
      <c r="A112" s="829" t="str">
        <f t="shared" si="10"/>
        <v>TMD67</v>
      </c>
      <c r="B112" s="840">
        <v>109</v>
      </c>
      <c r="C112" s="841"/>
      <c r="D112" s="828" t="s">
        <v>622</v>
      </c>
      <c r="E112" s="828" t="s">
        <v>1822</v>
      </c>
      <c r="F112" s="797">
        <v>67</v>
      </c>
      <c r="G112" s="828" t="s">
        <v>1797</v>
      </c>
      <c r="H112" s="828" t="s">
        <v>1825</v>
      </c>
      <c r="I112" s="833" t="s">
        <v>1670</v>
      </c>
      <c r="J112" s="828" t="s">
        <v>618</v>
      </c>
      <c r="K112" s="800">
        <v>3243</v>
      </c>
      <c r="L112" s="835" t="s">
        <v>1665</v>
      </c>
      <c r="M112" s="802">
        <v>44804</v>
      </c>
      <c r="N112" s="804">
        <v>45027</v>
      </c>
      <c r="O112" s="802" t="e">
        <f>_xlfn.XLOOKUP(A112,'[1]Delivery Report'!$A:$A,'[1]Delivery Report'!$AA:$AA)</f>
        <v>#N/A</v>
      </c>
      <c r="P112" s="802">
        <v>46233</v>
      </c>
      <c r="Q112" s="842" t="e">
        <f>_xlfn.XLOOKUP(A112,'[1]Delivery Report'!$A:$A,'[1]Delivery Report'!$AQ:$AQ)</f>
        <v>#N/A</v>
      </c>
      <c r="R112" s="843" t="e">
        <f t="shared" si="9"/>
        <v>#N/A</v>
      </c>
      <c r="S112" s="843"/>
      <c r="T112" s="843"/>
      <c r="U112" s="844" t="s">
        <v>1666</v>
      </c>
      <c r="V112" s="805">
        <v>0</v>
      </c>
      <c r="W112" s="805">
        <v>0</v>
      </c>
      <c r="X112" s="805"/>
      <c r="Y112" s="831"/>
      <c r="Z112" s="831"/>
      <c r="AA112" s="845" t="str">
        <f>IFERROR(VLOOKUP(#REF!,'[3]ID Goals 2026'!$B:$R,17,0)," ")</f>
        <v xml:space="preserve"> </v>
      </c>
      <c r="AB112" s="849"/>
      <c r="AC112" s="849"/>
      <c r="AD112" s="849"/>
      <c r="AE112" s="849"/>
      <c r="AF112" s="849"/>
      <c r="AG112" s="849"/>
      <c r="AH112" s="847"/>
      <c r="AI112" s="829"/>
      <c r="AJ112" s="829"/>
      <c r="AK112" s="829"/>
    </row>
    <row r="113" spans="1:37" hidden="1">
      <c r="A113" s="829" t="str">
        <f t="shared" si="10"/>
        <v>POARR5142</v>
      </c>
      <c r="B113" s="840">
        <v>110</v>
      </c>
      <c r="C113" s="841"/>
      <c r="D113" s="828" t="s">
        <v>1681</v>
      </c>
      <c r="E113" s="828" t="s">
        <v>1720</v>
      </c>
      <c r="F113" s="797">
        <v>5142</v>
      </c>
      <c r="G113" s="828" t="s">
        <v>1699</v>
      </c>
      <c r="H113" s="828" t="s">
        <v>1826</v>
      </c>
      <c r="I113" s="833" t="s">
        <v>1670</v>
      </c>
      <c r="J113" s="828" t="s">
        <v>618</v>
      </c>
      <c r="K113" s="800">
        <v>4100</v>
      </c>
      <c r="L113" s="835" t="s">
        <v>1665</v>
      </c>
      <c r="M113" s="802">
        <v>46477</v>
      </c>
      <c r="N113" s="804">
        <v>45676</v>
      </c>
      <c r="O113" s="802">
        <v>46127</v>
      </c>
      <c r="P113" s="802">
        <v>46233</v>
      </c>
      <c r="Q113" s="842" t="e">
        <f>_xlfn.XLOOKUP(A113,'[1]Delivery Report'!$A:$A,'[1]Delivery Report'!$AQ:$AQ)</f>
        <v>#N/A</v>
      </c>
      <c r="R113" s="843" t="e">
        <f t="shared" si="9"/>
        <v>#N/A</v>
      </c>
      <c r="S113" s="843"/>
      <c r="T113" s="843"/>
      <c r="U113" s="844"/>
      <c r="V113" s="805">
        <f t="shared" ref="V113:V124" si="13">SUM(W113+X113)</f>
        <v>0</v>
      </c>
      <c r="W113" s="805">
        <v>0</v>
      </c>
      <c r="X113" s="805">
        <v>0</v>
      </c>
      <c r="Y113" s="831" t="s">
        <v>1685</v>
      </c>
      <c r="Z113" s="831" t="s">
        <v>1685</v>
      </c>
      <c r="AA113" s="845" t="str">
        <f>IFERROR(VLOOKUP(#REF!,'[3]ID Goals 2026'!$B:$R,17,0)," ")</f>
        <v xml:space="preserve"> </v>
      </c>
      <c r="AB113" s="849"/>
      <c r="AC113" s="849"/>
      <c r="AD113" s="849"/>
      <c r="AE113" s="849"/>
      <c r="AF113" s="849"/>
      <c r="AG113" s="849"/>
      <c r="AH113" s="847"/>
      <c r="AI113" s="829"/>
      <c r="AJ113" s="829"/>
      <c r="AK113" s="829"/>
    </row>
    <row r="114" spans="1:37" hidden="1">
      <c r="A114" s="848" t="str">
        <f t="shared" si="10"/>
        <v>ITQE1211a</v>
      </c>
      <c r="B114" s="840">
        <v>111</v>
      </c>
      <c r="C114" s="841"/>
      <c r="D114" s="828" t="s">
        <v>170</v>
      </c>
      <c r="E114" s="828" t="s">
        <v>1827</v>
      </c>
      <c r="F114" s="797" t="s">
        <v>1828</v>
      </c>
      <c r="G114" s="828" t="s">
        <v>1765</v>
      </c>
      <c r="H114" s="828" t="s">
        <v>1829</v>
      </c>
      <c r="I114" s="833" t="s">
        <v>1670</v>
      </c>
      <c r="J114" s="828" t="s">
        <v>618</v>
      </c>
      <c r="K114" s="800">
        <v>1431</v>
      </c>
      <c r="L114" s="835" t="s">
        <v>1665</v>
      </c>
      <c r="M114" s="802">
        <v>45473</v>
      </c>
      <c r="N114" s="804">
        <v>45552</v>
      </c>
      <c r="O114" s="802">
        <v>46142</v>
      </c>
      <c r="P114" s="802">
        <v>46233</v>
      </c>
      <c r="Q114" s="842" t="e">
        <f>_xlfn.XLOOKUP(A114,'[1]Delivery Report'!$A:$A,'[1]Delivery Report'!$AQ:$AQ)</f>
        <v>#N/A</v>
      </c>
      <c r="R114" s="843" t="e">
        <f t="shared" si="9"/>
        <v>#N/A</v>
      </c>
      <c r="S114" s="843"/>
      <c r="T114" s="843"/>
      <c r="U114" s="844" t="s">
        <v>1830</v>
      </c>
      <c r="V114" s="805">
        <f t="shared" si="13"/>
        <v>0.1431</v>
      </c>
      <c r="W114" s="805">
        <f>($K114*'[2]Fee Assumptions'!$D$4)/10^7</f>
        <v>0.1431</v>
      </c>
      <c r="X114" s="805"/>
      <c r="Y114" s="831"/>
      <c r="Z114" s="831"/>
      <c r="AA114" s="845" t="str">
        <f>IFERROR(VLOOKUP(#REF!,'[3]ID Goals 2026'!$B:$R,17,0)," ")</f>
        <v xml:space="preserve"> </v>
      </c>
      <c r="AB114" s="851"/>
      <c r="AC114" s="851"/>
      <c r="AD114" s="851"/>
      <c r="AE114" s="851"/>
      <c r="AF114" s="851"/>
      <c r="AG114" s="851"/>
      <c r="AH114" s="831"/>
      <c r="AI114" s="829"/>
      <c r="AJ114" s="829"/>
      <c r="AK114" s="829"/>
    </row>
    <row r="115" spans="1:37" s="791" customFormat="1" hidden="1">
      <c r="A115" s="848" t="str">
        <f t="shared" si="10"/>
        <v>SFTW1134</v>
      </c>
      <c r="B115" s="840">
        <v>112</v>
      </c>
      <c r="C115" s="860"/>
      <c r="D115" s="855" t="s">
        <v>241</v>
      </c>
      <c r="E115" s="828" t="s">
        <v>1827</v>
      </c>
      <c r="F115" s="797" t="s">
        <v>1831</v>
      </c>
      <c r="G115" s="828" t="s">
        <v>1832</v>
      </c>
      <c r="H115" s="828" t="s">
        <v>1833</v>
      </c>
      <c r="I115" s="833" t="s">
        <v>1834</v>
      </c>
      <c r="J115" s="855" t="s">
        <v>618</v>
      </c>
      <c r="K115" s="800">
        <v>1915</v>
      </c>
      <c r="L115" s="835" t="s">
        <v>1835</v>
      </c>
      <c r="M115" s="802">
        <v>0</v>
      </c>
      <c r="N115" s="804" t="s">
        <v>1364</v>
      </c>
      <c r="O115" s="802">
        <v>46142</v>
      </c>
      <c r="P115" s="802">
        <v>46233</v>
      </c>
      <c r="Q115" s="842" t="s">
        <v>1836</v>
      </c>
      <c r="R115" s="842" t="str">
        <f t="shared" si="9"/>
        <v>Under Extraction</v>
      </c>
      <c r="S115" s="842"/>
      <c r="T115" s="842"/>
      <c r="U115" s="856"/>
      <c r="V115" s="805">
        <f t="shared" si="13"/>
        <v>0</v>
      </c>
      <c r="W115" s="805">
        <v>0</v>
      </c>
      <c r="X115" s="805">
        <v>0</v>
      </c>
      <c r="Y115" s="858"/>
      <c r="Z115" s="858"/>
      <c r="AA115" s="861" t="str">
        <f>IFERROR(VLOOKUP(#REF!,'[3]ID Goals 2026'!$B:$R,17,0)," ")</f>
        <v xml:space="preserve"> </v>
      </c>
      <c r="AB115" s="862"/>
      <c r="AC115" s="862"/>
      <c r="AD115" s="862"/>
      <c r="AE115" s="862"/>
      <c r="AF115" s="862"/>
      <c r="AG115" s="862"/>
      <c r="AH115" s="863"/>
      <c r="AI115" s="848"/>
      <c r="AJ115" s="848"/>
      <c r="AK115" s="848"/>
    </row>
    <row r="116" spans="1:37" s="791" customFormat="1" hidden="1">
      <c r="A116" s="848" t="str">
        <f t="shared" si="10"/>
        <v>SFTW1152</v>
      </c>
      <c r="B116" s="840">
        <v>113</v>
      </c>
      <c r="C116" s="860"/>
      <c r="D116" s="855" t="s">
        <v>241</v>
      </c>
      <c r="E116" s="828" t="s">
        <v>1827</v>
      </c>
      <c r="F116" s="797" t="s">
        <v>1837</v>
      </c>
      <c r="G116" s="828" t="s">
        <v>1832</v>
      </c>
      <c r="H116" s="828" t="s">
        <v>1833</v>
      </c>
      <c r="I116" s="833" t="s">
        <v>1834</v>
      </c>
      <c r="J116" s="855" t="s">
        <v>618</v>
      </c>
      <c r="K116" s="800">
        <v>1915</v>
      </c>
      <c r="L116" s="835" t="s">
        <v>1835</v>
      </c>
      <c r="M116" s="802">
        <v>0</v>
      </c>
      <c r="N116" s="804" t="s">
        <v>1364</v>
      </c>
      <c r="O116" s="802">
        <v>46142</v>
      </c>
      <c r="P116" s="802">
        <v>46233</v>
      </c>
      <c r="Q116" s="842" t="s">
        <v>1836</v>
      </c>
      <c r="R116" s="842" t="str">
        <f t="shared" si="9"/>
        <v>Under Extraction</v>
      </c>
      <c r="S116" s="842"/>
      <c r="T116" s="842"/>
      <c r="U116" s="856"/>
      <c r="V116" s="805">
        <f t="shared" si="13"/>
        <v>0</v>
      </c>
      <c r="W116" s="805">
        <v>0</v>
      </c>
      <c r="X116" s="805">
        <v>0</v>
      </c>
      <c r="Y116" s="858"/>
      <c r="Z116" s="858"/>
      <c r="AA116" s="861" t="str">
        <f>IFERROR(VLOOKUP(#REF!,'[3]ID Goals 2026'!$B:$R,17,0)," ")</f>
        <v xml:space="preserve"> </v>
      </c>
      <c r="AB116" s="862"/>
      <c r="AC116" s="862"/>
      <c r="AD116" s="862"/>
      <c r="AE116" s="862"/>
      <c r="AF116" s="862"/>
      <c r="AG116" s="862"/>
      <c r="AH116" s="863"/>
      <c r="AI116" s="848"/>
      <c r="AJ116" s="848"/>
      <c r="AK116" s="848"/>
    </row>
    <row r="117" spans="1:37" s="791" customFormat="1" hidden="1">
      <c r="A117" s="848" t="str">
        <f t="shared" si="10"/>
        <v>SFTW1154</v>
      </c>
      <c r="B117" s="840">
        <v>114</v>
      </c>
      <c r="C117" s="860"/>
      <c r="D117" s="855" t="s">
        <v>241</v>
      </c>
      <c r="E117" s="828" t="s">
        <v>1827</v>
      </c>
      <c r="F117" s="797" t="s">
        <v>1838</v>
      </c>
      <c r="G117" s="828" t="s">
        <v>1832</v>
      </c>
      <c r="H117" s="828" t="s">
        <v>1833</v>
      </c>
      <c r="I117" s="833" t="s">
        <v>1834</v>
      </c>
      <c r="J117" s="855" t="s">
        <v>618</v>
      </c>
      <c r="K117" s="800">
        <v>1915</v>
      </c>
      <c r="L117" s="835" t="s">
        <v>1835</v>
      </c>
      <c r="M117" s="802">
        <v>0</v>
      </c>
      <c r="N117" s="804" t="s">
        <v>1364</v>
      </c>
      <c r="O117" s="802">
        <v>46142</v>
      </c>
      <c r="P117" s="802">
        <v>46233</v>
      </c>
      <c r="Q117" s="842" t="s">
        <v>1836</v>
      </c>
      <c r="R117" s="842" t="str">
        <f t="shared" si="9"/>
        <v>Under Extraction</v>
      </c>
      <c r="S117" s="842"/>
      <c r="T117" s="842"/>
      <c r="U117" s="856"/>
      <c r="V117" s="805">
        <f t="shared" si="13"/>
        <v>0</v>
      </c>
      <c r="W117" s="805">
        <v>0</v>
      </c>
      <c r="X117" s="805">
        <v>0</v>
      </c>
      <c r="Y117" s="858"/>
      <c r="Z117" s="858"/>
      <c r="AA117" s="861" t="str">
        <f>IFERROR(VLOOKUP(#REF!,'[3]ID Goals 2026'!$B:$R,17,0)," ")</f>
        <v xml:space="preserve"> </v>
      </c>
      <c r="AB117" s="862"/>
      <c r="AC117" s="862"/>
      <c r="AD117" s="862"/>
      <c r="AE117" s="862"/>
      <c r="AF117" s="862"/>
      <c r="AG117" s="862"/>
      <c r="AH117" s="863"/>
      <c r="AI117" s="848"/>
      <c r="AJ117" s="848"/>
      <c r="AK117" s="848"/>
    </row>
    <row r="118" spans="1:37" s="791" customFormat="1" hidden="1">
      <c r="A118" s="848" t="str">
        <f t="shared" si="10"/>
        <v>SFTW1172</v>
      </c>
      <c r="B118" s="840">
        <v>115</v>
      </c>
      <c r="C118" s="860"/>
      <c r="D118" s="855" t="s">
        <v>241</v>
      </c>
      <c r="E118" s="828" t="s">
        <v>1827</v>
      </c>
      <c r="F118" s="797" t="s">
        <v>1839</v>
      </c>
      <c r="G118" s="828" t="s">
        <v>1832</v>
      </c>
      <c r="H118" s="828" t="s">
        <v>1833</v>
      </c>
      <c r="I118" s="833" t="s">
        <v>1834</v>
      </c>
      <c r="J118" s="855" t="s">
        <v>618</v>
      </c>
      <c r="K118" s="800">
        <v>1915</v>
      </c>
      <c r="L118" s="835" t="s">
        <v>1835</v>
      </c>
      <c r="M118" s="802">
        <v>0</v>
      </c>
      <c r="N118" s="804" t="s">
        <v>1364</v>
      </c>
      <c r="O118" s="802">
        <v>46142</v>
      </c>
      <c r="P118" s="802">
        <v>46233</v>
      </c>
      <c r="Q118" s="842" t="s">
        <v>1836</v>
      </c>
      <c r="R118" s="842" t="str">
        <f t="shared" si="9"/>
        <v>Under Extraction</v>
      </c>
      <c r="S118" s="842"/>
      <c r="T118" s="842"/>
      <c r="U118" s="856"/>
      <c r="V118" s="805">
        <f t="shared" si="13"/>
        <v>0</v>
      </c>
      <c r="W118" s="805">
        <v>0</v>
      </c>
      <c r="X118" s="805">
        <v>0</v>
      </c>
      <c r="Y118" s="858"/>
      <c r="Z118" s="858"/>
      <c r="AA118" s="861" t="str">
        <f>IFERROR(VLOOKUP(#REF!,'[3]ID Goals 2026'!$B:$R,17,0)," ")</f>
        <v xml:space="preserve"> </v>
      </c>
      <c r="AB118" s="862"/>
      <c r="AC118" s="862"/>
      <c r="AD118" s="862"/>
      <c r="AE118" s="862"/>
      <c r="AF118" s="862"/>
      <c r="AG118" s="862"/>
      <c r="AH118" s="863"/>
      <c r="AI118" s="848"/>
      <c r="AJ118" s="848"/>
      <c r="AK118" s="848"/>
    </row>
    <row r="119" spans="1:37" s="791" customFormat="1" hidden="1">
      <c r="A119" s="848" t="str">
        <f t="shared" si="10"/>
        <v>SFTW1174</v>
      </c>
      <c r="B119" s="840">
        <v>116</v>
      </c>
      <c r="C119" s="860"/>
      <c r="D119" s="855" t="s">
        <v>241</v>
      </c>
      <c r="E119" s="828" t="s">
        <v>1827</v>
      </c>
      <c r="F119" s="797" t="s">
        <v>1840</v>
      </c>
      <c r="G119" s="828" t="s">
        <v>1832</v>
      </c>
      <c r="H119" s="828" t="s">
        <v>1833</v>
      </c>
      <c r="I119" s="833" t="s">
        <v>1834</v>
      </c>
      <c r="J119" s="855" t="s">
        <v>618</v>
      </c>
      <c r="K119" s="800">
        <v>1915</v>
      </c>
      <c r="L119" s="835" t="s">
        <v>1835</v>
      </c>
      <c r="M119" s="802">
        <v>0</v>
      </c>
      <c r="N119" s="804" t="s">
        <v>1364</v>
      </c>
      <c r="O119" s="802">
        <v>46142</v>
      </c>
      <c r="P119" s="802">
        <v>46233</v>
      </c>
      <c r="Q119" s="842" t="s">
        <v>1836</v>
      </c>
      <c r="R119" s="842" t="str">
        <f t="shared" si="9"/>
        <v>Under Extraction</v>
      </c>
      <c r="S119" s="842"/>
      <c r="T119" s="842"/>
      <c r="U119" s="856"/>
      <c r="V119" s="805">
        <f t="shared" si="13"/>
        <v>0</v>
      </c>
      <c r="W119" s="805">
        <v>0</v>
      </c>
      <c r="X119" s="805">
        <v>0</v>
      </c>
      <c r="Y119" s="858"/>
      <c r="Z119" s="858"/>
      <c r="AA119" s="861" t="str">
        <f>IFERROR(VLOOKUP(#REF!,'[3]ID Goals 2026'!$B:$R,17,0)," ")</f>
        <v xml:space="preserve"> </v>
      </c>
      <c r="AB119" s="862"/>
      <c r="AC119" s="862"/>
      <c r="AD119" s="862"/>
      <c r="AE119" s="862"/>
      <c r="AF119" s="862"/>
      <c r="AG119" s="862"/>
      <c r="AH119" s="863"/>
      <c r="AI119" s="848"/>
      <c r="AJ119" s="848"/>
      <c r="AK119" s="848"/>
    </row>
    <row r="120" spans="1:37" s="791" customFormat="1" hidden="1">
      <c r="A120" s="848" t="str">
        <f t="shared" si="10"/>
        <v>SFTW1254</v>
      </c>
      <c r="B120" s="840">
        <v>117</v>
      </c>
      <c r="C120" s="860"/>
      <c r="D120" s="855" t="s">
        <v>241</v>
      </c>
      <c r="E120" s="828" t="s">
        <v>1827</v>
      </c>
      <c r="F120" s="797" t="s">
        <v>1841</v>
      </c>
      <c r="G120" s="828" t="s">
        <v>1832</v>
      </c>
      <c r="H120" s="828" t="s">
        <v>1833</v>
      </c>
      <c r="I120" s="833" t="s">
        <v>1834</v>
      </c>
      <c r="J120" s="855" t="s">
        <v>618</v>
      </c>
      <c r="K120" s="800">
        <v>1915</v>
      </c>
      <c r="L120" s="835" t="s">
        <v>1835</v>
      </c>
      <c r="M120" s="802">
        <v>0</v>
      </c>
      <c r="N120" s="804" t="s">
        <v>1364</v>
      </c>
      <c r="O120" s="802">
        <v>46142</v>
      </c>
      <c r="P120" s="802">
        <v>46233</v>
      </c>
      <c r="Q120" s="842" t="s">
        <v>1836</v>
      </c>
      <c r="R120" s="842" t="str">
        <f t="shared" si="9"/>
        <v>Under Extraction</v>
      </c>
      <c r="S120" s="842"/>
      <c r="T120" s="842"/>
      <c r="U120" s="856"/>
      <c r="V120" s="805">
        <f t="shared" si="13"/>
        <v>0</v>
      </c>
      <c r="W120" s="805">
        <v>0</v>
      </c>
      <c r="X120" s="805">
        <v>0</v>
      </c>
      <c r="Y120" s="858"/>
      <c r="Z120" s="858"/>
      <c r="AA120" s="861" t="str">
        <f>IFERROR(VLOOKUP(#REF!,'[3]ID Goals 2026'!$B:$R,17,0)," ")</f>
        <v xml:space="preserve"> </v>
      </c>
      <c r="AB120" s="862"/>
      <c r="AC120" s="862"/>
      <c r="AD120" s="862"/>
      <c r="AE120" s="862"/>
      <c r="AF120" s="862"/>
      <c r="AG120" s="862"/>
      <c r="AH120" s="863"/>
      <c r="AI120" s="848"/>
      <c r="AJ120" s="848"/>
      <c r="AK120" s="848"/>
    </row>
    <row r="121" spans="1:37" hidden="1">
      <c r="A121" s="829" t="str">
        <f t="shared" si="10"/>
        <v>POARR7224</v>
      </c>
      <c r="B121" s="840">
        <v>118</v>
      </c>
      <c r="C121" s="864"/>
      <c r="D121" s="865" t="s">
        <v>1681</v>
      </c>
      <c r="E121" s="828" t="s">
        <v>1757</v>
      </c>
      <c r="F121" s="797">
        <v>7224</v>
      </c>
      <c r="G121" s="828" t="s">
        <v>1842</v>
      </c>
      <c r="H121" s="828" t="s">
        <v>1843</v>
      </c>
      <c r="I121" s="833" t="s">
        <v>1670</v>
      </c>
      <c r="J121" s="833" t="s">
        <v>618</v>
      </c>
      <c r="K121" s="800">
        <v>2753</v>
      </c>
      <c r="L121" s="835" t="s">
        <v>1665</v>
      </c>
      <c r="M121" s="802">
        <v>45382</v>
      </c>
      <c r="N121" s="802">
        <v>45964</v>
      </c>
      <c r="O121" s="802" t="e">
        <f>_xlfn.XLOOKUP(A121,'[1]Delivery Report'!$A:$A,'[1]Delivery Report'!$AA:$AA)</f>
        <v>#N/A</v>
      </c>
      <c r="P121" s="802">
        <v>46233</v>
      </c>
      <c r="Q121" s="842" t="e">
        <f>_xlfn.XLOOKUP(A121,'[1]Delivery Report'!$A:$A,'[1]Delivery Report'!$AQ:$AQ)</f>
        <v>#N/A</v>
      </c>
      <c r="R121" s="843" t="e">
        <f t="shared" si="9"/>
        <v>#N/A</v>
      </c>
      <c r="S121" s="843"/>
      <c r="T121" s="866"/>
      <c r="U121" s="866" t="s">
        <v>1666</v>
      </c>
      <c r="V121" s="805">
        <f t="shared" si="13"/>
        <v>0</v>
      </c>
      <c r="W121" s="810">
        <v>0</v>
      </c>
      <c r="X121" s="810"/>
      <c r="Y121" s="845"/>
      <c r="Z121" s="845"/>
      <c r="AA121" s="851" t="str">
        <f>IFERROR(VLOOKUP(#REF!,'[3]ID Goals 2026'!$B:$R,17,0)," ")</f>
        <v xml:space="preserve"> </v>
      </c>
      <c r="AB121" s="867"/>
      <c r="AC121" s="868"/>
      <c r="AD121" s="869"/>
      <c r="AE121" s="831"/>
      <c r="AF121" s="850"/>
      <c r="AG121" s="850"/>
      <c r="AH121" s="850"/>
      <c r="AI121" s="829"/>
      <c r="AJ121" s="870"/>
      <c r="AK121" s="835"/>
    </row>
    <row r="122" spans="1:37" s="791" customFormat="1" hidden="1">
      <c r="A122" s="848" t="str">
        <f t="shared" si="10"/>
        <v>POARR1033</v>
      </c>
      <c r="B122" s="840">
        <v>119</v>
      </c>
      <c r="C122" s="864"/>
      <c r="D122" s="865" t="s">
        <v>1681</v>
      </c>
      <c r="E122" s="828" t="s">
        <v>1827</v>
      </c>
      <c r="F122" s="797">
        <v>1033</v>
      </c>
      <c r="G122" s="828" t="s">
        <v>1844</v>
      </c>
      <c r="H122" s="828" t="s">
        <v>1845</v>
      </c>
      <c r="I122" s="833" t="s">
        <v>1670</v>
      </c>
      <c r="J122" s="833" t="s">
        <v>618</v>
      </c>
      <c r="K122" s="800">
        <v>2753</v>
      </c>
      <c r="L122" s="835" t="s">
        <v>1665</v>
      </c>
      <c r="M122" s="802">
        <v>45664</v>
      </c>
      <c r="N122" s="802" t="s">
        <v>1364</v>
      </c>
      <c r="O122" s="802">
        <v>46127</v>
      </c>
      <c r="P122" s="802">
        <v>46233</v>
      </c>
      <c r="Q122" s="842" t="e">
        <f>_xlfn.XLOOKUP(A122,'[1]Delivery Report'!$A:$A,'[1]Delivery Report'!$AQ:$AQ)</f>
        <v>#N/A</v>
      </c>
      <c r="R122" s="844" t="e">
        <f t="shared" si="9"/>
        <v>#N/A</v>
      </c>
      <c r="S122" s="844"/>
      <c r="T122" s="866"/>
      <c r="U122" s="866" t="s">
        <v>1767</v>
      </c>
      <c r="V122" s="805">
        <f t="shared" si="13"/>
        <v>0</v>
      </c>
      <c r="W122" s="810">
        <v>0</v>
      </c>
      <c r="X122" s="810">
        <v>0</v>
      </c>
      <c r="Y122" s="845"/>
      <c r="Z122" s="845"/>
      <c r="AA122" s="851" t="str">
        <f>IFERROR(VLOOKUP(#REF!,'[3]ID Goals 2026'!$B:$R,17,0)," ")</f>
        <v xml:space="preserve"> </v>
      </c>
      <c r="AB122" s="867"/>
      <c r="AC122" s="868"/>
      <c r="AD122" s="869"/>
      <c r="AE122" s="831"/>
      <c r="AF122" s="850"/>
      <c r="AG122" s="850"/>
      <c r="AH122" s="850"/>
      <c r="AI122" s="848"/>
      <c r="AJ122" s="870"/>
      <c r="AK122" s="835"/>
    </row>
    <row r="123" spans="1:37" hidden="1">
      <c r="A123" s="829" t="str">
        <f t="shared" si="10"/>
        <v>POARR7281</v>
      </c>
      <c r="B123" s="840">
        <v>120</v>
      </c>
      <c r="C123" s="864"/>
      <c r="D123" s="865" t="s">
        <v>1681</v>
      </c>
      <c r="E123" s="828" t="s">
        <v>1757</v>
      </c>
      <c r="F123" s="797">
        <v>7281</v>
      </c>
      <c r="G123" s="828" t="s">
        <v>1846</v>
      </c>
      <c r="H123" s="828" t="s">
        <v>1847</v>
      </c>
      <c r="I123" s="833" t="s">
        <v>1664</v>
      </c>
      <c r="J123" s="828" t="s">
        <v>6</v>
      </c>
      <c r="K123" s="800">
        <v>5385</v>
      </c>
      <c r="L123" s="835" t="s">
        <v>1665</v>
      </c>
      <c r="M123" s="802">
        <v>46568</v>
      </c>
      <c r="N123" s="802" t="s">
        <v>1364</v>
      </c>
      <c r="O123" s="802">
        <v>46172</v>
      </c>
      <c r="P123" s="802">
        <v>46234</v>
      </c>
      <c r="Q123" s="842" t="e">
        <f>_xlfn.XLOOKUP(A123,'[1]Delivery Report'!$A:$A,'[1]Delivery Report'!$AQ:$AQ)</f>
        <v>#N/A</v>
      </c>
      <c r="R123" s="844" t="e">
        <f t="shared" si="9"/>
        <v>#N/A</v>
      </c>
      <c r="S123" s="844"/>
      <c r="T123" s="866"/>
      <c r="U123" s="866" t="s">
        <v>1698</v>
      </c>
      <c r="V123" s="805">
        <f t="shared" si="13"/>
        <v>0.53849999999999998</v>
      </c>
      <c r="W123" s="810">
        <f>($K123*'[2]Fee Assumptions'!$D$4)/10^7</f>
        <v>0.53849999999999998</v>
      </c>
      <c r="X123" s="810"/>
      <c r="Y123" s="845" t="s">
        <v>1685</v>
      </c>
      <c r="Z123" s="845" t="s">
        <v>1685</v>
      </c>
      <c r="AA123" s="851" t="str">
        <f>IFERROR(VLOOKUP(#REF!,'[3]ID Goals 2026'!$B:$R,17,0)," ")</f>
        <v xml:space="preserve"> </v>
      </c>
      <c r="AB123" s="867"/>
      <c r="AC123" s="868"/>
      <c r="AD123" s="869"/>
      <c r="AE123" s="831"/>
      <c r="AF123" s="850"/>
      <c r="AG123" s="850"/>
      <c r="AH123" s="850"/>
      <c r="AI123" s="829"/>
      <c r="AJ123" s="870"/>
      <c r="AK123" s="806">
        <f>(2%*V123)+((160*K123)/10^7)</f>
        <v>9.6930000000000002E-2</v>
      </c>
    </row>
    <row r="124" spans="1:37" hidden="1">
      <c r="A124" s="848" t="str">
        <f t="shared" si="10"/>
        <v>PoARR5051</v>
      </c>
      <c r="B124" s="840">
        <v>121</v>
      </c>
      <c r="C124" s="864"/>
      <c r="D124" s="865" t="s">
        <v>1848</v>
      </c>
      <c r="E124" s="828" t="s">
        <v>1720</v>
      </c>
      <c r="F124" s="797">
        <v>5051</v>
      </c>
      <c r="G124" s="828" t="s">
        <v>1695</v>
      </c>
      <c r="H124" s="828" t="s">
        <v>1849</v>
      </c>
      <c r="I124" s="833" t="s">
        <v>1670</v>
      </c>
      <c r="J124" s="833" t="s">
        <v>618</v>
      </c>
      <c r="K124" s="800">
        <v>5679</v>
      </c>
      <c r="L124" s="835" t="s">
        <v>1785</v>
      </c>
      <c r="M124" s="802">
        <v>0</v>
      </c>
      <c r="N124" s="802">
        <v>45669</v>
      </c>
      <c r="O124" s="802">
        <v>46127</v>
      </c>
      <c r="P124" s="802">
        <v>46233</v>
      </c>
      <c r="Q124" s="842" t="e">
        <f>_xlfn.XLOOKUP(A124,'[1]Delivery Report'!$A:$A,'[1]Delivery Report'!$AQ:$AQ)</f>
        <v>#N/A</v>
      </c>
      <c r="R124" s="844" t="e">
        <f t="shared" si="9"/>
        <v>#N/A</v>
      </c>
      <c r="S124" s="844"/>
      <c r="T124" s="866"/>
      <c r="U124" s="866"/>
      <c r="V124" s="805">
        <f t="shared" si="13"/>
        <v>0.56789999999999996</v>
      </c>
      <c r="W124" s="810">
        <f>($K124*'[2]Fee Assumptions'!$D$4)/10^7</f>
        <v>0.56789999999999996</v>
      </c>
      <c r="X124" s="810"/>
      <c r="Y124" s="845" t="s">
        <v>1685</v>
      </c>
      <c r="Z124" s="845" t="s">
        <v>1685</v>
      </c>
      <c r="AA124" s="851" t="str">
        <f>IFERROR(VLOOKUP(#REF!,'[3]ID Goals 2026'!$B:$R,17,0)," ")</f>
        <v xml:space="preserve"> </v>
      </c>
      <c r="AB124" s="867"/>
      <c r="AC124" s="868"/>
      <c r="AD124" s="869"/>
      <c r="AE124" s="831"/>
      <c r="AF124" s="850"/>
      <c r="AG124" s="850"/>
      <c r="AH124" s="850"/>
      <c r="AI124" s="829"/>
      <c r="AJ124" s="870"/>
      <c r="AK124" s="835"/>
    </row>
    <row r="125" spans="1:37" hidden="1">
      <c r="A125" s="829"/>
      <c r="B125" s="875"/>
      <c r="C125" s="876"/>
      <c r="D125" s="877"/>
      <c r="E125" s="828"/>
      <c r="G125" s="828"/>
      <c r="H125" s="828"/>
      <c r="I125" s="833"/>
      <c r="J125" s="878"/>
      <c r="L125" s="835"/>
      <c r="N125" s="878"/>
      <c r="O125" s="877"/>
      <c r="P125" s="877"/>
      <c r="Q125" s="877"/>
      <c r="R125" s="877"/>
      <c r="S125" s="877"/>
      <c r="T125" s="877"/>
      <c r="U125" s="877"/>
      <c r="V125" s="877"/>
      <c r="W125" s="877"/>
      <c r="X125" s="877"/>
      <c r="Y125" s="879"/>
      <c r="Z125" s="879"/>
      <c r="AA125" s="879"/>
      <c r="AB125" s="879"/>
      <c r="AC125" s="879"/>
      <c r="AD125" s="879"/>
      <c r="AE125" s="879"/>
      <c r="AF125" s="879"/>
      <c r="AG125" s="879"/>
      <c r="AH125" s="878"/>
      <c r="AI125" s="829"/>
      <c r="AJ125" s="829"/>
      <c r="AK125" s="829"/>
    </row>
    <row r="126" spans="1:37" hidden="1">
      <c r="A126" s="829"/>
      <c r="B126" s="875"/>
      <c r="C126" s="876"/>
      <c r="D126" s="877"/>
      <c r="E126" s="828"/>
      <c r="G126" s="828"/>
      <c r="H126" s="828"/>
      <c r="I126" s="833"/>
      <c r="J126" s="878"/>
      <c r="L126" s="835"/>
      <c r="N126" s="878"/>
      <c r="O126" s="877"/>
      <c r="P126" s="877"/>
      <c r="Q126" s="877"/>
      <c r="R126" s="877"/>
      <c r="S126" s="877"/>
      <c r="T126" s="877"/>
      <c r="U126" s="877"/>
      <c r="V126" s="877"/>
      <c r="W126" s="877"/>
      <c r="X126" s="877"/>
      <c r="Y126" s="879"/>
      <c r="Z126" s="879"/>
      <c r="AA126" s="879"/>
      <c r="AB126" s="879"/>
      <c r="AC126" s="879"/>
      <c r="AD126" s="879"/>
      <c r="AE126" s="879"/>
      <c r="AF126" s="879"/>
      <c r="AG126" s="879"/>
      <c r="AH126" s="878"/>
      <c r="AI126" s="829"/>
      <c r="AJ126" s="829"/>
      <c r="AK126" s="829"/>
    </row>
    <row r="127" spans="1:37" hidden="1">
      <c r="A127" s="829"/>
      <c r="B127" s="875"/>
      <c r="C127" s="876"/>
      <c r="D127" s="877"/>
      <c r="E127" s="828"/>
      <c r="G127" s="828"/>
      <c r="H127" s="828"/>
      <c r="I127" s="833"/>
      <c r="J127" s="878"/>
      <c r="L127" s="835"/>
      <c r="N127" s="878"/>
      <c r="O127" s="877"/>
      <c r="P127" s="877"/>
      <c r="Q127" s="877"/>
      <c r="R127" s="877"/>
      <c r="S127" s="877"/>
      <c r="T127" s="877"/>
      <c r="U127" s="877"/>
      <c r="V127" s="877"/>
      <c r="W127" s="877"/>
      <c r="X127" s="877"/>
      <c r="Y127" s="879"/>
      <c r="Z127" s="879"/>
      <c r="AA127" s="879"/>
      <c r="AB127" s="879"/>
      <c r="AC127" s="879"/>
      <c r="AD127" s="879"/>
      <c r="AE127" s="879"/>
      <c r="AF127" s="879"/>
      <c r="AG127" s="879"/>
      <c r="AH127" s="878"/>
      <c r="AI127" s="829"/>
      <c r="AJ127" s="829"/>
      <c r="AK127" s="829"/>
    </row>
    <row r="128" spans="1:37" hidden="1">
      <c r="A128" s="829"/>
      <c r="B128" s="875"/>
      <c r="C128" s="876"/>
      <c r="D128" s="877"/>
      <c r="E128" s="828"/>
      <c r="G128" s="828"/>
      <c r="H128" s="828"/>
      <c r="I128" s="833"/>
      <c r="J128" s="878"/>
      <c r="L128" s="835"/>
      <c r="N128" s="878"/>
      <c r="O128" s="877"/>
      <c r="P128" s="877"/>
      <c r="Q128" s="877"/>
      <c r="R128" s="877"/>
      <c r="S128" s="877"/>
      <c r="T128" s="877"/>
      <c r="U128" s="877"/>
      <c r="V128" s="877"/>
      <c r="W128" s="877"/>
      <c r="X128" s="877"/>
      <c r="Y128" s="879"/>
      <c r="Z128" s="879"/>
      <c r="AA128" s="879"/>
      <c r="AB128" s="879"/>
      <c r="AC128" s="879"/>
      <c r="AD128" s="879"/>
      <c r="AE128" s="879"/>
      <c r="AF128" s="879"/>
      <c r="AG128" s="879"/>
      <c r="AH128" s="878"/>
      <c r="AI128" s="829"/>
      <c r="AJ128" s="829"/>
      <c r="AK128" s="829"/>
    </row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</sheetData>
  <autoFilter ref="A2:XFB180" xr:uid="{139B5702-29F0-46FC-9D50-6CA07105710E}">
    <filterColumn colId="5">
      <filters>
        <filter val="4301"/>
      </filters>
    </filterColumn>
    <filterColumn colId="9">
      <filters>
        <filter val="Saji"/>
      </filters>
    </filterColumn>
  </autoFilter>
  <conditionalFormatting sqref="A1:A1048576">
    <cfRule type="duplicateValues" dxfId="6" priority="1"/>
  </conditionalFormatting>
  <conditionalFormatting sqref="C80:C120 C4:C78">
    <cfRule type="duplicateValues" dxfId="5" priority="235"/>
  </conditionalFormatting>
  <conditionalFormatting sqref="OR121:OR124">
    <cfRule type="duplicateValues" dxfId="4" priority="209"/>
    <cfRule type="duplicateValues" dxfId="3" priority="210"/>
    <cfRule type="duplicateValues" dxfId="2" priority="211"/>
    <cfRule type="duplicateValues" dxfId="1" priority="212"/>
    <cfRule type="duplicateValues" dxfId="0" priority="213"/>
  </conditionalFormatting>
  <pageMargins left="0.7" right="0.7" top="0.75" bottom="0.75" header="0.3" footer="0.3"/>
  <pageSetup paperSize="9" scale="4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5" id="{310D897A-B094-44D5-AAC9-DD833A515E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AC4:AG49</xm:sqref>
        </x14:conditionalFormatting>
        <x14:conditionalFormatting xmlns:xm="http://schemas.microsoft.com/office/excel/2006/main">
          <x14:cfRule type="iconSet" priority="13" id="{8FAB34DE-BA17-4BF5-88AE-10C4169598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AC104:AG104</xm:sqref>
        </x14:conditionalFormatting>
        <x14:conditionalFormatting xmlns:xm="http://schemas.microsoft.com/office/excel/2006/main">
          <x14:cfRule type="iconSet" priority="12" id="{CC87A4CF-84C3-4B4C-813F-381ABFF4F1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AC115:AG120 AC105:AG105 AC109:AG113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3.15"/>
  <cols>
    <col min="2" max="2" width="37.7109375" bestFit="1" customWidth="1"/>
    <col min="3" max="3" width="24.5703125" bestFit="1" customWidth="1"/>
    <col min="4" max="4" width="20.28515625" bestFit="1" customWidth="1"/>
    <col min="5" max="5" width="11.42578125" bestFit="1" customWidth="1"/>
    <col min="6" max="6" width="5.7109375" bestFit="1" customWidth="1"/>
    <col min="7" max="9" width="5" customWidth="1"/>
    <col min="10" max="10" width="7" bestFit="1" customWidth="1"/>
    <col min="11" max="11" width="9.5703125" bestFit="1" customWidth="1"/>
    <col min="12" max="12" width="7" customWidth="1"/>
    <col min="13" max="13" width="9.5703125" customWidth="1"/>
    <col min="14" max="17" width="5" customWidth="1"/>
    <col min="18" max="26" width="3.28515625" bestFit="1" customWidth="1"/>
    <col min="27" max="28" width="4.28515625" bestFit="1" customWidth="1"/>
    <col min="29" max="29" width="7.28515625" bestFit="1" customWidth="1"/>
    <col min="30" max="30" width="11.28515625" bestFit="1" customWidth="1"/>
  </cols>
  <sheetData>
    <row r="2" spans="2:20">
      <c r="K2" s="780" t="s">
        <v>1850</v>
      </c>
      <c r="L2" s="780" t="s">
        <v>1851</v>
      </c>
      <c r="M2" s="780"/>
      <c r="N2" s="780"/>
    </row>
    <row r="3" spans="2:20">
      <c r="B3" s="657" t="s">
        <v>1852</v>
      </c>
      <c r="C3" s="778" t="s">
        <v>1853</v>
      </c>
      <c r="D3" t="s">
        <v>1854</v>
      </c>
      <c r="K3" s="780"/>
      <c r="L3" s="780" t="s">
        <v>1855</v>
      </c>
      <c r="M3" s="780" t="s">
        <v>1660</v>
      </c>
      <c r="N3" s="780"/>
      <c r="S3" t="s">
        <v>1856</v>
      </c>
      <c r="T3" t="s">
        <v>1857</v>
      </c>
    </row>
    <row r="4" spans="2:20">
      <c r="B4" s="658" t="s">
        <v>47</v>
      </c>
      <c r="C4">
        <v>0.349304</v>
      </c>
      <c r="D4">
        <v>26</v>
      </c>
      <c r="K4" s="781" t="s">
        <v>1858</v>
      </c>
      <c r="L4" s="783">
        <v>4</v>
      </c>
      <c r="M4" s="784">
        <f>(2%*T4)+((160*S4)/10^7)</f>
        <v>0.349304</v>
      </c>
      <c r="N4" s="780"/>
      <c r="S4">
        <v>18744</v>
      </c>
      <c r="T4">
        <v>2.4700000000000002</v>
      </c>
    </row>
    <row r="5" spans="2:20">
      <c r="B5" s="776" t="s">
        <v>159</v>
      </c>
      <c r="D5">
        <v>25</v>
      </c>
      <c r="K5" s="781" t="s">
        <v>1859</v>
      </c>
      <c r="L5" s="783">
        <v>18</v>
      </c>
      <c r="M5" s="784">
        <f>(2%*T5)+((160*S5)/10^7)</f>
        <v>2.2044079999999999</v>
      </c>
      <c r="N5" s="780"/>
      <c r="S5">
        <v>122463</v>
      </c>
      <c r="T5">
        <v>12.25</v>
      </c>
    </row>
    <row r="6" spans="2:20">
      <c r="B6" s="779" t="s">
        <v>163</v>
      </c>
      <c r="D6">
        <v>6</v>
      </c>
      <c r="K6" s="781" t="s">
        <v>1860</v>
      </c>
      <c r="L6" s="783">
        <f>SUM(L7:L9)</f>
        <v>99</v>
      </c>
      <c r="M6" s="784">
        <f>SUM(M7:M9)</f>
        <v>1.091672</v>
      </c>
      <c r="N6" s="780"/>
    </row>
    <row r="7" spans="2:20">
      <c r="B7" s="779" t="s">
        <v>1273</v>
      </c>
      <c r="D7">
        <v>4</v>
      </c>
      <c r="K7" s="782" t="s">
        <v>1664</v>
      </c>
      <c r="L7" s="785">
        <v>7</v>
      </c>
      <c r="M7" s="786">
        <f>(2%*T7)+((160*S7)/10^7)</f>
        <v>0.53307199999999999</v>
      </c>
      <c r="N7" s="780"/>
      <c r="S7">
        <v>29117</v>
      </c>
      <c r="T7">
        <v>3.36</v>
      </c>
    </row>
    <row r="8" spans="2:20">
      <c r="B8" s="779" t="s">
        <v>165</v>
      </c>
      <c r="D8">
        <v>1</v>
      </c>
      <c r="K8" s="782" t="s">
        <v>1861</v>
      </c>
      <c r="L8" s="785">
        <v>86</v>
      </c>
      <c r="M8" s="786">
        <f>2%*T8</f>
        <v>0.55859999999999999</v>
      </c>
      <c r="N8" s="780"/>
      <c r="S8" t="s">
        <v>1078</v>
      </c>
      <c r="T8">
        <v>27.93</v>
      </c>
    </row>
    <row r="9" spans="2:20">
      <c r="B9" s="779" t="s">
        <v>162</v>
      </c>
      <c r="D9">
        <v>8</v>
      </c>
      <c r="K9" s="782" t="s">
        <v>1834</v>
      </c>
      <c r="L9" s="785">
        <v>6</v>
      </c>
      <c r="M9" s="785">
        <v>0</v>
      </c>
      <c r="S9" t="s">
        <v>1078</v>
      </c>
      <c r="T9">
        <v>0</v>
      </c>
    </row>
    <row r="10" spans="2:20">
      <c r="B10" s="779" t="s">
        <v>164</v>
      </c>
      <c r="D10">
        <v>6</v>
      </c>
    </row>
    <row r="11" spans="2:20">
      <c r="B11" s="776" t="s">
        <v>617</v>
      </c>
      <c r="C11">
        <v>0.349304</v>
      </c>
      <c r="D11">
        <v>1</v>
      </c>
    </row>
    <row r="12" spans="2:20">
      <c r="B12" s="779" t="s">
        <v>1862</v>
      </c>
      <c r="C12">
        <v>0.349304</v>
      </c>
      <c r="D12">
        <v>1</v>
      </c>
    </row>
    <row r="13" spans="2:20">
      <c r="B13" s="658" t="s">
        <v>1100</v>
      </c>
      <c r="C13" s="777">
        <v>50.335277761675314</v>
      </c>
      <c r="D13">
        <v>40</v>
      </c>
    </row>
    <row r="14" spans="2:20">
      <c r="B14" s="776" t="s">
        <v>159</v>
      </c>
      <c r="C14" s="777">
        <v>50.335277761675314</v>
      </c>
      <c r="D14">
        <v>40</v>
      </c>
    </row>
    <row r="15" spans="2:20">
      <c r="B15" s="779" t="s">
        <v>899</v>
      </c>
      <c r="C15" s="777">
        <v>1.9100000000000001</v>
      </c>
      <c r="D15">
        <v>11</v>
      </c>
    </row>
    <row r="16" spans="2:20">
      <c r="B16" s="779" t="s">
        <v>1137</v>
      </c>
      <c r="C16" s="777">
        <v>0.30105801900000001</v>
      </c>
      <c r="D16">
        <v>3</v>
      </c>
    </row>
    <row r="17" spans="2:4">
      <c r="B17" s="779" t="s">
        <v>1299</v>
      </c>
      <c r="C17" s="777">
        <v>8.7813947704253064</v>
      </c>
      <c r="D17">
        <v>3</v>
      </c>
    </row>
    <row r="18" spans="2:4">
      <c r="B18" s="779" t="s">
        <v>225</v>
      </c>
      <c r="C18" s="777">
        <v>0.189</v>
      </c>
      <c r="D18">
        <v>3</v>
      </c>
    </row>
    <row r="19" spans="2:4">
      <c r="B19" s="779" t="s">
        <v>229</v>
      </c>
      <c r="C19" s="777">
        <v>0.77993999999999997</v>
      </c>
      <c r="D19">
        <v>4</v>
      </c>
    </row>
    <row r="20" spans="2:4">
      <c r="B20" s="779" t="s">
        <v>498</v>
      </c>
      <c r="C20" s="777">
        <v>0.43996002400000001</v>
      </c>
      <c r="D20">
        <v>2</v>
      </c>
    </row>
    <row r="21" spans="2:4">
      <c r="B21" s="779" t="s">
        <v>901</v>
      </c>
      <c r="C21" s="777">
        <v>0.39</v>
      </c>
      <c r="D21">
        <v>2</v>
      </c>
    </row>
    <row r="22" spans="2:4">
      <c r="B22" s="779" t="s">
        <v>902</v>
      </c>
      <c r="C22" s="777">
        <v>1.18</v>
      </c>
      <c r="D22">
        <v>3</v>
      </c>
    </row>
    <row r="23" spans="2:4">
      <c r="B23" s="779" t="s">
        <v>1310</v>
      </c>
      <c r="C23" s="777">
        <v>20.561850000000003</v>
      </c>
      <c r="D23">
        <v>6</v>
      </c>
    </row>
    <row r="24" spans="2:4">
      <c r="B24" s="779" t="s">
        <v>236</v>
      </c>
      <c r="C24" s="777">
        <v>15.802074948250002</v>
      </c>
      <c r="D24">
        <v>3</v>
      </c>
    </row>
    <row r="25" spans="2:4">
      <c r="B25" s="658" t="s">
        <v>437</v>
      </c>
      <c r="C25" s="777">
        <v>39.562446115799972</v>
      </c>
      <c r="D25">
        <v>156</v>
      </c>
    </row>
    <row r="26" spans="2:4">
      <c r="B26" s="776" t="s">
        <v>860</v>
      </c>
      <c r="C26" s="777">
        <v>5.9085529076757348</v>
      </c>
      <c r="D26">
        <v>56</v>
      </c>
    </row>
    <row r="27" spans="2:4">
      <c r="B27" s="779" t="s">
        <v>891</v>
      </c>
      <c r="C27" s="777">
        <v>0.14067281118400704</v>
      </c>
      <c r="D27">
        <v>3</v>
      </c>
    </row>
    <row r="28" spans="2:4">
      <c r="B28" s="779" t="s">
        <v>1402</v>
      </c>
      <c r="C28" s="777">
        <v>0.79096480000000002</v>
      </c>
      <c r="D28">
        <v>3</v>
      </c>
    </row>
    <row r="29" spans="2:4">
      <c r="B29" s="779" t="s">
        <v>1347</v>
      </c>
      <c r="C29" s="777">
        <v>0.28215000000000001</v>
      </c>
      <c r="D29">
        <v>2</v>
      </c>
    </row>
    <row r="30" spans="2:4">
      <c r="B30" s="779" t="s">
        <v>497</v>
      </c>
      <c r="C30" s="777">
        <v>0.05</v>
      </c>
      <c r="D30">
        <v>1</v>
      </c>
    </row>
    <row r="31" spans="2:4">
      <c r="B31" s="779" t="s">
        <v>918</v>
      </c>
      <c r="C31" s="777">
        <v>1.13E-4</v>
      </c>
      <c r="D31">
        <v>1</v>
      </c>
    </row>
    <row r="32" spans="2:4">
      <c r="B32" s="779" t="s">
        <v>897</v>
      </c>
    </row>
    <row r="33" spans="2:4">
      <c r="B33" s="779" t="s">
        <v>1392</v>
      </c>
      <c r="C33" s="777"/>
      <c r="D33">
        <v>2</v>
      </c>
    </row>
    <row r="34" spans="2:4">
      <c r="B34" s="779" t="s">
        <v>502</v>
      </c>
      <c r="C34" s="777">
        <v>1.5064544879999999E-2</v>
      </c>
      <c r="D34">
        <v>1</v>
      </c>
    </row>
    <row r="35" spans="2:4">
      <c r="B35" s="779" t="s">
        <v>225</v>
      </c>
      <c r="C35" s="777">
        <v>1.2E-2</v>
      </c>
      <c r="D35">
        <v>2</v>
      </c>
    </row>
    <row r="36" spans="2:4">
      <c r="B36" s="779" t="s">
        <v>229</v>
      </c>
      <c r="C36" s="777">
        <v>6.9637500000000005E-2</v>
      </c>
      <c r="D36">
        <v>2</v>
      </c>
    </row>
    <row r="37" spans="2:4">
      <c r="B37" s="779" t="s">
        <v>1273</v>
      </c>
      <c r="C37" s="777">
        <v>8.9100000000000013E-2</v>
      </c>
      <c r="D37">
        <v>3</v>
      </c>
    </row>
    <row r="38" spans="2:4">
      <c r="B38" s="779" t="s">
        <v>498</v>
      </c>
      <c r="C38" s="777">
        <v>1.8855429600000001E-2</v>
      </c>
      <c r="D38">
        <v>1</v>
      </c>
    </row>
    <row r="39" spans="2:4">
      <c r="B39" s="779" t="s">
        <v>1399</v>
      </c>
      <c r="C39" s="777">
        <v>9.3954239999999994E-3</v>
      </c>
      <c r="D39">
        <v>2</v>
      </c>
    </row>
    <row r="40" spans="2:4">
      <c r="B40" s="779" t="s">
        <v>902</v>
      </c>
      <c r="C40" s="777">
        <v>7.1279999999999996E-2</v>
      </c>
      <c r="D40">
        <v>2</v>
      </c>
    </row>
    <row r="41" spans="2:4">
      <c r="B41" s="779" t="s">
        <v>894</v>
      </c>
      <c r="C41" s="777">
        <v>0.04</v>
      </c>
      <c r="D41">
        <v>1</v>
      </c>
    </row>
    <row r="42" spans="2:4">
      <c r="B42" s="779" t="s">
        <v>469</v>
      </c>
      <c r="C42" s="777">
        <v>0.20895962000000001</v>
      </c>
      <c r="D42">
        <v>4</v>
      </c>
    </row>
    <row r="43" spans="2:4">
      <c r="B43" s="779" t="s">
        <v>1358</v>
      </c>
      <c r="C43" s="777">
        <v>0.24947971628407908</v>
      </c>
      <c r="D43">
        <v>5</v>
      </c>
    </row>
    <row r="44" spans="2:4">
      <c r="B44" s="779" t="s">
        <v>1330</v>
      </c>
      <c r="C44" s="777">
        <v>0.24316884899999996</v>
      </c>
      <c r="D44">
        <v>2</v>
      </c>
    </row>
    <row r="45" spans="2:4">
      <c r="B45" s="779" t="s">
        <v>1321</v>
      </c>
      <c r="C45" s="777">
        <v>0.72950654699999995</v>
      </c>
      <c r="D45">
        <v>2</v>
      </c>
    </row>
    <row r="46" spans="2:4">
      <c r="B46" s="779" t="s">
        <v>1310</v>
      </c>
      <c r="C46" s="777">
        <v>1.1029326000000002</v>
      </c>
      <c r="D46">
        <v>3</v>
      </c>
    </row>
    <row r="47" spans="2:4">
      <c r="B47" s="779" t="s">
        <v>1290</v>
      </c>
      <c r="C47" s="777">
        <v>3.4480719999999999E-2</v>
      </c>
      <c r="D47">
        <v>2</v>
      </c>
    </row>
    <row r="48" spans="2:4">
      <c r="B48" s="779" t="s">
        <v>236</v>
      </c>
      <c r="C48" s="777">
        <v>1.6715654198767502</v>
      </c>
      <c r="D48">
        <v>2</v>
      </c>
    </row>
    <row r="49" spans="2:4">
      <c r="B49" s="779" t="s">
        <v>1363</v>
      </c>
      <c r="C49" s="777">
        <v>5.7016733640155991E-2</v>
      </c>
      <c r="D49">
        <v>7</v>
      </c>
    </row>
    <row r="50" spans="2:4">
      <c r="B50" s="779" t="s">
        <v>1380</v>
      </c>
      <c r="C50" s="777">
        <v>2.2209192210743994E-2</v>
      </c>
      <c r="D50">
        <v>1</v>
      </c>
    </row>
    <row r="51" spans="2:4">
      <c r="B51" s="779" t="s">
        <v>1446</v>
      </c>
      <c r="D51">
        <v>2</v>
      </c>
    </row>
    <row r="52" spans="2:4">
      <c r="B52" s="776" t="s">
        <v>1335</v>
      </c>
      <c r="C52" s="777">
        <v>22.676495080017759</v>
      </c>
      <c r="D52">
        <v>18</v>
      </c>
    </row>
    <row r="53" spans="2:4">
      <c r="B53" s="779" t="s">
        <v>1347</v>
      </c>
      <c r="C53" s="777">
        <v>3.6650000000000005</v>
      </c>
      <c r="D53">
        <v>3</v>
      </c>
    </row>
    <row r="54" spans="2:4">
      <c r="B54" s="779" t="s">
        <v>1392</v>
      </c>
      <c r="C54" s="777"/>
      <c r="D54">
        <v>3</v>
      </c>
    </row>
    <row r="55" spans="2:4">
      <c r="B55" s="779" t="s">
        <v>1358</v>
      </c>
      <c r="C55" s="777">
        <v>2.184224765452226</v>
      </c>
      <c r="D55">
        <v>3</v>
      </c>
    </row>
    <row r="56" spans="2:4">
      <c r="B56" s="779" t="s">
        <v>236</v>
      </c>
      <c r="C56" s="777">
        <v>15.802074948250002</v>
      </c>
      <c r="D56">
        <v>3</v>
      </c>
    </row>
    <row r="57" spans="2:4">
      <c r="B57" s="779" t="s">
        <v>1363</v>
      </c>
      <c r="C57" s="777">
        <v>0.52044099788952736</v>
      </c>
      <c r="D57">
        <v>4</v>
      </c>
    </row>
    <row r="58" spans="2:4">
      <c r="B58" s="779" t="s">
        <v>1380</v>
      </c>
      <c r="C58" s="777">
        <v>0.50475436842599997</v>
      </c>
      <c r="D58">
        <v>2</v>
      </c>
    </row>
    <row r="59" spans="2:4">
      <c r="B59" s="776" t="s">
        <v>441</v>
      </c>
      <c r="C59" s="777">
        <v>10.97739812810644</v>
      </c>
      <c r="D59">
        <v>82</v>
      </c>
    </row>
    <row r="60" spans="2:4">
      <c r="B60" s="779" t="s">
        <v>891</v>
      </c>
      <c r="C60" s="777">
        <v>0.29138321605729173</v>
      </c>
      <c r="D60">
        <v>7</v>
      </c>
    </row>
    <row r="61" spans="2:4">
      <c r="B61" s="779" t="s">
        <v>893</v>
      </c>
      <c r="C61" s="777">
        <v>0.16750548359999998</v>
      </c>
      <c r="D61">
        <v>2</v>
      </c>
    </row>
    <row r="62" spans="2:4">
      <c r="B62" s="779" t="s">
        <v>1402</v>
      </c>
      <c r="C62" s="777">
        <v>1.0047028</v>
      </c>
      <c r="D62">
        <v>3</v>
      </c>
    </row>
    <row r="63" spans="2:4">
      <c r="B63" s="779" t="s">
        <v>252</v>
      </c>
      <c r="C63" s="777">
        <v>3.6853334887931043E-2</v>
      </c>
      <c r="D63">
        <v>1</v>
      </c>
    </row>
    <row r="64" spans="2:4">
      <c r="B64" s="779" t="s">
        <v>1347</v>
      </c>
      <c r="C64" s="777">
        <v>0.30266999999999999</v>
      </c>
      <c r="D64">
        <v>2</v>
      </c>
    </row>
    <row r="65" spans="2:4">
      <c r="B65" s="779" t="s">
        <v>497</v>
      </c>
      <c r="C65" s="777">
        <v>0.1</v>
      </c>
      <c r="D65">
        <v>2</v>
      </c>
    </row>
    <row r="66" spans="2:4">
      <c r="B66" s="779" t="s">
        <v>899</v>
      </c>
      <c r="C66" s="777">
        <v>0.02</v>
      </c>
      <c r="D66">
        <v>1</v>
      </c>
    </row>
    <row r="67" spans="2:4">
      <c r="B67" s="779" t="s">
        <v>1137</v>
      </c>
      <c r="C67" s="777">
        <v>6.7122779915E-2</v>
      </c>
      <c r="D67">
        <v>3</v>
      </c>
    </row>
    <row r="68" spans="2:4">
      <c r="B68" s="779" t="s">
        <v>1299</v>
      </c>
      <c r="C68" s="777">
        <v>1.2952557286377333</v>
      </c>
      <c r="D68">
        <v>3</v>
      </c>
    </row>
    <row r="69" spans="2:4">
      <c r="B69" s="779" t="s">
        <v>1392</v>
      </c>
      <c r="C69" s="777"/>
      <c r="D69">
        <v>2</v>
      </c>
    </row>
    <row r="70" spans="2:4">
      <c r="B70" s="779" t="s">
        <v>502</v>
      </c>
      <c r="C70" s="777">
        <v>1.7955720160000004E-2</v>
      </c>
      <c r="D70">
        <v>1</v>
      </c>
    </row>
    <row r="71" spans="2:4">
      <c r="B71" s="779" t="s">
        <v>225</v>
      </c>
      <c r="C71" s="777">
        <v>2.9700000000000001E-2</v>
      </c>
      <c r="D71">
        <v>3</v>
      </c>
    </row>
    <row r="72" spans="2:4">
      <c r="B72" s="779" t="s">
        <v>229</v>
      </c>
      <c r="C72" s="777">
        <v>0.1253475</v>
      </c>
      <c r="D72">
        <v>4</v>
      </c>
    </row>
    <row r="73" spans="2:4">
      <c r="B73" s="779" t="s">
        <v>1273</v>
      </c>
      <c r="C73" s="777">
        <v>0.1593</v>
      </c>
      <c r="D73">
        <v>3</v>
      </c>
    </row>
    <row r="74" spans="2:4">
      <c r="B74" s="779" t="s">
        <v>498</v>
      </c>
      <c r="C74" s="777">
        <v>2.2626515519999998E-2</v>
      </c>
      <c r="D74">
        <v>1</v>
      </c>
    </row>
    <row r="75" spans="2:4">
      <c r="B75" s="779" t="s">
        <v>1399</v>
      </c>
      <c r="C75" s="777">
        <v>1.1274508799999999E-2</v>
      </c>
      <c r="D75">
        <v>2</v>
      </c>
    </row>
    <row r="76" spans="2:4">
      <c r="B76" s="779" t="s">
        <v>901</v>
      </c>
      <c r="C76" s="777">
        <v>0.04</v>
      </c>
      <c r="D76">
        <v>1</v>
      </c>
    </row>
    <row r="77" spans="2:4">
      <c r="B77" s="779" t="s">
        <v>902</v>
      </c>
      <c r="C77" s="777">
        <v>9.5579999999999998E-2</v>
      </c>
      <c r="D77">
        <v>2</v>
      </c>
    </row>
    <row r="78" spans="2:4">
      <c r="B78" s="779" t="s">
        <v>894</v>
      </c>
      <c r="C78" s="777">
        <v>0.36109150000000001</v>
      </c>
      <c r="D78">
        <v>2</v>
      </c>
    </row>
    <row r="79" spans="2:4">
      <c r="B79" s="779" t="s">
        <v>469</v>
      </c>
      <c r="C79" s="777">
        <v>0.65547999999999995</v>
      </c>
      <c r="D79">
        <v>9</v>
      </c>
    </row>
    <row r="80" spans="2:4">
      <c r="B80" s="779" t="s">
        <v>903</v>
      </c>
      <c r="C80" s="777">
        <v>2.1397857699999998E-2</v>
      </c>
      <c r="D80">
        <v>2</v>
      </c>
    </row>
    <row r="81" spans="2:4">
      <c r="B81" s="779" t="s">
        <v>1358</v>
      </c>
      <c r="C81" s="777">
        <v>0.33452961956274241</v>
      </c>
      <c r="D81">
        <v>4</v>
      </c>
    </row>
    <row r="82" spans="2:4">
      <c r="B82" s="779" t="s">
        <v>1330</v>
      </c>
      <c r="C82" s="777">
        <v>0.43475642700000006</v>
      </c>
      <c r="D82">
        <v>3</v>
      </c>
    </row>
    <row r="83" spans="2:4">
      <c r="B83" s="779" t="s">
        <v>1321</v>
      </c>
      <c r="C83" s="777">
        <v>1.3042692810000003</v>
      </c>
      <c r="D83">
        <v>3</v>
      </c>
    </row>
    <row r="84" spans="2:4">
      <c r="B84" s="779" t="s">
        <v>1310</v>
      </c>
      <c r="C84" s="777">
        <v>1.6902084000000004</v>
      </c>
      <c r="D84">
        <v>4</v>
      </c>
    </row>
    <row r="85" spans="2:4">
      <c r="B85" s="779" t="s">
        <v>1290</v>
      </c>
      <c r="C85" s="777">
        <v>3.9179040000000005E-2</v>
      </c>
      <c r="D85">
        <v>2</v>
      </c>
    </row>
    <row r="86" spans="2:4">
      <c r="B86" s="779" t="s">
        <v>236</v>
      </c>
      <c r="C86" s="777">
        <v>2.2417648438935003</v>
      </c>
      <c r="D86">
        <v>2</v>
      </c>
    </row>
    <row r="87" spans="2:4">
      <c r="B87" s="779" t="s">
        <v>1363</v>
      </c>
      <c r="C87" s="777">
        <v>8.7589899547485806E-2</v>
      </c>
      <c r="D87">
        <v>5</v>
      </c>
    </row>
    <row r="88" spans="2:4">
      <c r="B88" s="779" t="s">
        <v>1380</v>
      </c>
      <c r="C88" s="777">
        <v>1.9853671824755996E-2</v>
      </c>
      <c r="D88">
        <v>1</v>
      </c>
    </row>
    <row r="89" spans="2:4">
      <c r="B89" s="779" t="s">
        <v>1446</v>
      </c>
      <c r="D89">
        <v>2</v>
      </c>
    </row>
    <row r="90" spans="2:4">
      <c r="B90" s="658" t="s">
        <v>1236</v>
      </c>
      <c r="C90" s="777">
        <v>1.4242604669999996</v>
      </c>
      <c r="D90">
        <v>20</v>
      </c>
    </row>
    <row r="91" spans="2:4">
      <c r="B91" s="776" t="s">
        <v>159</v>
      </c>
      <c r="C91" s="777">
        <v>1.1731323419999999</v>
      </c>
      <c r="D91">
        <v>12</v>
      </c>
    </row>
    <row r="92" spans="2:4">
      <c r="B92" s="779" t="s">
        <v>918</v>
      </c>
      <c r="C92" s="777">
        <v>4.0000000000000001E-3</v>
      </c>
      <c r="D92">
        <v>4</v>
      </c>
    </row>
    <row r="93" spans="2:4">
      <c r="B93" s="779" t="s">
        <v>612</v>
      </c>
      <c r="C93" s="777">
        <v>1.0156737499999999</v>
      </c>
      <c r="D93">
        <v>5</v>
      </c>
    </row>
    <row r="94" spans="2:4">
      <c r="B94" s="779" t="s">
        <v>1399</v>
      </c>
      <c r="C94" s="777">
        <v>0.153458592</v>
      </c>
      <c r="D94">
        <v>3</v>
      </c>
    </row>
    <row r="95" spans="2:4">
      <c r="B95" s="776" t="s">
        <v>860</v>
      </c>
      <c r="C95" s="777">
        <v>4.7993374999999998E-2</v>
      </c>
      <c r="D95">
        <v>3</v>
      </c>
    </row>
    <row r="96" spans="2:4">
      <c r="B96" s="779" t="s">
        <v>612</v>
      </c>
      <c r="C96" s="777">
        <v>4.7993374999999998E-2</v>
      </c>
      <c r="D96">
        <v>3</v>
      </c>
    </row>
    <row r="97" spans="2:4">
      <c r="B97" s="776" t="s">
        <v>441</v>
      </c>
      <c r="C97" s="777">
        <v>6.0270749999999998E-2</v>
      </c>
      <c r="D97">
        <v>3</v>
      </c>
    </row>
    <row r="98" spans="2:4">
      <c r="B98" s="779" t="s">
        <v>612</v>
      </c>
      <c r="C98" s="777">
        <v>6.0270749999999998E-2</v>
      </c>
      <c r="D98">
        <v>3</v>
      </c>
    </row>
    <row r="99" spans="2:4">
      <c r="B99" s="776" t="s">
        <v>518</v>
      </c>
      <c r="C99" s="777">
        <v>0.14286399999999999</v>
      </c>
      <c r="D99">
        <v>2</v>
      </c>
    </row>
    <row r="100" spans="2:4">
      <c r="B100" s="779" t="s">
        <v>612</v>
      </c>
      <c r="C100" s="777">
        <v>0.14286399999999999</v>
      </c>
      <c r="D100">
        <v>2</v>
      </c>
    </row>
    <row r="101" spans="2:4">
      <c r="B101" s="658" t="s">
        <v>664</v>
      </c>
      <c r="C101" s="777">
        <v>40.849486429549593</v>
      </c>
      <c r="D101">
        <v>31</v>
      </c>
    </row>
    <row r="102" spans="2:4">
      <c r="B102" s="776" t="s">
        <v>159</v>
      </c>
      <c r="C102" s="777">
        <v>37.516986429549604</v>
      </c>
      <c r="D102">
        <v>24</v>
      </c>
    </row>
    <row r="103" spans="2:4">
      <c r="B103" s="779" t="s">
        <v>893</v>
      </c>
      <c r="C103" s="777">
        <v>0.3642147722995997</v>
      </c>
      <c r="D103">
        <v>3</v>
      </c>
    </row>
    <row r="104" spans="2:4">
      <c r="B104" s="779" t="s">
        <v>1402</v>
      </c>
      <c r="C104" s="777">
        <v>8.2774750000000008</v>
      </c>
      <c r="D104">
        <v>3</v>
      </c>
    </row>
    <row r="105" spans="2:4">
      <c r="B105" s="779" t="s">
        <v>497</v>
      </c>
      <c r="C105" s="777">
        <v>1.1499999999999999</v>
      </c>
      <c r="D105">
        <v>2</v>
      </c>
    </row>
    <row r="106" spans="2:4">
      <c r="B106" s="779" t="s">
        <v>1392</v>
      </c>
      <c r="C106" s="777"/>
      <c r="D106">
        <v>3</v>
      </c>
    </row>
    <row r="107" spans="2:4">
      <c r="B107" s="779" t="s">
        <v>1330</v>
      </c>
      <c r="C107" s="777">
        <v>5.5265647500000004</v>
      </c>
      <c r="D107">
        <v>5</v>
      </c>
    </row>
    <row r="108" spans="2:4">
      <c r="B108" s="779" t="s">
        <v>1321</v>
      </c>
      <c r="C108" s="777">
        <v>16.579694250000003</v>
      </c>
      <c r="D108">
        <v>5</v>
      </c>
    </row>
    <row r="109" spans="2:4">
      <c r="B109" s="779" t="s">
        <v>236</v>
      </c>
      <c r="C109" s="777">
        <v>5.6190376572499998</v>
      </c>
      <c r="D109">
        <v>3</v>
      </c>
    </row>
    <row r="110" spans="2:4">
      <c r="B110" s="776" t="s">
        <v>1335</v>
      </c>
      <c r="C110" s="777">
        <v>3.3325</v>
      </c>
      <c r="D110">
        <v>7</v>
      </c>
    </row>
    <row r="111" spans="2:4">
      <c r="B111" s="779" t="s">
        <v>1273</v>
      </c>
      <c r="C111" s="777">
        <v>3.3325</v>
      </c>
      <c r="D111">
        <v>7</v>
      </c>
    </row>
    <row r="112" spans="2:4">
      <c r="B112" s="658" t="s">
        <v>1159</v>
      </c>
      <c r="C112" s="777">
        <v>15.932359073197466</v>
      </c>
      <c r="D112">
        <v>49</v>
      </c>
    </row>
    <row r="113" spans="2:4">
      <c r="B113" s="776" t="s">
        <v>159</v>
      </c>
      <c r="C113" s="777">
        <v>15.932359073197466</v>
      </c>
      <c r="D113">
        <v>49</v>
      </c>
    </row>
    <row r="114" spans="2:4">
      <c r="B114" s="779" t="s">
        <v>1402</v>
      </c>
      <c r="C114" s="777">
        <v>0.25712500000000005</v>
      </c>
      <c r="D114">
        <v>3</v>
      </c>
    </row>
    <row r="115" spans="2:4">
      <c r="B115" s="779" t="s">
        <v>1382</v>
      </c>
      <c r="C115" s="777">
        <v>1.6141000000000003</v>
      </c>
      <c r="D115">
        <v>1</v>
      </c>
    </row>
    <row r="116" spans="2:4">
      <c r="B116" s="779" t="s">
        <v>252</v>
      </c>
      <c r="C116" s="777">
        <v>5.7305795176560004</v>
      </c>
      <c r="D116">
        <v>11</v>
      </c>
    </row>
    <row r="117" spans="2:4">
      <c r="B117" s="779" t="s">
        <v>1347</v>
      </c>
      <c r="C117" s="777">
        <v>0.30500000000000005</v>
      </c>
      <c r="D117">
        <v>1</v>
      </c>
    </row>
    <row r="118" spans="2:4">
      <c r="B118" s="779" t="s">
        <v>502</v>
      </c>
      <c r="C118" s="777">
        <v>0.38041780000000003</v>
      </c>
      <c r="D118">
        <v>2</v>
      </c>
    </row>
    <row r="119" spans="2:4">
      <c r="B119" s="779" t="s">
        <v>1273</v>
      </c>
      <c r="C119" s="777">
        <v>0.28500000000000003</v>
      </c>
      <c r="D119">
        <v>3</v>
      </c>
    </row>
    <row r="120" spans="2:4">
      <c r="B120" s="779" t="s">
        <v>902</v>
      </c>
      <c r="C120" s="777">
        <v>0.16999999999999998</v>
      </c>
      <c r="D120">
        <v>2</v>
      </c>
    </row>
    <row r="121" spans="2:4">
      <c r="B121" s="779" t="s">
        <v>903</v>
      </c>
      <c r="C121" s="777">
        <v>0.72823846611302523</v>
      </c>
      <c r="D121">
        <v>7</v>
      </c>
    </row>
    <row r="122" spans="2:4">
      <c r="B122" s="779" t="s">
        <v>1358</v>
      </c>
      <c r="C122" s="777">
        <v>2.8349967759554442</v>
      </c>
      <c r="D122">
        <v>4</v>
      </c>
    </row>
    <row r="123" spans="2:4">
      <c r="B123" s="779" t="s">
        <v>1310</v>
      </c>
      <c r="C123" s="777">
        <v>0.92385000000000017</v>
      </c>
      <c r="D123">
        <v>3</v>
      </c>
    </row>
    <row r="124" spans="2:4">
      <c r="B124" s="779" t="s">
        <v>1290</v>
      </c>
      <c r="C124" s="777">
        <v>0.61820000000000008</v>
      </c>
      <c r="D124">
        <v>3</v>
      </c>
    </row>
    <row r="125" spans="2:4">
      <c r="B125" s="779" t="s">
        <v>162</v>
      </c>
      <c r="C125" s="777">
        <v>1.547754763030085</v>
      </c>
      <c r="D125">
        <v>4</v>
      </c>
    </row>
    <row r="126" spans="2:4">
      <c r="B126" s="779" t="s">
        <v>1363</v>
      </c>
      <c r="C126" s="777">
        <v>0.53709675044290905</v>
      </c>
      <c r="D126">
        <v>2</v>
      </c>
    </row>
    <row r="127" spans="2:4">
      <c r="B127" s="779" t="s">
        <v>1446</v>
      </c>
      <c r="D127">
        <v>3</v>
      </c>
    </row>
    <row r="128" spans="2:4">
      <c r="B128" s="658" t="s">
        <v>56</v>
      </c>
      <c r="C128" s="777">
        <v>29.565205943261784</v>
      </c>
      <c r="D128">
        <v>125</v>
      </c>
    </row>
    <row r="129" spans="2:4">
      <c r="B129" s="776" t="s">
        <v>518</v>
      </c>
      <c r="C129" s="777">
        <v>29.565205943261784</v>
      </c>
      <c r="D129">
        <v>125</v>
      </c>
    </row>
    <row r="130" spans="2:4">
      <c r="B130" s="779" t="s">
        <v>891</v>
      </c>
      <c r="C130" s="777">
        <v>0.36097818730095005</v>
      </c>
      <c r="D130">
        <v>19</v>
      </c>
    </row>
    <row r="131" spans="2:4">
      <c r="B131" s="779" t="s">
        <v>893</v>
      </c>
      <c r="C131" s="777">
        <v>0.8012391689004752</v>
      </c>
      <c r="D131">
        <v>5</v>
      </c>
    </row>
    <row r="132" spans="2:4">
      <c r="B132" s="779" t="s">
        <v>1402</v>
      </c>
      <c r="C132" s="777">
        <v>2.5364152</v>
      </c>
      <c r="D132">
        <v>2</v>
      </c>
    </row>
    <row r="133" spans="2:4">
      <c r="B133" s="779" t="s">
        <v>252</v>
      </c>
      <c r="C133" s="777">
        <v>2.1217771248000008</v>
      </c>
      <c r="D133">
        <v>19</v>
      </c>
    </row>
    <row r="134" spans="2:4">
      <c r="B134" s="779" t="s">
        <v>1347</v>
      </c>
      <c r="C134" s="777">
        <v>0.36252000000000001</v>
      </c>
      <c r="D134">
        <v>1</v>
      </c>
    </row>
    <row r="135" spans="2:4">
      <c r="B135" s="779" t="s">
        <v>497</v>
      </c>
      <c r="C135" s="777">
        <v>0.19</v>
      </c>
      <c r="D135">
        <v>1</v>
      </c>
    </row>
    <row r="136" spans="2:4">
      <c r="B136" s="779" t="s">
        <v>918</v>
      </c>
      <c r="C136" s="777">
        <v>8.0000000000000004E-4</v>
      </c>
      <c r="D136">
        <v>1</v>
      </c>
    </row>
    <row r="137" spans="2:4">
      <c r="B137" s="779" t="s">
        <v>897</v>
      </c>
      <c r="C137" s="777">
        <v>2.3823562255988601E-2</v>
      </c>
      <c r="D137">
        <v>2</v>
      </c>
    </row>
    <row r="138" spans="2:4">
      <c r="B138" s="779" t="s">
        <v>899</v>
      </c>
      <c r="C138" s="777">
        <v>0.71000000000000008</v>
      </c>
      <c r="D138">
        <v>8</v>
      </c>
    </row>
    <row r="139" spans="2:4">
      <c r="B139" s="779" t="s">
        <v>1137</v>
      </c>
      <c r="C139" s="777">
        <v>0.28480034280014982</v>
      </c>
      <c r="D139">
        <v>4</v>
      </c>
    </row>
    <row r="140" spans="2:4">
      <c r="B140" s="779" t="s">
        <v>1299</v>
      </c>
      <c r="C140" s="777">
        <v>3.257897459827789</v>
      </c>
      <c r="D140">
        <v>2</v>
      </c>
    </row>
    <row r="141" spans="2:4">
      <c r="B141" s="779" t="s">
        <v>1281</v>
      </c>
      <c r="C141" s="777">
        <v>0.04</v>
      </c>
      <c r="D141">
        <v>1</v>
      </c>
    </row>
    <row r="142" spans="2:4">
      <c r="B142" s="779" t="s">
        <v>1392</v>
      </c>
      <c r="C142" s="777"/>
      <c r="D142">
        <v>1</v>
      </c>
    </row>
    <row r="143" spans="2:4">
      <c r="B143" s="779" t="s">
        <v>502</v>
      </c>
      <c r="C143" s="777">
        <v>6.4518858880000002E-2</v>
      </c>
      <c r="D143">
        <v>1</v>
      </c>
    </row>
    <row r="144" spans="2:4">
      <c r="B144" s="779" t="s">
        <v>225</v>
      </c>
      <c r="C144" s="777">
        <v>8.6400000000000005E-2</v>
      </c>
      <c r="D144">
        <v>3</v>
      </c>
    </row>
    <row r="145" spans="2:4">
      <c r="B145" s="779" t="s">
        <v>229</v>
      </c>
      <c r="C145" s="777">
        <v>0.22284000000000001</v>
      </c>
      <c r="D145">
        <v>3</v>
      </c>
    </row>
    <row r="146" spans="2:4">
      <c r="B146" s="779" t="s">
        <v>1273</v>
      </c>
      <c r="C146" s="777">
        <v>0.63240000000000007</v>
      </c>
      <c r="D146">
        <v>4</v>
      </c>
    </row>
    <row r="147" spans="2:4">
      <c r="B147" s="779" t="s">
        <v>498</v>
      </c>
      <c r="C147" s="777">
        <v>8.0449832960000009E-2</v>
      </c>
      <c r="D147">
        <v>1</v>
      </c>
    </row>
    <row r="148" spans="2:4">
      <c r="B148" s="779" t="s">
        <v>1399</v>
      </c>
      <c r="C148" s="777">
        <v>2.0043571200000002E-2</v>
      </c>
      <c r="D148">
        <v>1</v>
      </c>
    </row>
    <row r="149" spans="2:4">
      <c r="B149" s="779" t="s">
        <v>901</v>
      </c>
      <c r="C149" s="777">
        <v>0.30000000000000004</v>
      </c>
      <c r="D149">
        <v>4</v>
      </c>
    </row>
    <row r="150" spans="2:4">
      <c r="B150" s="779" t="s">
        <v>902</v>
      </c>
      <c r="C150" s="777">
        <v>0.17172000000000001</v>
      </c>
      <c r="D150">
        <v>1</v>
      </c>
    </row>
    <row r="151" spans="2:4">
      <c r="B151" s="779" t="s">
        <v>894</v>
      </c>
      <c r="C151" s="777">
        <v>0.36</v>
      </c>
      <c r="D151">
        <v>3</v>
      </c>
    </row>
    <row r="152" spans="2:4">
      <c r="B152" s="779" t="s">
        <v>469</v>
      </c>
      <c r="C152" s="777">
        <v>2.1</v>
      </c>
      <c r="D152">
        <v>8</v>
      </c>
    </row>
    <row r="153" spans="2:4">
      <c r="B153" s="779" t="s">
        <v>903</v>
      </c>
      <c r="C153" s="777">
        <v>0.34545700083561953</v>
      </c>
      <c r="D153">
        <v>6</v>
      </c>
    </row>
    <row r="154" spans="2:4">
      <c r="B154" s="779" t="s">
        <v>1358</v>
      </c>
      <c r="C154" s="777">
        <v>0.80135908867007233</v>
      </c>
      <c r="D154">
        <v>3</v>
      </c>
    </row>
    <row r="155" spans="2:4">
      <c r="B155" s="779" t="s">
        <v>1330</v>
      </c>
      <c r="C155" s="777">
        <v>1.041450424</v>
      </c>
      <c r="D155">
        <v>2</v>
      </c>
    </row>
    <row r="156" spans="2:4">
      <c r="B156" s="779" t="s">
        <v>1321</v>
      </c>
      <c r="C156" s="777">
        <v>3.1243512720000002</v>
      </c>
      <c r="D156">
        <v>2</v>
      </c>
    </row>
    <row r="157" spans="2:4">
      <c r="B157" s="779" t="s">
        <v>1310</v>
      </c>
      <c r="C157" s="777">
        <v>4.0488608000000008</v>
      </c>
      <c r="D157">
        <v>3</v>
      </c>
    </row>
    <row r="158" spans="2:4">
      <c r="B158" s="779" t="s">
        <v>1290</v>
      </c>
      <c r="C158" s="777">
        <v>7.8635040000000003E-2</v>
      </c>
      <c r="D158">
        <v>1</v>
      </c>
    </row>
    <row r="159" spans="2:4">
      <c r="B159" s="779" t="s">
        <v>162</v>
      </c>
      <c r="C159" s="777">
        <v>1.005255014743917</v>
      </c>
      <c r="D159">
        <v>4</v>
      </c>
    </row>
    <row r="160" spans="2:4">
      <c r="B160" s="779" t="s">
        <v>236</v>
      </c>
      <c r="C160" s="777">
        <v>4.0201798335435006</v>
      </c>
      <c r="D160">
        <v>1</v>
      </c>
    </row>
    <row r="161" spans="2:4">
      <c r="B161" s="779" t="s">
        <v>1363</v>
      </c>
      <c r="C161" s="777">
        <v>0.29969554313912505</v>
      </c>
      <c r="D161">
        <v>6</v>
      </c>
    </row>
    <row r="162" spans="2:4">
      <c r="B162" s="779" t="s">
        <v>1380</v>
      </c>
      <c r="C162" s="777">
        <v>7.133861740420798E-2</v>
      </c>
      <c r="D162">
        <v>1</v>
      </c>
    </row>
    <row r="163" spans="2:4">
      <c r="B163" s="779" t="s">
        <v>1446</v>
      </c>
      <c r="D163">
        <v>1</v>
      </c>
    </row>
    <row r="164" spans="2:4">
      <c r="B164" s="658" t="s">
        <v>950</v>
      </c>
      <c r="C164" s="777">
        <v>37.79990571998097</v>
      </c>
      <c r="D164">
        <v>46</v>
      </c>
    </row>
    <row r="165" spans="2:4">
      <c r="B165" s="776" t="s">
        <v>159</v>
      </c>
      <c r="C165" s="777">
        <v>35.595497719980969</v>
      </c>
      <c r="D165">
        <v>45</v>
      </c>
    </row>
    <row r="166" spans="2:4">
      <c r="B166" s="779" t="s">
        <v>891</v>
      </c>
      <c r="C166" s="777">
        <v>1.9207477199809744</v>
      </c>
      <c r="D166">
        <v>18</v>
      </c>
    </row>
    <row r="167" spans="2:4">
      <c r="B167" s="779" t="s">
        <v>894</v>
      </c>
      <c r="C167" s="777">
        <v>3.3658999999999999</v>
      </c>
      <c r="D167">
        <v>8</v>
      </c>
    </row>
    <row r="168" spans="2:4">
      <c r="B168" s="779" t="s">
        <v>469</v>
      </c>
      <c r="C168" s="777">
        <v>5.9438499999999976</v>
      </c>
      <c r="D168">
        <v>17</v>
      </c>
    </row>
    <row r="169" spans="2:4">
      <c r="B169" s="779" t="s">
        <v>1388</v>
      </c>
      <c r="C169" s="777">
        <v>5.9650000000000007</v>
      </c>
      <c r="D169">
        <v>1</v>
      </c>
    </row>
    <row r="170" spans="2:4">
      <c r="B170" s="779" t="s">
        <v>507</v>
      </c>
      <c r="C170" s="777">
        <v>18.399999999999999</v>
      </c>
      <c r="D170">
        <v>1</v>
      </c>
    </row>
    <row r="171" spans="2:4">
      <c r="B171" s="776" t="s">
        <v>617</v>
      </c>
      <c r="C171">
        <v>2.2044079999999999</v>
      </c>
      <c r="D171">
        <v>1</v>
      </c>
    </row>
    <row r="172" spans="2:4">
      <c r="B172" s="779" t="s">
        <v>1862</v>
      </c>
      <c r="C172">
        <v>2.2044079999999999</v>
      </c>
      <c r="D172">
        <v>1</v>
      </c>
    </row>
    <row r="173" spans="2:4">
      <c r="B173" s="658" t="s">
        <v>1863</v>
      </c>
      <c r="D173">
        <v>12</v>
      </c>
    </row>
    <row r="174" spans="2:4">
      <c r="B174" s="776" t="s">
        <v>617</v>
      </c>
      <c r="D174">
        <v>12</v>
      </c>
    </row>
    <row r="175" spans="2:4">
      <c r="B175" s="779" t="s">
        <v>1862</v>
      </c>
      <c r="D175">
        <v>1</v>
      </c>
    </row>
    <row r="176" spans="2:4">
      <c r="B176" s="779" t="s">
        <v>627</v>
      </c>
      <c r="D176">
        <v>7</v>
      </c>
    </row>
    <row r="177" spans="2:4">
      <c r="B177" s="779" t="s">
        <v>1864</v>
      </c>
      <c r="D177">
        <v>3</v>
      </c>
    </row>
    <row r="178" spans="2:4">
      <c r="B178" s="779" t="s">
        <v>1865</v>
      </c>
      <c r="D178">
        <v>1</v>
      </c>
    </row>
    <row r="179" spans="2:4">
      <c r="B179" s="658" t="s">
        <v>144</v>
      </c>
      <c r="C179">
        <v>1.093072</v>
      </c>
      <c r="D179">
        <v>7</v>
      </c>
    </row>
    <row r="180" spans="2:4">
      <c r="B180" s="776" t="s">
        <v>617</v>
      </c>
      <c r="C180">
        <v>1.093072</v>
      </c>
      <c r="D180">
        <v>7</v>
      </c>
    </row>
    <row r="181" spans="2:4">
      <c r="B181" s="779" t="s">
        <v>510</v>
      </c>
      <c r="D181">
        <v>4</v>
      </c>
    </row>
    <row r="182" spans="2:4">
      <c r="B182" s="779" t="s">
        <v>1862</v>
      </c>
      <c r="C182">
        <v>0.53307199999999999</v>
      </c>
      <c r="D182">
        <v>1</v>
      </c>
    </row>
    <row r="183" spans="2:4">
      <c r="B183" s="779" t="s">
        <v>1866</v>
      </c>
      <c r="C183">
        <v>0.56000000000000005</v>
      </c>
      <c r="D183">
        <v>1</v>
      </c>
    </row>
    <row r="184" spans="2:4">
      <c r="B184" s="779" t="s">
        <v>1834</v>
      </c>
      <c r="C184">
        <v>0</v>
      </c>
      <c r="D184">
        <v>1</v>
      </c>
    </row>
    <row r="185" spans="2:4">
      <c r="B185" s="658" t="s">
        <v>1867</v>
      </c>
      <c r="C185">
        <v>216.9113175104649</v>
      </c>
      <c r="D185">
        <v>512</v>
      </c>
    </row>
    <row r="193" spans="2:2">
      <c r="B193" t="s">
        <v>1364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50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1868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2"/>
      <c r="L2" s="418"/>
      <c r="M2" s="418"/>
      <c r="N2" s="418"/>
      <c r="O2" s="418"/>
      <c r="P2" s="418"/>
      <c r="Q2" s="418"/>
      <c r="R2" s="418"/>
      <c r="T2" s="752"/>
      <c r="V2" s="689">
        <f>SUBTOTAL(9,V6:V70)</f>
        <v>0</v>
      </c>
      <c r="W2" s="765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L3" s="376"/>
      <c r="M3" s="376"/>
      <c r="N3" s="376"/>
      <c r="O3" s="376"/>
      <c r="P3" s="376"/>
      <c r="Q3" s="376"/>
      <c r="R3" s="376"/>
      <c r="T3" s="752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T4" s="753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2"/>
      <c r="L5" s="376"/>
      <c r="M5" s="376"/>
      <c r="N5" s="376"/>
      <c r="O5" s="376"/>
      <c r="P5" s="376"/>
      <c r="Q5" s="376"/>
      <c r="R5" s="376"/>
      <c r="T5" s="752"/>
      <c r="V5" s="695"/>
      <c r="W5" s="696"/>
      <c r="X5" s="610"/>
      <c r="Y5" s="610"/>
      <c r="Z5" s="610"/>
      <c r="AA5" s="610"/>
    </row>
    <row r="6" spans="1:27" ht="15">
      <c r="A6" s="376"/>
      <c r="B6" s="430" t="s">
        <v>945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2"/>
      <c r="L6" s="430"/>
      <c r="M6" s="430"/>
      <c r="N6" s="430"/>
      <c r="O6" s="430"/>
      <c r="P6" s="430"/>
      <c r="Q6" s="430"/>
      <c r="R6" s="430"/>
      <c r="T6" s="752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2"/>
      <c r="L7" s="376"/>
      <c r="M7" s="376"/>
      <c r="N7" s="376"/>
      <c r="O7" s="376"/>
      <c r="P7" s="376"/>
      <c r="Q7" s="376"/>
      <c r="R7" s="376"/>
      <c r="T7" s="752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899</v>
      </c>
      <c r="C8" s="665" t="s">
        <v>1107</v>
      </c>
      <c r="D8" s="665"/>
      <c r="E8" s="665"/>
      <c r="F8" s="681" t="s">
        <v>947</v>
      </c>
      <c r="G8" s="701">
        <f>SUBTOTAL(9,G9:G20)</f>
        <v>1.9100000000000001</v>
      </c>
      <c r="H8" s="702">
        <f>SUBTOTAL(9,H9:H20)</f>
        <v>11</v>
      </c>
      <c r="I8" s="627"/>
      <c r="J8" s="754"/>
      <c r="L8" s="665"/>
      <c r="M8" s="665"/>
      <c r="N8" s="665"/>
      <c r="O8" s="665"/>
      <c r="P8" s="665"/>
      <c r="Q8" s="665"/>
      <c r="R8" s="665"/>
      <c r="T8" s="754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899</v>
      </c>
      <c r="C9" s="684" t="s">
        <v>1107</v>
      </c>
      <c r="D9" s="684" t="s">
        <v>159</v>
      </c>
      <c r="E9" s="684"/>
      <c r="F9" s="685" t="s">
        <v>1022</v>
      </c>
      <c r="G9" s="713">
        <f>SUBTOTAL(9,G10:G20)</f>
        <v>1.9100000000000001</v>
      </c>
      <c r="H9" s="714">
        <f>SUBTOTAL(9,H10:H20)</f>
        <v>11</v>
      </c>
      <c r="I9" s="626"/>
      <c r="J9" s="752"/>
      <c r="L9" s="684"/>
      <c r="M9" s="684"/>
      <c r="N9" s="684"/>
      <c r="O9" s="684"/>
      <c r="P9" s="684"/>
      <c r="Q9" s="684"/>
      <c r="R9" s="684"/>
      <c r="T9" s="752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899</v>
      </c>
      <c r="C10" s="376" t="s">
        <v>1107</v>
      </c>
      <c r="D10" s="376" t="s">
        <v>159</v>
      </c>
      <c r="E10" s="376" t="s">
        <v>1100</v>
      </c>
      <c r="F10" s="608" t="s">
        <v>1869</v>
      </c>
      <c r="G10" s="695">
        <v>0.13</v>
      </c>
      <c r="H10" s="700">
        <v>1</v>
      </c>
      <c r="I10" s="626"/>
      <c r="J10" s="752"/>
      <c r="L10" s="376" t="s">
        <v>1100</v>
      </c>
      <c r="M10" s="376" t="s">
        <v>1090</v>
      </c>
      <c r="N10" s="376" t="s">
        <v>1110</v>
      </c>
      <c r="O10" s="376" t="s">
        <v>1111</v>
      </c>
      <c r="P10" s="376" t="s">
        <v>1112</v>
      </c>
      <c r="Q10" s="376"/>
      <c r="R10" s="376"/>
      <c r="T10" s="752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899</v>
      </c>
      <c r="C11" s="376" t="s">
        <v>1107</v>
      </c>
      <c r="D11" s="376" t="s">
        <v>159</v>
      </c>
      <c r="E11" s="376" t="s">
        <v>1100</v>
      </c>
      <c r="F11" s="608" t="s">
        <v>1109</v>
      </c>
      <c r="G11" s="609">
        <v>0.13</v>
      </c>
      <c r="H11" s="692">
        <v>1</v>
      </c>
      <c r="I11" s="626"/>
      <c r="J11" s="752"/>
      <c r="L11" s="376" t="s">
        <v>1100</v>
      </c>
      <c r="M11" s="376" t="s">
        <v>1090</v>
      </c>
      <c r="N11" s="376" t="s">
        <v>1110</v>
      </c>
      <c r="O11" s="376" t="s">
        <v>1111</v>
      </c>
      <c r="P11" s="376" t="s">
        <v>1112</v>
      </c>
      <c r="Q11" s="376"/>
      <c r="R11" s="376"/>
      <c r="T11" s="752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899</v>
      </c>
      <c r="C12" s="376" t="s">
        <v>1107</v>
      </c>
      <c r="D12" s="376" t="s">
        <v>159</v>
      </c>
      <c r="E12" s="376" t="s">
        <v>1100</v>
      </c>
      <c r="F12" s="608" t="s">
        <v>1113</v>
      </c>
      <c r="G12" s="695">
        <v>0.13</v>
      </c>
      <c r="H12" s="700">
        <v>1</v>
      </c>
      <c r="I12" s="626"/>
      <c r="J12" s="752"/>
      <c r="L12" s="376" t="s">
        <v>1100</v>
      </c>
      <c r="M12" s="376" t="s">
        <v>1090</v>
      </c>
      <c r="N12" s="376" t="s">
        <v>1110</v>
      </c>
      <c r="O12" s="376" t="s">
        <v>1111</v>
      </c>
      <c r="P12" s="376" t="s">
        <v>1112</v>
      </c>
      <c r="Q12" s="376"/>
      <c r="R12" s="376"/>
      <c r="T12" s="752"/>
      <c r="V12" s="609">
        <f t="shared" si="0"/>
        <v>0</v>
      </c>
      <c r="W12" s="700"/>
      <c r="X12" s="610"/>
      <c r="Y12" s="610"/>
      <c r="Z12" s="610"/>
    </row>
    <row r="13" spans="1:27" ht="26.45" outlineLevel="3">
      <c r="A13" s="376"/>
      <c r="B13" s="376" t="s">
        <v>899</v>
      </c>
      <c r="C13" s="376" t="s">
        <v>1107</v>
      </c>
      <c r="D13" s="376" t="s">
        <v>159</v>
      </c>
      <c r="E13" s="376" t="s">
        <v>1100</v>
      </c>
      <c r="F13" s="608" t="s">
        <v>1114</v>
      </c>
      <c r="G13" s="695">
        <v>0.22</v>
      </c>
      <c r="H13" s="700">
        <v>1</v>
      </c>
      <c r="I13" s="626"/>
      <c r="J13" s="752"/>
      <c r="L13" s="376" t="s">
        <v>1100</v>
      </c>
      <c r="M13" s="376" t="s">
        <v>1090</v>
      </c>
      <c r="N13" s="376" t="s">
        <v>1110</v>
      </c>
      <c r="O13" s="376" t="s">
        <v>1111</v>
      </c>
      <c r="P13" s="376" t="s">
        <v>1112</v>
      </c>
      <c r="Q13" s="376"/>
      <c r="R13" s="376"/>
      <c r="T13" s="752"/>
      <c r="V13" s="609">
        <f t="shared" si="0"/>
        <v>0</v>
      </c>
      <c r="W13" s="700"/>
      <c r="X13" s="610"/>
      <c r="Y13" s="610"/>
      <c r="Z13" s="610"/>
    </row>
    <row r="14" spans="1:27" ht="26.45" outlineLevel="3">
      <c r="A14" s="376"/>
      <c r="B14" s="376" t="s">
        <v>899</v>
      </c>
      <c r="C14" s="376" t="s">
        <v>1107</v>
      </c>
      <c r="D14" s="376" t="s">
        <v>159</v>
      </c>
      <c r="E14" s="376" t="s">
        <v>1100</v>
      </c>
      <c r="F14" s="608" t="s">
        <v>1115</v>
      </c>
      <c r="G14" s="695">
        <v>0.22</v>
      </c>
      <c r="H14" s="700">
        <v>1</v>
      </c>
      <c r="I14" s="626"/>
      <c r="J14" s="752"/>
      <c r="L14" s="376" t="s">
        <v>1100</v>
      </c>
      <c r="M14" s="376" t="s">
        <v>1090</v>
      </c>
      <c r="N14" s="376" t="s">
        <v>1110</v>
      </c>
      <c r="O14" s="376" t="s">
        <v>1111</v>
      </c>
      <c r="P14" s="376" t="s">
        <v>1112</v>
      </c>
      <c r="Q14" s="376"/>
      <c r="R14" s="376"/>
      <c r="T14" s="752"/>
      <c r="V14" s="609">
        <f t="shared" si="0"/>
        <v>0</v>
      </c>
      <c r="W14" s="700"/>
      <c r="X14" s="610"/>
      <c r="Y14" s="610"/>
      <c r="Z14" s="610"/>
    </row>
    <row r="15" spans="1:27" ht="26.45" outlineLevel="3">
      <c r="A15" s="376"/>
      <c r="B15" s="376" t="s">
        <v>899</v>
      </c>
      <c r="C15" s="376" t="s">
        <v>1107</v>
      </c>
      <c r="D15" s="376" t="s">
        <v>159</v>
      </c>
      <c r="E15" s="376" t="s">
        <v>1100</v>
      </c>
      <c r="F15" s="608" t="s">
        <v>1116</v>
      </c>
      <c r="G15" s="695">
        <v>0.22</v>
      </c>
      <c r="H15" s="700">
        <v>1</v>
      </c>
      <c r="I15" s="626"/>
      <c r="J15" s="752"/>
      <c r="L15" s="376" t="s">
        <v>1100</v>
      </c>
      <c r="M15" s="376" t="s">
        <v>1090</v>
      </c>
      <c r="N15" s="376" t="s">
        <v>1110</v>
      </c>
      <c r="O15" s="376" t="s">
        <v>1111</v>
      </c>
      <c r="P15" s="376" t="s">
        <v>1112</v>
      </c>
      <c r="Q15" s="376"/>
      <c r="R15" s="376"/>
      <c r="T15" s="752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899</v>
      </c>
      <c r="C16" s="376" t="s">
        <v>1107</v>
      </c>
      <c r="D16" s="376" t="s">
        <v>159</v>
      </c>
      <c r="E16" s="376" t="s">
        <v>1100</v>
      </c>
      <c r="F16" s="608" t="s">
        <v>1117</v>
      </c>
      <c r="G16" s="695">
        <v>0.03</v>
      </c>
      <c r="H16" s="700">
        <v>1</v>
      </c>
      <c r="I16" s="626"/>
      <c r="J16" s="752"/>
      <c r="L16" s="376" t="s">
        <v>1100</v>
      </c>
      <c r="M16" s="376" t="s">
        <v>1090</v>
      </c>
      <c r="N16" s="376" t="s">
        <v>1110</v>
      </c>
      <c r="O16" s="376" t="s">
        <v>1111</v>
      </c>
      <c r="P16" s="376" t="s">
        <v>1112</v>
      </c>
      <c r="Q16" s="376"/>
      <c r="R16" s="376"/>
      <c r="T16" s="752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899</v>
      </c>
      <c r="C17" s="376" t="s">
        <v>1107</v>
      </c>
      <c r="D17" s="376" t="s">
        <v>159</v>
      </c>
      <c r="E17" s="376" t="s">
        <v>1100</v>
      </c>
      <c r="F17" s="608" t="s">
        <v>1094</v>
      </c>
      <c r="G17" s="609">
        <v>0.02</v>
      </c>
      <c r="H17" s="692">
        <v>1</v>
      </c>
      <c r="I17" s="626"/>
      <c r="J17" s="752"/>
      <c r="L17" s="376" t="s">
        <v>1100</v>
      </c>
      <c r="M17" s="376" t="s">
        <v>1090</v>
      </c>
      <c r="N17" s="376" t="s">
        <v>1110</v>
      </c>
      <c r="O17" s="376" t="s">
        <v>1111</v>
      </c>
      <c r="P17" s="376" t="s">
        <v>1112</v>
      </c>
      <c r="Q17" s="376"/>
      <c r="R17" s="376"/>
      <c r="T17" s="752"/>
      <c r="V17" s="609">
        <f>IF(W17=1,G17,0)</f>
        <v>0</v>
      </c>
      <c r="W17" s="692"/>
    </row>
    <row r="18" spans="2:23" outlineLevel="3">
      <c r="B18" s="376" t="s">
        <v>899</v>
      </c>
      <c r="C18" s="376" t="s">
        <v>1107</v>
      </c>
      <c r="D18" s="376" t="s">
        <v>159</v>
      </c>
      <c r="E18" s="376" t="s">
        <v>1100</v>
      </c>
      <c r="F18" s="608" t="s">
        <v>1106</v>
      </c>
      <c r="G18" s="609">
        <v>0.01</v>
      </c>
      <c r="H18" s="692">
        <v>1</v>
      </c>
      <c r="I18" s="626"/>
      <c r="J18" s="752"/>
      <c r="L18" s="376" t="s">
        <v>1100</v>
      </c>
      <c r="M18" s="376" t="s">
        <v>1090</v>
      </c>
      <c r="N18" s="376" t="s">
        <v>1110</v>
      </c>
      <c r="O18" s="376" t="s">
        <v>1111</v>
      </c>
      <c r="P18" s="376" t="s">
        <v>1112</v>
      </c>
      <c r="Q18" s="376"/>
      <c r="R18" s="376"/>
      <c r="T18" s="752"/>
      <c r="V18" s="609">
        <f>IF(W18=1,G18,0)</f>
        <v>0</v>
      </c>
      <c r="W18" s="692"/>
    </row>
    <row r="19" spans="2:23" outlineLevel="3">
      <c r="B19" s="376" t="s">
        <v>899</v>
      </c>
      <c r="C19" s="376" t="s">
        <v>1107</v>
      </c>
      <c r="D19" s="376" t="s">
        <v>159</v>
      </c>
      <c r="E19" s="376" t="s">
        <v>1100</v>
      </c>
      <c r="F19" s="608" t="s">
        <v>1120</v>
      </c>
      <c r="G19" s="695">
        <v>0.4</v>
      </c>
      <c r="H19" s="700">
        <v>1</v>
      </c>
      <c r="I19" s="626"/>
      <c r="J19" s="752"/>
      <c r="L19" s="376" t="s">
        <v>1100</v>
      </c>
      <c r="M19" s="376" t="s">
        <v>1090</v>
      </c>
      <c r="N19" s="376" t="s">
        <v>1110</v>
      </c>
      <c r="O19" s="376" t="s">
        <v>1111</v>
      </c>
      <c r="P19" s="376" t="s">
        <v>1112</v>
      </c>
      <c r="Q19" s="376"/>
      <c r="R19" s="376"/>
      <c r="T19" s="752"/>
      <c r="V19" s="609">
        <f t="shared" si="0"/>
        <v>0</v>
      </c>
      <c r="W19" s="700"/>
    </row>
    <row r="20" spans="2:23" outlineLevel="3">
      <c r="B20" s="376" t="s">
        <v>899</v>
      </c>
      <c r="C20" s="376" t="s">
        <v>1107</v>
      </c>
      <c r="D20" s="376" t="s">
        <v>159</v>
      </c>
      <c r="E20" s="376" t="s">
        <v>1100</v>
      </c>
      <c r="F20" s="608" t="s">
        <v>1121</v>
      </c>
      <c r="G20" s="695">
        <v>0.4</v>
      </c>
      <c r="H20" s="700">
        <v>1</v>
      </c>
      <c r="I20" s="626"/>
      <c r="J20" s="752"/>
      <c r="L20" s="376" t="s">
        <v>1100</v>
      </c>
      <c r="M20" s="376" t="s">
        <v>1090</v>
      </c>
      <c r="N20" s="376" t="s">
        <v>1110</v>
      </c>
      <c r="O20" s="376" t="s">
        <v>1111</v>
      </c>
      <c r="P20" s="376" t="s">
        <v>1112</v>
      </c>
      <c r="Q20" s="376"/>
      <c r="R20" s="376"/>
      <c r="T20" s="752"/>
      <c r="V20" s="609">
        <f t="shared" si="0"/>
        <v>0</v>
      </c>
      <c r="W20" s="700"/>
    </row>
    <row r="21" spans="2:23" s="612" customFormat="1" outlineLevel="1">
      <c r="B21" s="666" t="s">
        <v>1137</v>
      </c>
      <c r="C21" s="666" t="s">
        <v>956</v>
      </c>
      <c r="D21" s="666"/>
      <c r="E21" s="666"/>
      <c r="F21" s="681" t="s">
        <v>947</v>
      </c>
      <c r="G21" s="701">
        <f>SUBTOTAL(9,G22:G25)</f>
        <v>0.30105801900000001</v>
      </c>
      <c r="H21" s="702">
        <f>SUBTOTAL(9,H22:H25)</f>
        <v>3</v>
      </c>
      <c r="I21" s="627"/>
      <c r="J21" s="754"/>
      <c r="L21" s="666"/>
      <c r="M21" s="666"/>
      <c r="N21" s="666"/>
      <c r="O21" s="666"/>
      <c r="P21" s="666"/>
      <c r="Q21" s="666"/>
      <c r="R21" s="666"/>
      <c r="T21" s="754"/>
      <c r="V21" s="701">
        <f>SUBTOTAL(9,V22:V25)</f>
        <v>0</v>
      </c>
      <c r="W21" s="702">
        <f>SUBTOTAL(9,W22:W25)</f>
        <v>0</v>
      </c>
    </row>
    <row r="22" spans="2:23" ht="26.45" outlineLevel="2">
      <c r="B22" s="684" t="s">
        <v>1137</v>
      </c>
      <c r="C22" s="684" t="s">
        <v>956</v>
      </c>
      <c r="D22" s="684" t="s">
        <v>159</v>
      </c>
      <c r="E22" s="684"/>
      <c r="F22" s="685" t="s">
        <v>1138</v>
      </c>
      <c r="G22" s="686">
        <f>SUBTOTAL(9,G23:G25)</f>
        <v>0.30105801900000001</v>
      </c>
      <c r="H22" s="691">
        <f>SUBTOTAL(9,H23:H25)</f>
        <v>3</v>
      </c>
      <c r="I22" s="626"/>
      <c r="J22" s="752"/>
      <c r="L22" s="684"/>
      <c r="M22" s="684"/>
      <c r="N22" s="684"/>
      <c r="O22" s="684"/>
      <c r="P22" s="684"/>
      <c r="Q22" s="684"/>
      <c r="R22" s="684"/>
      <c r="T22" s="752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1137</v>
      </c>
      <c r="C23" s="376" t="s">
        <v>956</v>
      </c>
      <c r="D23" s="376" t="s">
        <v>159</v>
      </c>
      <c r="E23" s="376" t="s">
        <v>1100</v>
      </c>
      <c r="F23" s="608" t="s">
        <v>1139</v>
      </c>
      <c r="G23" s="609">
        <v>0.13060359000000002</v>
      </c>
      <c r="H23" s="692">
        <v>1</v>
      </c>
      <c r="I23" s="626"/>
      <c r="J23" s="752"/>
      <c r="L23" s="376" t="s">
        <v>1100</v>
      </c>
      <c r="M23" s="376" t="s">
        <v>1090</v>
      </c>
      <c r="N23" s="376" t="s">
        <v>1110</v>
      </c>
      <c r="O23" s="376" t="s">
        <v>1140</v>
      </c>
      <c r="P23" s="376" t="s">
        <v>1111</v>
      </c>
      <c r="Q23" s="376"/>
      <c r="R23" s="376"/>
      <c r="T23" s="752"/>
      <c r="V23" s="609">
        <f t="shared" ref="V23:V25" si="1">IF(W23=1,G23,0)</f>
        <v>0</v>
      </c>
      <c r="W23" s="692"/>
    </row>
    <row r="24" spans="2:23" outlineLevel="3">
      <c r="B24" s="376" t="s">
        <v>1137</v>
      </c>
      <c r="C24" s="376" t="s">
        <v>956</v>
      </c>
      <c r="D24" s="376" t="s">
        <v>159</v>
      </c>
      <c r="E24" s="376" t="s">
        <v>1100</v>
      </c>
      <c r="F24" s="608" t="s">
        <v>1141</v>
      </c>
      <c r="G24" s="609">
        <v>7.8362154000000003E-2</v>
      </c>
      <c r="H24" s="692">
        <v>1</v>
      </c>
      <c r="I24" s="626"/>
      <c r="J24" s="752"/>
      <c r="L24" s="376" t="s">
        <v>1100</v>
      </c>
      <c r="M24" s="376" t="s">
        <v>1090</v>
      </c>
      <c r="N24" s="376" t="s">
        <v>1110</v>
      </c>
      <c r="O24" s="376" t="s">
        <v>1140</v>
      </c>
      <c r="P24" s="376" t="s">
        <v>1111</v>
      </c>
      <c r="Q24" s="376"/>
      <c r="R24" s="376"/>
      <c r="T24" s="752"/>
      <c r="V24" s="609">
        <f t="shared" si="1"/>
        <v>0</v>
      </c>
      <c r="W24" s="692"/>
    </row>
    <row r="25" spans="2:23" outlineLevel="3">
      <c r="B25" s="376" t="s">
        <v>1137</v>
      </c>
      <c r="C25" s="376" t="s">
        <v>956</v>
      </c>
      <c r="D25" s="376" t="s">
        <v>159</v>
      </c>
      <c r="E25" s="376" t="s">
        <v>1100</v>
      </c>
      <c r="F25" s="608" t="s">
        <v>1142</v>
      </c>
      <c r="G25" s="609">
        <v>9.2092275000000001E-2</v>
      </c>
      <c r="H25" s="692">
        <v>1</v>
      </c>
      <c r="I25" s="626"/>
      <c r="J25" s="752"/>
      <c r="L25" s="376" t="s">
        <v>1100</v>
      </c>
      <c r="M25" s="376" t="s">
        <v>1090</v>
      </c>
      <c r="N25" s="376" t="s">
        <v>1110</v>
      </c>
      <c r="O25" s="376" t="s">
        <v>1140</v>
      </c>
      <c r="P25" s="376" t="s">
        <v>1111</v>
      </c>
      <c r="Q25" s="376"/>
      <c r="R25" s="376"/>
      <c r="T25" s="752"/>
      <c r="V25" s="609">
        <f t="shared" si="1"/>
        <v>0</v>
      </c>
      <c r="W25" s="692"/>
    </row>
    <row r="26" spans="2:23" outlineLevel="1">
      <c r="B26" s="665" t="s">
        <v>901</v>
      </c>
      <c r="C26" s="665" t="s">
        <v>1089</v>
      </c>
      <c r="D26" s="665"/>
      <c r="E26" s="665"/>
      <c r="F26" s="681" t="s">
        <v>947</v>
      </c>
      <c r="G26" s="701">
        <f>SUBTOTAL(9,G27:G29)</f>
        <v>0.39</v>
      </c>
      <c r="H26" s="702">
        <f>SUBTOTAL(9,H27:H29)</f>
        <v>2</v>
      </c>
      <c r="I26" s="626"/>
      <c r="J26" s="752"/>
      <c r="L26" s="665"/>
      <c r="M26" s="665"/>
      <c r="N26" s="665"/>
      <c r="O26" s="665"/>
      <c r="P26" s="665"/>
      <c r="Q26" s="665"/>
      <c r="R26" s="665"/>
      <c r="T26" s="752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901</v>
      </c>
      <c r="C27" s="684" t="s">
        <v>1089</v>
      </c>
      <c r="D27" s="684" t="s">
        <v>159</v>
      </c>
      <c r="E27" s="684"/>
      <c r="F27" s="685" t="s">
        <v>1022</v>
      </c>
      <c r="G27" s="713">
        <f>SUBTOTAL(9,G28:G29)</f>
        <v>0.39</v>
      </c>
      <c r="H27" s="714">
        <f>SUBTOTAL(9,H28:H29)</f>
        <v>2</v>
      </c>
      <c r="I27" s="626"/>
      <c r="J27" s="752"/>
      <c r="L27" s="684"/>
      <c r="M27" s="684"/>
      <c r="N27" s="684"/>
      <c r="O27" s="684"/>
      <c r="P27" s="684"/>
      <c r="Q27" s="684"/>
      <c r="R27" s="684"/>
      <c r="T27" s="752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901</v>
      </c>
      <c r="C28" s="376" t="s">
        <v>1089</v>
      </c>
      <c r="D28" s="376" t="s">
        <v>159</v>
      </c>
      <c r="E28" s="376" t="s">
        <v>1100</v>
      </c>
      <c r="F28" s="608" t="s">
        <v>1149</v>
      </c>
      <c r="G28" s="695">
        <v>0.3</v>
      </c>
      <c r="H28" s="700">
        <v>1</v>
      </c>
      <c r="I28" s="626"/>
      <c r="J28" s="752"/>
      <c r="L28" s="376" t="s">
        <v>1100</v>
      </c>
      <c r="M28" s="376" t="s">
        <v>1090</v>
      </c>
      <c r="N28" s="376" t="s">
        <v>1150</v>
      </c>
      <c r="O28" s="376" t="s">
        <v>1151</v>
      </c>
      <c r="P28" s="376" t="s">
        <v>1152</v>
      </c>
      <c r="Q28" s="376"/>
      <c r="R28" s="376"/>
      <c r="T28" s="752"/>
      <c r="V28" s="609">
        <f t="shared" ref="V28:V29" si="2">IF(W28=1,G28,0)</f>
        <v>0</v>
      </c>
      <c r="W28" s="700"/>
    </row>
    <row r="29" spans="2:23" outlineLevel="3">
      <c r="B29" s="376" t="s">
        <v>901</v>
      </c>
      <c r="C29" s="376" t="s">
        <v>1089</v>
      </c>
      <c r="D29" s="376" t="s">
        <v>159</v>
      </c>
      <c r="E29" s="376" t="s">
        <v>1100</v>
      </c>
      <c r="F29" s="608" t="s">
        <v>1117</v>
      </c>
      <c r="G29" s="695">
        <v>0.09</v>
      </c>
      <c r="H29" s="700">
        <v>1</v>
      </c>
      <c r="I29" s="626"/>
      <c r="J29" s="752"/>
      <c r="L29" s="376" t="s">
        <v>1100</v>
      </c>
      <c r="M29" s="376" t="s">
        <v>1090</v>
      </c>
      <c r="N29" s="376" t="s">
        <v>1150</v>
      </c>
      <c r="O29" s="376" t="s">
        <v>1151</v>
      </c>
      <c r="P29" s="376" t="s">
        <v>1152</v>
      </c>
      <c r="Q29" s="376"/>
      <c r="R29" s="376"/>
      <c r="T29" s="752"/>
      <c r="V29" s="609">
        <f t="shared" si="2"/>
        <v>0</v>
      </c>
      <c r="W29" s="700"/>
    </row>
    <row r="30" spans="2:23" outlineLevel="1">
      <c r="B30" s="665" t="s">
        <v>225</v>
      </c>
      <c r="C30" s="665" t="s">
        <v>1241</v>
      </c>
      <c r="D30" s="665"/>
      <c r="E30" s="665"/>
      <c r="F30" s="681" t="s">
        <v>947</v>
      </c>
      <c r="G30" s="701">
        <f>SUBTOTAL(9,G31:G34)</f>
        <v>0.189</v>
      </c>
      <c r="H30" s="702">
        <f>SUBTOTAL(9,H31:H34)</f>
        <v>3</v>
      </c>
      <c r="I30" s="626"/>
      <c r="J30" s="752"/>
      <c r="L30" s="665"/>
      <c r="M30" s="665"/>
      <c r="N30" s="665"/>
      <c r="O30" s="665"/>
      <c r="P30" s="665"/>
      <c r="Q30" s="665"/>
      <c r="R30" s="665"/>
      <c r="T30" s="752"/>
      <c r="V30" s="701">
        <f>SUBTOTAL(9,V31:V34)</f>
        <v>0</v>
      </c>
      <c r="W30" s="702">
        <f>SUBTOTAL(9,W31:W34)</f>
        <v>0</v>
      </c>
    </row>
    <row r="31" spans="2:23" outlineLevel="2">
      <c r="B31" s="684" t="s">
        <v>225</v>
      </c>
      <c r="C31" s="684" t="s">
        <v>1241</v>
      </c>
      <c r="D31" s="684" t="s">
        <v>159</v>
      </c>
      <c r="E31" s="684"/>
      <c r="F31" s="685" t="s">
        <v>1870</v>
      </c>
      <c r="G31" s="713">
        <f>SUBTOTAL(9,G32:G34)</f>
        <v>0.189</v>
      </c>
      <c r="H31" s="714">
        <f>SUBTOTAL(9,H32:H33)</f>
        <v>2</v>
      </c>
      <c r="I31" s="626"/>
      <c r="J31" s="752"/>
      <c r="L31" s="684"/>
      <c r="M31" s="684"/>
      <c r="N31" s="684"/>
      <c r="O31" s="684"/>
      <c r="P31" s="684"/>
      <c r="Q31" s="684"/>
      <c r="R31" s="684"/>
      <c r="T31" s="752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225</v>
      </c>
      <c r="C32" s="376" t="s">
        <v>1241</v>
      </c>
      <c r="D32" s="376" t="s">
        <v>159</v>
      </c>
      <c r="E32" s="376" t="s">
        <v>1100</v>
      </c>
      <c r="F32" s="608" t="s">
        <v>36</v>
      </c>
      <c r="G32" s="695">
        <v>6.3E-2</v>
      </c>
      <c r="H32" s="700">
        <v>1</v>
      </c>
      <c r="I32" s="626"/>
      <c r="J32" s="752"/>
      <c r="L32" s="376" t="s">
        <v>1100</v>
      </c>
      <c r="M32" s="376" t="s">
        <v>1150</v>
      </c>
      <c r="N32" s="376" t="s">
        <v>1101</v>
      </c>
      <c r="O32" s="376"/>
      <c r="P32" s="376"/>
      <c r="Q32" s="376"/>
      <c r="R32" s="376"/>
      <c r="T32" s="752"/>
      <c r="V32" s="609">
        <f t="shared" ref="V32:V34" si="3">IF(W32=1,G32,0)</f>
        <v>0</v>
      </c>
      <c r="W32" s="700"/>
    </row>
    <row r="33" spans="2:23" outlineLevel="3">
      <c r="B33" s="376" t="s">
        <v>225</v>
      </c>
      <c r="C33" s="376" t="s">
        <v>1241</v>
      </c>
      <c r="D33" s="376" t="s">
        <v>159</v>
      </c>
      <c r="E33" s="376" t="s">
        <v>1100</v>
      </c>
      <c r="F33" s="608" t="s">
        <v>1238</v>
      </c>
      <c r="G33" s="695">
        <v>4.2000000000000003E-2</v>
      </c>
      <c r="H33" s="700">
        <v>1</v>
      </c>
      <c r="I33" s="626"/>
      <c r="J33" s="752"/>
      <c r="L33" s="376" t="s">
        <v>1100</v>
      </c>
      <c r="M33" s="376" t="s">
        <v>1150</v>
      </c>
      <c r="N33" s="376" t="s">
        <v>1101</v>
      </c>
      <c r="O33" s="376"/>
      <c r="P33" s="376"/>
      <c r="Q33" s="376"/>
      <c r="R33" s="376"/>
      <c r="T33" s="752"/>
      <c r="V33" s="609">
        <f t="shared" si="3"/>
        <v>0</v>
      </c>
      <c r="W33" s="700"/>
    </row>
    <row r="34" spans="2:23" outlineLevel="3">
      <c r="B34" s="376" t="s">
        <v>225</v>
      </c>
      <c r="C34" s="376" t="s">
        <v>1241</v>
      </c>
      <c r="D34" s="376" t="s">
        <v>159</v>
      </c>
      <c r="E34" s="376" t="s">
        <v>1100</v>
      </c>
      <c r="F34" s="608" t="s">
        <v>1239</v>
      </c>
      <c r="G34" s="695">
        <v>8.4000000000000005E-2</v>
      </c>
      <c r="H34" s="700">
        <v>1</v>
      </c>
      <c r="I34" s="626"/>
      <c r="J34" s="752"/>
      <c r="L34" s="376" t="s">
        <v>1100</v>
      </c>
      <c r="M34" s="376" t="s">
        <v>1150</v>
      </c>
      <c r="N34" s="376" t="s">
        <v>1101</v>
      </c>
      <c r="O34" s="376"/>
      <c r="P34" s="376"/>
      <c r="Q34" s="376"/>
      <c r="R34" s="376"/>
      <c r="T34" s="752"/>
      <c r="V34" s="609">
        <f t="shared" si="3"/>
        <v>0</v>
      </c>
      <c r="W34" s="700"/>
    </row>
    <row r="35" spans="2:23" outlineLevel="1">
      <c r="B35" s="665" t="s">
        <v>229</v>
      </c>
      <c r="C35" s="665" t="s">
        <v>1245</v>
      </c>
      <c r="D35" s="665"/>
      <c r="E35" s="665"/>
      <c r="F35" s="681" t="s">
        <v>947</v>
      </c>
      <c r="G35" s="701">
        <f>SUBTOTAL(9,G36:G40)</f>
        <v>0.77993999999999997</v>
      </c>
      <c r="H35" s="702">
        <f>SUBTOTAL(9,H36:H40)</f>
        <v>4</v>
      </c>
      <c r="I35" s="626"/>
      <c r="J35" s="752"/>
      <c r="L35" s="665"/>
      <c r="M35" s="665"/>
      <c r="N35" s="665"/>
      <c r="O35" s="665"/>
      <c r="P35" s="665"/>
      <c r="Q35" s="665"/>
      <c r="R35" s="665"/>
      <c r="T35" s="752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229</v>
      </c>
      <c r="C36" s="684" t="s">
        <v>1245</v>
      </c>
      <c r="D36" s="684" t="s">
        <v>159</v>
      </c>
      <c r="E36" s="684"/>
      <c r="F36" s="685" t="s">
        <v>1022</v>
      </c>
      <c r="G36" s="713">
        <f>SUBTOTAL(9,G37:G40)</f>
        <v>0.77993999999999997</v>
      </c>
      <c r="H36" s="714">
        <f>SUBTOTAL(9,H37:H40)</f>
        <v>4</v>
      </c>
      <c r="I36" s="626"/>
      <c r="J36" s="752"/>
      <c r="L36" s="684"/>
      <c r="M36" s="684"/>
      <c r="N36" s="684"/>
      <c r="O36" s="684"/>
      <c r="P36" s="684"/>
      <c r="Q36" s="684"/>
      <c r="R36" s="684"/>
      <c r="T36" s="752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229</v>
      </c>
      <c r="C37" s="376" t="s">
        <v>1245</v>
      </c>
      <c r="D37" s="376" t="s">
        <v>159</v>
      </c>
      <c r="E37" s="376" t="s">
        <v>1100</v>
      </c>
      <c r="F37" s="608" t="s">
        <v>1238</v>
      </c>
      <c r="G37" s="609">
        <v>0.12999000000000002</v>
      </c>
      <c r="H37" s="700">
        <v>1</v>
      </c>
      <c r="I37" s="626"/>
      <c r="J37" s="752"/>
      <c r="L37" s="376" t="s">
        <v>1100</v>
      </c>
      <c r="M37" s="376" t="s">
        <v>1103</v>
      </c>
      <c r="N37" s="376" t="s">
        <v>1091</v>
      </c>
      <c r="O37" s="376" t="s">
        <v>1104</v>
      </c>
      <c r="P37" s="376"/>
      <c r="Q37" s="376"/>
      <c r="R37" s="376"/>
      <c r="T37" s="752"/>
      <c r="V37" s="609">
        <f t="shared" ref="V37:V40" si="4">IF(W37=1,G37,0)</f>
        <v>0</v>
      </c>
      <c r="W37" s="700"/>
    </row>
    <row r="38" spans="2:23" outlineLevel="3">
      <c r="B38" s="376" t="s">
        <v>229</v>
      </c>
      <c r="C38" s="376" t="s">
        <v>1245</v>
      </c>
      <c r="D38" s="376" t="s">
        <v>159</v>
      </c>
      <c r="E38" s="376" t="s">
        <v>1100</v>
      </c>
      <c r="F38" s="608" t="s">
        <v>1239</v>
      </c>
      <c r="G38" s="695">
        <v>0.25998000000000004</v>
      </c>
      <c r="H38" s="700">
        <v>1</v>
      </c>
      <c r="I38" s="626"/>
      <c r="J38" s="752"/>
      <c r="L38" s="376" t="s">
        <v>1100</v>
      </c>
      <c r="M38" s="376" t="s">
        <v>1103</v>
      </c>
      <c r="N38" s="376" t="s">
        <v>1091</v>
      </c>
      <c r="O38" s="376" t="s">
        <v>1104</v>
      </c>
      <c r="P38" s="376"/>
      <c r="Q38" s="376"/>
      <c r="R38" s="376"/>
      <c r="T38" s="752"/>
      <c r="V38" s="609">
        <f t="shared" si="4"/>
        <v>0</v>
      </c>
      <c r="W38" s="700"/>
    </row>
    <row r="39" spans="2:23" outlineLevel="3">
      <c r="B39" s="376" t="s">
        <v>229</v>
      </c>
      <c r="C39" s="376" t="s">
        <v>1245</v>
      </c>
      <c r="D39" s="376" t="s">
        <v>159</v>
      </c>
      <c r="E39" s="376" t="s">
        <v>1100</v>
      </c>
      <c r="F39" s="608" t="s">
        <v>1246</v>
      </c>
      <c r="G39" s="695">
        <v>0.19498499999999999</v>
      </c>
      <c r="H39" s="700">
        <v>1</v>
      </c>
      <c r="I39" s="626"/>
      <c r="J39" s="752"/>
      <c r="L39" s="376" t="s">
        <v>1100</v>
      </c>
      <c r="M39" s="376" t="s">
        <v>1103</v>
      </c>
      <c r="N39" s="376" t="s">
        <v>1091</v>
      </c>
      <c r="O39" s="376" t="s">
        <v>1104</v>
      </c>
      <c r="P39" s="376"/>
      <c r="Q39" s="376"/>
      <c r="R39" s="376"/>
      <c r="T39" s="752"/>
      <c r="V39" s="609">
        <f t="shared" si="4"/>
        <v>0</v>
      </c>
      <c r="W39" s="700"/>
    </row>
    <row r="40" spans="2:23" outlineLevel="3">
      <c r="B40" s="376" t="s">
        <v>229</v>
      </c>
      <c r="C40" s="376" t="s">
        <v>1245</v>
      </c>
      <c r="D40" s="376" t="s">
        <v>159</v>
      </c>
      <c r="E40" s="376" t="s">
        <v>1100</v>
      </c>
      <c r="F40" s="608" t="s">
        <v>1247</v>
      </c>
      <c r="G40" s="695">
        <v>0.19498499999999999</v>
      </c>
      <c r="H40" s="700">
        <v>1</v>
      </c>
      <c r="I40" s="626"/>
      <c r="J40" s="752"/>
      <c r="L40" s="376" t="s">
        <v>1100</v>
      </c>
      <c r="M40" s="376" t="s">
        <v>1103</v>
      </c>
      <c r="N40" s="376" t="s">
        <v>1091</v>
      </c>
      <c r="O40" s="376" t="s">
        <v>1104</v>
      </c>
      <c r="P40" s="376"/>
      <c r="Q40" s="376"/>
      <c r="R40" s="376"/>
      <c r="T40" s="752"/>
      <c r="V40" s="609">
        <f t="shared" si="4"/>
        <v>0</v>
      </c>
      <c r="W40" s="700"/>
    </row>
    <row r="41" spans="2:23" outlineLevel="1">
      <c r="B41" s="665" t="s">
        <v>498</v>
      </c>
      <c r="C41" s="665" t="s">
        <v>1258</v>
      </c>
      <c r="D41" s="665"/>
      <c r="E41" s="665"/>
      <c r="F41" s="681" t="s">
        <v>947</v>
      </c>
      <c r="G41" s="701">
        <f>SUBTOTAL(9,G42:G44)</f>
        <v>0.43996002400000001</v>
      </c>
      <c r="H41" s="702">
        <f>SUBTOTAL(9,H42:H44)</f>
        <v>2</v>
      </c>
      <c r="I41" s="626"/>
      <c r="J41" s="752"/>
      <c r="L41" s="665"/>
      <c r="M41" s="665"/>
      <c r="N41" s="665"/>
      <c r="O41" s="665"/>
      <c r="P41" s="665"/>
      <c r="Q41" s="665"/>
      <c r="R41" s="665"/>
      <c r="T41" s="752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498</v>
      </c>
      <c r="C42" s="684" t="s">
        <v>1258</v>
      </c>
      <c r="D42" s="684" t="s">
        <v>159</v>
      </c>
      <c r="E42" s="684"/>
      <c r="F42" s="685" t="s">
        <v>1259</v>
      </c>
      <c r="G42" s="686">
        <f>SUBTOTAL(9,G43:G44)</f>
        <v>0.43996002400000001</v>
      </c>
      <c r="H42" s="691">
        <f>SUBTOTAL(9,H43:H44)</f>
        <v>2</v>
      </c>
      <c r="I42" s="626"/>
      <c r="J42" s="752"/>
      <c r="L42" s="684"/>
      <c r="M42" s="684"/>
      <c r="N42" s="684"/>
      <c r="O42" s="684"/>
      <c r="P42" s="684"/>
      <c r="Q42" s="684"/>
      <c r="R42" s="684"/>
      <c r="T42" s="752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498</v>
      </c>
      <c r="C43" s="376" t="s">
        <v>1258</v>
      </c>
      <c r="D43" s="376" t="s">
        <v>159</v>
      </c>
      <c r="E43" s="376" t="s">
        <v>1100</v>
      </c>
      <c r="F43" s="608" t="s">
        <v>1231</v>
      </c>
      <c r="G43" s="609">
        <v>0.17598400959999999</v>
      </c>
      <c r="H43" s="692">
        <v>1</v>
      </c>
      <c r="I43" s="626"/>
      <c r="J43" s="752"/>
      <c r="L43" s="376" t="s">
        <v>1100</v>
      </c>
      <c r="M43" s="376" t="s">
        <v>1090</v>
      </c>
      <c r="N43" s="376" t="s">
        <v>1150</v>
      </c>
      <c r="O43" s="376" t="s">
        <v>1152</v>
      </c>
      <c r="P43" s="376"/>
      <c r="Q43" s="376"/>
      <c r="R43" s="376"/>
      <c r="T43" s="752"/>
      <c r="V43" s="609">
        <f t="shared" ref="V43:V44" si="5">IF(W43=1,G43,0)</f>
        <v>0</v>
      </c>
      <c r="W43" s="692"/>
    </row>
    <row r="44" spans="2:23" outlineLevel="3">
      <c r="B44" s="376" t="s">
        <v>498</v>
      </c>
      <c r="C44" s="376" t="s">
        <v>1258</v>
      </c>
      <c r="D44" s="376" t="s">
        <v>159</v>
      </c>
      <c r="E44" s="376" t="s">
        <v>1100</v>
      </c>
      <c r="F44" s="608" t="s">
        <v>36</v>
      </c>
      <c r="G44" s="609">
        <v>0.26397601440000001</v>
      </c>
      <c r="H44" s="692">
        <v>1</v>
      </c>
      <c r="I44" s="626"/>
      <c r="J44" s="752"/>
      <c r="L44" s="376" t="s">
        <v>1100</v>
      </c>
      <c r="M44" s="376" t="s">
        <v>1090</v>
      </c>
      <c r="N44" s="376" t="s">
        <v>1150</v>
      </c>
      <c r="O44" s="376" t="s">
        <v>1152</v>
      </c>
      <c r="P44" s="376"/>
      <c r="Q44" s="376"/>
      <c r="R44" s="376"/>
      <c r="T44" s="752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2"/>
      <c r="L45" s="392"/>
      <c r="M45" s="392"/>
      <c r="N45" s="392"/>
      <c r="O45" s="392"/>
      <c r="P45" s="392"/>
      <c r="Q45" s="392"/>
      <c r="R45" s="392"/>
      <c r="T45" s="752"/>
      <c r="V45" s="695"/>
      <c r="W45" s="700"/>
    </row>
    <row r="46" spans="2:23" ht="15">
      <c r="B46" s="430" t="s">
        <v>1285</v>
      </c>
      <c r="C46" s="430"/>
      <c r="D46" s="430"/>
      <c r="E46" s="430"/>
      <c r="F46" s="697"/>
      <c r="G46" s="739">
        <f>SUBTOTAL(9,G48:G70)</f>
        <v>46.325319718675303</v>
      </c>
      <c r="H46" s="740">
        <f>SUBTOTAL(9,H48:H70)</f>
        <v>15</v>
      </c>
      <c r="I46" s="626"/>
      <c r="J46" s="752"/>
      <c r="L46" s="430"/>
      <c r="M46" s="430"/>
      <c r="N46" s="430"/>
      <c r="O46" s="430"/>
      <c r="P46" s="430"/>
      <c r="Q46" s="430"/>
      <c r="R46" s="430"/>
      <c r="T46" s="752"/>
      <c r="V46" s="739">
        <f>SUBTOTAL(9,V48:V70)</f>
        <v>0</v>
      </c>
      <c r="W46" s="740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2"/>
      <c r="L47" s="376"/>
      <c r="M47" s="376"/>
      <c r="N47" s="376"/>
      <c r="O47" s="376"/>
      <c r="P47" s="376"/>
      <c r="Q47" s="376"/>
      <c r="R47" s="376"/>
      <c r="T47" s="752"/>
      <c r="V47" s="609"/>
      <c r="W47" s="692"/>
    </row>
    <row r="48" spans="2:23" outlineLevel="1">
      <c r="B48" s="665" t="s">
        <v>902</v>
      </c>
      <c r="C48" s="665" t="s">
        <v>1018</v>
      </c>
      <c r="D48" s="665"/>
      <c r="E48" s="665"/>
      <c r="F48" s="681" t="s">
        <v>947</v>
      </c>
      <c r="G48" s="724">
        <f>SUBTOTAL(9,G49:G52)</f>
        <v>1.18</v>
      </c>
      <c r="H48" s="725">
        <f>SUBTOTAL(9,H49:H52)</f>
        <v>3</v>
      </c>
      <c r="I48" s="626"/>
      <c r="J48" s="752"/>
      <c r="L48" s="665"/>
      <c r="M48" s="665"/>
      <c r="N48" s="665"/>
      <c r="O48" s="665"/>
      <c r="P48" s="665"/>
      <c r="Q48" s="665"/>
      <c r="R48" s="665"/>
      <c r="T48" s="752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902</v>
      </c>
      <c r="C49" s="684" t="s">
        <v>1018</v>
      </c>
      <c r="D49" s="684" t="s">
        <v>159</v>
      </c>
      <c r="E49" s="684"/>
      <c r="F49" s="685" t="s">
        <v>1871</v>
      </c>
      <c r="G49" s="686">
        <f>SUBTOTAL(9,G50:G52)</f>
        <v>1.18</v>
      </c>
      <c r="H49" s="691">
        <f>SUBTOTAL(9,H50:H52)</f>
        <v>3</v>
      </c>
      <c r="I49" s="626"/>
      <c r="J49" s="752"/>
      <c r="L49" s="684"/>
      <c r="M49" s="684"/>
      <c r="N49" s="684"/>
      <c r="O49" s="684"/>
      <c r="P49" s="684"/>
      <c r="Q49" s="684"/>
      <c r="R49" s="684"/>
      <c r="T49" s="752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902</v>
      </c>
      <c r="C50" s="376" t="s">
        <v>1018</v>
      </c>
      <c r="D50" s="376" t="s">
        <v>159</v>
      </c>
      <c r="E50" s="376" t="s">
        <v>1100</v>
      </c>
      <c r="F50" s="608" t="s">
        <v>17</v>
      </c>
      <c r="G50" s="609">
        <v>0.54</v>
      </c>
      <c r="H50" s="692">
        <v>1</v>
      </c>
      <c r="I50" s="626"/>
      <c r="J50" s="752"/>
      <c r="L50" s="376" t="s">
        <v>1100</v>
      </c>
      <c r="M50" s="376" t="s">
        <v>1090</v>
      </c>
      <c r="N50" s="376" t="s">
        <v>1150</v>
      </c>
      <c r="O50" s="376" t="s">
        <v>1152</v>
      </c>
      <c r="P50" s="376"/>
      <c r="Q50" s="376"/>
      <c r="R50" s="376"/>
      <c r="T50" s="752"/>
      <c r="V50" s="609">
        <f t="shared" ref="V50:V52" si="6">IF(W50=1,G50,0)</f>
        <v>0</v>
      </c>
      <c r="W50" s="692"/>
    </row>
    <row r="51" spans="2:23" outlineLevel="3">
      <c r="B51" s="376" t="s">
        <v>902</v>
      </c>
      <c r="C51" s="376" t="s">
        <v>1018</v>
      </c>
      <c r="D51" s="376" t="s">
        <v>159</v>
      </c>
      <c r="E51" s="376" t="s">
        <v>1100</v>
      </c>
      <c r="F51" s="608" t="s">
        <v>36</v>
      </c>
      <c r="G51" s="609">
        <v>0.43</v>
      </c>
      <c r="H51" s="692">
        <v>1</v>
      </c>
      <c r="I51" s="626"/>
      <c r="J51" s="752"/>
      <c r="L51" s="376" t="s">
        <v>1100</v>
      </c>
      <c r="M51" s="376" t="s">
        <v>1090</v>
      </c>
      <c r="N51" s="376" t="s">
        <v>1150</v>
      </c>
      <c r="O51" s="376" t="s">
        <v>1152</v>
      </c>
      <c r="P51" s="376"/>
      <c r="Q51" s="376"/>
      <c r="R51" s="376"/>
      <c r="T51" s="752"/>
      <c r="V51" s="609">
        <f t="shared" si="6"/>
        <v>0</v>
      </c>
      <c r="W51" s="692"/>
    </row>
    <row r="52" spans="2:23" outlineLevel="3">
      <c r="B52" s="376" t="s">
        <v>902</v>
      </c>
      <c r="C52" s="376" t="s">
        <v>1018</v>
      </c>
      <c r="D52" s="376" t="s">
        <v>159</v>
      </c>
      <c r="E52" s="376" t="s">
        <v>1100</v>
      </c>
      <c r="F52" s="608" t="s">
        <v>208</v>
      </c>
      <c r="G52" s="609">
        <v>0.21</v>
      </c>
      <c r="H52" s="692">
        <v>1</v>
      </c>
      <c r="I52" s="626"/>
      <c r="J52" s="752"/>
      <c r="L52" s="376" t="s">
        <v>1100</v>
      </c>
      <c r="M52" s="376" t="s">
        <v>1090</v>
      </c>
      <c r="N52" s="376" t="s">
        <v>1150</v>
      </c>
      <c r="O52" s="376" t="s">
        <v>1152</v>
      </c>
      <c r="P52" s="376"/>
      <c r="Q52" s="376"/>
      <c r="R52" s="376"/>
      <c r="T52" s="752"/>
      <c r="V52" s="609">
        <f t="shared" si="6"/>
        <v>0</v>
      </c>
      <c r="W52" s="692"/>
    </row>
    <row r="53" spans="2:23" s="612" customFormat="1" outlineLevel="1">
      <c r="B53" s="666" t="s">
        <v>1299</v>
      </c>
      <c r="C53" s="666" t="s">
        <v>1300</v>
      </c>
      <c r="D53" s="666"/>
      <c r="E53" s="666"/>
      <c r="F53" s="681" t="s">
        <v>947</v>
      </c>
      <c r="G53" s="724">
        <f>SUBTOTAL(9,G54:G57)</f>
        <v>8.7813947704253064</v>
      </c>
      <c r="H53" s="725">
        <f>SUBTOTAL(9,H54:H57)</f>
        <v>3</v>
      </c>
      <c r="I53" s="627"/>
      <c r="J53" s="754"/>
      <c r="L53" s="666"/>
      <c r="M53" s="666"/>
      <c r="N53" s="666"/>
      <c r="O53" s="666"/>
      <c r="P53" s="666"/>
      <c r="Q53" s="666"/>
      <c r="R53" s="666"/>
      <c r="T53" s="754"/>
      <c r="V53" s="724">
        <f>SUBTOTAL(9,V54:V57)</f>
        <v>0</v>
      </c>
      <c r="W53" s="725">
        <f>SUBTOTAL(9,W54:W57)</f>
        <v>0</v>
      </c>
    </row>
    <row r="54" spans="2:23" ht="26.45" outlineLevel="2">
      <c r="B54" s="684" t="s">
        <v>1299</v>
      </c>
      <c r="C54" s="684" t="s">
        <v>1300</v>
      </c>
      <c r="D54" s="684" t="s">
        <v>159</v>
      </c>
      <c r="E54" s="684"/>
      <c r="F54" s="685" t="s">
        <v>1301</v>
      </c>
      <c r="G54" s="686">
        <f>SUBTOTAL(9,G55:G57)</f>
        <v>8.7813947704253064</v>
      </c>
      <c r="H54" s="691">
        <f>SUBTOTAL(9,H55:H57)</f>
        <v>3</v>
      </c>
      <c r="I54" s="626"/>
      <c r="J54" s="752"/>
      <c r="L54" s="684"/>
      <c r="M54" s="684"/>
      <c r="N54" s="684"/>
      <c r="O54" s="684"/>
      <c r="P54" s="684"/>
      <c r="Q54" s="684"/>
      <c r="R54" s="684"/>
      <c r="T54" s="752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1299</v>
      </c>
      <c r="C55" s="376" t="s">
        <v>1300</v>
      </c>
      <c r="D55" s="376" t="s">
        <v>159</v>
      </c>
      <c r="E55" s="376" t="s">
        <v>1100</v>
      </c>
      <c r="F55" s="608" t="s">
        <v>971</v>
      </c>
      <c r="G55" s="609">
        <v>4.3906973852126532</v>
      </c>
      <c r="H55" s="692">
        <v>1</v>
      </c>
      <c r="I55" s="626"/>
      <c r="J55" s="752"/>
      <c r="L55" s="376" t="s">
        <v>1100</v>
      </c>
      <c r="M55" s="376" t="s">
        <v>1090</v>
      </c>
      <c r="N55" s="376" t="s">
        <v>1110</v>
      </c>
      <c r="O55" s="376" t="s">
        <v>1302</v>
      </c>
      <c r="P55" s="376" t="s">
        <v>1111</v>
      </c>
      <c r="Q55" s="376"/>
      <c r="R55" s="376"/>
      <c r="T55" s="752"/>
      <c r="V55" s="609">
        <f t="shared" ref="V55:V57" si="7">IF(W55=1,G55,0)</f>
        <v>0</v>
      </c>
      <c r="W55" s="692"/>
    </row>
    <row r="56" spans="2:23" outlineLevel="3">
      <c r="B56" s="376" t="s">
        <v>1299</v>
      </c>
      <c r="C56" s="376" t="s">
        <v>1300</v>
      </c>
      <c r="D56" s="376" t="s">
        <v>159</v>
      </c>
      <c r="E56" s="376" t="s">
        <v>1100</v>
      </c>
      <c r="F56" s="608" t="s">
        <v>1303</v>
      </c>
      <c r="G56" s="609">
        <v>2.1953486926063266</v>
      </c>
      <c r="H56" s="692">
        <v>1</v>
      </c>
      <c r="I56" s="626"/>
      <c r="J56" s="752"/>
      <c r="L56" s="376" t="s">
        <v>1100</v>
      </c>
      <c r="M56" s="376" t="s">
        <v>1090</v>
      </c>
      <c r="N56" s="376" t="s">
        <v>1110</v>
      </c>
      <c r="O56" s="376" t="s">
        <v>1302</v>
      </c>
      <c r="P56" s="376" t="s">
        <v>1111</v>
      </c>
      <c r="Q56" s="376"/>
      <c r="R56" s="376"/>
      <c r="T56" s="752"/>
      <c r="V56" s="609">
        <f t="shared" si="7"/>
        <v>0</v>
      </c>
      <c r="W56" s="692"/>
    </row>
    <row r="57" spans="2:23" outlineLevel="3">
      <c r="B57" s="376" t="s">
        <v>1299</v>
      </c>
      <c r="C57" s="376" t="s">
        <v>1300</v>
      </c>
      <c r="D57" s="376" t="s">
        <v>159</v>
      </c>
      <c r="E57" s="376" t="s">
        <v>1100</v>
      </c>
      <c r="F57" s="608" t="s">
        <v>1304</v>
      </c>
      <c r="G57" s="609">
        <v>2.1953486926063266</v>
      </c>
      <c r="H57" s="692">
        <v>1</v>
      </c>
      <c r="I57" s="626"/>
      <c r="J57" s="752"/>
      <c r="L57" s="376" t="s">
        <v>1100</v>
      </c>
      <c r="M57" s="376" t="s">
        <v>1090</v>
      </c>
      <c r="N57" s="376" t="s">
        <v>1110</v>
      </c>
      <c r="O57" s="376" t="s">
        <v>1302</v>
      </c>
      <c r="P57" s="376" t="s">
        <v>1111</v>
      </c>
      <c r="Q57" s="376"/>
      <c r="R57" s="376"/>
      <c r="T57" s="752"/>
      <c r="V57" s="609">
        <f t="shared" si="7"/>
        <v>0</v>
      </c>
      <c r="W57" s="692"/>
    </row>
    <row r="58" spans="2:23" s="742" customFormat="1" outlineLevel="1">
      <c r="B58" s="666" t="s">
        <v>1309</v>
      </c>
      <c r="C58" s="666" t="s">
        <v>1310</v>
      </c>
      <c r="D58" s="666"/>
      <c r="E58" s="666"/>
      <c r="F58" s="681" t="s">
        <v>947</v>
      </c>
      <c r="G58" s="724">
        <f>SUBTOTAL(9,G59:G65)</f>
        <v>20.561850000000003</v>
      </c>
      <c r="H58" s="725">
        <f>SUBTOTAL(9,H59:H65)</f>
        <v>6</v>
      </c>
      <c r="I58" s="741"/>
      <c r="J58" s="758"/>
      <c r="K58" s="749"/>
      <c r="L58" s="666"/>
      <c r="M58" s="666"/>
      <c r="N58" s="666"/>
      <c r="O58" s="666"/>
      <c r="P58" s="666"/>
      <c r="Q58" s="666"/>
      <c r="R58" s="666"/>
      <c r="S58" s="749"/>
      <c r="T58" s="758"/>
      <c r="U58" s="749"/>
      <c r="V58" s="724">
        <f>SUBTOTAL(9,V59:V65)</f>
        <v>0</v>
      </c>
      <c r="W58" s="725">
        <f>SUBTOTAL(9,W59:W65)</f>
        <v>0</v>
      </c>
    </row>
    <row r="59" spans="2:23" s="742" customFormat="1" outlineLevel="2">
      <c r="B59" s="687" t="s">
        <v>1310</v>
      </c>
      <c r="C59" s="687" t="s">
        <v>1310</v>
      </c>
      <c r="D59" s="687" t="s">
        <v>159</v>
      </c>
      <c r="E59" s="687"/>
      <c r="F59" s="717" t="s">
        <v>1872</v>
      </c>
      <c r="G59" s="743">
        <f>SUBTOTAL(9,G60:G65)</f>
        <v>20.561850000000003</v>
      </c>
      <c r="H59" s="744">
        <f>SUBTOTAL(9,H60:H65)</f>
        <v>6</v>
      </c>
      <c r="I59" s="741"/>
      <c r="J59" s="758"/>
      <c r="K59" s="749"/>
      <c r="L59" s="687"/>
      <c r="M59" s="687" t="s">
        <v>1312</v>
      </c>
      <c r="N59" s="687"/>
      <c r="O59" s="687"/>
      <c r="P59" s="687"/>
      <c r="Q59" s="687"/>
      <c r="R59" s="687"/>
      <c r="S59" s="749"/>
      <c r="T59" s="758"/>
      <c r="U59" s="749"/>
      <c r="V59" s="743">
        <f>SUBTOTAL(9,V60:V65)</f>
        <v>0</v>
      </c>
      <c r="W59" s="744">
        <f>SUBTOTAL(9,W60:W65)</f>
        <v>0</v>
      </c>
    </row>
    <row r="60" spans="2:23" s="742" customFormat="1" outlineLevel="3">
      <c r="B60" s="387" t="s">
        <v>1310</v>
      </c>
      <c r="C60" s="387" t="s">
        <v>1310</v>
      </c>
      <c r="D60" s="387" t="s">
        <v>159</v>
      </c>
      <c r="E60" s="387" t="s">
        <v>1100</v>
      </c>
      <c r="F60" s="705" t="s">
        <v>17</v>
      </c>
      <c r="G60" s="706">
        <v>4.7746000000000013</v>
      </c>
      <c r="H60" s="707">
        <v>1</v>
      </c>
      <c r="I60" s="741"/>
      <c r="J60" s="758"/>
      <c r="K60" s="749"/>
      <c r="L60" s="387" t="s">
        <v>1100</v>
      </c>
      <c r="M60" s="387" t="s">
        <v>1103</v>
      </c>
      <c r="N60" s="387" t="s">
        <v>1313</v>
      </c>
      <c r="O60" s="387" t="s">
        <v>1314</v>
      </c>
      <c r="P60" s="387"/>
      <c r="Q60" s="387"/>
      <c r="R60" s="387"/>
      <c r="S60" s="749"/>
      <c r="T60" s="758"/>
      <c r="U60" s="749"/>
      <c r="V60" s="609">
        <f t="shared" ref="V60:V64" si="8">IF(W60=1,G60,0)</f>
        <v>0</v>
      </c>
      <c r="W60" s="707"/>
    </row>
    <row r="61" spans="2:23" s="742" customFormat="1" outlineLevel="3">
      <c r="B61" s="387" t="s">
        <v>1310</v>
      </c>
      <c r="C61" s="387" t="s">
        <v>1310</v>
      </c>
      <c r="D61" s="387" t="s">
        <v>159</v>
      </c>
      <c r="E61" s="387" t="s">
        <v>1100</v>
      </c>
      <c r="F61" s="705" t="s">
        <v>36</v>
      </c>
      <c r="G61" s="706">
        <v>4.3640000000000008</v>
      </c>
      <c r="H61" s="707">
        <v>1</v>
      </c>
      <c r="I61" s="741"/>
      <c r="J61" s="758"/>
      <c r="K61" s="749"/>
      <c r="L61" s="387" t="s">
        <v>1100</v>
      </c>
      <c r="M61" s="387" t="s">
        <v>1103</v>
      </c>
      <c r="N61" s="387" t="s">
        <v>1313</v>
      </c>
      <c r="O61" s="387" t="s">
        <v>1314</v>
      </c>
      <c r="P61" s="387"/>
      <c r="Q61" s="387"/>
      <c r="R61" s="387"/>
      <c r="S61" s="749"/>
      <c r="T61" s="758"/>
      <c r="U61" s="749"/>
      <c r="V61" s="609">
        <f t="shared" si="8"/>
        <v>0</v>
      </c>
      <c r="W61" s="707"/>
    </row>
    <row r="62" spans="2:23" s="742" customFormat="1" outlineLevel="3">
      <c r="B62" s="387" t="s">
        <v>1310</v>
      </c>
      <c r="C62" s="387" t="s">
        <v>1310</v>
      </c>
      <c r="D62" s="387" t="s">
        <v>159</v>
      </c>
      <c r="E62" s="387" t="s">
        <v>1100</v>
      </c>
      <c r="F62" s="705" t="s">
        <v>1237</v>
      </c>
      <c r="G62" s="706">
        <v>2.2846500000000005</v>
      </c>
      <c r="H62" s="707">
        <v>1</v>
      </c>
      <c r="I62" s="741"/>
      <c r="J62" s="758"/>
      <c r="K62" s="749"/>
      <c r="L62" s="387" t="s">
        <v>1100</v>
      </c>
      <c r="M62" s="387" t="s">
        <v>1103</v>
      </c>
      <c r="N62" s="387" t="s">
        <v>1313</v>
      </c>
      <c r="O62" s="387" t="s">
        <v>1314</v>
      </c>
      <c r="P62" s="387"/>
      <c r="Q62" s="387"/>
      <c r="R62" s="387"/>
      <c r="S62" s="749"/>
      <c r="T62" s="758"/>
      <c r="U62" s="749"/>
      <c r="V62" s="609">
        <f t="shared" si="8"/>
        <v>0</v>
      </c>
      <c r="W62" s="707"/>
    </row>
    <row r="63" spans="2:23" s="742" customFormat="1" outlineLevel="3">
      <c r="B63" s="387" t="s">
        <v>1310</v>
      </c>
      <c r="C63" s="387" t="s">
        <v>1310</v>
      </c>
      <c r="D63" s="387" t="s">
        <v>159</v>
      </c>
      <c r="E63" s="387" t="s">
        <v>1100</v>
      </c>
      <c r="F63" s="705" t="s">
        <v>1326</v>
      </c>
      <c r="G63" s="706">
        <v>2.3873000000000006</v>
      </c>
      <c r="H63" s="707">
        <v>1</v>
      </c>
      <c r="I63" s="741"/>
      <c r="J63" s="758"/>
      <c r="K63" s="749"/>
      <c r="L63" s="387" t="s">
        <v>1100</v>
      </c>
      <c r="M63" s="387" t="s">
        <v>1103</v>
      </c>
      <c r="N63" s="387" t="s">
        <v>1313</v>
      </c>
      <c r="O63" s="387" t="s">
        <v>1314</v>
      </c>
      <c r="P63" s="387"/>
      <c r="Q63" s="387"/>
      <c r="R63" s="387"/>
      <c r="S63" s="749"/>
      <c r="T63" s="758"/>
      <c r="U63" s="749"/>
      <c r="V63" s="609">
        <f>IF(W63=1,G63,0)</f>
        <v>0</v>
      </c>
      <c r="W63" s="707"/>
    </row>
    <row r="64" spans="2:23" s="742" customFormat="1" outlineLevel="3">
      <c r="B64" s="387" t="s">
        <v>1310</v>
      </c>
      <c r="C64" s="387" t="s">
        <v>1310</v>
      </c>
      <c r="D64" s="387" t="s">
        <v>159</v>
      </c>
      <c r="E64" s="387" t="s">
        <v>1100</v>
      </c>
      <c r="F64" s="705" t="s">
        <v>1303</v>
      </c>
      <c r="G64" s="706">
        <v>2.3873000000000006</v>
      </c>
      <c r="H64" s="707">
        <v>1</v>
      </c>
      <c r="I64" s="741"/>
      <c r="J64" s="758"/>
      <c r="K64" s="749"/>
      <c r="L64" s="387" t="s">
        <v>1100</v>
      </c>
      <c r="M64" s="387" t="s">
        <v>1103</v>
      </c>
      <c r="N64" s="387" t="s">
        <v>1313</v>
      </c>
      <c r="O64" s="387" t="s">
        <v>1314</v>
      </c>
      <c r="P64" s="387"/>
      <c r="Q64" s="387"/>
      <c r="R64" s="387"/>
      <c r="S64" s="749"/>
      <c r="T64" s="758"/>
      <c r="U64" s="749"/>
      <c r="V64" s="609">
        <f t="shared" si="8"/>
        <v>0</v>
      </c>
      <c r="W64" s="707"/>
    </row>
    <row r="65" spans="2:23" s="742" customFormat="1" outlineLevel="3">
      <c r="B65" s="387" t="s">
        <v>1310</v>
      </c>
      <c r="C65" s="387" t="s">
        <v>1310</v>
      </c>
      <c r="D65" s="387" t="s">
        <v>159</v>
      </c>
      <c r="E65" s="387" t="s">
        <v>1100</v>
      </c>
      <c r="F65" s="705" t="s">
        <v>1873</v>
      </c>
      <c r="G65" s="706">
        <v>4.3640000000000008</v>
      </c>
      <c r="H65" s="707">
        <v>1</v>
      </c>
      <c r="I65" s="741"/>
      <c r="J65" s="758"/>
      <c r="K65" s="749"/>
      <c r="L65" s="387" t="s">
        <v>1100</v>
      </c>
      <c r="M65" s="387" t="s">
        <v>1103</v>
      </c>
      <c r="N65" s="387" t="s">
        <v>1313</v>
      </c>
      <c r="O65" s="387" t="s">
        <v>1314</v>
      </c>
      <c r="P65" s="387"/>
      <c r="Q65" s="387"/>
      <c r="R65" s="387"/>
      <c r="S65" s="749"/>
      <c r="T65" s="758"/>
      <c r="U65" s="749"/>
      <c r="V65" s="609">
        <f>IF(W65=1,G65,0)</f>
        <v>0</v>
      </c>
      <c r="W65" s="707"/>
    </row>
    <row r="66" spans="2:23" outlineLevel="1">
      <c r="B66" s="666" t="s">
        <v>236</v>
      </c>
      <c r="C66" s="666" t="s">
        <v>1406</v>
      </c>
      <c r="D66" s="667"/>
      <c r="E66" s="665"/>
      <c r="F66" s="681" t="s">
        <v>947</v>
      </c>
      <c r="G66" s="724">
        <f>SUBTOTAL(9,G67:G70)</f>
        <v>15.802074948250002</v>
      </c>
      <c r="H66" s="725">
        <f>SUBTOTAL(9,H67:H70)</f>
        <v>3</v>
      </c>
      <c r="I66" s="626"/>
      <c r="J66" s="752"/>
      <c r="L66" s="665"/>
      <c r="M66" s="665"/>
      <c r="N66" s="665"/>
      <c r="O66" s="665"/>
      <c r="P66" s="665"/>
      <c r="Q66" s="665"/>
      <c r="R66" s="665"/>
      <c r="T66" s="752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236</v>
      </c>
      <c r="C67" s="687" t="s">
        <v>1407</v>
      </c>
      <c r="D67" s="684" t="s">
        <v>159</v>
      </c>
      <c r="E67" s="684"/>
      <c r="F67" s="685" t="s">
        <v>36</v>
      </c>
      <c r="G67" s="686">
        <f>SUBTOTAL(9,G68:G70)</f>
        <v>15.802074948250002</v>
      </c>
      <c r="H67" s="691">
        <f>SUBTOTAL(9,H68:H70)</f>
        <v>3</v>
      </c>
      <c r="I67" s="626"/>
      <c r="J67" s="752"/>
      <c r="L67" s="684"/>
      <c r="M67" s="684"/>
      <c r="N67" s="684"/>
      <c r="O67" s="684"/>
      <c r="P67" s="684"/>
      <c r="Q67" s="684"/>
      <c r="R67" s="684"/>
      <c r="T67" s="752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236</v>
      </c>
      <c r="C68" s="387" t="s">
        <v>1407</v>
      </c>
      <c r="D68" s="376" t="s">
        <v>159</v>
      </c>
      <c r="E68" s="376" t="s">
        <v>1100</v>
      </c>
      <c r="F68" s="608" t="s">
        <v>17</v>
      </c>
      <c r="G68" s="609">
        <v>6.3210374741250011</v>
      </c>
      <c r="H68" s="692">
        <v>1</v>
      </c>
      <c r="I68" s="626"/>
      <c r="J68" s="752"/>
      <c r="L68" s="376" t="s">
        <v>1100</v>
      </c>
      <c r="M68" s="376" t="s">
        <v>1090</v>
      </c>
      <c r="N68" s="376" t="s">
        <v>1110</v>
      </c>
      <c r="O68" s="376" t="s">
        <v>1101</v>
      </c>
      <c r="P68" s="376"/>
      <c r="Q68" s="376"/>
      <c r="R68" s="376"/>
      <c r="T68" s="752"/>
      <c r="V68" s="609">
        <f t="shared" ref="V68:V70" si="9">IF(W68=1,G68,0)</f>
        <v>0</v>
      </c>
      <c r="W68" s="692"/>
    </row>
    <row r="69" spans="2:23" outlineLevel="3">
      <c r="B69" s="376" t="s">
        <v>236</v>
      </c>
      <c r="C69" s="387" t="s">
        <v>1407</v>
      </c>
      <c r="D69" s="376" t="s">
        <v>159</v>
      </c>
      <c r="E69" s="376" t="s">
        <v>1100</v>
      </c>
      <c r="F69" s="608" t="s">
        <v>36</v>
      </c>
      <c r="G69" s="609">
        <v>6.3210374741250011</v>
      </c>
      <c r="H69" s="692">
        <v>1</v>
      </c>
      <c r="I69" s="626"/>
      <c r="J69" s="752"/>
      <c r="L69" s="376" t="s">
        <v>1100</v>
      </c>
      <c r="M69" s="376" t="s">
        <v>1090</v>
      </c>
      <c r="N69" s="376" t="s">
        <v>1110</v>
      </c>
      <c r="O69" s="376" t="s">
        <v>1101</v>
      </c>
      <c r="P69" s="376"/>
      <c r="Q69" s="376"/>
      <c r="R69" s="376"/>
      <c r="T69" s="752"/>
      <c r="V69" s="609">
        <f>IF(W69=1,G69,0)</f>
        <v>0</v>
      </c>
      <c r="W69" s="692"/>
    </row>
    <row r="70" spans="2:23" outlineLevel="3">
      <c r="B70" s="376" t="s">
        <v>236</v>
      </c>
      <c r="C70" s="387" t="s">
        <v>1407</v>
      </c>
      <c r="D70" s="376" t="s">
        <v>159</v>
      </c>
      <c r="E70" s="376" t="s">
        <v>1100</v>
      </c>
      <c r="F70" s="608" t="s">
        <v>208</v>
      </c>
      <c r="G70" s="609">
        <v>3.16</v>
      </c>
      <c r="H70" s="692">
        <v>1</v>
      </c>
      <c r="I70" s="626"/>
      <c r="J70" s="752"/>
      <c r="L70" s="376" t="s">
        <v>1100</v>
      </c>
      <c r="M70" s="376" t="s">
        <v>1090</v>
      </c>
      <c r="N70" s="376" t="s">
        <v>1110</v>
      </c>
      <c r="O70" s="376" t="s">
        <v>1101</v>
      </c>
      <c r="P70" s="376"/>
      <c r="Q70" s="376"/>
      <c r="R70" s="376"/>
      <c r="T70" s="752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50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7" ht="17.45">
      <c r="A2" s="376"/>
      <c r="B2" s="418" t="s">
        <v>1874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2"/>
      <c r="L2" s="418"/>
      <c r="M2" s="418"/>
      <c r="N2" s="418"/>
      <c r="O2" s="418"/>
      <c r="P2" s="418"/>
      <c r="Q2" s="418"/>
      <c r="R2" s="418"/>
      <c r="T2" s="752"/>
      <c r="V2" s="689">
        <f>SUBTOTAL(9,V6:V66)</f>
        <v>0</v>
      </c>
      <c r="W2" s="765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L3" s="376"/>
      <c r="M3" s="376"/>
      <c r="N3" s="376"/>
      <c r="O3" s="376"/>
      <c r="P3" s="376"/>
      <c r="Q3" s="376"/>
      <c r="R3" s="376"/>
      <c r="T3" s="752"/>
      <c r="V3" s="376"/>
      <c r="W3" s="376"/>
    </row>
    <row r="4" spans="1:3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T4" s="753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2"/>
      <c r="L5" s="376"/>
      <c r="M5" s="376"/>
      <c r="N5" s="376"/>
      <c r="O5" s="376"/>
      <c r="P5" s="376"/>
      <c r="Q5" s="376"/>
      <c r="R5" s="376"/>
      <c r="T5" s="752"/>
      <c r="V5" s="695"/>
      <c r="W5" s="696"/>
      <c r="X5" s="610"/>
      <c r="Y5" s="610"/>
      <c r="Z5" s="610"/>
      <c r="AA5" s="610"/>
    </row>
    <row r="6" spans="1:37" ht="15">
      <c r="A6" s="376"/>
      <c r="B6" s="430" t="s">
        <v>945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2"/>
      <c r="L6" s="430"/>
      <c r="M6" s="430"/>
      <c r="N6" s="430"/>
      <c r="O6" s="430"/>
      <c r="P6" s="430"/>
      <c r="Q6" s="430"/>
      <c r="R6" s="430"/>
      <c r="T6" s="752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2"/>
      <c r="L7" s="376"/>
      <c r="M7" s="376"/>
      <c r="N7" s="376"/>
      <c r="O7" s="376"/>
      <c r="P7" s="376"/>
      <c r="Q7" s="376"/>
      <c r="R7" s="376"/>
      <c r="T7" s="752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891</v>
      </c>
      <c r="C8" s="665" t="s">
        <v>946</v>
      </c>
      <c r="D8" s="665"/>
      <c r="E8" s="665"/>
      <c r="F8" s="681" t="s">
        <v>947</v>
      </c>
      <c r="G8" s="701">
        <f>SUBTOTAL(9,G9:G12)</f>
        <v>0.35761529836000006</v>
      </c>
      <c r="H8" s="702">
        <f>SUBTOTAL(9,H9:H12)</f>
        <v>3</v>
      </c>
      <c r="I8" s="626"/>
      <c r="J8" s="752"/>
      <c r="L8" s="665"/>
      <c r="M8" s="665"/>
      <c r="N8" s="665"/>
      <c r="O8" s="665"/>
      <c r="P8" s="665"/>
      <c r="Q8" s="665"/>
      <c r="R8" s="665"/>
      <c r="T8" s="752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891</v>
      </c>
      <c r="C9" s="684" t="s">
        <v>946</v>
      </c>
      <c r="D9" s="684" t="s">
        <v>159</v>
      </c>
      <c r="E9" s="684"/>
      <c r="F9" s="685" t="s">
        <v>948</v>
      </c>
      <c r="G9" s="686">
        <f>SUBTOTAL(9,G10:G12)</f>
        <v>0.35761529836000006</v>
      </c>
      <c r="H9" s="691">
        <f>SUBTOTAL(9,H10:H12)</f>
        <v>3</v>
      </c>
      <c r="I9" s="626"/>
      <c r="J9" s="752"/>
      <c r="L9" s="684"/>
      <c r="M9" s="684"/>
      <c r="N9" s="684"/>
      <c r="O9" s="684"/>
      <c r="P9" s="684"/>
      <c r="Q9" s="684"/>
      <c r="R9" s="684"/>
      <c r="T9" s="752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6.45" outlineLevel="3">
      <c r="A10" s="376"/>
      <c r="B10" s="376" t="s">
        <v>891</v>
      </c>
      <c r="C10" s="376" t="s">
        <v>949</v>
      </c>
      <c r="D10" s="376" t="s">
        <v>159</v>
      </c>
      <c r="E10" s="376" t="s">
        <v>950</v>
      </c>
      <c r="F10" s="608" t="s">
        <v>9</v>
      </c>
      <c r="G10" s="609">
        <v>0.27</v>
      </c>
      <c r="H10" s="700">
        <v>1</v>
      </c>
      <c r="I10" s="626"/>
      <c r="J10" s="752"/>
      <c r="L10" s="376" t="s">
        <v>950</v>
      </c>
      <c r="M10" s="376" t="s">
        <v>951</v>
      </c>
      <c r="N10" s="376" t="s">
        <v>952</v>
      </c>
      <c r="O10" s="376"/>
      <c r="P10" s="376"/>
      <c r="Q10" s="376"/>
      <c r="R10" s="376"/>
      <c r="T10" s="752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891</v>
      </c>
      <c r="C11" s="376" t="s">
        <v>949</v>
      </c>
      <c r="D11" s="376" t="s">
        <v>159</v>
      </c>
      <c r="E11" s="376" t="s">
        <v>950</v>
      </c>
      <c r="F11" s="608" t="s">
        <v>953</v>
      </c>
      <c r="G11" s="695">
        <v>4.5377035860000005E-2</v>
      </c>
      <c r="H11" s="700">
        <v>1</v>
      </c>
      <c r="I11" s="626"/>
      <c r="J11" s="752"/>
      <c r="L11" s="376" t="s">
        <v>950</v>
      </c>
      <c r="M11" s="376" t="s">
        <v>954</v>
      </c>
      <c r="N11" s="376" t="s">
        <v>955</v>
      </c>
      <c r="O11" s="376"/>
      <c r="P11" s="376"/>
      <c r="Q11" s="376"/>
      <c r="R11" s="376"/>
      <c r="T11" s="752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3.9" customHeight="1" outlineLevel="3">
      <c r="A12" s="376"/>
      <c r="B12" s="376" t="s">
        <v>891</v>
      </c>
      <c r="C12" s="376" t="s">
        <v>956</v>
      </c>
      <c r="D12" s="376" t="s">
        <v>159</v>
      </c>
      <c r="E12" s="376" t="s">
        <v>950</v>
      </c>
      <c r="F12" s="608" t="s">
        <v>957</v>
      </c>
      <c r="G12" s="609">
        <v>4.2238262499999998E-2</v>
      </c>
      <c r="H12" s="692">
        <v>1</v>
      </c>
      <c r="I12" s="626"/>
      <c r="J12" s="752"/>
      <c r="L12" s="376" t="s">
        <v>950</v>
      </c>
      <c r="M12" s="376" t="s">
        <v>954</v>
      </c>
      <c r="N12" s="376" t="s">
        <v>955</v>
      </c>
      <c r="O12" s="376"/>
      <c r="P12" s="376"/>
      <c r="Q12" s="376"/>
      <c r="R12" s="376"/>
      <c r="T12" s="752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891</v>
      </c>
      <c r="C13" s="665" t="s">
        <v>969</v>
      </c>
      <c r="D13" s="665"/>
      <c r="E13" s="665"/>
      <c r="F13" s="681" t="s">
        <v>947</v>
      </c>
      <c r="G13" s="701">
        <f>SUBTOTAL(9,G14:G29)</f>
        <v>1.5631324216209741</v>
      </c>
      <c r="H13" s="702">
        <f>SUBTOTAL(9,H14:H29)</f>
        <v>15</v>
      </c>
      <c r="I13" s="627"/>
      <c r="J13" s="754"/>
      <c r="L13" s="665"/>
      <c r="M13" s="665"/>
      <c r="N13" s="665"/>
      <c r="O13" s="665"/>
      <c r="P13" s="665"/>
      <c r="Q13" s="665"/>
      <c r="R13" s="665"/>
      <c r="T13" s="754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891</v>
      </c>
      <c r="C14" s="684" t="s">
        <v>969</v>
      </c>
      <c r="D14" s="684" t="s">
        <v>159</v>
      </c>
      <c r="E14" s="684"/>
      <c r="F14" s="685" t="s">
        <v>970</v>
      </c>
      <c r="G14" s="686">
        <f>SUBTOTAL(9,G15:G29)</f>
        <v>1.5631324216209741</v>
      </c>
      <c r="H14" s="691">
        <f>SUBTOTAL(9,H15:H29)</f>
        <v>15</v>
      </c>
      <c r="I14" s="703"/>
      <c r="J14" s="755"/>
      <c r="K14" s="751"/>
      <c r="L14" s="684"/>
      <c r="M14" s="684"/>
      <c r="N14" s="684"/>
      <c r="O14" s="684"/>
      <c r="P14" s="684"/>
      <c r="Q14" s="684"/>
      <c r="R14" s="684"/>
      <c r="S14" s="751"/>
      <c r="T14" s="755"/>
      <c r="U14" s="751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891</v>
      </c>
      <c r="C15" s="376" t="s">
        <v>969</v>
      </c>
      <c r="D15" s="376" t="s">
        <v>159</v>
      </c>
      <c r="E15" s="387" t="s">
        <v>950</v>
      </c>
      <c r="F15" s="608" t="s">
        <v>971</v>
      </c>
      <c r="G15" s="609">
        <v>0.27398366869616486</v>
      </c>
      <c r="H15" s="692">
        <v>1</v>
      </c>
      <c r="I15" s="626"/>
      <c r="J15" s="752"/>
      <c r="K15" s="416"/>
      <c r="L15" s="387" t="s">
        <v>950</v>
      </c>
      <c r="M15" s="387" t="s">
        <v>951</v>
      </c>
      <c r="N15" s="387" t="s">
        <v>972</v>
      </c>
      <c r="O15" s="387" t="s">
        <v>955</v>
      </c>
      <c r="P15" s="387"/>
      <c r="Q15" s="387"/>
      <c r="R15" s="387"/>
      <c r="S15" s="416"/>
      <c r="T15" s="752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891</v>
      </c>
      <c r="C16" s="376" t="s">
        <v>969</v>
      </c>
      <c r="D16" s="376" t="s">
        <v>159</v>
      </c>
      <c r="E16" s="387" t="s">
        <v>950</v>
      </c>
      <c r="F16" s="608" t="s">
        <v>973</v>
      </c>
      <c r="G16" s="609">
        <v>0.36</v>
      </c>
      <c r="H16" s="692">
        <v>1</v>
      </c>
      <c r="I16" s="626"/>
      <c r="J16" s="752"/>
      <c r="K16" s="416"/>
      <c r="L16" s="387" t="s">
        <v>950</v>
      </c>
      <c r="M16" s="387" t="s">
        <v>951</v>
      </c>
      <c r="N16" s="387" t="s">
        <v>972</v>
      </c>
      <c r="O16" s="387" t="s">
        <v>974</v>
      </c>
      <c r="P16" s="387"/>
      <c r="Q16" s="387"/>
      <c r="R16" s="387"/>
      <c r="S16" s="416"/>
      <c r="T16" s="752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891</v>
      </c>
      <c r="C17" s="376" t="s">
        <v>969</v>
      </c>
      <c r="D17" s="376" t="s">
        <v>159</v>
      </c>
      <c r="E17" s="387" t="s">
        <v>950</v>
      </c>
      <c r="F17" s="608" t="s">
        <v>1875</v>
      </c>
      <c r="G17" s="609">
        <v>0.36</v>
      </c>
      <c r="H17" s="692">
        <v>1</v>
      </c>
      <c r="I17" s="626"/>
      <c r="J17" s="752"/>
      <c r="K17" s="416"/>
      <c r="L17" s="387" t="s">
        <v>950</v>
      </c>
      <c r="M17" s="387" t="s">
        <v>951</v>
      </c>
      <c r="N17" s="387" t="s">
        <v>972</v>
      </c>
      <c r="O17" s="387" t="s">
        <v>974</v>
      </c>
      <c r="P17" s="387"/>
      <c r="Q17" s="387"/>
      <c r="R17" s="387"/>
      <c r="S17" s="416"/>
      <c r="T17" s="752"/>
      <c r="U17" s="416"/>
      <c r="V17" s="609">
        <f>IF(W17=1,G17,0)</f>
        <v>0</v>
      </c>
      <c r="W17" s="692"/>
    </row>
    <row r="18" spans="2:23" s="704" customFormat="1" ht="26.45" outlineLevel="3">
      <c r="B18" s="376" t="s">
        <v>891</v>
      </c>
      <c r="C18" s="376" t="s">
        <v>969</v>
      </c>
      <c r="D18" s="376" t="s">
        <v>159</v>
      </c>
      <c r="E18" s="387" t="s">
        <v>950</v>
      </c>
      <c r="F18" s="608" t="s">
        <v>975</v>
      </c>
      <c r="G18" s="609">
        <v>4.3982695586700871E-2</v>
      </c>
      <c r="H18" s="692">
        <v>1</v>
      </c>
      <c r="I18" s="626"/>
      <c r="J18" s="752"/>
      <c r="K18" s="416"/>
      <c r="L18" s="387" t="s">
        <v>950</v>
      </c>
      <c r="M18" s="387" t="s">
        <v>951</v>
      </c>
      <c r="N18" s="387" t="s">
        <v>955</v>
      </c>
      <c r="O18" s="387"/>
      <c r="P18" s="387"/>
      <c r="Q18" s="387"/>
      <c r="R18" s="387"/>
      <c r="S18" s="416"/>
      <c r="T18" s="752"/>
      <c r="U18" s="416"/>
      <c r="V18" s="609">
        <f t="shared" si="1"/>
        <v>0</v>
      </c>
      <c r="W18" s="692"/>
    </row>
    <row r="19" spans="2:23" s="704" customFormat="1" ht="26.45" outlineLevel="3">
      <c r="B19" s="376" t="s">
        <v>891</v>
      </c>
      <c r="C19" s="376" t="s">
        <v>969</v>
      </c>
      <c r="D19" s="376" t="s">
        <v>159</v>
      </c>
      <c r="E19" s="387" t="s">
        <v>950</v>
      </c>
      <c r="F19" s="608" t="s">
        <v>976</v>
      </c>
      <c r="G19" s="609">
        <v>4.3982695586700871E-2</v>
      </c>
      <c r="H19" s="692">
        <v>1</v>
      </c>
      <c r="I19" s="626"/>
      <c r="J19" s="752"/>
      <c r="K19" s="416"/>
      <c r="L19" s="387" t="s">
        <v>950</v>
      </c>
      <c r="M19" s="387" t="s">
        <v>951</v>
      </c>
      <c r="N19" s="387" t="s">
        <v>952</v>
      </c>
      <c r="O19" s="387"/>
      <c r="P19" s="387"/>
      <c r="Q19" s="387"/>
      <c r="R19" s="387"/>
      <c r="S19" s="416"/>
      <c r="T19" s="752"/>
      <c r="U19" s="416"/>
      <c r="V19" s="609">
        <f t="shared" si="1"/>
        <v>0</v>
      </c>
      <c r="W19" s="692"/>
    </row>
    <row r="20" spans="2:23" s="704" customFormat="1" ht="26.45" outlineLevel="3">
      <c r="B20" s="376" t="s">
        <v>891</v>
      </c>
      <c r="C20" s="376" t="s">
        <v>969</v>
      </c>
      <c r="D20" s="376" t="s">
        <v>159</v>
      </c>
      <c r="E20" s="387" t="s">
        <v>950</v>
      </c>
      <c r="F20" s="608" t="s">
        <v>977</v>
      </c>
      <c r="G20" s="609">
        <v>6.5974043380051306E-2</v>
      </c>
      <c r="H20" s="692">
        <v>1</v>
      </c>
      <c r="I20" s="626"/>
      <c r="J20" s="752"/>
      <c r="K20" s="416"/>
      <c r="L20" s="387" t="s">
        <v>950</v>
      </c>
      <c r="M20" s="387" t="s">
        <v>951</v>
      </c>
      <c r="N20" s="387" t="s">
        <v>972</v>
      </c>
      <c r="O20" s="387"/>
      <c r="P20" s="387"/>
      <c r="Q20" s="387"/>
      <c r="R20" s="387"/>
      <c r="S20" s="416"/>
      <c r="T20" s="752"/>
      <c r="U20" s="416"/>
      <c r="V20" s="609">
        <f t="shared" si="1"/>
        <v>0</v>
      </c>
      <c r="W20" s="692"/>
    </row>
    <row r="21" spans="2:23" s="704" customFormat="1" ht="26.45" outlineLevel="3">
      <c r="B21" s="376" t="s">
        <v>891</v>
      </c>
      <c r="C21" s="376" t="s">
        <v>969</v>
      </c>
      <c r="D21" s="376" t="s">
        <v>159</v>
      </c>
      <c r="E21" s="387" t="s">
        <v>950</v>
      </c>
      <c r="F21" s="608" t="s">
        <v>978</v>
      </c>
      <c r="G21" s="609">
        <v>6.5974043380051306E-2</v>
      </c>
      <c r="H21" s="692">
        <v>1</v>
      </c>
      <c r="I21" s="626"/>
      <c r="J21" s="752"/>
      <c r="K21" s="416"/>
      <c r="L21" s="387" t="s">
        <v>950</v>
      </c>
      <c r="M21" s="387" t="s">
        <v>951</v>
      </c>
      <c r="N21" s="387" t="s">
        <v>972</v>
      </c>
      <c r="O21" s="387"/>
      <c r="P21" s="387"/>
      <c r="Q21" s="387"/>
      <c r="R21" s="387"/>
      <c r="S21" s="416"/>
      <c r="T21" s="752"/>
      <c r="U21" s="416"/>
      <c r="V21" s="609">
        <f t="shared" si="1"/>
        <v>0</v>
      </c>
      <c r="W21" s="692"/>
    </row>
    <row r="22" spans="2:23" s="704" customFormat="1" ht="26.45" outlineLevel="3">
      <c r="B22" s="376" t="s">
        <v>891</v>
      </c>
      <c r="C22" s="376" t="s">
        <v>969</v>
      </c>
      <c r="D22" s="376" t="s">
        <v>159</v>
      </c>
      <c r="E22" s="387" t="s">
        <v>950</v>
      </c>
      <c r="F22" s="608" t="s">
        <v>979</v>
      </c>
      <c r="G22" s="609">
        <v>6.5974043380051306E-2</v>
      </c>
      <c r="H22" s="692">
        <v>1</v>
      </c>
      <c r="I22" s="626"/>
      <c r="J22" s="752"/>
      <c r="K22" s="416"/>
      <c r="L22" s="387" t="s">
        <v>950</v>
      </c>
      <c r="M22" s="387" t="s">
        <v>951</v>
      </c>
      <c r="N22" s="387" t="s">
        <v>972</v>
      </c>
      <c r="O22" s="387"/>
      <c r="P22" s="387"/>
      <c r="Q22" s="387"/>
      <c r="R22" s="387"/>
      <c r="S22" s="416"/>
      <c r="T22" s="752"/>
      <c r="U22" s="416"/>
      <c r="V22" s="609">
        <f t="shared" si="1"/>
        <v>0</v>
      </c>
      <c r="W22" s="692"/>
    </row>
    <row r="23" spans="2:23" s="704" customFormat="1" ht="26.45" outlineLevel="3">
      <c r="B23" s="376" t="s">
        <v>891</v>
      </c>
      <c r="C23" s="376" t="s">
        <v>969</v>
      </c>
      <c r="D23" s="376" t="s">
        <v>159</v>
      </c>
      <c r="E23" s="387" t="s">
        <v>950</v>
      </c>
      <c r="F23" s="608" t="s">
        <v>980</v>
      </c>
      <c r="G23" s="609">
        <v>6.5974043380051306E-2</v>
      </c>
      <c r="H23" s="692">
        <v>1</v>
      </c>
      <c r="I23" s="626"/>
      <c r="J23" s="752"/>
      <c r="K23" s="416"/>
      <c r="L23" s="387" t="s">
        <v>950</v>
      </c>
      <c r="M23" s="387" t="s">
        <v>951</v>
      </c>
      <c r="N23" s="387" t="s">
        <v>972</v>
      </c>
      <c r="O23" s="387"/>
      <c r="P23" s="387"/>
      <c r="Q23" s="387"/>
      <c r="R23" s="387"/>
      <c r="S23" s="416"/>
      <c r="T23" s="752"/>
      <c r="U23" s="416"/>
      <c r="V23" s="609">
        <f t="shared" si="1"/>
        <v>0</v>
      </c>
      <c r="W23" s="692"/>
    </row>
    <row r="24" spans="2:23" s="704" customFormat="1" ht="26.45" outlineLevel="3">
      <c r="B24" s="376" t="s">
        <v>891</v>
      </c>
      <c r="C24" s="376" t="s">
        <v>969</v>
      </c>
      <c r="D24" s="376" t="s">
        <v>159</v>
      </c>
      <c r="E24" s="387" t="s">
        <v>950</v>
      </c>
      <c r="F24" s="608" t="s">
        <v>981</v>
      </c>
      <c r="G24" s="609">
        <v>1.466089852890029E-2</v>
      </c>
      <c r="H24" s="692">
        <v>1</v>
      </c>
      <c r="I24" s="626"/>
      <c r="J24" s="752"/>
      <c r="K24" s="416"/>
      <c r="L24" s="387" t="s">
        <v>950</v>
      </c>
      <c r="M24" s="387" t="s">
        <v>951</v>
      </c>
      <c r="N24" s="387" t="s">
        <v>972</v>
      </c>
      <c r="O24" s="387"/>
      <c r="P24" s="387"/>
      <c r="Q24" s="387"/>
      <c r="R24" s="387"/>
      <c r="S24" s="416"/>
      <c r="T24" s="752"/>
      <c r="U24" s="416"/>
      <c r="V24" s="609">
        <f t="shared" si="1"/>
        <v>0</v>
      </c>
      <c r="W24" s="692"/>
    </row>
    <row r="25" spans="2:23" s="704" customFormat="1" ht="26.45" outlineLevel="3">
      <c r="B25" s="376" t="s">
        <v>891</v>
      </c>
      <c r="C25" s="376" t="s">
        <v>969</v>
      </c>
      <c r="D25" s="376" t="s">
        <v>159</v>
      </c>
      <c r="E25" s="387" t="s">
        <v>950</v>
      </c>
      <c r="F25" s="608" t="s">
        <v>982</v>
      </c>
      <c r="G25" s="609">
        <v>2.932179705780058E-2</v>
      </c>
      <c r="H25" s="692">
        <v>1</v>
      </c>
      <c r="I25" s="626"/>
      <c r="J25" s="752"/>
      <c r="K25" s="416"/>
      <c r="L25" s="387" t="s">
        <v>950</v>
      </c>
      <c r="M25" s="387" t="s">
        <v>951</v>
      </c>
      <c r="N25" s="387" t="s">
        <v>952</v>
      </c>
      <c r="O25" s="387"/>
      <c r="P25" s="387"/>
      <c r="Q25" s="387"/>
      <c r="R25" s="387"/>
      <c r="S25" s="416"/>
      <c r="T25" s="752"/>
      <c r="U25" s="416"/>
      <c r="V25" s="609">
        <f t="shared" si="1"/>
        <v>0</v>
      </c>
      <c r="W25" s="692"/>
    </row>
    <row r="26" spans="2:23" s="704" customFormat="1" ht="26.45" outlineLevel="3">
      <c r="B26" s="376" t="s">
        <v>891</v>
      </c>
      <c r="C26" s="376" t="s">
        <v>969</v>
      </c>
      <c r="D26" s="376" t="s">
        <v>159</v>
      </c>
      <c r="E26" s="387" t="s">
        <v>950</v>
      </c>
      <c r="F26" s="608" t="s">
        <v>1876</v>
      </c>
      <c r="G26" s="609">
        <v>2.932179705780058E-2</v>
      </c>
      <c r="H26" s="692">
        <v>1</v>
      </c>
      <c r="I26" s="626"/>
      <c r="J26" s="752"/>
      <c r="K26" s="416"/>
      <c r="L26" s="387" t="s">
        <v>950</v>
      </c>
      <c r="M26" s="387" t="s">
        <v>951</v>
      </c>
      <c r="N26" s="387" t="s">
        <v>952</v>
      </c>
      <c r="O26" s="387"/>
      <c r="P26" s="387"/>
      <c r="Q26" s="387"/>
      <c r="R26" s="387"/>
      <c r="S26" s="416"/>
      <c r="T26" s="752"/>
      <c r="U26" s="416"/>
      <c r="V26" s="609">
        <f>IF(W26=1,G26,0)</f>
        <v>0</v>
      </c>
      <c r="W26" s="692"/>
    </row>
    <row r="27" spans="2:23" s="704" customFormat="1" ht="26.45" outlineLevel="3">
      <c r="B27" s="376" t="s">
        <v>891</v>
      </c>
      <c r="C27" s="376" t="s">
        <v>969</v>
      </c>
      <c r="D27" s="376" t="s">
        <v>159</v>
      </c>
      <c r="E27" s="387" t="s">
        <v>950</v>
      </c>
      <c r="F27" s="608" t="s">
        <v>983</v>
      </c>
      <c r="G27" s="609">
        <v>4.3982695586700871E-2</v>
      </c>
      <c r="H27" s="692">
        <v>1</v>
      </c>
      <c r="I27" s="626"/>
      <c r="J27" s="752"/>
      <c r="K27" s="416"/>
      <c r="L27" s="387" t="s">
        <v>950</v>
      </c>
      <c r="M27" s="387" t="s">
        <v>951</v>
      </c>
      <c r="N27" s="387" t="s">
        <v>952</v>
      </c>
      <c r="O27" s="387"/>
      <c r="P27" s="387"/>
      <c r="Q27" s="387"/>
      <c r="R27" s="387"/>
      <c r="S27" s="416"/>
      <c r="T27" s="752"/>
      <c r="U27" s="416"/>
      <c r="V27" s="609">
        <f t="shared" si="1"/>
        <v>0</v>
      </c>
      <c r="W27" s="692"/>
    </row>
    <row r="28" spans="2:23" s="704" customFormat="1" outlineLevel="3">
      <c r="B28" s="387" t="s">
        <v>891</v>
      </c>
      <c r="C28" s="387" t="s">
        <v>969</v>
      </c>
      <c r="D28" s="387" t="s">
        <v>159</v>
      </c>
      <c r="E28" s="387" t="s">
        <v>950</v>
      </c>
      <c r="F28" s="705" t="s">
        <v>984</v>
      </c>
      <c r="G28" s="706">
        <v>0.05</v>
      </c>
      <c r="H28" s="707">
        <v>1</v>
      </c>
      <c r="I28" s="626"/>
      <c r="J28" s="752"/>
      <c r="K28" s="416"/>
      <c r="L28" s="387" t="s">
        <v>950</v>
      </c>
      <c r="M28" s="387" t="s">
        <v>954</v>
      </c>
      <c r="N28" s="387" t="s">
        <v>955</v>
      </c>
      <c r="O28" s="387"/>
      <c r="P28" s="387"/>
      <c r="Q28" s="387"/>
      <c r="R28" s="387"/>
      <c r="S28" s="416"/>
      <c r="T28" s="752"/>
      <c r="U28" s="416"/>
      <c r="V28" s="609">
        <f t="shared" si="1"/>
        <v>0</v>
      </c>
      <c r="W28" s="707"/>
    </row>
    <row r="29" spans="2:23" s="704" customFormat="1" outlineLevel="3">
      <c r="B29" s="387" t="s">
        <v>891</v>
      </c>
      <c r="C29" s="387" t="s">
        <v>969</v>
      </c>
      <c r="D29" s="387" t="s">
        <v>159</v>
      </c>
      <c r="E29" s="387" t="s">
        <v>950</v>
      </c>
      <c r="F29" s="705" t="s">
        <v>985</v>
      </c>
      <c r="G29" s="706">
        <v>0.05</v>
      </c>
      <c r="H29" s="707">
        <v>1</v>
      </c>
      <c r="I29" s="626"/>
      <c r="J29" s="752"/>
      <c r="K29" s="416"/>
      <c r="L29" s="387" t="s">
        <v>950</v>
      </c>
      <c r="M29" s="387" t="s">
        <v>954</v>
      </c>
      <c r="N29" s="387" t="s">
        <v>955</v>
      </c>
      <c r="O29" s="387"/>
      <c r="P29" s="387"/>
      <c r="Q29" s="387"/>
      <c r="R29" s="387"/>
      <c r="S29" s="416"/>
      <c r="T29" s="752"/>
      <c r="U29" s="416"/>
      <c r="V29" s="609">
        <f t="shared" si="1"/>
        <v>0</v>
      </c>
      <c r="W29" s="707"/>
    </row>
    <row r="30" spans="2:23" s="711" customFormat="1" outlineLevel="1">
      <c r="B30" s="666" t="s">
        <v>894</v>
      </c>
      <c r="C30" s="666" t="s">
        <v>1021</v>
      </c>
      <c r="D30" s="666"/>
      <c r="E30" s="666"/>
      <c r="F30" s="681" t="s">
        <v>947</v>
      </c>
      <c r="G30" s="708">
        <f>SUBTOTAL(9,G31:G39)</f>
        <v>3.3658999999999999</v>
      </c>
      <c r="H30" s="709">
        <f>SUBTOTAL(9,H31:H39)</f>
        <v>8</v>
      </c>
      <c r="I30" s="710"/>
      <c r="J30" s="756"/>
      <c r="L30" s="666"/>
      <c r="M30" s="666"/>
      <c r="N30" s="666"/>
      <c r="O30" s="666"/>
      <c r="P30" s="666"/>
      <c r="Q30" s="666"/>
      <c r="R30" s="666"/>
      <c r="T30" s="756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894</v>
      </c>
      <c r="C31" s="684" t="s">
        <v>1021</v>
      </c>
      <c r="D31" s="684" t="s">
        <v>159</v>
      </c>
      <c r="E31" s="684"/>
      <c r="F31" s="712" t="s">
        <v>1022</v>
      </c>
      <c r="G31" s="713">
        <f>SUBTOTAL(9,G32:G39)</f>
        <v>3.3658999999999999</v>
      </c>
      <c r="H31" s="714">
        <f>SUBTOTAL(9,H32:H39)</f>
        <v>8</v>
      </c>
      <c r="I31" s="626"/>
      <c r="J31" s="752"/>
      <c r="L31" s="684"/>
      <c r="M31" s="684"/>
      <c r="N31" s="684"/>
      <c r="O31" s="684"/>
      <c r="P31" s="684"/>
      <c r="Q31" s="684"/>
      <c r="R31" s="684"/>
      <c r="T31" s="752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894</v>
      </c>
      <c r="C32" s="376" t="s">
        <v>1021</v>
      </c>
      <c r="D32" s="376" t="s">
        <v>159</v>
      </c>
      <c r="E32" s="376" t="s">
        <v>950</v>
      </c>
      <c r="F32" s="623" t="s">
        <v>1023</v>
      </c>
      <c r="G32" s="720">
        <v>0.17</v>
      </c>
      <c r="H32" s="700">
        <v>1</v>
      </c>
      <c r="I32" s="626"/>
      <c r="J32" s="752"/>
      <c r="L32" s="376" t="s">
        <v>950</v>
      </c>
      <c r="M32" s="376" t="s">
        <v>1024</v>
      </c>
      <c r="N32" s="376" t="s">
        <v>1025</v>
      </c>
      <c r="O32" s="376"/>
      <c r="P32" s="376"/>
      <c r="Q32" s="376"/>
      <c r="R32" s="376"/>
      <c r="T32" s="752"/>
      <c r="V32" s="609">
        <f t="shared" ref="V32:V39" si="2">IF(W32=1,G32,0)</f>
        <v>0</v>
      </c>
      <c r="W32" s="700"/>
    </row>
    <row r="33" spans="2:23" ht="26.45" outlineLevel="3">
      <c r="B33" s="376" t="s">
        <v>894</v>
      </c>
      <c r="C33" s="376" t="s">
        <v>1021</v>
      </c>
      <c r="D33" s="376" t="s">
        <v>159</v>
      </c>
      <c r="E33" s="376" t="s">
        <v>950</v>
      </c>
      <c r="F33" s="623" t="s">
        <v>1026</v>
      </c>
      <c r="G33" s="720">
        <v>0.17</v>
      </c>
      <c r="H33" s="700">
        <v>1</v>
      </c>
      <c r="I33" s="626"/>
      <c r="J33" s="752"/>
      <c r="L33" s="376" t="s">
        <v>950</v>
      </c>
      <c r="M33" s="376" t="s">
        <v>1024</v>
      </c>
      <c r="N33" s="376" t="s">
        <v>1025</v>
      </c>
      <c r="O33" s="376"/>
      <c r="P33" s="376"/>
      <c r="Q33" s="376"/>
      <c r="R33" s="376"/>
      <c r="T33" s="752"/>
      <c r="V33" s="609">
        <f t="shared" si="2"/>
        <v>0</v>
      </c>
      <c r="W33" s="700"/>
    </row>
    <row r="34" spans="2:23" outlineLevel="3">
      <c r="B34" s="376" t="s">
        <v>894</v>
      </c>
      <c r="C34" s="376" t="s">
        <v>1021</v>
      </c>
      <c r="D34" s="376" t="s">
        <v>159</v>
      </c>
      <c r="E34" s="376" t="s">
        <v>950</v>
      </c>
      <c r="F34" s="623" t="s">
        <v>1027</v>
      </c>
      <c r="G34" s="720">
        <v>1.18</v>
      </c>
      <c r="H34" s="700">
        <v>1</v>
      </c>
      <c r="I34" s="626"/>
      <c r="J34" s="752"/>
      <c r="L34" s="376" t="s">
        <v>950</v>
      </c>
      <c r="M34" s="376" t="s">
        <v>1028</v>
      </c>
      <c r="N34" s="376"/>
      <c r="O34" s="376"/>
      <c r="P34" s="376"/>
      <c r="Q34" s="376"/>
      <c r="R34" s="376"/>
      <c r="T34" s="752"/>
      <c r="V34" s="609">
        <f t="shared" si="2"/>
        <v>0</v>
      </c>
      <c r="W34" s="700"/>
    </row>
    <row r="35" spans="2:23" outlineLevel="3">
      <c r="B35" s="376" t="s">
        <v>894</v>
      </c>
      <c r="C35" s="376" t="s">
        <v>1021</v>
      </c>
      <c r="D35" s="376" t="s">
        <v>159</v>
      </c>
      <c r="E35" s="376" t="s">
        <v>950</v>
      </c>
      <c r="F35" s="623" t="s">
        <v>1029</v>
      </c>
      <c r="G35" s="720">
        <f>10659000/10^7</f>
        <v>1.0659000000000001</v>
      </c>
      <c r="H35" s="700">
        <v>1</v>
      </c>
      <c r="I35" s="626"/>
      <c r="J35" s="752"/>
      <c r="L35" s="376" t="s">
        <v>950</v>
      </c>
      <c r="M35" s="376" t="s">
        <v>1005</v>
      </c>
      <c r="N35" s="376" t="s">
        <v>1030</v>
      </c>
      <c r="O35" s="376"/>
      <c r="P35" s="376"/>
      <c r="Q35" s="376"/>
      <c r="R35" s="376"/>
      <c r="T35" s="752"/>
      <c r="V35" s="609">
        <f t="shared" si="2"/>
        <v>0</v>
      </c>
      <c r="W35" s="700"/>
    </row>
    <row r="36" spans="2:23" outlineLevel="3">
      <c r="B36" s="376" t="s">
        <v>894</v>
      </c>
      <c r="C36" s="376" t="s">
        <v>1021</v>
      </c>
      <c r="D36" s="376" t="s">
        <v>159</v>
      </c>
      <c r="E36" s="376" t="s">
        <v>950</v>
      </c>
      <c r="F36" s="623" t="s">
        <v>1031</v>
      </c>
      <c r="G36" s="720">
        <v>0.45</v>
      </c>
      <c r="H36" s="700">
        <v>1</v>
      </c>
      <c r="I36" s="626"/>
      <c r="J36" s="752"/>
      <c r="L36" s="376" t="s">
        <v>950</v>
      </c>
      <c r="M36" s="376" t="s">
        <v>1032</v>
      </c>
      <c r="N36" s="376"/>
      <c r="O36" s="376"/>
      <c r="P36" s="376"/>
      <c r="Q36" s="376"/>
      <c r="R36" s="376"/>
      <c r="T36" s="752"/>
      <c r="V36" s="609">
        <f t="shared" si="2"/>
        <v>0</v>
      </c>
      <c r="W36" s="700"/>
    </row>
    <row r="37" spans="2:23" outlineLevel="3">
      <c r="B37" s="376" t="s">
        <v>894</v>
      </c>
      <c r="C37" s="376" t="s">
        <v>1021</v>
      </c>
      <c r="D37" s="376" t="s">
        <v>159</v>
      </c>
      <c r="E37" s="376" t="s">
        <v>950</v>
      </c>
      <c r="F37" s="623" t="s">
        <v>1033</v>
      </c>
      <c r="G37" s="720">
        <v>0.15</v>
      </c>
      <c r="H37" s="700">
        <v>1</v>
      </c>
      <c r="I37" s="626"/>
      <c r="J37" s="752"/>
      <c r="L37" s="376" t="s">
        <v>950</v>
      </c>
      <c r="M37" s="376" t="s">
        <v>1032</v>
      </c>
      <c r="N37" s="376"/>
      <c r="O37" s="376"/>
      <c r="P37" s="376"/>
      <c r="Q37" s="376"/>
      <c r="R37" s="376"/>
      <c r="T37" s="752"/>
      <c r="V37" s="609">
        <f t="shared" si="2"/>
        <v>0</v>
      </c>
      <c r="W37" s="700"/>
    </row>
    <row r="38" spans="2:23" outlineLevel="3">
      <c r="B38" s="376" t="s">
        <v>894</v>
      </c>
      <c r="C38" s="376" t="s">
        <v>1021</v>
      </c>
      <c r="D38" s="376" t="s">
        <v>159</v>
      </c>
      <c r="E38" s="376" t="s">
        <v>950</v>
      </c>
      <c r="F38" s="623" t="s">
        <v>1034</v>
      </c>
      <c r="G38" s="720">
        <v>0.15</v>
      </c>
      <c r="H38" s="700">
        <v>1</v>
      </c>
      <c r="I38" s="626"/>
      <c r="J38" s="752"/>
      <c r="L38" s="376" t="s">
        <v>950</v>
      </c>
      <c r="M38" s="376" t="s">
        <v>1032</v>
      </c>
      <c r="N38" s="376"/>
      <c r="O38" s="376"/>
      <c r="P38" s="376"/>
      <c r="Q38" s="376"/>
      <c r="R38" s="376"/>
      <c r="T38" s="752"/>
      <c r="V38" s="609">
        <f t="shared" si="2"/>
        <v>0</v>
      </c>
      <c r="W38" s="700"/>
    </row>
    <row r="39" spans="2:23" outlineLevel="3">
      <c r="B39" s="387" t="s">
        <v>894</v>
      </c>
      <c r="C39" s="387" t="s">
        <v>1021</v>
      </c>
      <c r="D39" s="387" t="s">
        <v>159</v>
      </c>
      <c r="E39" s="387" t="s">
        <v>950</v>
      </c>
      <c r="F39" s="705" t="s">
        <v>1035</v>
      </c>
      <c r="G39" s="721">
        <v>0.03</v>
      </c>
      <c r="H39" s="722">
        <v>1</v>
      </c>
      <c r="I39" s="626"/>
      <c r="J39" s="752"/>
      <c r="L39" s="387" t="s">
        <v>950</v>
      </c>
      <c r="M39" s="387" t="s">
        <v>1032</v>
      </c>
      <c r="N39" s="387" t="s">
        <v>1036</v>
      </c>
      <c r="O39" s="387"/>
      <c r="P39" s="387"/>
      <c r="Q39" s="387"/>
      <c r="R39" s="387"/>
      <c r="T39" s="752"/>
      <c r="V39" s="609">
        <f t="shared" si="2"/>
        <v>0</v>
      </c>
      <c r="W39" s="722"/>
    </row>
    <row r="40" spans="2:23" s="612" customFormat="1" outlineLevel="1">
      <c r="B40" s="666" t="s">
        <v>469</v>
      </c>
      <c r="C40" s="666" t="s">
        <v>1049</v>
      </c>
      <c r="D40" s="666"/>
      <c r="E40" s="666"/>
      <c r="F40" s="681" t="s">
        <v>947</v>
      </c>
      <c r="G40" s="724">
        <f>SUBTOTAL(9,G41:G58)</f>
        <v>5.9438499999999976</v>
      </c>
      <c r="H40" s="725">
        <f>SUBTOTAL(9,H41:H58)</f>
        <v>17</v>
      </c>
      <c r="I40" s="627"/>
      <c r="J40" s="754"/>
      <c r="L40" s="666"/>
      <c r="M40" s="666"/>
      <c r="N40" s="666"/>
      <c r="O40" s="666"/>
      <c r="P40" s="666"/>
      <c r="Q40" s="666"/>
      <c r="R40" s="666"/>
      <c r="T40" s="754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469</v>
      </c>
      <c r="C41" s="684" t="s">
        <v>1049</v>
      </c>
      <c r="D41" s="684" t="s">
        <v>159</v>
      </c>
      <c r="E41" s="687"/>
      <c r="F41" s="685" t="s">
        <v>1050</v>
      </c>
      <c r="G41" s="713">
        <f>SUBTOTAL(9,G42:G58)</f>
        <v>5.9438499999999976</v>
      </c>
      <c r="H41" s="714">
        <f>SUBTOTAL(9,H42:H58)</f>
        <v>17</v>
      </c>
      <c r="I41" s="626"/>
      <c r="J41" s="752"/>
      <c r="L41" s="687"/>
      <c r="M41" s="687"/>
      <c r="N41" s="687"/>
      <c r="O41" s="687"/>
      <c r="P41" s="687"/>
      <c r="Q41" s="687"/>
      <c r="R41" s="687"/>
      <c r="T41" s="752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469</v>
      </c>
      <c r="C42" s="376" t="s">
        <v>1049</v>
      </c>
      <c r="D42" s="376" t="s">
        <v>159</v>
      </c>
      <c r="E42" s="387" t="s">
        <v>950</v>
      </c>
      <c r="F42" s="623" t="s">
        <v>1051</v>
      </c>
      <c r="G42" s="695">
        <v>0.2</v>
      </c>
      <c r="H42" s="700">
        <v>1</v>
      </c>
      <c r="I42" s="626"/>
      <c r="J42" s="752"/>
      <c r="L42" s="387" t="s">
        <v>950</v>
      </c>
      <c r="M42" s="387" t="s">
        <v>1052</v>
      </c>
      <c r="N42" s="387" t="s">
        <v>1053</v>
      </c>
      <c r="O42" s="387"/>
      <c r="P42" s="387"/>
      <c r="Q42" s="387"/>
      <c r="R42" s="387"/>
      <c r="T42" s="752"/>
      <c r="V42" s="609">
        <f t="shared" ref="V42:V58" si="3">IF(W42=1,G42,0)</f>
        <v>0</v>
      </c>
      <c r="W42" s="700"/>
    </row>
    <row r="43" spans="2:23" outlineLevel="3">
      <c r="B43" s="376" t="s">
        <v>469</v>
      </c>
      <c r="C43" s="376" t="s">
        <v>1049</v>
      </c>
      <c r="D43" s="376" t="s">
        <v>159</v>
      </c>
      <c r="E43" s="387" t="s">
        <v>950</v>
      </c>
      <c r="F43" s="623" t="s">
        <v>1054</v>
      </c>
      <c r="G43" s="695">
        <v>0.41</v>
      </c>
      <c r="H43" s="700">
        <v>1</v>
      </c>
      <c r="I43" s="626"/>
      <c r="J43" s="752"/>
      <c r="L43" s="387" t="s">
        <v>950</v>
      </c>
      <c r="M43" s="387" t="s">
        <v>1052</v>
      </c>
      <c r="N43" s="387" t="s">
        <v>1053</v>
      </c>
      <c r="O43" s="387"/>
      <c r="P43" s="387"/>
      <c r="Q43" s="387"/>
      <c r="R43" s="387"/>
      <c r="T43" s="752"/>
      <c r="V43" s="609">
        <f t="shared" si="3"/>
        <v>0</v>
      </c>
      <c r="W43" s="700"/>
    </row>
    <row r="44" spans="2:23" outlineLevel="3">
      <c r="B44" s="376" t="s">
        <v>469</v>
      </c>
      <c r="C44" s="376" t="s">
        <v>1049</v>
      </c>
      <c r="D44" s="376" t="s">
        <v>159</v>
      </c>
      <c r="E44" s="387" t="s">
        <v>950</v>
      </c>
      <c r="F44" s="623" t="s">
        <v>1055</v>
      </c>
      <c r="G44" s="695">
        <v>0.61</v>
      </c>
      <c r="H44" s="700">
        <v>1</v>
      </c>
      <c r="I44" s="626"/>
      <c r="J44" s="752"/>
      <c r="L44" s="387" t="s">
        <v>950</v>
      </c>
      <c r="M44" s="387" t="s">
        <v>1052</v>
      </c>
      <c r="N44" s="387" t="s">
        <v>1053</v>
      </c>
      <c r="O44" s="387"/>
      <c r="P44" s="387"/>
      <c r="Q44" s="387"/>
      <c r="R44" s="387"/>
      <c r="T44" s="752"/>
      <c r="V44" s="609">
        <f t="shared" si="3"/>
        <v>0</v>
      </c>
      <c r="W44" s="700"/>
    </row>
    <row r="45" spans="2:23" outlineLevel="3">
      <c r="B45" s="376" t="s">
        <v>469</v>
      </c>
      <c r="C45" s="376" t="s">
        <v>1049</v>
      </c>
      <c r="D45" s="376" t="s">
        <v>159</v>
      </c>
      <c r="E45" s="387" t="s">
        <v>950</v>
      </c>
      <c r="F45" s="623" t="s">
        <v>1056</v>
      </c>
      <c r="G45" s="695">
        <v>0.82</v>
      </c>
      <c r="H45" s="700">
        <v>1</v>
      </c>
      <c r="I45" s="626"/>
      <c r="J45" s="752"/>
      <c r="L45" s="387" t="s">
        <v>950</v>
      </c>
      <c r="M45" s="387" t="s">
        <v>1052</v>
      </c>
      <c r="N45" s="387" t="s">
        <v>1053</v>
      </c>
      <c r="O45" s="387"/>
      <c r="P45" s="387"/>
      <c r="Q45" s="387"/>
      <c r="R45" s="387"/>
      <c r="T45" s="752"/>
      <c r="V45" s="609">
        <f t="shared" si="3"/>
        <v>0</v>
      </c>
      <c r="W45" s="700"/>
    </row>
    <row r="46" spans="2:23" outlineLevel="3">
      <c r="B46" s="376" t="s">
        <v>469</v>
      </c>
      <c r="C46" s="376" t="s">
        <v>1049</v>
      </c>
      <c r="D46" s="376" t="s">
        <v>159</v>
      </c>
      <c r="E46" s="387" t="s">
        <v>950</v>
      </c>
      <c r="F46" s="623" t="s">
        <v>1057</v>
      </c>
      <c r="G46" s="695">
        <v>0.48</v>
      </c>
      <c r="H46" s="700">
        <v>1</v>
      </c>
      <c r="I46" s="626"/>
      <c r="J46" s="752"/>
      <c r="L46" s="387" t="s">
        <v>950</v>
      </c>
      <c r="M46" s="387" t="s">
        <v>1053</v>
      </c>
      <c r="N46" s="387" t="s">
        <v>1058</v>
      </c>
      <c r="O46" s="387"/>
      <c r="P46" s="387"/>
      <c r="Q46" s="387"/>
      <c r="R46" s="387"/>
      <c r="T46" s="752"/>
      <c r="V46" s="609">
        <f t="shared" si="3"/>
        <v>0</v>
      </c>
      <c r="W46" s="700"/>
    </row>
    <row r="47" spans="2:23" ht="26.45" outlineLevel="3">
      <c r="B47" s="376" t="s">
        <v>469</v>
      </c>
      <c r="C47" s="376" t="s">
        <v>1049</v>
      </c>
      <c r="D47" s="376" t="s">
        <v>159</v>
      </c>
      <c r="E47" s="387" t="s">
        <v>950</v>
      </c>
      <c r="F47" s="623" t="s">
        <v>1059</v>
      </c>
      <c r="G47" s="695">
        <v>0.9638500000000001</v>
      </c>
      <c r="H47" s="700">
        <v>1</v>
      </c>
      <c r="I47" s="626"/>
      <c r="J47" s="752"/>
      <c r="L47" s="387" t="s">
        <v>950</v>
      </c>
      <c r="M47" s="387" t="s">
        <v>1053</v>
      </c>
      <c r="N47" s="387" t="s">
        <v>1058</v>
      </c>
      <c r="O47" s="387"/>
      <c r="P47" s="387"/>
      <c r="Q47" s="387"/>
      <c r="R47" s="387"/>
      <c r="T47" s="752"/>
      <c r="V47" s="609">
        <f t="shared" si="3"/>
        <v>0</v>
      </c>
      <c r="W47" s="700"/>
    </row>
    <row r="48" spans="2:23" outlineLevel="3">
      <c r="B48" s="376" t="s">
        <v>469</v>
      </c>
      <c r="C48" s="376" t="s">
        <v>1049</v>
      </c>
      <c r="D48" s="376" t="s">
        <v>159</v>
      </c>
      <c r="E48" s="387" t="s">
        <v>950</v>
      </c>
      <c r="F48" s="623" t="s">
        <v>1877</v>
      </c>
      <c r="G48" s="695">
        <v>0.52</v>
      </c>
      <c r="H48" s="700">
        <v>1</v>
      </c>
      <c r="I48" s="626"/>
      <c r="J48" s="752"/>
      <c r="L48" s="387" t="s">
        <v>950</v>
      </c>
      <c r="M48" s="387" t="s">
        <v>1058</v>
      </c>
      <c r="N48" s="387" t="s">
        <v>1061</v>
      </c>
      <c r="O48" s="387"/>
      <c r="P48" s="387"/>
      <c r="Q48" s="387"/>
      <c r="R48" s="387"/>
      <c r="T48" s="752"/>
      <c r="V48" s="609">
        <f t="shared" si="3"/>
        <v>0</v>
      </c>
      <c r="W48" s="700"/>
    </row>
    <row r="49" spans="2:23" outlineLevel="3">
      <c r="B49" s="376" t="s">
        <v>469</v>
      </c>
      <c r="C49" s="376" t="s">
        <v>1049</v>
      </c>
      <c r="D49" s="376" t="s">
        <v>159</v>
      </c>
      <c r="E49" s="387" t="s">
        <v>950</v>
      </c>
      <c r="F49" s="623" t="s">
        <v>1878</v>
      </c>
      <c r="G49" s="695">
        <v>0.52</v>
      </c>
      <c r="H49" s="700">
        <v>1</v>
      </c>
      <c r="I49" s="626"/>
      <c r="J49" s="752"/>
      <c r="L49" s="387" t="s">
        <v>950</v>
      </c>
      <c r="M49" s="387" t="s">
        <v>1063</v>
      </c>
      <c r="O49" s="752"/>
      <c r="Q49" s="609"/>
      <c r="R49" s="610"/>
      <c r="T49" s="752"/>
    </row>
    <row r="50" spans="2:23" outlineLevel="3">
      <c r="B50" s="376" t="s">
        <v>469</v>
      </c>
      <c r="C50" s="376" t="s">
        <v>1049</v>
      </c>
      <c r="D50" s="376" t="s">
        <v>159</v>
      </c>
      <c r="E50" s="387" t="s">
        <v>950</v>
      </c>
      <c r="F50" s="623" t="s">
        <v>1062</v>
      </c>
      <c r="G50" s="695">
        <v>0.52</v>
      </c>
      <c r="H50" s="700">
        <v>1</v>
      </c>
      <c r="I50" s="626"/>
      <c r="J50" s="752"/>
      <c r="L50" s="387" t="s">
        <v>950</v>
      </c>
      <c r="M50" s="387" t="s">
        <v>1063</v>
      </c>
      <c r="N50" s="387" t="s">
        <v>1053</v>
      </c>
      <c r="O50" s="387"/>
      <c r="P50" s="387"/>
      <c r="Q50" s="387"/>
      <c r="R50" s="387"/>
      <c r="T50" s="752"/>
      <c r="V50" s="609">
        <f t="shared" si="3"/>
        <v>0</v>
      </c>
      <c r="W50" s="700"/>
    </row>
    <row r="51" spans="2:23" outlineLevel="3">
      <c r="B51" s="376" t="s">
        <v>469</v>
      </c>
      <c r="C51" s="376" t="s">
        <v>1049</v>
      </c>
      <c r="D51" s="376" t="s">
        <v>159</v>
      </c>
      <c r="E51" s="387" t="s">
        <v>950</v>
      </c>
      <c r="F51" s="623" t="s">
        <v>1064</v>
      </c>
      <c r="G51" s="695">
        <v>0.52</v>
      </c>
      <c r="H51" s="700">
        <v>1</v>
      </c>
      <c r="I51" s="626"/>
      <c r="J51" s="752"/>
      <c r="L51" s="387" t="s">
        <v>950</v>
      </c>
      <c r="M51" s="387" t="s">
        <v>1053</v>
      </c>
      <c r="N51" s="387" t="s">
        <v>1063</v>
      </c>
      <c r="O51" s="387"/>
      <c r="P51" s="387"/>
      <c r="Q51" s="387"/>
      <c r="R51" s="387"/>
      <c r="T51" s="752"/>
      <c r="V51" s="609">
        <f t="shared" si="3"/>
        <v>0</v>
      </c>
      <c r="W51" s="700"/>
    </row>
    <row r="52" spans="2:23" outlineLevel="3">
      <c r="B52" s="376" t="s">
        <v>469</v>
      </c>
      <c r="C52" s="376" t="s">
        <v>1049</v>
      </c>
      <c r="D52" s="376" t="s">
        <v>159</v>
      </c>
      <c r="E52" s="387" t="s">
        <v>950</v>
      </c>
      <c r="F52" s="623" t="s">
        <v>1065</v>
      </c>
      <c r="G52" s="695">
        <v>0.17</v>
      </c>
      <c r="H52" s="700">
        <v>1</v>
      </c>
      <c r="I52" s="626"/>
      <c r="J52" s="752"/>
      <c r="L52" s="387" t="s">
        <v>950</v>
      </c>
      <c r="M52" s="387" t="s">
        <v>1052</v>
      </c>
      <c r="N52" s="387" t="s">
        <v>1053</v>
      </c>
      <c r="O52" s="387"/>
      <c r="P52" s="387"/>
      <c r="Q52" s="387"/>
      <c r="R52" s="387"/>
      <c r="T52" s="752"/>
      <c r="V52" s="609">
        <f t="shared" si="3"/>
        <v>0</v>
      </c>
      <c r="W52" s="700"/>
    </row>
    <row r="53" spans="2:23" outlineLevel="3">
      <c r="B53" s="376" t="s">
        <v>469</v>
      </c>
      <c r="C53" s="376" t="s">
        <v>1049</v>
      </c>
      <c r="D53" s="376" t="s">
        <v>159</v>
      </c>
      <c r="E53" s="387" t="s">
        <v>950</v>
      </c>
      <c r="F53" s="623" t="s">
        <v>1069</v>
      </c>
      <c r="G53" s="695">
        <v>0.02</v>
      </c>
      <c r="H53" s="700">
        <v>1</v>
      </c>
      <c r="I53" s="626"/>
      <c r="J53" s="752"/>
      <c r="L53" s="387" t="s">
        <v>950</v>
      </c>
      <c r="M53" s="387" t="s">
        <v>1053</v>
      </c>
      <c r="N53" s="387" t="s">
        <v>1058</v>
      </c>
      <c r="O53" s="387"/>
      <c r="P53" s="387"/>
      <c r="Q53" s="387"/>
      <c r="R53" s="387"/>
      <c r="T53" s="752"/>
      <c r="V53" s="609">
        <f t="shared" si="3"/>
        <v>0</v>
      </c>
      <c r="W53" s="700"/>
    </row>
    <row r="54" spans="2:23" outlineLevel="3">
      <c r="B54" s="376" t="s">
        <v>469</v>
      </c>
      <c r="C54" s="376" t="s">
        <v>1049</v>
      </c>
      <c r="D54" s="376" t="s">
        <v>159</v>
      </c>
      <c r="E54" s="387" t="s">
        <v>950</v>
      </c>
      <c r="F54" s="623" t="s">
        <v>1070</v>
      </c>
      <c r="G54" s="695">
        <v>0.03</v>
      </c>
      <c r="H54" s="700">
        <v>1</v>
      </c>
      <c r="I54" s="626"/>
      <c r="J54" s="752"/>
      <c r="L54" s="387" t="s">
        <v>950</v>
      </c>
      <c r="M54" s="387" t="s">
        <v>1052</v>
      </c>
      <c r="N54" s="387" t="s">
        <v>1053</v>
      </c>
      <c r="O54" s="387"/>
      <c r="P54" s="387"/>
      <c r="Q54" s="387"/>
      <c r="R54" s="387"/>
      <c r="T54" s="752"/>
      <c r="V54" s="609">
        <f t="shared" si="3"/>
        <v>0</v>
      </c>
      <c r="W54" s="700"/>
    </row>
    <row r="55" spans="2:23" outlineLevel="3">
      <c r="B55" s="376" t="s">
        <v>469</v>
      </c>
      <c r="C55" s="376" t="s">
        <v>1049</v>
      </c>
      <c r="D55" s="376" t="s">
        <v>159</v>
      </c>
      <c r="E55" s="387" t="s">
        <v>950</v>
      </c>
      <c r="F55" s="623" t="s">
        <v>1041</v>
      </c>
      <c r="G55" s="695">
        <v>0.03</v>
      </c>
      <c r="H55" s="700">
        <v>1</v>
      </c>
      <c r="I55" s="626"/>
      <c r="J55" s="752"/>
      <c r="L55" s="387" t="s">
        <v>950</v>
      </c>
      <c r="M55" s="387" t="s">
        <v>1052</v>
      </c>
      <c r="N55" s="387" t="s">
        <v>1053</v>
      </c>
      <c r="O55" s="387"/>
      <c r="P55" s="387"/>
      <c r="Q55" s="387"/>
      <c r="R55" s="387"/>
      <c r="T55" s="752"/>
      <c r="V55" s="609">
        <f t="shared" si="3"/>
        <v>0</v>
      </c>
      <c r="W55" s="700"/>
    </row>
    <row r="56" spans="2:23" outlineLevel="3">
      <c r="B56" s="376" t="s">
        <v>469</v>
      </c>
      <c r="C56" s="376" t="s">
        <v>1049</v>
      </c>
      <c r="D56" s="376" t="s">
        <v>159</v>
      </c>
      <c r="E56" s="387" t="s">
        <v>950</v>
      </c>
      <c r="F56" s="623" t="s">
        <v>1071</v>
      </c>
      <c r="G56" s="695">
        <v>1.4999999999999999E-2</v>
      </c>
      <c r="H56" s="700">
        <v>1</v>
      </c>
      <c r="I56" s="626"/>
      <c r="J56" s="752"/>
      <c r="L56" s="387" t="s">
        <v>950</v>
      </c>
      <c r="M56" s="387" t="s">
        <v>1052</v>
      </c>
      <c r="N56" s="387" t="s">
        <v>1053</v>
      </c>
      <c r="O56" s="387"/>
      <c r="P56" s="387"/>
      <c r="Q56" s="387"/>
      <c r="R56" s="387"/>
      <c r="T56" s="752"/>
      <c r="V56" s="609">
        <f t="shared" si="3"/>
        <v>0</v>
      </c>
      <c r="W56" s="700"/>
    </row>
    <row r="57" spans="2:23" outlineLevel="3">
      <c r="B57" s="376" t="s">
        <v>469</v>
      </c>
      <c r="C57" s="376" t="s">
        <v>1049</v>
      </c>
      <c r="D57" s="376" t="s">
        <v>159</v>
      </c>
      <c r="E57" s="387" t="s">
        <v>950</v>
      </c>
      <c r="F57" s="623" t="s">
        <v>1072</v>
      </c>
      <c r="G57" s="695">
        <v>1.4999999999999999E-2</v>
      </c>
      <c r="H57" s="700">
        <v>1</v>
      </c>
      <c r="I57" s="626"/>
      <c r="J57" s="752"/>
      <c r="L57" s="387" t="s">
        <v>950</v>
      </c>
      <c r="M57" s="387" t="s">
        <v>1052</v>
      </c>
      <c r="N57" s="387" t="s">
        <v>1053</v>
      </c>
      <c r="O57" s="387"/>
      <c r="P57" s="387"/>
      <c r="Q57" s="387"/>
      <c r="R57" s="387"/>
      <c r="T57" s="752"/>
      <c r="V57" s="609">
        <f t="shared" si="3"/>
        <v>0</v>
      </c>
      <c r="W57" s="700"/>
    </row>
    <row r="58" spans="2:23" outlineLevel="3">
      <c r="B58" s="376" t="s">
        <v>469</v>
      </c>
      <c r="C58" s="376" t="s">
        <v>1049</v>
      </c>
      <c r="D58" s="376" t="s">
        <v>159</v>
      </c>
      <c r="E58" s="387" t="s">
        <v>950</v>
      </c>
      <c r="F58" s="623" t="s">
        <v>1037</v>
      </c>
      <c r="G58" s="695">
        <v>0.1</v>
      </c>
      <c r="H58" s="700">
        <v>1</v>
      </c>
      <c r="I58" s="626"/>
      <c r="J58" s="752"/>
      <c r="L58" s="387" t="s">
        <v>950</v>
      </c>
      <c r="M58" s="387" t="s">
        <v>1052</v>
      </c>
      <c r="N58" s="387" t="s">
        <v>1053</v>
      </c>
      <c r="O58" s="387"/>
      <c r="P58" s="387"/>
      <c r="Q58" s="387"/>
      <c r="R58" s="387"/>
      <c r="T58" s="752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2"/>
      <c r="L59" s="392"/>
      <c r="M59" s="392"/>
      <c r="N59" s="392"/>
      <c r="O59" s="392"/>
      <c r="P59" s="392"/>
      <c r="Q59" s="392"/>
      <c r="R59" s="392"/>
      <c r="T59" s="752"/>
      <c r="V59" s="695"/>
      <c r="W59" s="700"/>
    </row>
    <row r="60" spans="2:23" ht="15">
      <c r="B60" s="430" t="s">
        <v>1285</v>
      </c>
      <c r="C60" s="430"/>
      <c r="D60" s="430"/>
      <c r="E60" s="430"/>
      <c r="F60" s="697"/>
      <c r="G60" s="739">
        <f>SUBTOTAL(9,G62:G66)</f>
        <v>24.364999999999998</v>
      </c>
      <c r="H60" s="740">
        <f>SUBTOTAL(9,H62:H66)</f>
        <v>2</v>
      </c>
      <c r="I60" s="626"/>
      <c r="J60" s="752"/>
      <c r="L60" s="430"/>
      <c r="M60" s="430"/>
      <c r="N60" s="430"/>
      <c r="O60" s="430"/>
      <c r="P60" s="430"/>
      <c r="Q60" s="430"/>
      <c r="R60" s="430"/>
      <c r="T60" s="752"/>
      <c r="V60" s="739">
        <f>SUBTOTAL(9,V62:V66)</f>
        <v>0</v>
      </c>
      <c r="W60" s="740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2"/>
      <c r="L61" s="376"/>
      <c r="M61" s="376"/>
      <c r="N61" s="376"/>
      <c r="O61" s="376"/>
      <c r="P61" s="376"/>
      <c r="Q61" s="376"/>
      <c r="R61" s="376"/>
      <c r="T61" s="752"/>
      <c r="V61" s="609"/>
      <c r="W61" s="692"/>
    </row>
    <row r="62" spans="2:23" outlineLevel="2">
      <c r="B62" s="684" t="s">
        <v>1388</v>
      </c>
      <c r="C62" s="684" t="s">
        <v>1388</v>
      </c>
      <c r="D62" s="684" t="s">
        <v>159</v>
      </c>
      <c r="E62" s="684"/>
      <c r="F62" s="685" t="s">
        <v>17</v>
      </c>
      <c r="G62" s="686">
        <f>SUBTOTAL(9,G63)</f>
        <v>5.9650000000000007</v>
      </c>
      <c r="H62" s="691">
        <f>SUBTOTAL(9,H63)</f>
        <v>1</v>
      </c>
      <c r="I62" s="626"/>
      <c r="J62" s="752"/>
      <c r="L62" s="684"/>
      <c r="M62" s="684"/>
      <c r="N62" s="684"/>
      <c r="O62" s="684"/>
      <c r="P62" s="684"/>
      <c r="Q62" s="684"/>
      <c r="R62" s="684"/>
      <c r="T62" s="752"/>
      <c r="V62" s="686">
        <f>SUBTOTAL(9,V63)</f>
        <v>0</v>
      </c>
      <c r="W62" s="691">
        <f>SUBTOTAL(9,W63)</f>
        <v>0</v>
      </c>
    </row>
    <row r="63" spans="2:23" outlineLevel="3">
      <c r="B63" s="376" t="s">
        <v>1388</v>
      </c>
      <c r="C63" s="376" t="s">
        <v>1388</v>
      </c>
      <c r="D63" s="376" t="s">
        <v>159</v>
      </c>
      <c r="E63" s="376" t="s">
        <v>950</v>
      </c>
      <c r="F63" s="608" t="s">
        <v>1390</v>
      </c>
      <c r="G63" s="609">
        <v>5.9650000000000007</v>
      </c>
      <c r="H63" s="692">
        <v>1</v>
      </c>
      <c r="I63" s="626"/>
      <c r="J63" s="752"/>
      <c r="L63" s="376" t="s">
        <v>950</v>
      </c>
      <c r="M63" s="376" t="s">
        <v>1391</v>
      </c>
      <c r="N63" s="376" t="s">
        <v>1005</v>
      </c>
      <c r="O63" s="376"/>
      <c r="P63" s="376"/>
      <c r="Q63" s="376"/>
      <c r="R63" s="376"/>
      <c r="T63" s="752"/>
      <c r="V63" s="609">
        <f t="shared" ref="V63" si="4">IF(W63=1,G63,0)</f>
        <v>0</v>
      </c>
      <c r="W63" s="692"/>
    </row>
    <row r="64" spans="2:23" s="749" customFormat="1" outlineLevel="1">
      <c r="B64" s="666" t="s">
        <v>507</v>
      </c>
      <c r="C64" s="666" t="s">
        <v>507</v>
      </c>
      <c r="D64" s="666"/>
      <c r="E64" s="666"/>
      <c r="F64" s="681" t="s">
        <v>947</v>
      </c>
      <c r="G64" s="724">
        <f>SUBTOTAL(9,G65:G66)</f>
        <v>18.399999999999999</v>
      </c>
      <c r="H64" s="725">
        <f>SUBTOTAL(9,H65:H66)</f>
        <v>1</v>
      </c>
      <c r="I64" s="741"/>
      <c r="J64" s="758"/>
      <c r="L64" s="666"/>
      <c r="M64" s="666"/>
      <c r="N64" s="666"/>
      <c r="O64" s="666"/>
      <c r="P64" s="666"/>
      <c r="Q64" s="666"/>
      <c r="R64" s="666"/>
      <c r="T64" s="758"/>
      <c r="V64" s="724">
        <f>SUBTOTAL(9,V65:V66)</f>
        <v>0</v>
      </c>
      <c r="W64" s="725">
        <f>SUBTOTAL(9,W65:W66)</f>
        <v>0</v>
      </c>
    </row>
    <row r="65" spans="2:23" s="749" customFormat="1" outlineLevel="2">
      <c r="B65" s="687" t="s">
        <v>507</v>
      </c>
      <c r="C65" s="687" t="s">
        <v>507</v>
      </c>
      <c r="D65" s="687" t="s">
        <v>159</v>
      </c>
      <c r="E65" s="687"/>
      <c r="F65" s="717" t="s">
        <v>17</v>
      </c>
      <c r="G65" s="743">
        <f>SUBTOTAL(9,G66)</f>
        <v>18.399999999999999</v>
      </c>
      <c r="H65" s="744">
        <f>SUBTOTAL(9,H66)</f>
        <v>1</v>
      </c>
      <c r="I65" s="741"/>
      <c r="J65" s="758"/>
      <c r="L65" s="687"/>
      <c r="M65" s="687"/>
      <c r="N65" s="687"/>
      <c r="O65" s="687"/>
      <c r="P65" s="687"/>
      <c r="Q65" s="687"/>
      <c r="R65" s="687"/>
      <c r="T65" s="758"/>
      <c r="V65" s="743">
        <f>SUBTOTAL(9,V66)</f>
        <v>0</v>
      </c>
      <c r="W65" s="744">
        <f>SUBTOTAL(9,W66)</f>
        <v>0</v>
      </c>
    </row>
    <row r="66" spans="2:23" s="749" customFormat="1" outlineLevel="3">
      <c r="B66" s="387" t="s">
        <v>507</v>
      </c>
      <c r="C66" s="387" t="s">
        <v>507</v>
      </c>
      <c r="D66" s="387" t="s">
        <v>159</v>
      </c>
      <c r="E66" s="387" t="s">
        <v>950</v>
      </c>
      <c r="F66" s="705" t="s">
        <v>17</v>
      </c>
      <c r="G66" s="706">
        <v>18.399999999999999</v>
      </c>
      <c r="H66" s="707">
        <v>1</v>
      </c>
      <c r="I66" s="741"/>
      <c r="J66" s="758"/>
      <c r="L66" s="387" t="s">
        <v>950</v>
      </c>
      <c r="M66" s="387" t="s">
        <v>951</v>
      </c>
      <c r="N66" s="387"/>
      <c r="O66" s="387"/>
      <c r="P66" s="387"/>
      <c r="Q66" s="387"/>
      <c r="R66" s="387"/>
      <c r="T66" s="758"/>
      <c r="V66" s="609">
        <f t="shared" ref="V66" si="5">IF(W66=1,G66,0)</f>
        <v>0</v>
      </c>
      <c r="W66" s="707"/>
    </row>
    <row r="67" spans="2:23" ht="15">
      <c r="B67" s="430" t="s">
        <v>1879</v>
      </c>
      <c r="C67" s="430"/>
      <c r="D67" s="430"/>
      <c r="E67" s="430"/>
      <c r="F67" s="697"/>
      <c r="G67" s="739">
        <f>SUBTOTAL(9,G69:G336)</f>
        <v>2.2044079999999999</v>
      </c>
      <c r="H67" s="740">
        <f>SUBTOTAL(9,H69:H336)</f>
        <v>18</v>
      </c>
      <c r="I67" s="626"/>
      <c r="J67" s="752"/>
      <c r="L67" s="430"/>
      <c r="M67" s="430"/>
      <c r="N67" s="430"/>
      <c r="O67" s="430"/>
      <c r="P67" s="430"/>
      <c r="Q67" s="430"/>
      <c r="R67" s="430"/>
      <c r="T67" s="752"/>
      <c r="V67" s="739">
        <f>SUBTOTAL(9,V72:V336)</f>
        <v>0</v>
      </c>
      <c r="W67" s="740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2"/>
      <c r="L68" s="376"/>
      <c r="M68" s="376"/>
      <c r="N68" s="376"/>
      <c r="O68" s="376"/>
      <c r="P68" s="376"/>
      <c r="Q68" s="376"/>
      <c r="R68" s="376"/>
      <c r="T68" s="752"/>
      <c r="V68" s="609"/>
      <c r="W68" s="692"/>
    </row>
    <row r="69" spans="2:23" outlineLevel="1">
      <c r="B69" s="666" t="s">
        <v>617</v>
      </c>
      <c r="C69" s="666" t="s">
        <v>1880</v>
      </c>
      <c r="D69" s="667"/>
      <c r="E69" s="665"/>
      <c r="F69" s="681" t="s">
        <v>947</v>
      </c>
      <c r="G69" s="725">
        <f>SUBTOTAL(9,G70:G71)</f>
        <v>2.2044079999999999</v>
      </c>
      <c r="H69" s="725">
        <f>SUBTOTAL(9,H70:H71)</f>
        <v>18</v>
      </c>
      <c r="I69" s="626"/>
      <c r="J69" s="752"/>
      <c r="L69" s="665"/>
      <c r="M69" s="665"/>
      <c r="N69" s="665"/>
      <c r="O69" s="665"/>
      <c r="P69" s="665"/>
      <c r="Q69" s="665"/>
      <c r="R69" s="665"/>
      <c r="T69" s="752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1862</v>
      </c>
      <c r="C70" s="687" t="s">
        <v>1881</v>
      </c>
      <c r="D70" s="684" t="s">
        <v>617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2"/>
      <c r="L70" s="684"/>
      <c r="M70" s="684"/>
      <c r="N70" s="684"/>
      <c r="O70" s="684"/>
      <c r="P70" s="684"/>
      <c r="Q70" s="684"/>
      <c r="R70" s="684"/>
      <c r="T70" s="752"/>
      <c r="V70" s="686">
        <f>SUBTOTAL(9,V71:V71)</f>
        <v>0</v>
      </c>
      <c r="W70" s="691">
        <f>SUBTOTAL(9,W71:W71)</f>
        <v>0</v>
      </c>
    </row>
    <row r="71" spans="2:23" outlineLevel="3">
      <c r="B71" s="376" t="s">
        <v>1862</v>
      </c>
      <c r="C71" s="828" t="s">
        <v>1881</v>
      </c>
      <c r="D71" s="376" t="s">
        <v>617</v>
      </c>
      <c r="E71" s="376" t="s">
        <v>950</v>
      </c>
      <c r="F71" s="608" t="s">
        <v>1882</v>
      </c>
      <c r="G71" s="706">
        <v>2.2044079999999999</v>
      </c>
      <c r="H71" s="692">
        <v>18</v>
      </c>
      <c r="I71" s="626"/>
      <c r="J71" s="752"/>
      <c r="L71" s="376"/>
      <c r="M71" s="376"/>
      <c r="N71" s="376"/>
      <c r="O71" s="376"/>
      <c r="P71" s="376"/>
      <c r="Q71" s="376"/>
      <c r="R71" s="376"/>
      <c r="T71" s="752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812" customWidth="1"/>
    <col min="2" max="2" width="22.7109375" style="812" customWidth="1"/>
    <col min="3" max="3" width="17.7109375" style="812" bestFit="1" customWidth="1"/>
    <col min="4" max="4" width="16.28515625" style="812" customWidth="1"/>
    <col min="5" max="5" width="14.42578125" style="812" customWidth="1"/>
    <col min="6" max="6" width="53.7109375" style="816" customWidth="1"/>
    <col min="7" max="7" width="13.28515625" style="812" bestFit="1" customWidth="1"/>
    <col min="8" max="8" width="9.5703125" style="812" customWidth="1" outlineLevel="1"/>
    <col min="9" max="11" width="0.5703125" style="812" customWidth="1"/>
    <col min="12" max="12" width="14.42578125" style="812" customWidth="1"/>
    <col min="13" max="13" width="14.42578125" style="812" customWidth="1" collapsed="1"/>
    <col min="14" max="18" width="14.42578125" style="812" hidden="1" customWidth="1" outlineLevel="1"/>
    <col min="19" max="21" width="0.5703125" style="812" customWidth="1"/>
    <col min="22" max="22" width="16.28515625" style="812" customWidth="1" collapsed="1"/>
    <col min="23" max="23" width="14.28515625" style="812" hidden="1" customWidth="1" outlineLevel="1"/>
    <col min="24" max="26" width="9.42578125" style="812" bestFit="1"/>
    <col min="27" max="27" width="9.42578125" style="812" bestFit="1" customWidth="1"/>
    <col min="28" max="16384" width="9.42578125" style="812"/>
  </cols>
  <sheetData>
    <row r="2" spans="1:27" ht="17.45">
      <c r="A2" s="376"/>
      <c r="B2" s="418" t="s">
        <v>1883</v>
      </c>
      <c r="C2" s="418"/>
      <c r="D2" s="418"/>
      <c r="E2" s="418"/>
      <c r="F2" s="423"/>
      <c r="G2" s="821">
        <f>SUBTOTAL(9,G6:G90)</f>
        <v>15.932359073197468</v>
      </c>
      <c r="H2" s="690">
        <f>SUBTOTAL(9,H6:H90)</f>
        <v>49</v>
      </c>
      <c r="I2" s="626"/>
      <c r="J2" s="752"/>
      <c r="K2" s="416"/>
      <c r="L2" s="418"/>
      <c r="M2" s="418"/>
      <c r="N2" s="418"/>
      <c r="O2" s="418"/>
      <c r="P2" s="418"/>
      <c r="Q2" s="418"/>
      <c r="R2" s="418"/>
      <c r="S2" s="416"/>
      <c r="T2" s="752"/>
      <c r="U2" s="416"/>
      <c r="V2" s="821">
        <f>SUBTOTAL(9,V6:V90)</f>
        <v>0</v>
      </c>
      <c r="W2" s="765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K3" s="416"/>
      <c r="L3" s="376"/>
      <c r="M3" s="376"/>
      <c r="N3" s="376"/>
      <c r="O3" s="376"/>
      <c r="P3" s="376"/>
      <c r="Q3" s="376"/>
      <c r="R3" s="376"/>
      <c r="S3" s="416"/>
      <c r="T3" s="752"/>
      <c r="U3" s="416"/>
      <c r="V3" s="376"/>
      <c r="W3" s="376"/>
      <c r="X3" s="416"/>
      <c r="Y3" s="416"/>
      <c r="Z3" s="416"/>
      <c r="AA3" s="416"/>
    </row>
    <row r="4" spans="1:27" s="817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K4" s="442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S4" s="442"/>
      <c r="T4" s="753"/>
      <c r="U4" s="442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7"/>
      <c r="I5" s="626"/>
      <c r="J5" s="752"/>
      <c r="K5" s="416"/>
      <c r="L5" s="376"/>
      <c r="M5" s="376"/>
      <c r="N5" s="376"/>
      <c r="O5" s="376"/>
      <c r="P5" s="376"/>
      <c r="Q5" s="376"/>
      <c r="R5" s="376"/>
      <c r="S5" s="416"/>
      <c r="T5" s="752"/>
      <c r="U5" s="416"/>
      <c r="V5" s="609"/>
      <c r="W5" s="727"/>
      <c r="X5" s="610"/>
      <c r="Y5" s="610"/>
      <c r="Z5" s="610"/>
      <c r="AA5" s="610"/>
    </row>
    <row r="6" spans="1:27" ht="15">
      <c r="A6" s="376"/>
      <c r="B6" s="430" t="s">
        <v>945</v>
      </c>
      <c r="C6" s="430"/>
      <c r="D6" s="430"/>
      <c r="E6" s="430"/>
      <c r="F6" s="697"/>
      <c r="G6" s="739">
        <f>SUBTOTAL(9,G8:G41)</f>
        <v>8.3869905467991117</v>
      </c>
      <c r="H6" s="740">
        <f>SUBTOTAL(9,H8:H41)</f>
        <v>24</v>
      </c>
      <c r="I6" s="626"/>
      <c r="J6" s="752"/>
      <c r="K6" s="416"/>
      <c r="L6" s="430"/>
      <c r="M6" s="430"/>
      <c r="N6" s="430"/>
      <c r="O6" s="430"/>
      <c r="P6" s="430"/>
      <c r="Q6" s="430"/>
      <c r="R6" s="430"/>
      <c r="S6" s="416"/>
      <c r="T6" s="752"/>
      <c r="U6" s="416"/>
      <c r="V6" s="739">
        <f>SUBTOTAL(9,V8:V41)</f>
        <v>0</v>
      </c>
      <c r="W6" s="740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2"/>
      <c r="K7" s="416"/>
      <c r="L7" s="376"/>
      <c r="M7" s="376"/>
      <c r="N7" s="376"/>
      <c r="O7" s="376"/>
      <c r="P7" s="376"/>
      <c r="Q7" s="376"/>
      <c r="R7" s="376"/>
      <c r="S7" s="416"/>
      <c r="T7" s="752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162</v>
      </c>
      <c r="C8" s="665" t="s">
        <v>162</v>
      </c>
      <c r="D8" s="665"/>
      <c r="E8" s="665"/>
      <c r="F8" s="681" t="s">
        <v>947</v>
      </c>
      <c r="G8" s="822">
        <f>SUBTOTAL(9,G9:G13)</f>
        <v>1.547754763030085</v>
      </c>
      <c r="H8" s="823">
        <f>SUBTOTAL(9,H9:H13)</f>
        <v>4</v>
      </c>
      <c r="I8" s="626"/>
      <c r="J8" s="752"/>
      <c r="K8" s="416"/>
      <c r="L8" s="665"/>
      <c r="M8" s="665"/>
      <c r="N8" s="665"/>
      <c r="O8" s="665"/>
      <c r="P8" s="665"/>
      <c r="Q8" s="665"/>
      <c r="R8" s="665"/>
      <c r="S8" s="416"/>
      <c r="T8" s="752"/>
      <c r="U8" s="416"/>
      <c r="V8" s="822">
        <f>SUBTOTAL(9,V9:V13)</f>
        <v>0</v>
      </c>
      <c r="W8" s="823">
        <f>SUBTOTAL(9,W9:W13)</f>
        <v>0</v>
      </c>
      <c r="X8" s="416"/>
      <c r="Y8" s="416"/>
      <c r="Z8" s="416"/>
      <c r="AA8" s="416"/>
    </row>
    <row r="9" spans="1:27" ht="26.45" outlineLevel="2">
      <c r="A9" s="376"/>
      <c r="B9" s="684" t="s">
        <v>162</v>
      </c>
      <c r="C9" s="684" t="s">
        <v>162</v>
      </c>
      <c r="D9" s="684" t="s">
        <v>159</v>
      </c>
      <c r="E9" s="684"/>
      <c r="F9" s="685" t="s">
        <v>1158</v>
      </c>
      <c r="G9" s="686">
        <f>SUBTOTAL(9,G10:G13)</f>
        <v>1.547754763030085</v>
      </c>
      <c r="H9" s="691">
        <f>SUBTOTAL(9,H10:H13)</f>
        <v>4</v>
      </c>
      <c r="I9" s="626"/>
      <c r="J9" s="752"/>
      <c r="K9" s="416"/>
      <c r="L9" s="684"/>
      <c r="M9" s="684"/>
      <c r="N9" s="684"/>
      <c r="O9" s="684"/>
      <c r="P9" s="684"/>
      <c r="Q9" s="684"/>
      <c r="R9" s="684"/>
      <c r="S9" s="416"/>
      <c r="T9" s="752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162</v>
      </c>
      <c r="C10" s="376" t="s">
        <v>162</v>
      </c>
      <c r="D10" s="376" t="s">
        <v>159</v>
      </c>
      <c r="E10" s="376" t="s">
        <v>1159</v>
      </c>
      <c r="F10" s="608" t="s">
        <v>1160</v>
      </c>
      <c r="G10" s="609">
        <v>0.61910190521203401</v>
      </c>
      <c r="H10" s="692">
        <v>1</v>
      </c>
      <c r="I10" s="626"/>
      <c r="J10" s="752"/>
      <c r="K10" s="416"/>
      <c r="L10" s="376" t="s">
        <v>1159</v>
      </c>
      <c r="M10" s="376" t="s">
        <v>1161</v>
      </c>
      <c r="N10" s="376" t="s">
        <v>1162</v>
      </c>
      <c r="O10" s="376" t="s">
        <v>1163</v>
      </c>
      <c r="P10" s="376"/>
      <c r="Q10" s="376"/>
      <c r="R10" s="376"/>
      <c r="S10" s="416"/>
      <c r="T10" s="752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162</v>
      </c>
      <c r="C11" s="376" t="s">
        <v>162</v>
      </c>
      <c r="D11" s="376" t="s">
        <v>159</v>
      </c>
      <c r="E11" s="376" t="s">
        <v>1159</v>
      </c>
      <c r="F11" s="608" t="s">
        <v>1164</v>
      </c>
      <c r="G11" s="609">
        <v>0.61910190521203401</v>
      </c>
      <c r="H11" s="692">
        <v>1</v>
      </c>
      <c r="I11" s="626"/>
      <c r="J11" s="752"/>
      <c r="K11" s="416"/>
      <c r="L11" s="376" t="s">
        <v>1159</v>
      </c>
      <c r="M11" s="376" t="s">
        <v>1161</v>
      </c>
      <c r="N11" s="376" t="s">
        <v>1162</v>
      </c>
      <c r="O11" s="376" t="s">
        <v>1163</v>
      </c>
      <c r="P11" s="376"/>
      <c r="Q11" s="376"/>
      <c r="R11" s="376"/>
      <c r="S11" s="416"/>
      <c r="T11" s="752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162</v>
      </c>
      <c r="C12" s="376" t="s">
        <v>162</v>
      </c>
      <c r="D12" s="376" t="s">
        <v>159</v>
      </c>
      <c r="E12" s="376" t="s">
        <v>1159</v>
      </c>
      <c r="F12" s="608" t="s">
        <v>1165</v>
      </c>
      <c r="G12" s="609">
        <v>0.1547754763030085</v>
      </c>
      <c r="H12" s="692">
        <v>1</v>
      </c>
      <c r="I12" s="626"/>
      <c r="J12" s="752"/>
      <c r="K12" s="416"/>
      <c r="L12" s="376" t="s">
        <v>1159</v>
      </c>
      <c r="M12" s="376" t="s">
        <v>1161</v>
      </c>
      <c r="N12" s="376" t="s">
        <v>1162</v>
      </c>
      <c r="O12" s="376" t="s">
        <v>1163</v>
      </c>
      <c r="P12" s="376"/>
      <c r="Q12" s="376"/>
      <c r="R12" s="376"/>
      <c r="S12" s="416"/>
      <c r="T12" s="752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162</v>
      </c>
      <c r="C13" s="376" t="s">
        <v>162</v>
      </c>
      <c r="D13" s="376" t="s">
        <v>159</v>
      </c>
      <c r="E13" s="376" t="s">
        <v>1159</v>
      </c>
      <c r="F13" s="608" t="s">
        <v>245</v>
      </c>
      <c r="G13" s="609">
        <v>0.1547754763030085</v>
      </c>
      <c r="H13" s="692">
        <v>1</v>
      </c>
      <c r="I13" s="416"/>
      <c r="J13" s="752"/>
      <c r="K13" s="416"/>
      <c r="L13" s="376" t="s">
        <v>1159</v>
      </c>
      <c r="M13" s="376" t="s">
        <v>1161</v>
      </c>
      <c r="N13" s="376" t="s">
        <v>1162</v>
      </c>
      <c r="O13" s="376" t="s">
        <v>1163</v>
      </c>
      <c r="P13" s="376"/>
      <c r="Q13" s="376"/>
      <c r="R13" s="376"/>
      <c r="S13" s="416"/>
      <c r="T13" s="752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252</v>
      </c>
      <c r="C14" s="666" t="s">
        <v>252</v>
      </c>
      <c r="D14" s="666"/>
      <c r="E14" s="666"/>
      <c r="F14" s="681" t="s">
        <v>947</v>
      </c>
      <c r="G14" s="822">
        <f>SUBTOTAL(9,G15:G26)</f>
        <v>5.7305795176560004</v>
      </c>
      <c r="H14" s="823">
        <f>SUBTOTAL(9,H15:H26)</f>
        <v>11</v>
      </c>
      <c r="I14" s="626"/>
      <c r="J14" s="752"/>
      <c r="K14" s="416"/>
      <c r="L14" s="666"/>
      <c r="M14" s="666"/>
      <c r="N14" s="666"/>
      <c r="O14" s="666"/>
      <c r="P14" s="666"/>
      <c r="Q14" s="666"/>
      <c r="R14" s="666"/>
      <c r="S14" s="416"/>
      <c r="T14" s="752"/>
      <c r="U14" s="416"/>
      <c r="V14" s="822">
        <f>SUBTOTAL(9,V15:V26)</f>
        <v>0</v>
      </c>
      <c r="W14" s="823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252</v>
      </c>
      <c r="C15" s="684" t="s">
        <v>252</v>
      </c>
      <c r="D15" s="684" t="s">
        <v>159</v>
      </c>
      <c r="E15" s="687"/>
      <c r="F15" s="685" t="s">
        <v>1176</v>
      </c>
      <c r="G15" s="686">
        <f>SUBTOTAL(9,G16:G26)</f>
        <v>5.7305795176560004</v>
      </c>
      <c r="H15" s="691">
        <f>SUBTOTAL(9,H16:H26)</f>
        <v>11</v>
      </c>
      <c r="I15" s="626"/>
      <c r="J15" s="752"/>
      <c r="K15" s="416"/>
      <c r="L15" s="687"/>
      <c r="M15" s="687"/>
      <c r="N15" s="687"/>
      <c r="O15" s="687"/>
      <c r="P15" s="687"/>
      <c r="Q15" s="687"/>
      <c r="R15" s="687"/>
      <c r="S15" s="416"/>
      <c r="T15" s="752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252</v>
      </c>
      <c r="C16" s="376" t="s">
        <v>252</v>
      </c>
      <c r="D16" s="376" t="s">
        <v>159</v>
      </c>
      <c r="E16" s="387" t="s">
        <v>1159</v>
      </c>
      <c r="F16" s="608" t="s">
        <v>75</v>
      </c>
      <c r="G16" s="609">
        <v>7.3716905132000007E-2</v>
      </c>
      <c r="H16" s="692">
        <v>1</v>
      </c>
      <c r="I16" s="626"/>
      <c r="J16" s="752"/>
      <c r="K16" s="416"/>
      <c r="L16" s="387" t="s">
        <v>1159</v>
      </c>
      <c r="M16" s="387" t="s">
        <v>1177</v>
      </c>
      <c r="N16" s="387" t="s">
        <v>1178</v>
      </c>
      <c r="O16" s="387" t="s">
        <v>1179</v>
      </c>
      <c r="P16" s="387"/>
      <c r="Q16" s="387"/>
      <c r="R16" s="387"/>
      <c r="S16" s="416"/>
      <c r="T16" s="752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1180</v>
      </c>
      <c r="B17" s="376" t="s">
        <v>252</v>
      </c>
      <c r="C17" s="376" t="s">
        <v>252</v>
      </c>
      <c r="D17" s="376" t="s">
        <v>159</v>
      </c>
      <c r="E17" s="387" t="s">
        <v>1159</v>
      </c>
      <c r="F17" s="608" t="s">
        <v>957</v>
      </c>
      <c r="G17" s="609">
        <v>7.3716905132000007E-2</v>
      </c>
      <c r="H17" s="692">
        <v>1</v>
      </c>
      <c r="I17" s="626"/>
      <c r="J17" s="752"/>
      <c r="K17" s="416"/>
      <c r="L17" s="387" t="s">
        <v>1159</v>
      </c>
      <c r="M17" s="387" t="s">
        <v>1177</v>
      </c>
      <c r="N17" s="387" t="s">
        <v>1178</v>
      </c>
      <c r="O17" s="387" t="s">
        <v>1179</v>
      </c>
      <c r="P17" s="387"/>
      <c r="Q17" s="387"/>
      <c r="R17" s="387"/>
      <c r="S17" s="416"/>
      <c r="T17" s="752"/>
      <c r="U17" s="416"/>
      <c r="V17" s="609">
        <f t="shared" si="0"/>
        <v>0</v>
      </c>
      <c r="W17" s="692"/>
    </row>
    <row r="18" spans="1:23" outlineLevel="3">
      <c r="A18" s="376"/>
      <c r="B18" s="376" t="s">
        <v>252</v>
      </c>
      <c r="C18" s="376" t="s">
        <v>252</v>
      </c>
      <c r="D18" s="376" t="s">
        <v>159</v>
      </c>
      <c r="E18" s="387" t="s">
        <v>1159</v>
      </c>
      <c r="F18" s="608" t="s">
        <v>1004</v>
      </c>
      <c r="G18" s="609">
        <v>7.3716905132000007E-2</v>
      </c>
      <c r="H18" s="692">
        <v>1</v>
      </c>
      <c r="I18" s="626"/>
      <c r="J18" s="752"/>
      <c r="K18" s="416"/>
      <c r="L18" s="387" t="s">
        <v>1159</v>
      </c>
      <c r="M18" s="387" t="s">
        <v>1177</v>
      </c>
      <c r="N18" s="387" t="s">
        <v>1178</v>
      </c>
      <c r="O18" s="387" t="s">
        <v>1179</v>
      </c>
      <c r="P18" s="387"/>
      <c r="Q18" s="387"/>
      <c r="R18" s="387"/>
      <c r="S18" s="416"/>
      <c r="T18" s="752"/>
      <c r="U18" s="416"/>
      <c r="V18" s="609">
        <f t="shared" si="0"/>
        <v>0</v>
      </c>
      <c r="W18" s="692"/>
    </row>
    <row r="19" spans="1:23" outlineLevel="3">
      <c r="A19" s="376"/>
      <c r="B19" s="376" t="s">
        <v>252</v>
      </c>
      <c r="C19" s="376" t="s">
        <v>252</v>
      </c>
      <c r="D19" s="376" t="s">
        <v>159</v>
      </c>
      <c r="E19" s="387" t="s">
        <v>1159</v>
      </c>
      <c r="F19" s="608" t="s">
        <v>1181</v>
      </c>
      <c r="G19" s="609">
        <v>6.4031962499999998E-2</v>
      </c>
      <c r="H19" s="692">
        <v>1</v>
      </c>
      <c r="I19" s="626"/>
      <c r="J19" s="752"/>
      <c r="K19" s="416"/>
      <c r="L19" s="387" t="s">
        <v>1159</v>
      </c>
      <c r="M19" s="387" t="s">
        <v>1177</v>
      </c>
      <c r="N19" s="387" t="s">
        <v>1178</v>
      </c>
      <c r="O19" s="387" t="s">
        <v>1179</v>
      </c>
      <c r="P19" s="387"/>
      <c r="Q19" s="387"/>
      <c r="R19" s="387"/>
      <c r="S19" s="416"/>
      <c r="T19" s="752"/>
      <c r="U19" s="416"/>
      <c r="V19" s="609">
        <f t="shared" si="0"/>
        <v>0</v>
      </c>
      <c r="W19" s="692"/>
    </row>
    <row r="20" spans="1:23" outlineLevel="3">
      <c r="A20" s="376"/>
      <c r="B20" s="376" t="s">
        <v>252</v>
      </c>
      <c r="C20" s="376" t="s">
        <v>252</v>
      </c>
      <c r="D20" s="376" t="s">
        <v>159</v>
      </c>
      <c r="E20" s="387" t="s">
        <v>1159</v>
      </c>
      <c r="F20" s="608" t="s">
        <v>1182</v>
      </c>
      <c r="G20" s="609">
        <v>0.54994955184000005</v>
      </c>
      <c r="H20" s="692">
        <v>1</v>
      </c>
      <c r="I20" s="626"/>
      <c r="J20" s="752"/>
      <c r="K20" s="416"/>
      <c r="L20" s="387" t="s">
        <v>1159</v>
      </c>
      <c r="M20" s="387" t="s">
        <v>1177</v>
      </c>
      <c r="N20" s="387" t="s">
        <v>1178</v>
      </c>
      <c r="O20" s="387" t="s">
        <v>1179</v>
      </c>
      <c r="P20" s="387"/>
      <c r="Q20" s="387"/>
      <c r="R20" s="387"/>
      <c r="S20" s="416"/>
      <c r="T20" s="752"/>
      <c r="U20" s="416"/>
      <c r="V20" s="609">
        <f t="shared" si="0"/>
        <v>0</v>
      </c>
      <c r="W20" s="692"/>
    </row>
    <row r="21" spans="1:23" outlineLevel="3">
      <c r="A21" s="376"/>
      <c r="B21" s="376" t="s">
        <v>252</v>
      </c>
      <c r="C21" s="376" t="s">
        <v>252</v>
      </c>
      <c r="D21" s="376" t="s">
        <v>159</v>
      </c>
      <c r="E21" s="387" t="s">
        <v>1159</v>
      </c>
      <c r="F21" s="608" t="s">
        <v>1183</v>
      </c>
      <c r="G21" s="609">
        <v>0.27497477592000003</v>
      </c>
      <c r="H21" s="692">
        <v>1</v>
      </c>
      <c r="I21" s="626"/>
      <c r="J21" s="752"/>
      <c r="K21" s="416"/>
      <c r="L21" s="387" t="s">
        <v>1159</v>
      </c>
      <c r="M21" s="387" t="s">
        <v>1177</v>
      </c>
      <c r="N21" s="387" t="s">
        <v>1178</v>
      </c>
      <c r="O21" s="387" t="s">
        <v>1179</v>
      </c>
      <c r="P21" s="387"/>
      <c r="Q21" s="387"/>
      <c r="R21" s="387"/>
      <c r="S21" s="416"/>
      <c r="T21" s="752"/>
      <c r="U21" s="416"/>
      <c r="V21" s="609">
        <f t="shared" si="0"/>
        <v>0</v>
      </c>
      <c r="W21" s="692"/>
    </row>
    <row r="22" spans="1:23" outlineLevel="3">
      <c r="A22" s="376"/>
      <c r="B22" s="376" t="s">
        <v>252</v>
      </c>
      <c r="C22" s="376" t="s">
        <v>252</v>
      </c>
      <c r="D22" s="376" t="s">
        <v>159</v>
      </c>
      <c r="E22" s="387" t="s">
        <v>1159</v>
      </c>
      <c r="F22" s="608" t="s">
        <v>1184</v>
      </c>
      <c r="G22" s="609">
        <v>2.2352362560000003</v>
      </c>
      <c r="H22" s="692">
        <v>1</v>
      </c>
      <c r="I22" s="626"/>
      <c r="J22" s="752"/>
      <c r="K22" s="416"/>
      <c r="L22" s="387" t="s">
        <v>1159</v>
      </c>
      <c r="M22" s="387" t="s">
        <v>1177</v>
      </c>
      <c r="N22" s="387" t="s">
        <v>1178</v>
      </c>
      <c r="O22" s="387" t="s">
        <v>1179</v>
      </c>
      <c r="P22" s="387"/>
      <c r="Q22" s="387"/>
      <c r="R22" s="387"/>
      <c r="S22" s="416"/>
      <c r="T22" s="752"/>
      <c r="U22" s="416"/>
      <c r="V22" s="609">
        <f t="shared" si="0"/>
        <v>0</v>
      </c>
      <c r="W22" s="692"/>
    </row>
    <row r="23" spans="1:23" outlineLevel="3">
      <c r="A23" s="376"/>
      <c r="B23" s="376" t="s">
        <v>252</v>
      </c>
      <c r="C23" s="376" t="s">
        <v>252</v>
      </c>
      <c r="D23" s="376" t="s">
        <v>159</v>
      </c>
      <c r="E23" s="387" t="s">
        <v>1159</v>
      </c>
      <c r="F23" s="608" t="s">
        <v>1185</v>
      </c>
      <c r="G23" s="609">
        <v>2.2352362560000003</v>
      </c>
      <c r="H23" s="692">
        <v>1</v>
      </c>
      <c r="I23" s="626"/>
      <c r="J23" s="752"/>
      <c r="K23" s="416"/>
      <c r="L23" s="387" t="s">
        <v>1159</v>
      </c>
      <c r="M23" s="387" t="s">
        <v>1177</v>
      </c>
      <c r="N23" s="387" t="s">
        <v>1178</v>
      </c>
      <c r="O23" s="387" t="s">
        <v>1179</v>
      </c>
      <c r="P23" s="387"/>
      <c r="Q23" s="387"/>
      <c r="R23" s="387"/>
      <c r="S23" s="416"/>
      <c r="T23" s="752"/>
      <c r="U23" s="416"/>
      <c r="V23" s="609">
        <f t="shared" si="0"/>
        <v>0</v>
      </c>
      <c r="W23" s="692"/>
    </row>
    <row r="24" spans="1:23" outlineLevel="3">
      <c r="A24" s="376"/>
      <c r="B24" s="376" t="s">
        <v>252</v>
      </c>
      <c r="C24" s="376" t="s">
        <v>252</v>
      </c>
      <c r="D24" s="376" t="s">
        <v>159</v>
      </c>
      <c r="E24" s="387" t="s">
        <v>1159</v>
      </c>
      <c r="F24" s="608" t="s">
        <v>1186</v>
      </c>
      <c r="G24" s="609"/>
      <c r="H24" s="692">
        <v>1</v>
      </c>
      <c r="I24" s="626"/>
      <c r="J24" s="752"/>
      <c r="K24" s="416"/>
      <c r="L24" s="387" t="s">
        <v>1159</v>
      </c>
      <c r="M24" s="387" t="s">
        <v>1177</v>
      </c>
      <c r="N24" s="387" t="s">
        <v>1178</v>
      </c>
      <c r="O24" s="387" t="s">
        <v>1179</v>
      </c>
      <c r="P24" s="387"/>
      <c r="Q24" s="387"/>
      <c r="R24" s="387"/>
      <c r="S24" s="416"/>
      <c r="T24" s="752"/>
      <c r="U24" s="416"/>
      <c r="V24" s="609">
        <f t="shared" si="0"/>
        <v>0</v>
      </c>
      <c r="W24" s="692"/>
    </row>
    <row r="25" spans="1:23" outlineLevel="3">
      <c r="A25" s="376"/>
      <c r="B25" s="376" t="s">
        <v>252</v>
      </c>
      <c r="C25" s="376" t="s">
        <v>252</v>
      </c>
      <c r="D25" s="376" t="s">
        <v>159</v>
      </c>
      <c r="E25" s="387" t="s">
        <v>1159</v>
      </c>
      <c r="F25" s="608" t="s">
        <v>1160</v>
      </c>
      <c r="G25" s="609">
        <v>0.1125</v>
      </c>
      <c r="H25" s="692">
        <v>1</v>
      </c>
      <c r="I25" s="626"/>
      <c r="J25" s="752"/>
      <c r="K25" s="416"/>
      <c r="L25" s="387" t="s">
        <v>1159</v>
      </c>
      <c r="M25" s="387" t="s">
        <v>1177</v>
      </c>
      <c r="N25" s="387" t="s">
        <v>1178</v>
      </c>
      <c r="O25" s="387" t="s">
        <v>1179</v>
      </c>
      <c r="P25" s="387"/>
      <c r="Q25" s="387"/>
      <c r="R25" s="387"/>
      <c r="S25" s="416"/>
      <c r="T25" s="752"/>
      <c r="U25" s="416"/>
      <c r="V25" s="609">
        <f t="shared" si="0"/>
        <v>0</v>
      </c>
      <c r="W25" s="692"/>
    </row>
    <row r="26" spans="1:23" outlineLevel="3">
      <c r="A26" s="376"/>
      <c r="B26" s="376" t="s">
        <v>252</v>
      </c>
      <c r="C26" s="376" t="s">
        <v>252</v>
      </c>
      <c r="D26" s="376" t="s">
        <v>159</v>
      </c>
      <c r="E26" s="387" t="s">
        <v>1159</v>
      </c>
      <c r="F26" s="608" t="s">
        <v>1170</v>
      </c>
      <c r="G26" s="609">
        <v>3.7499999999999999E-2</v>
      </c>
      <c r="H26" s="692">
        <v>1</v>
      </c>
      <c r="I26" s="626"/>
      <c r="J26" s="752"/>
      <c r="K26" s="416"/>
      <c r="L26" s="387" t="s">
        <v>1159</v>
      </c>
      <c r="M26" s="387" t="s">
        <v>1177</v>
      </c>
      <c r="N26" s="387" t="s">
        <v>1178</v>
      </c>
      <c r="O26" s="387" t="s">
        <v>1179</v>
      </c>
      <c r="P26" s="387"/>
      <c r="Q26" s="387"/>
      <c r="R26" s="387"/>
      <c r="S26" s="416"/>
      <c r="T26" s="752"/>
      <c r="U26" s="416"/>
      <c r="V26" s="609">
        <f t="shared" si="0"/>
        <v>0</v>
      </c>
      <c r="W26" s="692"/>
    </row>
    <row r="27" spans="1:23" outlineLevel="1">
      <c r="A27" s="376"/>
      <c r="B27" s="665" t="s">
        <v>903</v>
      </c>
      <c r="C27" s="665" t="s">
        <v>903</v>
      </c>
      <c r="D27" s="665"/>
      <c r="E27" s="665"/>
      <c r="F27" s="681" t="s">
        <v>947</v>
      </c>
      <c r="G27" s="822">
        <f>SUBTOTAL(9,G28:G37)</f>
        <v>0.72823846611302523</v>
      </c>
      <c r="H27" s="823">
        <f>SUBTOTAL(9,H28:H37)</f>
        <v>7</v>
      </c>
      <c r="I27" s="626"/>
      <c r="J27" s="752"/>
      <c r="K27" s="416"/>
      <c r="L27" s="665"/>
      <c r="M27" s="665"/>
      <c r="N27" s="665"/>
      <c r="O27" s="665"/>
      <c r="P27" s="665"/>
      <c r="Q27" s="665"/>
      <c r="R27" s="665"/>
      <c r="S27" s="416"/>
      <c r="T27" s="752"/>
      <c r="U27" s="416"/>
      <c r="V27" s="822">
        <f>SUBTOTAL(9,V28:V37)</f>
        <v>0</v>
      </c>
      <c r="W27" s="823">
        <f>SUBTOTAL(9,W28:W37)</f>
        <v>0</v>
      </c>
    </row>
    <row r="28" spans="1:23" ht="26.45" outlineLevel="2">
      <c r="A28" s="376"/>
      <c r="B28" s="684" t="s">
        <v>903</v>
      </c>
      <c r="C28" s="684" t="s">
        <v>903</v>
      </c>
      <c r="D28" s="684" t="s">
        <v>159</v>
      </c>
      <c r="E28" s="684"/>
      <c r="F28" s="685" t="s">
        <v>1211</v>
      </c>
      <c r="G28" s="686">
        <f>SUBTOTAL(9,G29:G37)</f>
        <v>0.72823846611302523</v>
      </c>
      <c r="H28" s="691">
        <f>SUBTOTAL(9,H29:H37)</f>
        <v>7</v>
      </c>
      <c r="I28" s="626"/>
      <c r="J28" s="752"/>
      <c r="K28" s="416"/>
      <c r="L28" s="684"/>
      <c r="M28" s="684"/>
      <c r="N28" s="684"/>
      <c r="O28" s="684"/>
      <c r="P28" s="684"/>
      <c r="Q28" s="684"/>
      <c r="R28" s="684"/>
      <c r="S28" s="416"/>
      <c r="T28" s="752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903</v>
      </c>
      <c r="C29" s="376" t="s">
        <v>903</v>
      </c>
      <c r="D29" s="376" t="s">
        <v>159</v>
      </c>
      <c r="E29" s="376" t="s">
        <v>1159</v>
      </c>
      <c r="F29" s="705" t="s">
        <v>1212</v>
      </c>
      <c r="G29" s="609">
        <v>0.25575333042562204</v>
      </c>
      <c r="H29" s="692">
        <v>1</v>
      </c>
      <c r="I29" s="626"/>
      <c r="J29" s="752"/>
      <c r="K29" s="416"/>
      <c r="L29" s="376" t="s">
        <v>1159</v>
      </c>
      <c r="M29" s="376" t="s">
        <v>1177</v>
      </c>
      <c r="N29" s="376" t="s">
        <v>1179</v>
      </c>
      <c r="O29" s="376" t="s">
        <v>1213</v>
      </c>
      <c r="P29" s="376"/>
      <c r="Q29" s="376"/>
      <c r="R29" s="376"/>
      <c r="S29" s="416"/>
      <c r="T29" s="752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903</v>
      </c>
      <c r="C30" s="376" t="s">
        <v>903</v>
      </c>
      <c r="D30" s="376" t="s">
        <v>159</v>
      </c>
      <c r="E30" s="376" t="s">
        <v>1159</v>
      </c>
      <c r="F30" s="608" t="s">
        <v>1214</v>
      </c>
      <c r="G30" s="609">
        <v>8.1564148364617506E-2</v>
      </c>
      <c r="H30" s="692">
        <v>1</v>
      </c>
      <c r="I30" s="626"/>
      <c r="J30" s="752"/>
      <c r="K30" s="416"/>
      <c r="L30" s="376" t="s">
        <v>1159</v>
      </c>
      <c r="M30" s="376" t="s">
        <v>1177</v>
      </c>
      <c r="N30" s="376" t="s">
        <v>1179</v>
      </c>
      <c r="O30" s="376" t="s">
        <v>1213</v>
      </c>
      <c r="P30" s="376"/>
      <c r="Q30" s="376"/>
      <c r="R30" s="376"/>
      <c r="S30" s="416"/>
      <c r="T30" s="752"/>
      <c r="U30" s="416"/>
      <c r="V30" s="609">
        <f t="shared" si="1"/>
        <v>0</v>
      </c>
      <c r="W30" s="692"/>
    </row>
    <row r="31" spans="1:23" outlineLevel="3">
      <c r="A31" s="376"/>
      <c r="B31" s="376" t="s">
        <v>903</v>
      </c>
      <c r="C31" s="376" t="s">
        <v>903</v>
      </c>
      <c r="D31" s="376" t="s">
        <v>159</v>
      </c>
      <c r="E31" s="376" t="s">
        <v>1159</v>
      </c>
      <c r="F31" s="608" t="s">
        <v>1215</v>
      </c>
      <c r="G31" s="609">
        <v>0.18696938245168926</v>
      </c>
      <c r="H31" s="692">
        <v>1</v>
      </c>
      <c r="I31" s="626"/>
      <c r="J31" s="752"/>
      <c r="K31" s="416"/>
      <c r="L31" s="376" t="s">
        <v>1159</v>
      </c>
      <c r="M31" s="376" t="s">
        <v>1177</v>
      </c>
      <c r="N31" s="376" t="s">
        <v>1179</v>
      </c>
      <c r="O31" s="376" t="s">
        <v>1213</v>
      </c>
      <c r="P31" s="376"/>
      <c r="Q31" s="376"/>
      <c r="R31" s="376"/>
      <c r="S31" s="416"/>
      <c r="T31" s="752"/>
      <c r="U31" s="416"/>
      <c r="V31" s="609">
        <f t="shared" si="1"/>
        <v>0</v>
      </c>
      <c r="W31" s="692"/>
    </row>
    <row r="32" spans="1:23" outlineLevel="3">
      <c r="A32" s="376"/>
      <c r="B32" s="376" t="s">
        <v>903</v>
      </c>
      <c r="C32" s="376" t="s">
        <v>903</v>
      </c>
      <c r="D32" s="376" t="s">
        <v>159</v>
      </c>
      <c r="E32" s="376" t="s">
        <v>1159</v>
      </c>
      <c r="F32" s="608" t="s">
        <v>1216</v>
      </c>
      <c r="G32" s="609">
        <v>2.7188049454872507E-2</v>
      </c>
      <c r="H32" s="692">
        <v>1</v>
      </c>
      <c r="I32" s="626"/>
      <c r="J32" s="752"/>
      <c r="K32" s="416"/>
      <c r="L32" s="376" t="s">
        <v>1159</v>
      </c>
      <c r="M32" s="376" t="s">
        <v>1177</v>
      </c>
      <c r="N32" s="376" t="s">
        <v>1179</v>
      </c>
      <c r="O32" s="376" t="s">
        <v>1213</v>
      </c>
      <c r="P32" s="376"/>
      <c r="Q32" s="376"/>
      <c r="R32" s="376"/>
      <c r="S32" s="416"/>
      <c r="T32" s="752"/>
      <c r="U32" s="416"/>
      <c r="V32" s="609">
        <f t="shared" si="1"/>
        <v>0</v>
      </c>
      <c r="W32" s="692"/>
    </row>
    <row r="33" spans="1:23" outlineLevel="3">
      <c r="A33" s="376"/>
      <c r="B33" s="376" t="s">
        <v>903</v>
      </c>
      <c r="C33" s="376" t="s">
        <v>903</v>
      </c>
      <c r="D33" s="376" t="s">
        <v>159</v>
      </c>
      <c r="E33" s="376" t="s">
        <v>1159</v>
      </c>
      <c r="F33" s="608" t="s">
        <v>1217</v>
      </c>
      <c r="G33" s="609">
        <v>0.11218162947101355</v>
      </c>
      <c r="H33" s="692">
        <v>1</v>
      </c>
      <c r="I33" s="626"/>
      <c r="J33" s="752"/>
      <c r="K33" s="416"/>
      <c r="L33" s="376" t="s">
        <v>1159</v>
      </c>
      <c r="M33" s="376" t="s">
        <v>1177</v>
      </c>
      <c r="N33" s="376" t="s">
        <v>1179</v>
      </c>
      <c r="O33" s="376" t="s">
        <v>1213</v>
      </c>
      <c r="P33" s="376"/>
      <c r="Q33" s="376"/>
      <c r="R33" s="376"/>
      <c r="S33" s="416"/>
      <c r="T33" s="752"/>
      <c r="U33" s="416"/>
      <c r="V33" s="609">
        <f t="shared" si="1"/>
        <v>0</v>
      </c>
      <c r="W33" s="692"/>
    </row>
    <row r="34" spans="1:23" outlineLevel="3">
      <c r="A34" s="376"/>
      <c r="B34" s="376" t="s">
        <v>903</v>
      </c>
      <c r="C34" s="376" t="s">
        <v>903</v>
      </c>
      <c r="D34" s="376" t="s">
        <v>159</v>
      </c>
      <c r="E34" s="376" t="s">
        <v>1159</v>
      </c>
      <c r="F34" s="608" t="s">
        <v>1218</v>
      </c>
      <c r="G34" s="609">
        <v>3.7393876490337853E-2</v>
      </c>
      <c r="H34" s="692">
        <v>1</v>
      </c>
      <c r="I34" s="626"/>
      <c r="J34" s="752"/>
      <c r="K34" s="416"/>
      <c r="L34" s="376" t="s">
        <v>1159</v>
      </c>
      <c r="M34" s="376" t="s">
        <v>1177</v>
      </c>
      <c r="N34" s="376" t="s">
        <v>1179</v>
      </c>
      <c r="O34" s="376" t="s">
        <v>1213</v>
      </c>
      <c r="P34" s="376"/>
      <c r="Q34" s="376"/>
      <c r="R34" s="376"/>
      <c r="S34" s="416"/>
      <c r="T34" s="752"/>
      <c r="U34" s="416"/>
      <c r="V34" s="609">
        <f t="shared" si="1"/>
        <v>0</v>
      </c>
      <c r="W34" s="692"/>
    </row>
    <row r="35" spans="1:23" outlineLevel="3">
      <c r="A35" s="376"/>
      <c r="B35" s="376" t="s">
        <v>903</v>
      </c>
      <c r="C35" s="376" t="s">
        <v>903</v>
      </c>
      <c r="D35" s="376" t="s">
        <v>159</v>
      </c>
      <c r="E35" s="376" t="s">
        <v>1159</v>
      </c>
      <c r="F35" s="760" t="s">
        <v>1219</v>
      </c>
      <c r="G35" s="609"/>
      <c r="H35" s="692"/>
      <c r="I35" s="626"/>
      <c r="J35" s="752"/>
      <c r="K35" s="416"/>
      <c r="L35" s="376" t="s">
        <v>1159</v>
      </c>
      <c r="M35" s="376"/>
      <c r="N35" s="376"/>
      <c r="O35" s="376"/>
      <c r="P35" s="376"/>
      <c r="Q35" s="376"/>
      <c r="R35" s="376"/>
      <c r="S35" s="416"/>
      <c r="T35" s="752"/>
      <c r="U35" s="416"/>
      <c r="V35" s="609"/>
      <c r="W35" s="692"/>
    </row>
    <row r="36" spans="1:23" outlineLevel="3">
      <c r="A36" s="376"/>
      <c r="B36" s="376" t="s">
        <v>903</v>
      </c>
      <c r="C36" s="376" t="s">
        <v>903</v>
      </c>
      <c r="D36" s="376" t="s">
        <v>159</v>
      </c>
      <c r="E36" s="376" t="s">
        <v>1159</v>
      </c>
      <c r="F36" s="608" t="s">
        <v>1220</v>
      </c>
      <c r="G36" s="609">
        <v>2.7188049454872507E-2</v>
      </c>
      <c r="H36" s="692">
        <v>1</v>
      </c>
      <c r="I36" s="626"/>
      <c r="J36" s="752"/>
      <c r="K36" s="416"/>
      <c r="L36" s="376" t="s">
        <v>1159</v>
      </c>
      <c r="M36" s="376" t="s">
        <v>1177</v>
      </c>
      <c r="N36" s="376" t="s">
        <v>1179</v>
      </c>
      <c r="O36" s="376" t="s">
        <v>1213</v>
      </c>
      <c r="P36" s="376"/>
      <c r="Q36" s="376"/>
      <c r="R36" s="376"/>
      <c r="S36" s="416"/>
      <c r="T36" s="752"/>
      <c r="U36" s="416"/>
      <c r="V36" s="609">
        <f>IF(W36=1,G36,0)</f>
        <v>0</v>
      </c>
      <c r="W36" s="692"/>
    </row>
    <row r="37" spans="1:23" outlineLevel="3">
      <c r="A37" s="376"/>
      <c r="B37" s="376" t="s">
        <v>903</v>
      </c>
      <c r="C37" s="376" t="s">
        <v>903</v>
      </c>
      <c r="D37" s="376" t="s">
        <v>159</v>
      </c>
      <c r="E37" s="376" t="s">
        <v>1159</v>
      </c>
      <c r="F37" s="760" t="s">
        <v>1221</v>
      </c>
      <c r="G37" s="729"/>
      <c r="H37" s="692"/>
      <c r="I37" s="626"/>
      <c r="J37" s="752"/>
      <c r="K37" s="416"/>
      <c r="L37" s="376" t="s">
        <v>1159</v>
      </c>
      <c r="M37" s="376"/>
      <c r="N37" s="376"/>
      <c r="O37" s="376"/>
      <c r="P37" s="376"/>
      <c r="Q37" s="376"/>
      <c r="R37" s="376"/>
      <c r="S37" s="416"/>
      <c r="T37" s="752"/>
      <c r="U37" s="416"/>
      <c r="V37" s="729"/>
      <c r="W37" s="692"/>
    </row>
    <row r="38" spans="1:23" outlineLevel="1">
      <c r="A38" s="376"/>
      <c r="B38" s="665" t="s">
        <v>502</v>
      </c>
      <c r="C38" s="665" t="s">
        <v>502</v>
      </c>
      <c r="D38" s="665"/>
      <c r="E38" s="665"/>
      <c r="F38" s="681" t="s">
        <v>947</v>
      </c>
      <c r="G38" s="822">
        <f>SUBTOTAL(9,G39:G41)</f>
        <v>0.38041780000000003</v>
      </c>
      <c r="H38" s="823">
        <f>SUBTOTAL(9,H39:H41)</f>
        <v>2</v>
      </c>
      <c r="I38" s="626"/>
      <c r="J38" s="752"/>
      <c r="K38" s="416"/>
      <c r="L38" s="665"/>
      <c r="M38" s="665"/>
      <c r="N38" s="665"/>
      <c r="O38" s="665"/>
      <c r="P38" s="665"/>
      <c r="Q38" s="665"/>
      <c r="R38" s="665"/>
      <c r="S38" s="416"/>
      <c r="T38" s="752"/>
      <c r="U38" s="416"/>
      <c r="V38" s="822">
        <f>SUBTOTAL(9,V39:V41)</f>
        <v>0</v>
      </c>
      <c r="W38" s="823">
        <f>SUBTOTAL(9,W39:W41)</f>
        <v>0</v>
      </c>
    </row>
    <row r="39" spans="1:23" outlineLevel="2">
      <c r="A39" s="376"/>
      <c r="B39" s="684" t="s">
        <v>502</v>
      </c>
      <c r="C39" s="684" t="s">
        <v>502</v>
      </c>
      <c r="D39" s="684" t="s">
        <v>159</v>
      </c>
      <c r="E39" s="684"/>
      <c r="F39" s="685" t="s">
        <v>1230</v>
      </c>
      <c r="G39" s="686">
        <f>SUBTOTAL(9,G40:G41)</f>
        <v>0.38041780000000003</v>
      </c>
      <c r="H39" s="691">
        <f>SUBTOTAL(9,H40:H41)</f>
        <v>2</v>
      </c>
      <c r="I39" s="626"/>
      <c r="J39" s="752"/>
      <c r="K39" s="416"/>
      <c r="L39" s="684"/>
      <c r="M39" s="684"/>
      <c r="N39" s="684"/>
      <c r="O39" s="684"/>
      <c r="P39" s="684"/>
      <c r="Q39" s="684"/>
      <c r="R39" s="684"/>
      <c r="S39" s="416"/>
      <c r="T39" s="752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502</v>
      </c>
      <c r="C40" s="376" t="s">
        <v>502</v>
      </c>
      <c r="D40" s="376" t="s">
        <v>159</v>
      </c>
      <c r="E40" s="376" t="s">
        <v>1159</v>
      </c>
      <c r="F40" s="608" t="s">
        <v>1231</v>
      </c>
      <c r="G40" s="609">
        <v>0.15216712000000002</v>
      </c>
      <c r="H40" s="692">
        <v>1</v>
      </c>
      <c r="I40" s="626"/>
      <c r="J40" s="752"/>
      <c r="K40" s="416"/>
      <c r="L40" s="376" t="s">
        <v>1159</v>
      </c>
      <c r="M40" s="376" t="s">
        <v>1161</v>
      </c>
      <c r="N40" s="376" t="s">
        <v>1162</v>
      </c>
      <c r="O40" s="376"/>
      <c r="P40" s="376"/>
      <c r="Q40" s="376"/>
      <c r="R40" s="376"/>
      <c r="S40" s="416"/>
      <c r="T40" s="752"/>
      <c r="U40" s="416"/>
      <c r="V40" s="609">
        <f>IF(W40=1,G40,0)</f>
        <v>0</v>
      </c>
      <c r="W40" s="692"/>
    </row>
    <row r="41" spans="1:23" outlineLevel="3">
      <c r="A41" s="376"/>
      <c r="B41" s="376" t="s">
        <v>502</v>
      </c>
      <c r="C41" s="376" t="s">
        <v>502</v>
      </c>
      <c r="D41" s="376" t="s">
        <v>159</v>
      </c>
      <c r="E41" s="376" t="s">
        <v>1159</v>
      </c>
      <c r="F41" s="608" t="s">
        <v>36</v>
      </c>
      <c r="G41" s="609">
        <v>0.22825067999999998</v>
      </c>
      <c r="H41" s="692">
        <v>1</v>
      </c>
      <c r="I41" s="626"/>
      <c r="J41" s="752"/>
      <c r="K41" s="416"/>
      <c r="L41" s="376" t="s">
        <v>1159</v>
      </c>
      <c r="M41" s="376" t="s">
        <v>1161</v>
      </c>
      <c r="N41" s="376" t="s">
        <v>1162</v>
      </c>
      <c r="O41" s="376"/>
      <c r="P41" s="376"/>
      <c r="Q41" s="376"/>
      <c r="R41" s="376"/>
      <c r="S41" s="416"/>
      <c r="T41" s="752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2"/>
      <c r="K42" s="416"/>
      <c r="L42" s="392"/>
      <c r="M42" s="392"/>
      <c r="N42" s="392"/>
      <c r="O42" s="392"/>
      <c r="P42" s="392"/>
      <c r="Q42" s="392"/>
      <c r="R42" s="392"/>
      <c r="S42" s="416"/>
      <c r="T42" s="752"/>
      <c r="U42" s="416"/>
      <c r="V42" s="609"/>
      <c r="W42" s="692"/>
    </row>
    <row r="43" spans="1:23" ht="15">
      <c r="A43" s="376"/>
      <c r="B43" s="430" t="s">
        <v>1285</v>
      </c>
      <c r="C43" s="430"/>
      <c r="D43" s="430"/>
      <c r="E43" s="430"/>
      <c r="F43" s="697"/>
      <c r="G43" s="739">
        <f>SUBTOTAL(9,G51:G90)</f>
        <v>7.5453685263983532</v>
      </c>
      <c r="H43" s="740">
        <f>SUBTOTAL(9,H51:H90)</f>
        <v>22</v>
      </c>
      <c r="I43" s="626"/>
      <c r="J43" s="752"/>
      <c r="K43" s="416"/>
      <c r="L43" s="430"/>
      <c r="M43" s="430"/>
      <c r="N43" s="430"/>
      <c r="O43" s="430"/>
      <c r="P43" s="430"/>
      <c r="Q43" s="430"/>
      <c r="R43" s="430"/>
      <c r="S43" s="416"/>
      <c r="T43" s="752"/>
      <c r="U43" s="416"/>
      <c r="V43" s="739">
        <f>SUBTOTAL(9,V51:V90)</f>
        <v>0</v>
      </c>
      <c r="W43" s="740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2"/>
      <c r="K44" s="416"/>
      <c r="L44" s="376"/>
      <c r="M44" s="376"/>
      <c r="N44" s="376"/>
      <c r="O44" s="376"/>
      <c r="P44" s="376"/>
      <c r="Q44" s="376"/>
      <c r="R44" s="376"/>
      <c r="S44" s="416"/>
      <c r="T44" s="752"/>
      <c r="U44" s="416"/>
      <c r="V44" s="609"/>
      <c r="W44" s="692"/>
    </row>
    <row r="45" spans="1:23" outlineLevel="1">
      <c r="A45" s="376"/>
      <c r="B45" s="666" t="s">
        <v>1446</v>
      </c>
      <c r="C45" s="666" t="s">
        <v>1446</v>
      </c>
      <c r="D45" s="667"/>
      <c r="E45" s="665"/>
      <c r="F45" s="681" t="s">
        <v>947</v>
      </c>
      <c r="G45" s="708">
        <f>SUBTOTAL(9,G46:G50)</f>
        <v>0</v>
      </c>
      <c r="H45" s="709">
        <f>SUBTOTAL(9,H46:H50)</f>
        <v>3</v>
      </c>
      <c r="I45" s="626"/>
      <c r="J45" s="752"/>
      <c r="K45" s="416"/>
      <c r="L45" s="665"/>
      <c r="M45" s="665"/>
      <c r="N45" s="665"/>
      <c r="O45" s="665"/>
      <c r="P45" s="665"/>
      <c r="Q45" s="665"/>
      <c r="R45" s="665"/>
      <c r="S45" s="416"/>
      <c r="T45" s="752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1446</v>
      </c>
      <c r="C46" s="687" t="s">
        <v>1446</v>
      </c>
      <c r="D46" s="684" t="s">
        <v>159</v>
      </c>
      <c r="E46" s="684"/>
      <c r="F46" s="685" t="s">
        <v>1871</v>
      </c>
      <c r="G46" s="686">
        <f>SUBTOTAL(9,G47:G48)</f>
        <v>0</v>
      </c>
      <c r="H46" s="691">
        <f>SUBTOTAL(9,H47:H50)</f>
        <v>3</v>
      </c>
      <c r="I46" s="626"/>
      <c r="J46" s="752"/>
      <c r="K46" s="416"/>
      <c r="L46" s="684"/>
      <c r="M46" s="684"/>
      <c r="N46" s="684"/>
      <c r="O46" s="684"/>
      <c r="P46" s="684"/>
      <c r="Q46" s="684"/>
      <c r="R46" s="684"/>
      <c r="S46" s="416"/>
      <c r="T46" s="752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1446</v>
      </c>
      <c r="C47" s="387" t="s">
        <v>1446</v>
      </c>
      <c r="D47" s="376" t="s">
        <v>159</v>
      </c>
      <c r="E47" s="376" t="s">
        <v>1159</v>
      </c>
      <c r="F47" s="608" t="s">
        <v>17</v>
      </c>
      <c r="G47" s="609"/>
      <c r="H47" s="692">
        <v>1</v>
      </c>
      <c r="I47" s="626"/>
      <c r="J47" s="752"/>
      <c r="K47" s="416"/>
      <c r="L47" s="376" t="s">
        <v>1159</v>
      </c>
      <c r="M47" s="376" t="s">
        <v>1884</v>
      </c>
      <c r="N47" s="376"/>
      <c r="O47" s="376"/>
      <c r="P47" s="376"/>
      <c r="Q47" s="376"/>
      <c r="R47" s="376"/>
      <c r="S47" s="416"/>
      <c r="T47" s="752"/>
      <c r="U47" s="416"/>
      <c r="V47" s="609">
        <f>IF(W47=1,G47,0)</f>
        <v>0</v>
      </c>
      <c r="W47" s="692"/>
    </row>
    <row r="48" spans="1:23" outlineLevel="3">
      <c r="A48" s="376"/>
      <c r="B48" s="376" t="s">
        <v>1446</v>
      </c>
      <c r="C48" s="387" t="s">
        <v>1446</v>
      </c>
      <c r="D48" s="376" t="s">
        <v>159</v>
      </c>
      <c r="E48" s="376" t="s">
        <v>1159</v>
      </c>
      <c r="F48" s="608" t="s">
        <v>36</v>
      </c>
      <c r="G48" s="609"/>
      <c r="H48" s="692">
        <v>1</v>
      </c>
      <c r="I48" s="626"/>
      <c r="J48" s="752"/>
      <c r="K48" s="416"/>
      <c r="L48" s="376" t="s">
        <v>1159</v>
      </c>
      <c r="M48" s="376" t="s">
        <v>1884</v>
      </c>
      <c r="N48" s="376"/>
      <c r="O48" s="376"/>
      <c r="P48" s="376"/>
      <c r="Q48" s="376"/>
      <c r="R48" s="376"/>
      <c r="S48" s="416"/>
      <c r="T48" s="752"/>
      <c r="U48" s="416"/>
      <c r="V48" s="609">
        <f>IF(W48=1,G48,0)</f>
        <v>0</v>
      </c>
      <c r="W48" s="692"/>
    </row>
    <row r="49" spans="2:23" outlineLevel="3">
      <c r="B49" s="376" t="s">
        <v>1446</v>
      </c>
      <c r="C49" s="387" t="s">
        <v>1446</v>
      </c>
      <c r="D49" s="376" t="s">
        <v>159</v>
      </c>
      <c r="E49" s="376" t="s">
        <v>1159</v>
      </c>
      <c r="F49" s="608" t="s">
        <v>1885</v>
      </c>
      <c r="G49" s="609"/>
      <c r="H49" s="692"/>
      <c r="I49" s="626"/>
      <c r="J49" s="752"/>
      <c r="K49" s="416"/>
      <c r="L49" s="376" t="s">
        <v>1159</v>
      </c>
      <c r="M49" s="376" t="s">
        <v>1884</v>
      </c>
      <c r="N49" s="376"/>
      <c r="O49" s="376"/>
      <c r="P49" s="376"/>
      <c r="Q49" s="376"/>
      <c r="R49" s="376"/>
      <c r="S49" s="416"/>
      <c r="T49" s="752"/>
      <c r="U49" s="416"/>
      <c r="V49" s="609"/>
      <c r="W49" s="692"/>
    </row>
    <row r="50" spans="2:23" outlineLevel="3">
      <c r="B50" s="376" t="s">
        <v>1446</v>
      </c>
      <c r="C50" s="387" t="s">
        <v>1446</v>
      </c>
      <c r="D50" s="376" t="s">
        <v>159</v>
      </c>
      <c r="E50" s="376" t="s">
        <v>1159</v>
      </c>
      <c r="F50" s="608" t="s">
        <v>208</v>
      </c>
      <c r="G50" s="609"/>
      <c r="H50" s="692">
        <v>1</v>
      </c>
      <c r="I50" s="626"/>
      <c r="J50" s="752"/>
      <c r="K50" s="416"/>
      <c r="L50" s="376" t="s">
        <v>1159</v>
      </c>
      <c r="M50" s="376" t="s">
        <v>1884</v>
      </c>
      <c r="N50" s="376"/>
      <c r="O50" s="376"/>
      <c r="P50" s="376"/>
      <c r="Q50" s="376"/>
      <c r="R50" s="376"/>
      <c r="S50" s="416"/>
      <c r="T50" s="752"/>
      <c r="U50" s="416"/>
      <c r="V50" s="609">
        <f>IF(W50=1,G50,0)</f>
        <v>0</v>
      </c>
      <c r="W50" s="692"/>
    </row>
    <row r="51" spans="2:23" outlineLevel="1">
      <c r="B51" s="665" t="s">
        <v>902</v>
      </c>
      <c r="C51" s="665" t="s">
        <v>1018</v>
      </c>
      <c r="D51" s="665"/>
      <c r="E51" s="665"/>
      <c r="F51" s="681" t="s">
        <v>947</v>
      </c>
      <c r="G51" s="708">
        <f>SUBTOTAL(9,G52:G54)</f>
        <v>0.16999999999999998</v>
      </c>
      <c r="H51" s="709">
        <f>SUBTOTAL(9,H52:H54)</f>
        <v>2</v>
      </c>
      <c r="I51" s="626"/>
      <c r="J51" s="752"/>
      <c r="K51" s="416"/>
      <c r="L51" s="665"/>
      <c r="M51" s="665"/>
      <c r="N51" s="665"/>
      <c r="O51" s="665"/>
      <c r="P51" s="665"/>
      <c r="Q51" s="665"/>
      <c r="R51" s="665"/>
      <c r="S51" s="416"/>
      <c r="T51" s="752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902</v>
      </c>
      <c r="C52" s="684" t="s">
        <v>1018</v>
      </c>
      <c r="D52" s="684" t="s">
        <v>159</v>
      </c>
      <c r="E52" s="684"/>
      <c r="F52" s="685" t="s">
        <v>1871</v>
      </c>
      <c r="G52" s="686">
        <f>SUBTOTAL(9,G53:G54)</f>
        <v>0.16999999999999998</v>
      </c>
      <c r="H52" s="691">
        <f>SUBTOTAL(9,H53:H54)</f>
        <v>2</v>
      </c>
      <c r="I52" s="626"/>
      <c r="J52" s="752"/>
      <c r="K52" s="416"/>
      <c r="L52" s="684"/>
      <c r="M52" s="684"/>
      <c r="N52" s="684"/>
      <c r="O52" s="684"/>
      <c r="P52" s="684"/>
      <c r="Q52" s="684"/>
      <c r="R52" s="684"/>
      <c r="S52" s="416"/>
      <c r="T52" s="752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902</v>
      </c>
      <c r="C53" s="376" t="s">
        <v>1018</v>
      </c>
      <c r="D53" s="376" t="s">
        <v>159</v>
      </c>
      <c r="E53" s="376" t="s">
        <v>1159</v>
      </c>
      <c r="F53" s="608" t="s">
        <v>38</v>
      </c>
      <c r="G53" s="609">
        <v>0.11</v>
      </c>
      <c r="H53" s="692">
        <v>1</v>
      </c>
      <c r="I53" s="626"/>
      <c r="J53" s="752"/>
      <c r="K53" s="416"/>
      <c r="L53" s="376" t="s">
        <v>1159</v>
      </c>
      <c r="M53" s="376" t="s">
        <v>1090</v>
      </c>
      <c r="N53" s="376" t="s">
        <v>1150</v>
      </c>
      <c r="O53" s="376" t="s">
        <v>1152</v>
      </c>
      <c r="P53" s="376"/>
      <c r="Q53" s="376"/>
      <c r="R53" s="376"/>
      <c r="S53" s="416"/>
      <c r="T53" s="752"/>
      <c r="U53" s="416"/>
      <c r="V53" s="609">
        <f>IF(W53=1,G53,0)</f>
        <v>0</v>
      </c>
      <c r="W53" s="692"/>
    </row>
    <row r="54" spans="2:23" outlineLevel="3">
      <c r="B54" s="376" t="s">
        <v>902</v>
      </c>
      <c r="C54" s="376" t="s">
        <v>1018</v>
      </c>
      <c r="D54" s="376" t="s">
        <v>159</v>
      </c>
      <c r="E54" s="376" t="s">
        <v>1159</v>
      </c>
      <c r="F54" s="608" t="s">
        <v>1287</v>
      </c>
      <c r="G54" s="609">
        <v>0.06</v>
      </c>
      <c r="H54" s="692">
        <v>1</v>
      </c>
      <c r="I54" s="626"/>
      <c r="J54" s="752"/>
      <c r="K54" s="416"/>
      <c r="L54" s="376" t="s">
        <v>1159</v>
      </c>
      <c r="M54" s="376" t="s">
        <v>1090</v>
      </c>
      <c r="N54" s="376" t="s">
        <v>1150</v>
      </c>
      <c r="O54" s="376" t="s">
        <v>1152</v>
      </c>
      <c r="P54" s="376"/>
      <c r="Q54" s="376"/>
      <c r="R54" s="376"/>
      <c r="S54" s="416"/>
      <c r="T54" s="752"/>
      <c r="U54" s="416"/>
      <c r="V54" s="609">
        <f>IF(W54=1,G54,0)</f>
        <v>0</v>
      </c>
      <c r="W54" s="692"/>
    </row>
    <row r="55" spans="2:23" outlineLevel="1">
      <c r="B55" s="665" t="s">
        <v>1290</v>
      </c>
      <c r="C55" s="665" t="s">
        <v>969</v>
      </c>
      <c r="D55" s="665"/>
      <c r="E55" s="665"/>
      <c r="F55" s="681" t="s">
        <v>947</v>
      </c>
      <c r="G55" s="708">
        <f>SUBTOTAL(9,G56:G59)</f>
        <v>0.61820000000000008</v>
      </c>
      <c r="H55" s="709">
        <f>SUBTOTAL(9,H56:H59)</f>
        <v>3</v>
      </c>
      <c r="I55" s="626"/>
      <c r="J55" s="752"/>
      <c r="K55" s="416"/>
      <c r="L55" s="665"/>
      <c r="M55" s="665"/>
      <c r="N55" s="665"/>
      <c r="O55" s="665"/>
      <c r="P55" s="665"/>
      <c r="Q55" s="665"/>
      <c r="R55" s="665"/>
      <c r="S55" s="416"/>
      <c r="T55" s="752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1290</v>
      </c>
      <c r="C56" s="684" t="s">
        <v>969</v>
      </c>
      <c r="D56" s="684" t="s">
        <v>159</v>
      </c>
      <c r="E56" s="684"/>
      <c r="F56" s="685" t="s">
        <v>1886</v>
      </c>
      <c r="G56" s="686">
        <f>SUBTOTAL(9,G57:G59)</f>
        <v>0.61820000000000008</v>
      </c>
      <c r="H56" s="691">
        <f>SUBTOTAL(9,H57:H59)</f>
        <v>3</v>
      </c>
      <c r="I56" s="626"/>
      <c r="J56" s="752"/>
      <c r="K56" s="416"/>
      <c r="L56" s="684"/>
      <c r="M56" s="684"/>
      <c r="N56" s="684"/>
      <c r="O56" s="684"/>
      <c r="P56" s="684"/>
      <c r="Q56" s="684"/>
      <c r="R56" s="684"/>
      <c r="S56" s="416"/>
      <c r="T56" s="752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1290</v>
      </c>
      <c r="C57" s="376" t="s">
        <v>969</v>
      </c>
      <c r="D57" s="376" t="s">
        <v>159</v>
      </c>
      <c r="E57" s="608" t="s">
        <v>1159</v>
      </c>
      <c r="F57" s="608" t="s">
        <v>17</v>
      </c>
      <c r="G57" s="609">
        <v>0.24728000000000006</v>
      </c>
      <c r="H57" s="692">
        <v>1</v>
      </c>
      <c r="I57" s="626"/>
      <c r="J57" s="752"/>
      <c r="K57" s="416"/>
      <c r="L57" s="376" t="s">
        <v>1159</v>
      </c>
      <c r="M57" s="376" t="s">
        <v>1887</v>
      </c>
      <c r="N57" s="376"/>
      <c r="O57" s="376"/>
      <c r="P57" s="376"/>
      <c r="Q57" s="376"/>
      <c r="R57" s="376"/>
      <c r="S57" s="416"/>
      <c r="T57" s="752"/>
      <c r="U57" s="416"/>
      <c r="V57" s="609">
        <f>IF(W57=1,G57,0)</f>
        <v>0</v>
      </c>
      <c r="W57" s="692"/>
    </row>
    <row r="58" spans="2:23" outlineLevel="3">
      <c r="B58" s="376" t="s">
        <v>1290</v>
      </c>
      <c r="C58" s="376" t="s">
        <v>969</v>
      </c>
      <c r="D58" s="376" t="s">
        <v>159</v>
      </c>
      <c r="E58" s="608" t="s">
        <v>1159</v>
      </c>
      <c r="F58" s="608" t="s">
        <v>36</v>
      </c>
      <c r="G58" s="609">
        <v>0.24728000000000006</v>
      </c>
      <c r="H58" s="692">
        <v>1</v>
      </c>
      <c r="I58" s="626"/>
      <c r="J58" s="752"/>
      <c r="K58" s="416"/>
      <c r="L58" s="376" t="s">
        <v>1159</v>
      </c>
      <c r="M58" s="376" t="s">
        <v>1887</v>
      </c>
      <c r="N58" s="376"/>
      <c r="O58" s="376"/>
      <c r="P58" s="376"/>
      <c r="Q58" s="376"/>
      <c r="R58" s="376"/>
      <c r="S58" s="416"/>
      <c r="T58" s="752"/>
      <c r="U58" s="416"/>
      <c r="V58" s="609">
        <f>IF(W58=1,G58,0)</f>
        <v>0</v>
      </c>
      <c r="W58" s="692"/>
    </row>
    <row r="59" spans="2:23" outlineLevel="3">
      <c r="B59" s="376" t="s">
        <v>1290</v>
      </c>
      <c r="C59" s="376" t="s">
        <v>969</v>
      </c>
      <c r="D59" s="376" t="s">
        <v>159</v>
      </c>
      <c r="E59" s="608" t="s">
        <v>1159</v>
      </c>
      <c r="F59" s="608" t="s">
        <v>1339</v>
      </c>
      <c r="G59" s="609">
        <v>0.12364</v>
      </c>
      <c r="H59" s="692">
        <v>1</v>
      </c>
      <c r="I59" s="626"/>
      <c r="J59" s="752"/>
      <c r="K59" s="416"/>
      <c r="L59" s="376" t="s">
        <v>1159</v>
      </c>
      <c r="M59" s="376" t="s">
        <v>1887</v>
      </c>
      <c r="N59" s="376"/>
      <c r="O59" s="376"/>
      <c r="P59" s="376"/>
      <c r="Q59" s="376"/>
      <c r="R59" s="376"/>
      <c r="S59" s="416"/>
      <c r="T59" s="752"/>
      <c r="U59" s="416"/>
      <c r="V59" s="609">
        <f>IF(W59=1,G59,0)</f>
        <v>0</v>
      </c>
      <c r="W59" s="692"/>
    </row>
    <row r="60" spans="2:23" s="815" customFormat="1" outlineLevel="1">
      <c r="B60" s="666" t="s">
        <v>1309</v>
      </c>
      <c r="C60" s="666" t="s">
        <v>1310</v>
      </c>
      <c r="D60" s="666"/>
      <c r="E60" s="666"/>
      <c r="F60" s="681" t="s">
        <v>947</v>
      </c>
      <c r="G60" s="708">
        <f>SUBTOTAL(9,G61:G64)</f>
        <v>0.92385000000000017</v>
      </c>
      <c r="H60" s="709">
        <f>SUBTOTAL(9,H61:H64)</f>
        <v>3</v>
      </c>
      <c r="I60" s="741"/>
      <c r="J60" s="758"/>
      <c r="K60" s="749"/>
      <c r="L60" s="666"/>
      <c r="M60" s="666"/>
      <c r="N60" s="666"/>
      <c r="O60" s="666"/>
      <c r="P60" s="666"/>
      <c r="Q60" s="666"/>
      <c r="R60" s="666"/>
      <c r="S60" s="749"/>
      <c r="T60" s="758"/>
      <c r="U60" s="749"/>
      <c r="V60" s="708">
        <f>SUBTOTAL(9,V61:V64)</f>
        <v>0</v>
      </c>
      <c r="W60" s="709">
        <f>SUBTOTAL(9,W61:W64)</f>
        <v>0</v>
      </c>
    </row>
    <row r="61" spans="2:23" s="815" customFormat="1" outlineLevel="2">
      <c r="B61" s="687" t="s">
        <v>1310</v>
      </c>
      <c r="C61" s="687" t="s">
        <v>1310</v>
      </c>
      <c r="D61" s="687" t="s">
        <v>159</v>
      </c>
      <c r="E61" s="687"/>
      <c r="F61" s="717" t="s">
        <v>1872</v>
      </c>
      <c r="G61" s="743">
        <f>SUBTOTAL(9,G62:G64)</f>
        <v>0.92385000000000017</v>
      </c>
      <c r="H61" s="744">
        <f>SUBTOTAL(9,H62:H64)</f>
        <v>3</v>
      </c>
      <c r="I61" s="741"/>
      <c r="J61" s="758"/>
      <c r="K61" s="749"/>
      <c r="L61" s="687"/>
      <c r="M61" s="687" t="s">
        <v>1312</v>
      </c>
      <c r="N61" s="687"/>
      <c r="O61" s="687"/>
      <c r="P61" s="687"/>
      <c r="Q61" s="687"/>
      <c r="R61" s="687"/>
      <c r="S61" s="749"/>
      <c r="T61" s="758"/>
      <c r="U61" s="749"/>
      <c r="V61" s="743">
        <f>SUBTOTAL(9,V62:V64)</f>
        <v>0</v>
      </c>
      <c r="W61" s="744">
        <f>SUBTOTAL(9,W62:W64)</f>
        <v>0</v>
      </c>
    </row>
    <row r="62" spans="2:23" s="815" customFormat="1" outlineLevel="3">
      <c r="B62" s="387" t="s">
        <v>1310</v>
      </c>
      <c r="C62" s="387" t="s">
        <v>1310</v>
      </c>
      <c r="D62" s="387" t="s">
        <v>159</v>
      </c>
      <c r="E62" s="387" t="s">
        <v>1159</v>
      </c>
      <c r="F62" s="705" t="s">
        <v>1315</v>
      </c>
      <c r="G62" s="706">
        <v>0.41060000000000008</v>
      </c>
      <c r="H62" s="707">
        <v>1</v>
      </c>
      <c r="I62" s="741"/>
      <c r="J62" s="758"/>
      <c r="K62" s="749"/>
      <c r="L62" s="387" t="s">
        <v>1159</v>
      </c>
      <c r="M62" s="387"/>
      <c r="N62" s="387"/>
      <c r="O62" s="387"/>
      <c r="P62" s="387"/>
      <c r="Q62" s="387"/>
      <c r="R62" s="387"/>
      <c r="S62" s="749"/>
      <c r="T62" s="758"/>
      <c r="U62" s="749"/>
      <c r="V62" s="609">
        <f>IF(W62=1,G62,0)</f>
        <v>0</v>
      </c>
      <c r="W62" s="707"/>
    </row>
    <row r="63" spans="2:23" s="815" customFormat="1" outlineLevel="3">
      <c r="B63" s="387" t="s">
        <v>1310</v>
      </c>
      <c r="C63" s="387" t="s">
        <v>1310</v>
      </c>
      <c r="D63" s="387" t="s">
        <v>159</v>
      </c>
      <c r="E63" s="387" t="s">
        <v>1159</v>
      </c>
      <c r="F63" s="705" t="s">
        <v>1316</v>
      </c>
      <c r="G63" s="706">
        <v>0.10265000000000002</v>
      </c>
      <c r="H63" s="707">
        <v>1</v>
      </c>
      <c r="I63" s="741"/>
      <c r="J63" s="758"/>
      <c r="K63" s="749"/>
      <c r="L63" s="387" t="s">
        <v>1159</v>
      </c>
      <c r="M63" s="387"/>
      <c r="N63" s="387"/>
      <c r="O63" s="387"/>
      <c r="P63" s="387"/>
      <c r="Q63" s="387"/>
      <c r="R63" s="387"/>
      <c r="S63" s="749"/>
      <c r="T63" s="758"/>
      <c r="U63" s="749"/>
      <c r="V63" s="609">
        <f>IF(W63=1,G63,0)</f>
        <v>0</v>
      </c>
      <c r="W63" s="707"/>
    </row>
    <row r="64" spans="2:23" s="815" customFormat="1" outlineLevel="3">
      <c r="B64" s="387" t="s">
        <v>1310</v>
      </c>
      <c r="C64" s="387" t="s">
        <v>1310</v>
      </c>
      <c r="D64" s="387" t="s">
        <v>159</v>
      </c>
      <c r="E64" s="387" t="s">
        <v>1159</v>
      </c>
      <c r="F64" s="705" t="s">
        <v>1888</v>
      </c>
      <c r="G64" s="706">
        <v>0.41060000000000008</v>
      </c>
      <c r="H64" s="707">
        <v>1</v>
      </c>
      <c r="I64" s="741"/>
      <c r="J64" s="758"/>
      <c r="K64" s="749"/>
      <c r="L64" s="387" t="s">
        <v>1159</v>
      </c>
      <c r="M64" s="387"/>
      <c r="N64" s="387"/>
      <c r="O64" s="387"/>
      <c r="P64" s="387"/>
      <c r="Q64" s="387"/>
      <c r="R64" s="387"/>
      <c r="S64" s="749"/>
      <c r="T64" s="758"/>
      <c r="U64" s="749"/>
      <c r="V64" s="609">
        <f>IF(W64=1,G64,0)</f>
        <v>0</v>
      </c>
      <c r="W64" s="707"/>
    </row>
    <row r="65" spans="2:23" outlineLevel="1">
      <c r="B65" s="665" t="s">
        <v>1273</v>
      </c>
      <c r="C65" s="665" t="s">
        <v>1273</v>
      </c>
      <c r="D65" s="665"/>
      <c r="E65" s="665"/>
      <c r="F65" s="681" t="s">
        <v>947</v>
      </c>
      <c r="G65" s="708">
        <f>SUBTOTAL(9,G66:G69)</f>
        <v>0.28500000000000003</v>
      </c>
      <c r="H65" s="709">
        <f>SUBTOTAL(9,H66:H69)</f>
        <v>3</v>
      </c>
      <c r="I65" s="626"/>
      <c r="J65" s="752"/>
      <c r="K65" s="416"/>
      <c r="L65" s="665"/>
      <c r="M65" s="665"/>
      <c r="N65" s="665"/>
      <c r="O65" s="665"/>
      <c r="P65" s="665"/>
      <c r="Q65" s="665"/>
      <c r="R65" s="665"/>
      <c r="S65" s="416"/>
      <c r="T65" s="752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1273</v>
      </c>
      <c r="C66" s="684" t="s">
        <v>1273</v>
      </c>
      <c r="D66" s="684" t="s">
        <v>159</v>
      </c>
      <c r="E66" s="684"/>
      <c r="F66" s="685" t="s">
        <v>1343</v>
      </c>
      <c r="G66" s="686">
        <f>SUBTOTAL(9,G67:G69)</f>
        <v>0.28500000000000003</v>
      </c>
      <c r="H66" s="691">
        <f>SUBTOTAL(9,H67:H69)</f>
        <v>3</v>
      </c>
      <c r="I66" s="626"/>
      <c r="J66" s="752"/>
      <c r="K66" s="416"/>
      <c r="L66" s="684"/>
      <c r="M66" s="684"/>
      <c r="N66" s="684"/>
      <c r="O66" s="684"/>
      <c r="P66" s="684"/>
      <c r="Q66" s="684"/>
      <c r="R66" s="684"/>
      <c r="S66" s="416"/>
      <c r="T66" s="752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1273</v>
      </c>
      <c r="C67" s="376" t="s">
        <v>1273</v>
      </c>
      <c r="D67" s="376" t="s">
        <v>159</v>
      </c>
      <c r="E67" s="376" t="s">
        <v>1159</v>
      </c>
      <c r="F67" s="628" t="s">
        <v>38</v>
      </c>
      <c r="G67" s="609">
        <v>9.5000000000000015E-2</v>
      </c>
      <c r="H67" s="692">
        <v>1</v>
      </c>
      <c r="I67" s="626"/>
      <c r="J67" s="752"/>
      <c r="K67" s="416"/>
      <c r="L67" s="376" t="s">
        <v>1159</v>
      </c>
      <c r="M67" s="376" t="s">
        <v>1889</v>
      </c>
      <c r="N67" s="376"/>
      <c r="O67" s="376"/>
      <c r="P67" s="376"/>
      <c r="Q67" s="376"/>
      <c r="R67" s="376"/>
      <c r="S67" s="416"/>
      <c r="T67" s="752"/>
      <c r="U67" s="416"/>
      <c r="V67" s="609">
        <f>IF(W67=1,G67,0)</f>
        <v>0</v>
      </c>
      <c r="W67" s="692"/>
    </row>
    <row r="68" spans="2:23" outlineLevel="3">
      <c r="B68" s="376" t="s">
        <v>1273</v>
      </c>
      <c r="C68" s="376" t="s">
        <v>1273</v>
      </c>
      <c r="D68" s="376" t="s">
        <v>159</v>
      </c>
      <c r="E68" s="376" t="s">
        <v>1159</v>
      </c>
      <c r="F68" s="628" t="s">
        <v>1287</v>
      </c>
      <c r="G68" s="609">
        <v>9.5000000000000015E-2</v>
      </c>
      <c r="H68" s="692">
        <v>1</v>
      </c>
      <c r="I68" s="626"/>
      <c r="J68" s="752"/>
      <c r="K68" s="416"/>
      <c r="L68" s="376" t="s">
        <v>1159</v>
      </c>
      <c r="M68" s="376" t="s">
        <v>1889</v>
      </c>
      <c r="N68" s="376"/>
      <c r="O68" s="376"/>
      <c r="P68" s="376"/>
      <c r="Q68" s="376"/>
      <c r="R68" s="376"/>
      <c r="S68" s="416"/>
      <c r="T68" s="752"/>
      <c r="U68" s="416"/>
      <c r="V68" s="609">
        <f>IF(W68=1,G68,0)</f>
        <v>0</v>
      </c>
      <c r="W68" s="692"/>
    </row>
    <row r="69" spans="2:23" outlineLevel="3">
      <c r="B69" s="376" t="s">
        <v>1273</v>
      </c>
      <c r="C69" s="376" t="s">
        <v>1273</v>
      </c>
      <c r="D69" s="376" t="s">
        <v>159</v>
      </c>
      <c r="E69" s="376" t="s">
        <v>1159</v>
      </c>
      <c r="F69" s="628" t="s">
        <v>1343</v>
      </c>
      <c r="G69" s="609">
        <v>9.5000000000000015E-2</v>
      </c>
      <c r="H69" s="692">
        <v>1</v>
      </c>
      <c r="I69" s="626"/>
      <c r="J69" s="752"/>
      <c r="K69" s="416"/>
      <c r="L69" s="376" t="s">
        <v>1159</v>
      </c>
      <c r="M69" s="376" t="s">
        <v>1889</v>
      </c>
      <c r="N69" s="376"/>
      <c r="O69" s="376"/>
      <c r="P69" s="376"/>
      <c r="Q69" s="376"/>
      <c r="R69" s="376"/>
      <c r="S69" s="416"/>
      <c r="T69" s="752"/>
      <c r="U69" s="416"/>
      <c r="V69" s="609">
        <f>IF(W69=1,G69,0)</f>
        <v>0</v>
      </c>
      <c r="W69" s="692"/>
    </row>
    <row r="70" spans="2:23" outlineLevel="1">
      <c r="B70" s="665" t="s">
        <v>1347</v>
      </c>
      <c r="C70" s="665" t="s">
        <v>163</v>
      </c>
      <c r="D70" s="665"/>
      <c r="E70" s="665"/>
      <c r="F70" s="681" t="s">
        <v>947</v>
      </c>
      <c r="G70" s="708">
        <f>SUBTOTAL(9,G71:G72)</f>
        <v>0.30500000000000005</v>
      </c>
      <c r="H70" s="709">
        <f>SUBTOTAL(9,H71:H72)</f>
        <v>1</v>
      </c>
      <c r="I70" s="626"/>
      <c r="J70" s="752"/>
      <c r="K70" s="416"/>
      <c r="L70" s="665"/>
      <c r="M70" s="665"/>
      <c r="N70" s="665"/>
      <c r="O70" s="665"/>
      <c r="P70" s="665"/>
      <c r="Q70" s="665"/>
      <c r="R70" s="665"/>
      <c r="S70" s="416"/>
      <c r="T70" s="752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1347</v>
      </c>
      <c r="C71" s="684" t="s">
        <v>1089</v>
      </c>
      <c r="D71" s="684" t="s">
        <v>159</v>
      </c>
      <c r="E71" s="684"/>
      <c r="F71" s="685" t="s">
        <v>1352</v>
      </c>
      <c r="G71" s="686">
        <f>SUBTOTAL(9,G72)</f>
        <v>0.30500000000000005</v>
      </c>
      <c r="H71" s="691">
        <f>SUBTOTAL(9,H72)</f>
        <v>1</v>
      </c>
      <c r="I71" s="626"/>
      <c r="J71" s="752"/>
      <c r="K71" s="416"/>
      <c r="L71" s="684"/>
      <c r="M71" s="684" t="s">
        <v>1312</v>
      </c>
      <c r="N71" s="684"/>
      <c r="O71" s="684"/>
      <c r="P71" s="684"/>
      <c r="Q71" s="684"/>
      <c r="R71" s="684"/>
      <c r="S71" s="416"/>
      <c r="T71" s="752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1347</v>
      </c>
      <c r="C72" s="376" t="s">
        <v>1089</v>
      </c>
      <c r="D72" s="376" t="s">
        <v>159</v>
      </c>
      <c r="E72" s="376" t="s">
        <v>1159</v>
      </c>
      <c r="F72" s="608" t="s">
        <v>36</v>
      </c>
      <c r="G72" s="609">
        <v>0.30500000000000005</v>
      </c>
      <c r="H72" s="692">
        <v>1</v>
      </c>
      <c r="I72" s="626"/>
      <c r="J72" s="752"/>
      <c r="K72" s="416"/>
      <c r="L72" s="376" t="s">
        <v>1159</v>
      </c>
      <c r="M72" s="376"/>
      <c r="N72" s="376"/>
      <c r="O72" s="376"/>
      <c r="P72" s="376"/>
      <c r="Q72" s="376"/>
      <c r="R72" s="376"/>
      <c r="S72" s="416"/>
      <c r="T72" s="752"/>
      <c r="U72" s="416"/>
      <c r="V72" s="609">
        <f>IF(W72=1,G72,0)</f>
        <v>0</v>
      </c>
      <c r="W72" s="692"/>
    </row>
    <row r="73" spans="2:23" outlineLevel="1">
      <c r="B73" s="666" t="s">
        <v>1358</v>
      </c>
      <c r="C73" s="666" t="s">
        <v>1089</v>
      </c>
      <c r="D73" s="667"/>
      <c r="E73" s="665"/>
      <c r="F73" s="681" t="s">
        <v>947</v>
      </c>
      <c r="G73" s="708">
        <f>SUBTOTAL(9,G74:G78)</f>
        <v>2.8349967759554442</v>
      </c>
      <c r="H73" s="709">
        <f>SUBTOTAL(9,H74:H78)</f>
        <v>4</v>
      </c>
      <c r="I73" s="626"/>
      <c r="J73" s="752"/>
      <c r="K73" s="416"/>
      <c r="L73" s="665"/>
      <c r="M73" s="665"/>
      <c r="N73" s="665"/>
      <c r="O73" s="665"/>
      <c r="P73" s="665"/>
      <c r="Q73" s="665"/>
      <c r="R73" s="665"/>
      <c r="S73" s="416"/>
      <c r="T73" s="752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1358</v>
      </c>
      <c r="C74" s="687" t="s">
        <v>1089</v>
      </c>
      <c r="D74" s="684" t="s">
        <v>159</v>
      </c>
      <c r="E74" s="684"/>
      <c r="F74" s="685" t="s">
        <v>1890</v>
      </c>
      <c r="G74" s="686">
        <f>SUBTOTAL(9,G75:G78)</f>
        <v>2.8349967759554442</v>
      </c>
      <c r="H74" s="691">
        <f>SUBTOTAL(9,H75:H78)</f>
        <v>4</v>
      </c>
      <c r="I74" s="626"/>
      <c r="J74" s="752"/>
      <c r="K74" s="416"/>
      <c r="L74" s="684"/>
      <c r="M74" s="684" t="s">
        <v>1312</v>
      </c>
      <c r="N74" s="684"/>
      <c r="O74" s="684"/>
      <c r="P74" s="684"/>
      <c r="Q74" s="684"/>
      <c r="R74" s="684"/>
      <c r="S74" s="416"/>
      <c r="T74" s="752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1358</v>
      </c>
      <c r="C75" s="387" t="s">
        <v>1089</v>
      </c>
      <c r="D75" s="376" t="s">
        <v>159</v>
      </c>
      <c r="E75" s="376" t="s">
        <v>1159</v>
      </c>
      <c r="F75" s="608" t="s">
        <v>36</v>
      </c>
      <c r="G75" s="609">
        <v>0.9449989253184814</v>
      </c>
      <c r="H75" s="692">
        <v>1</v>
      </c>
      <c r="I75" s="626"/>
      <c r="J75" s="752"/>
      <c r="K75" s="416"/>
      <c r="L75" s="376" t="s">
        <v>1159</v>
      </c>
      <c r="M75" s="376"/>
      <c r="N75" s="376"/>
      <c r="O75" s="376"/>
      <c r="P75" s="376"/>
      <c r="Q75" s="376"/>
      <c r="R75" s="376"/>
      <c r="S75" s="416"/>
      <c r="T75" s="752"/>
      <c r="U75" s="416"/>
      <c r="V75" s="609">
        <f>IF(W75=1,G75,0)</f>
        <v>0</v>
      </c>
      <c r="W75" s="692"/>
    </row>
    <row r="76" spans="2:23" outlineLevel="3">
      <c r="B76" s="376" t="s">
        <v>1358</v>
      </c>
      <c r="C76" s="387" t="s">
        <v>1089</v>
      </c>
      <c r="D76" s="376" t="s">
        <v>159</v>
      </c>
      <c r="E76" s="376" t="s">
        <v>1159</v>
      </c>
      <c r="F76" s="608" t="s">
        <v>971</v>
      </c>
      <c r="G76" s="609">
        <v>0.9449989253184814</v>
      </c>
      <c r="H76" s="692">
        <v>1</v>
      </c>
      <c r="I76" s="626"/>
      <c r="J76" s="752"/>
      <c r="K76" s="416"/>
      <c r="L76" s="376" t="s">
        <v>1159</v>
      </c>
      <c r="M76" s="376"/>
      <c r="N76" s="376"/>
      <c r="O76" s="376"/>
      <c r="P76" s="376"/>
      <c r="Q76" s="376"/>
      <c r="R76" s="376">
        <v>0</v>
      </c>
      <c r="S76" s="416"/>
      <c r="T76" s="752"/>
      <c r="U76" s="416"/>
      <c r="V76" s="609">
        <f>IF(W76=1,G76,0)</f>
        <v>0</v>
      </c>
      <c r="W76" s="692"/>
    </row>
    <row r="77" spans="2:23" outlineLevel="3">
      <c r="B77" s="376" t="s">
        <v>1358</v>
      </c>
      <c r="C77" s="387" t="s">
        <v>1089</v>
      </c>
      <c r="D77" s="376" t="s">
        <v>159</v>
      </c>
      <c r="E77" s="376" t="s">
        <v>1159</v>
      </c>
      <c r="F77" s="789" t="s">
        <v>608</v>
      </c>
      <c r="G77" s="609">
        <v>0.4724994626592407</v>
      </c>
      <c r="H77" s="692">
        <v>1</v>
      </c>
      <c r="I77" s="626"/>
      <c r="J77" s="752"/>
      <c r="K77" s="416"/>
      <c r="L77" s="376" t="s">
        <v>1159</v>
      </c>
      <c r="M77" s="376"/>
      <c r="N77" s="376"/>
      <c r="O77" s="376"/>
      <c r="P77" s="376"/>
      <c r="Q77" s="376"/>
      <c r="R77" s="376">
        <v>0</v>
      </c>
      <c r="S77" s="416"/>
      <c r="T77" s="752"/>
      <c r="U77" s="416"/>
      <c r="V77" s="609">
        <f>IF(W77=1,G77,0)</f>
        <v>0</v>
      </c>
      <c r="W77" s="692"/>
    </row>
    <row r="78" spans="2:23" outlineLevel="3">
      <c r="B78" s="376" t="s">
        <v>1358</v>
      </c>
      <c r="C78" s="387" t="s">
        <v>1089</v>
      </c>
      <c r="D78" s="376" t="s">
        <v>159</v>
      </c>
      <c r="E78" s="376" t="s">
        <v>1159</v>
      </c>
      <c r="F78" s="789" t="s">
        <v>198</v>
      </c>
      <c r="G78" s="609">
        <v>0.4724994626592407</v>
      </c>
      <c r="H78" s="692">
        <v>1</v>
      </c>
      <c r="I78" s="626"/>
      <c r="J78" s="752"/>
      <c r="K78" s="416"/>
      <c r="L78" s="376" t="s">
        <v>1159</v>
      </c>
      <c r="M78" s="376"/>
      <c r="N78" s="376"/>
      <c r="O78" s="376"/>
      <c r="P78" s="376"/>
      <c r="Q78" s="376"/>
      <c r="R78" s="376">
        <v>0</v>
      </c>
      <c r="S78" s="416"/>
      <c r="T78" s="752"/>
      <c r="U78" s="416"/>
      <c r="V78" s="609">
        <f>IF(W78=1,G78,0)</f>
        <v>0</v>
      </c>
      <c r="W78" s="692"/>
    </row>
    <row r="79" spans="2:23" outlineLevel="1">
      <c r="B79" s="666" t="s">
        <v>1363</v>
      </c>
      <c r="C79" s="666" t="s">
        <v>1089</v>
      </c>
      <c r="D79" s="667" t="s">
        <v>1364</v>
      </c>
      <c r="E79" s="665"/>
      <c r="F79" s="681" t="s">
        <v>947</v>
      </c>
      <c r="G79" s="708">
        <f>SUBTOTAL(9,G80:G82)</f>
        <v>0.53709675044290905</v>
      </c>
      <c r="H79" s="709">
        <f>SUBTOTAL(9,H80:H82)</f>
        <v>2</v>
      </c>
      <c r="I79" s="626"/>
      <c r="J79" s="752"/>
      <c r="K79" s="416"/>
      <c r="L79" s="665"/>
      <c r="M79" s="665"/>
      <c r="N79" s="665"/>
      <c r="O79" s="665"/>
      <c r="P79" s="665"/>
      <c r="Q79" s="665"/>
      <c r="R79" s="665"/>
      <c r="S79" s="416"/>
      <c r="T79" s="752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1363</v>
      </c>
      <c r="C80" s="687" t="s">
        <v>1089</v>
      </c>
      <c r="D80" s="684" t="s">
        <v>159</v>
      </c>
      <c r="E80" s="684"/>
      <c r="F80" s="685" t="s">
        <v>1371</v>
      </c>
      <c r="G80" s="686">
        <f>SUBTOTAL(9,G81:G82)</f>
        <v>0.53709675044290905</v>
      </c>
      <c r="H80" s="691">
        <f>SUBTOTAL(9,H81:H82)</f>
        <v>2</v>
      </c>
      <c r="I80" s="626"/>
      <c r="J80" s="752"/>
      <c r="K80" s="416"/>
      <c r="L80" s="684"/>
      <c r="M80" s="684" t="s">
        <v>1312</v>
      </c>
      <c r="N80" s="684"/>
      <c r="O80" s="684"/>
      <c r="P80" s="684"/>
      <c r="Q80" s="684"/>
      <c r="R80" s="684"/>
      <c r="S80" s="416"/>
      <c r="T80" s="752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1363</v>
      </c>
      <c r="C81" s="387" t="s">
        <v>1089</v>
      </c>
      <c r="D81" s="376" t="s">
        <v>159</v>
      </c>
      <c r="E81" s="376" t="s">
        <v>1159</v>
      </c>
      <c r="F81" s="608" t="s">
        <v>36</v>
      </c>
      <c r="G81" s="609">
        <v>0.26854837522145453</v>
      </c>
      <c r="H81" s="692">
        <v>1</v>
      </c>
      <c r="I81" s="626"/>
      <c r="J81" s="752"/>
      <c r="K81" s="416"/>
      <c r="L81" s="376" t="s">
        <v>1159</v>
      </c>
      <c r="M81" s="376"/>
      <c r="N81" s="376"/>
      <c r="O81" s="376"/>
      <c r="P81" s="376"/>
      <c r="Q81" s="376"/>
      <c r="R81" s="376"/>
      <c r="S81" s="416"/>
      <c r="T81" s="752"/>
      <c r="U81" s="416"/>
      <c r="V81" s="609">
        <f>IF(W81=1,G81,0)</f>
        <v>0</v>
      </c>
      <c r="W81" s="692"/>
    </row>
    <row r="82" spans="2:23" outlineLevel="3">
      <c r="B82" s="376" t="s">
        <v>1363</v>
      </c>
      <c r="C82" s="387" t="s">
        <v>1089</v>
      </c>
      <c r="D82" s="376" t="s">
        <v>159</v>
      </c>
      <c r="E82" s="376" t="s">
        <v>1159</v>
      </c>
      <c r="F82" s="608" t="s">
        <v>1237</v>
      </c>
      <c r="G82" s="609">
        <v>0.26854837522145453</v>
      </c>
      <c r="H82" s="692">
        <v>1</v>
      </c>
      <c r="I82" s="626"/>
      <c r="J82" s="752"/>
      <c r="K82" s="416"/>
      <c r="L82" s="376" t="s">
        <v>1159</v>
      </c>
      <c r="M82" s="376"/>
      <c r="N82" s="376"/>
      <c r="O82" s="376"/>
      <c r="P82" s="376"/>
      <c r="Q82" s="376"/>
      <c r="R82" s="376"/>
      <c r="S82" s="416"/>
      <c r="T82" s="752"/>
      <c r="U82" s="416"/>
      <c r="V82" s="609">
        <f>IF(W82=1,G82,0)</f>
        <v>0</v>
      </c>
      <c r="W82" s="692"/>
    </row>
    <row r="83" spans="2:23" outlineLevel="1">
      <c r="B83" s="666" t="s">
        <v>1382</v>
      </c>
      <c r="C83" s="666" t="s">
        <v>1383</v>
      </c>
      <c r="D83" s="667"/>
      <c r="E83" s="665"/>
      <c r="F83" s="681" t="s">
        <v>947</v>
      </c>
      <c r="G83" s="708">
        <f>SUBTOTAL(9,G84:G85)</f>
        <v>1.6141000000000003</v>
      </c>
      <c r="H83" s="709">
        <f>SUBTOTAL(9,H84:H85)</f>
        <v>1</v>
      </c>
      <c r="I83" s="626"/>
      <c r="J83" s="752"/>
      <c r="K83" s="416"/>
      <c r="L83" s="665"/>
      <c r="M83" s="665"/>
      <c r="N83" s="665"/>
      <c r="O83" s="665"/>
      <c r="P83" s="665"/>
      <c r="Q83" s="665"/>
      <c r="R83" s="665"/>
      <c r="S83" s="416"/>
      <c r="T83" s="752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1382</v>
      </c>
      <c r="C84" s="684" t="s">
        <v>1383</v>
      </c>
      <c r="D84" s="684" t="s">
        <v>159</v>
      </c>
      <c r="E84" s="684"/>
      <c r="F84" s="685" t="s">
        <v>17</v>
      </c>
      <c r="G84" s="686">
        <f>SUBTOTAL(9,G85)</f>
        <v>1.6141000000000003</v>
      </c>
      <c r="H84" s="691">
        <f>SUBTOTAL(9,H85)</f>
        <v>1</v>
      </c>
      <c r="I84" s="626"/>
      <c r="J84" s="752"/>
      <c r="K84" s="416"/>
      <c r="L84" s="684"/>
      <c r="M84" s="684"/>
      <c r="N84" s="684"/>
      <c r="O84" s="684"/>
      <c r="P84" s="684"/>
      <c r="Q84" s="684"/>
      <c r="R84" s="684"/>
      <c r="S84" s="416"/>
      <c r="T84" s="752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1382</v>
      </c>
      <c r="C85" s="376" t="s">
        <v>1383</v>
      </c>
      <c r="D85" s="376" t="s">
        <v>159</v>
      </c>
      <c r="E85" s="376" t="s">
        <v>1159</v>
      </c>
      <c r="F85" s="608" t="s">
        <v>17</v>
      </c>
      <c r="G85" s="609">
        <v>1.6141000000000003</v>
      </c>
      <c r="H85" s="692">
        <v>1</v>
      </c>
      <c r="I85" s="626"/>
      <c r="J85" s="752"/>
      <c r="K85" s="416"/>
      <c r="L85" s="376" t="s">
        <v>1159</v>
      </c>
      <c r="M85" s="376" t="s">
        <v>1159</v>
      </c>
      <c r="N85" s="376" t="s">
        <v>1385</v>
      </c>
      <c r="O85" s="376" t="s">
        <v>1386</v>
      </c>
      <c r="P85" s="376"/>
      <c r="Q85" s="376"/>
      <c r="R85" s="376"/>
      <c r="S85" s="416"/>
      <c r="T85" s="752"/>
      <c r="U85" s="416"/>
      <c r="V85" s="609">
        <f>IF(W85=1,G85,0)</f>
        <v>0</v>
      </c>
      <c r="W85" s="692"/>
    </row>
    <row r="86" spans="2:23" s="820" customFormat="1" outlineLevel="1">
      <c r="B86" s="682" t="s">
        <v>1402</v>
      </c>
      <c r="C86" s="682" t="s">
        <v>1403</v>
      </c>
      <c r="D86" s="682"/>
      <c r="E86" s="682"/>
      <c r="F86" s="681" t="s">
        <v>947</v>
      </c>
      <c r="G86" s="708">
        <f>SUBTOTAL(9,G87:G90)</f>
        <v>0.25712500000000005</v>
      </c>
      <c r="H86" s="709">
        <f>SUBTOTAL(9,H87:H90)</f>
        <v>3</v>
      </c>
      <c r="I86" s="747"/>
      <c r="J86" s="759"/>
      <c r="K86" s="748"/>
      <c r="L86" s="682"/>
      <c r="M86" s="682"/>
      <c r="N86" s="682"/>
      <c r="O86" s="682"/>
      <c r="P86" s="682"/>
      <c r="Q86" s="682"/>
      <c r="R86" s="682"/>
      <c r="S86" s="748"/>
      <c r="T86" s="759"/>
      <c r="U86" s="748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1402</v>
      </c>
      <c r="C87" s="684" t="s">
        <v>1403</v>
      </c>
      <c r="D87" s="684" t="s">
        <v>159</v>
      </c>
      <c r="E87" s="684"/>
      <c r="F87" s="685" t="s">
        <v>971</v>
      </c>
      <c r="G87" s="686">
        <f>SUBTOTAL(9,G88:G90)</f>
        <v>0.25712500000000005</v>
      </c>
      <c r="H87" s="691">
        <f>SUBTOTAL(9,H88:H90)</f>
        <v>3</v>
      </c>
      <c r="I87" s="626"/>
      <c r="J87" s="752"/>
      <c r="K87" s="416"/>
      <c r="L87" s="684"/>
      <c r="M87" s="684" t="s">
        <v>1312</v>
      </c>
      <c r="N87" s="684"/>
      <c r="O87" s="684"/>
      <c r="P87" s="684"/>
      <c r="Q87" s="684"/>
      <c r="R87" s="684"/>
      <c r="S87" s="416"/>
      <c r="T87" s="752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1402</v>
      </c>
      <c r="C88" s="376" t="s">
        <v>1403</v>
      </c>
      <c r="D88" s="376" t="s">
        <v>159</v>
      </c>
      <c r="E88" s="376" t="s">
        <v>1159</v>
      </c>
      <c r="F88" s="628" t="s">
        <v>38</v>
      </c>
      <c r="G88" s="609">
        <v>0.10475000000000001</v>
      </c>
      <c r="H88" s="692">
        <v>1</v>
      </c>
      <c r="I88" s="626"/>
      <c r="J88" s="752"/>
      <c r="K88" s="416"/>
      <c r="L88" s="376" t="s">
        <v>1159</v>
      </c>
      <c r="M88" s="376"/>
      <c r="N88" s="376"/>
      <c r="O88" s="376"/>
      <c r="P88" s="376"/>
      <c r="Q88" s="376"/>
      <c r="R88" s="376"/>
      <c r="S88" s="416"/>
      <c r="T88" s="752"/>
      <c r="U88" s="416"/>
      <c r="V88" s="609">
        <f>IF(W88=1,G88,0)</f>
        <v>0</v>
      </c>
      <c r="W88" s="692"/>
    </row>
    <row r="89" spans="2:23" outlineLevel="3">
      <c r="B89" s="376" t="s">
        <v>1402</v>
      </c>
      <c r="C89" s="376" t="s">
        <v>1403</v>
      </c>
      <c r="D89" s="376" t="s">
        <v>159</v>
      </c>
      <c r="E89" s="376" t="s">
        <v>1159</v>
      </c>
      <c r="F89" s="628" t="s">
        <v>1287</v>
      </c>
      <c r="G89" s="609">
        <v>5.2375000000000005E-2</v>
      </c>
      <c r="H89" s="692">
        <v>1</v>
      </c>
      <c r="I89" s="626"/>
      <c r="J89" s="752"/>
      <c r="K89" s="416"/>
      <c r="L89" s="376" t="s">
        <v>1159</v>
      </c>
      <c r="M89" s="376"/>
      <c r="N89" s="376"/>
      <c r="O89" s="376"/>
      <c r="P89" s="376"/>
      <c r="Q89" s="376"/>
      <c r="R89" s="376"/>
      <c r="S89" s="416"/>
      <c r="T89" s="752"/>
      <c r="U89" s="416"/>
      <c r="V89" s="609">
        <f>IF(W89=1,G89,0)</f>
        <v>0</v>
      </c>
      <c r="W89" s="692"/>
    </row>
    <row r="90" spans="2:23" outlineLevel="3">
      <c r="B90" s="376" t="s">
        <v>1402</v>
      </c>
      <c r="C90" s="376" t="s">
        <v>1403</v>
      </c>
      <c r="D90" s="376" t="s">
        <v>159</v>
      </c>
      <c r="E90" s="376" t="s">
        <v>1159</v>
      </c>
      <c r="F90" s="628" t="s">
        <v>1343</v>
      </c>
      <c r="G90" s="609">
        <v>0.1</v>
      </c>
      <c r="H90" s="692">
        <v>1</v>
      </c>
      <c r="I90" s="626"/>
      <c r="J90" s="752"/>
      <c r="K90" s="416"/>
      <c r="L90" s="376" t="s">
        <v>1159</v>
      </c>
      <c r="M90" s="376"/>
      <c r="N90" s="376"/>
      <c r="O90" s="376"/>
      <c r="P90" s="376"/>
      <c r="Q90" s="376"/>
      <c r="R90" s="376"/>
      <c r="S90" s="416"/>
      <c r="T90" s="752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50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812" customWidth="1"/>
    <col min="2" max="2" width="22.7109375" style="812" customWidth="1"/>
    <col min="3" max="3" width="17.7109375" style="812" bestFit="1" customWidth="1"/>
    <col min="4" max="4" width="16.28515625" style="812" customWidth="1"/>
    <col min="5" max="5" width="14.42578125" style="812" customWidth="1"/>
    <col min="6" max="6" width="53.7109375" style="816" customWidth="1"/>
    <col min="7" max="7" width="13.28515625" style="812" bestFit="1" customWidth="1"/>
    <col min="8" max="8" width="9.5703125" style="812" customWidth="1" outlineLevel="1"/>
    <col min="9" max="11" width="0.5703125" style="812" customWidth="1"/>
    <col min="12" max="12" width="14.42578125" style="812" customWidth="1"/>
    <col min="13" max="13" width="14.42578125" style="812" customWidth="1" collapsed="1"/>
    <col min="14" max="18" width="14.42578125" style="812" hidden="1" customWidth="1" outlineLevel="1"/>
    <col min="19" max="21" width="0.5703125" style="812" customWidth="1"/>
    <col min="22" max="22" width="16.28515625" style="812" customWidth="1" collapsed="1"/>
    <col min="23" max="23" width="14.28515625" style="812" hidden="1" customWidth="1" outlineLevel="1"/>
    <col min="24" max="26" width="9.42578125" style="812" bestFit="1"/>
    <col min="27" max="27" width="9.42578125" style="812" bestFit="1" customWidth="1"/>
    <col min="28" max="16384" width="9.42578125" style="812"/>
  </cols>
  <sheetData>
    <row r="2" spans="1:27" ht="17.45">
      <c r="A2" s="376"/>
      <c r="B2" s="418" t="s">
        <v>1891</v>
      </c>
      <c r="C2" s="418"/>
      <c r="D2" s="418"/>
      <c r="E2" s="418"/>
      <c r="F2" s="423"/>
      <c r="G2" s="821">
        <f>SUBTOTAL(9,G6:G57)</f>
        <v>40.8494864295496</v>
      </c>
      <c r="H2" s="690">
        <f>SUBTOTAL(9,H6:H57)</f>
        <v>31</v>
      </c>
      <c r="I2" s="626"/>
      <c r="J2" s="752"/>
      <c r="K2" s="416"/>
      <c r="L2" s="418"/>
      <c r="M2" s="418"/>
      <c r="N2" s="418"/>
      <c r="O2" s="418"/>
      <c r="P2" s="418"/>
      <c r="Q2" s="418"/>
      <c r="R2" s="418"/>
      <c r="S2" s="416"/>
      <c r="T2" s="752"/>
      <c r="U2" s="416"/>
      <c r="V2" s="821">
        <f>SUBTOTAL(9,V6:V57)</f>
        <v>0</v>
      </c>
      <c r="W2" s="765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K3" s="416"/>
      <c r="L3" s="376"/>
      <c r="M3" s="376"/>
      <c r="N3" s="376"/>
      <c r="O3" s="376"/>
      <c r="P3" s="376"/>
      <c r="Q3" s="376"/>
      <c r="R3" s="376"/>
      <c r="S3" s="416"/>
      <c r="T3" s="752"/>
      <c r="U3" s="416"/>
      <c r="V3" s="376"/>
      <c r="W3" s="376"/>
      <c r="X3" s="416"/>
      <c r="Y3" s="416"/>
      <c r="Z3" s="416"/>
      <c r="AA3" s="416"/>
    </row>
    <row r="4" spans="1:27" s="817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K4" s="442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S4" s="442"/>
      <c r="T4" s="753"/>
      <c r="U4" s="442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7"/>
      <c r="I5" s="626"/>
      <c r="J5" s="752"/>
      <c r="K5" s="416"/>
      <c r="L5" s="376"/>
      <c r="M5" s="376"/>
      <c r="N5" s="376"/>
      <c r="O5" s="376"/>
      <c r="P5" s="376"/>
      <c r="Q5" s="376"/>
      <c r="R5" s="376"/>
      <c r="S5" s="416"/>
      <c r="T5" s="752"/>
      <c r="U5" s="416"/>
      <c r="V5" s="609"/>
      <c r="W5" s="727"/>
      <c r="X5" s="610"/>
      <c r="Y5" s="610"/>
      <c r="Z5" s="610"/>
      <c r="AA5" s="610"/>
    </row>
    <row r="6" spans="1:27" ht="15">
      <c r="A6" s="376"/>
      <c r="B6" s="430" t="s">
        <v>945</v>
      </c>
      <c r="C6" s="430"/>
      <c r="D6" s="430"/>
      <c r="E6" s="430"/>
      <c r="F6" s="697"/>
      <c r="G6" s="739">
        <f>SUBTOTAL(9,G8:G12)</f>
        <v>0.3642147722995997</v>
      </c>
      <c r="H6" s="740">
        <f>SUBTOTAL(9,H8:H12)</f>
        <v>3</v>
      </c>
      <c r="I6" s="626"/>
      <c r="J6" s="752"/>
      <c r="K6" s="416"/>
      <c r="L6" s="430"/>
      <c r="M6" s="430"/>
      <c r="N6" s="430"/>
      <c r="O6" s="430"/>
      <c r="P6" s="430"/>
      <c r="Q6" s="430"/>
      <c r="R6" s="430"/>
      <c r="S6" s="416"/>
      <c r="T6" s="752"/>
      <c r="U6" s="416"/>
      <c r="V6" s="739">
        <f>SUBTOTAL(9,V8:V12)</f>
        <v>0</v>
      </c>
      <c r="W6" s="740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2"/>
      <c r="K7" s="416"/>
      <c r="L7" s="376"/>
      <c r="M7" s="376"/>
      <c r="N7" s="376"/>
      <c r="O7" s="376"/>
      <c r="P7" s="376"/>
      <c r="Q7" s="376"/>
      <c r="R7" s="376"/>
      <c r="S7" s="416"/>
      <c r="T7" s="752"/>
      <c r="U7" s="416"/>
      <c r="V7" s="609"/>
      <c r="W7" s="692"/>
      <c r="X7" s="610"/>
      <c r="Y7" s="610"/>
      <c r="Z7" s="610"/>
      <c r="AA7" s="610"/>
    </row>
    <row r="8" spans="1:27" s="819" customFormat="1" outlineLevel="1">
      <c r="A8" s="386"/>
      <c r="B8" s="666" t="s">
        <v>893</v>
      </c>
      <c r="C8" s="666" t="s">
        <v>1000</v>
      </c>
      <c r="D8" s="666"/>
      <c r="E8" s="666"/>
      <c r="F8" s="681" t="s">
        <v>947</v>
      </c>
      <c r="G8" s="708">
        <f>SUBTOTAL(9,G9:G12)</f>
        <v>0.3642147722995997</v>
      </c>
      <c r="H8" s="709">
        <f>SUBTOTAL(9,H9:H12)</f>
        <v>3</v>
      </c>
      <c r="I8" s="710"/>
      <c r="J8" s="756"/>
      <c r="K8" s="711"/>
      <c r="L8" s="666"/>
      <c r="M8" s="666"/>
      <c r="N8" s="666"/>
      <c r="O8" s="666"/>
      <c r="P8" s="666"/>
      <c r="Q8" s="666"/>
      <c r="R8" s="666"/>
      <c r="S8" s="711"/>
      <c r="T8" s="756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893</v>
      </c>
      <c r="C9" s="684" t="s">
        <v>1000</v>
      </c>
      <c r="D9" s="684" t="s">
        <v>159</v>
      </c>
      <c r="E9" s="684"/>
      <c r="F9" s="712" t="s">
        <v>948</v>
      </c>
      <c r="G9" s="686">
        <f>SUBTOTAL(9,G10:G12)</f>
        <v>0.3642147722995997</v>
      </c>
      <c r="H9" s="691">
        <f>SUBTOTAL(9,H10:H12)</f>
        <v>3</v>
      </c>
      <c r="I9" s="626"/>
      <c r="J9" s="752"/>
      <c r="K9" s="416"/>
      <c r="L9" s="684"/>
      <c r="M9" s="684"/>
      <c r="N9" s="684"/>
      <c r="O9" s="684"/>
      <c r="P9" s="684"/>
      <c r="Q9" s="684"/>
      <c r="R9" s="684"/>
      <c r="S9" s="416"/>
      <c r="T9" s="752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893</v>
      </c>
      <c r="C10" s="376" t="s">
        <v>1000</v>
      </c>
      <c r="D10" s="376" t="s">
        <v>159</v>
      </c>
      <c r="E10" s="376" t="s">
        <v>664</v>
      </c>
      <c r="F10" s="608" t="s">
        <v>75</v>
      </c>
      <c r="G10" s="609">
        <v>0.13658053961234987</v>
      </c>
      <c r="H10" s="692">
        <v>1</v>
      </c>
      <c r="I10" s="626"/>
      <c r="J10" s="752"/>
      <c r="K10" s="416"/>
      <c r="L10" s="376" t="s">
        <v>664</v>
      </c>
      <c r="M10" s="376" t="s">
        <v>1001</v>
      </c>
      <c r="N10" s="376" t="s">
        <v>1002</v>
      </c>
      <c r="O10" s="376"/>
      <c r="P10" s="376"/>
      <c r="Q10" s="376"/>
      <c r="R10" s="376"/>
      <c r="S10" s="416"/>
      <c r="T10" s="752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893</v>
      </c>
      <c r="C11" s="376" t="s">
        <v>1000</v>
      </c>
      <c r="D11" s="376" t="s">
        <v>159</v>
      </c>
      <c r="E11" s="376" t="s">
        <v>664</v>
      </c>
      <c r="F11" s="623" t="s">
        <v>957</v>
      </c>
      <c r="G11" s="609">
        <v>0.18210738614979985</v>
      </c>
      <c r="H11" s="692">
        <v>1</v>
      </c>
      <c r="I11" s="626"/>
      <c r="J11" s="752"/>
      <c r="K11" s="416"/>
      <c r="L11" s="376" t="s">
        <v>664</v>
      </c>
      <c r="M11" s="376" t="s">
        <v>1001</v>
      </c>
      <c r="N11" s="376" t="s">
        <v>1003</v>
      </c>
      <c r="O11" s="376"/>
      <c r="P11" s="376"/>
      <c r="Q11" s="376"/>
      <c r="R11" s="376"/>
      <c r="S11" s="416"/>
      <c r="T11" s="752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893</v>
      </c>
      <c r="C12" s="376" t="s">
        <v>1000</v>
      </c>
      <c r="D12" s="376" t="s">
        <v>159</v>
      </c>
      <c r="E12" s="376" t="s">
        <v>664</v>
      </c>
      <c r="F12" s="623" t="s">
        <v>1004</v>
      </c>
      <c r="G12" s="609">
        <v>4.5526846537449962E-2</v>
      </c>
      <c r="H12" s="692">
        <v>1</v>
      </c>
      <c r="I12" s="626"/>
      <c r="J12" s="752"/>
      <c r="K12" s="416"/>
      <c r="L12" s="376" t="s">
        <v>664</v>
      </c>
      <c r="M12" s="376" t="s">
        <v>1001</v>
      </c>
      <c r="N12" s="376" t="s">
        <v>1005</v>
      </c>
      <c r="O12" s="376"/>
      <c r="P12" s="376"/>
      <c r="Q12" s="376"/>
      <c r="R12" s="376"/>
      <c r="S12" s="416"/>
      <c r="T12" s="752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2"/>
      <c r="K13" s="416"/>
      <c r="L13" s="392"/>
      <c r="M13" s="392"/>
      <c r="N13" s="392"/>
      <c r="O13" s="392"/>
      <c r="P13" s="392"/>
      <c r="Q13" s="392"/>
      <c r="R13" s="392"/>
      <c r="S13" s="416"/>
      <c r="T13" s="752"/>
      <c r="U13" s="416"/>
      <c r="V13" s="609"/>
      <c r="W13" s="692"/>
      <c r="X13" s="416"/>
      <c r="Y13" s="416"/>
      <c r="Z13" s="416"/>
      <c r="AA13" s="416"/>
    </row>
    <row r="14" spans="1:27" ht="15">
      <c r="A14" s="376"/>
      <c r="B14" s="430" t="s">
        <v>1285</v>
      </c>
      <c r="C14" s="430"/>
      <c r="D14" s="430"/>
      <c r="E14" s="430"/>
      <c r="F14" s="697"/>
      <c r="G14" s="739">
        <f>SUBTOTAL(9,G16:G57)</f>
        <v>40.485271657250003</v>
      </c>
      <c r="H14" s="740">
        <f>SUBTOTAL(9,H16:H57)</f>
        <v>28</v>
      </c>
      <c r="I14" s="626"/>
      <c r="J14" s="752"/>
      <c r="K14" s="416"/>
      <c r="L14" s="430"/>
      <c r="M14" s="430"/>
      <c r="N14" s="430"/>
      <c r="O14" s="430"/>
      <c r="P14" s="430"/>
      <c r="Q14" s="430"/>
      <c r="R14" s="430"/>
      <c r="S14" s="416"/>
      <c r="T14" s="752"/>
      <c r="U14" s="416"/>
      <c r="V14" s="739">
        <f>SUBTOTAL(9,V16:V57)</f>
        <v>0</v>
      </c>
      <c r="W14" s="740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2"/>
      <c r="K15" s="416"/>
      <c r="L15" s="376"/>
      <c r="M15" s="376"/>
      <c r="N15" s="376"/>
      <c r="O15" s="376"/>
      <c r="P15" s="376"/>
      <c r="Q15" s="376"/>
      <c r="R15" s="376"/>
      <c r="S15" s="416"/>
      <c r="T15" s="752"/>
      <c r="U15" s="416"/>
      <c r="V15" s="609"/>
      <c r="W15" s="692"/>
      <c r="X15" s="416"/>
      <c r="Y15" s="416"/>
      <c r="Z15" s="416"/>
      <c r="AA15" s="416"/>
    </row>
    <row r="16" spans="1:27" s="815" customFormat="1" outlineLevel="1">
      <c r="A16" s="392"/>
      <c r="B16" s="666" t="s">
        <v>1320</v>
      </c>
      <c r="C16" s="666" t="s">
        <v>1321</v>
      </c>
      <c r="D16" s="666"/>
      <c r="E16" s="666"/>
      <c r="F16" s="681" t="s">
        <v>947</v>
      </c>
      <c r="G16" s="708">
        <f>SUBTOTAL(9,G17:G22)</f>
        <v>16.579694250000003</v>
      </c>
      <c r="H16" s="709">
        <f>SUBTOTAL(9,H17:H22)</f>
        <v>5</v>
      </c>
      <c r="I16" s="741"/>
      <c r="J16" s="758"/>
      <c r="K16" s="749"/>
      <c r="L16" s="666"/>
      <c r="M16" s="666"/>
      <c r="N16" s="666"/>
      <c r="O16" s="666"/>
      <c r="P16" s="666"/>
      <c r="Q16" s="666"/>
      <c r="R16" s="666"/>
      <c r="S16" s="749"/>
      <c r="T16" s="758"/>
      <c r="U16" s="749"/>
      <c r="V16" s="708">
        <f>SUBTOTAL(9,V17:V22)</f>
        <v>0</v>
      </c>
      <c r="W16" s="709">
        <f>SUBTOTAL(9,W17:W22)</f>
        <v>0</v>
      </c>
      <c r="X16" s="742"/>
      <c r="Y16" s="742"/>
      <c r="Z16" s="742"/>
      <c r="AA16" s="742"/>
    </row>
    <row r="17" spans="2:23" s="815" customFormat="1" outlineLevel="2">
      <c r="B17" s="687" t="s">
        <v>1321</v>
      </c>
      <c r="C17" s="687" t="s">
        <v>1321</v>
      </c>
      <c r="D17" s="687" t="s">
        <v>159</v>
      </c>
      <c r="E17" s="687"/>
      <c r="F17" s="717" t="s">
        <v>1892</v>
      </c>
      <c r="G17" s="743">
        <f>SUBTOTAL(9,G18:G22)</f>
        <v>16.579694250000003</v>
      </c>
      <c r="H17" s="744">
        <f>SUBTOTAL(9,H18:H22)</f>
        <v>5</v>
      </c>
      <c r="I17" s="741"/>
      <c r="J17" s="758"/>
      <c r="K17" s="749"/>
      <c r="L17" s="687"/>
      <c r="M17" s="687"/>
      <c r="N17" s="687"/>
      <c r="O17" s="687"/>
      <c r="P17" s="687"/>
      <c r="Q17" s="687"/>
      <c r="R17" s="687"/>
      <c r="S17" s="749"/>
      <c r="T17" s="758"/>
      <c r="U17" s="749"/>
      <c r="V17" s="743">
        <f>SUBTOTAL(9,V18:V21)</f>
        <v>0</v>
      </c>
      <c r="W17" s="744">
        <f>SUBTOTAL(9,W18:W21)</f>
        <v>0</v>
      </c>
    </row>
    <row r="18" spans="2:23" s="815" customFormat="1" outlineLevel="3" collapsed="1">
      <c r="B18" s="387" t="s">
        <v>1321</v>
      </c>
      <c r="C18" s="387" t="s">
        <v>1321</v>
      </c>
      <c r="D18" s="387" t="s">
        <v>159</v>
      </c>
      <c r="E18" s="387" t="s">
        <v>664</v>
      </c>
      <c r="F18" s="705" t="s">
        <v>17</v>
      </c>
      <c r="G18" s="706">
        <v>3.6843765000000008</v>
      </c>
      <c r="H18" s="707">
        <v>1</v>
      </c>
      <c r="I18" s="741"/>
      <c r="J18" s="758"/>
      <c r="K18" s="749"/>
      <c r="L18" s="387" t="s">
        <v>664</v>
      </c>
      <c r="M18" s="387" t="s">
        <v>664</v>
      </c>
      <c r="N18" s="387" t="s">
        <v>1323</v>
      </c>
      <c r="O18" s="387"/>
      <c r="P18" s="387"/>
      <c r="Q18" s="387"/>
      <c r="R18" s="387"/>
      <c r="S18" s="749"/>
      <c r="T18" s="758"/>
      <c r="U18" s="749"/>
      <c r="V18" s="609">
        <f>IF(W18=1,G18,0)</f>
        <v>0</v>
      </c>
      <c r="W18" s="707"/>
    </row>
    <row r="19" spans="2:23" s="815" customFormat="1" outlineLevel="3">
      <c r="B19" s="387" t="s">
        <v>1321</v>
      </c>
      <c r="C19" s="387" t="s">
        <v>1321</v>
      </c>
      <c r="D19" s="387" t="s">
        <v>159</v>
      </c>
      <c r="E19" s="387" t="s">
        <v>664</v>
      </c>
      <c r="F19" s="705" t="s">
        <v>36</v>
      </c>
      <c r="G19" s="706">
        <v>3.6843765000000008</v>
      </c>
      <c r="H19" s="707">
        <v>1</v>
      </c>
      <c r="I19" s="741"/>
      <c r="J19" s="758"/>
      <c r="K19" s="749"/>
      <c r="L19" s="387" t="s">
        <v>664</v>
      </c>
      <c r="M19" s="387" t="s">
        <v>664</v>
      </c>
      <c r="N19" s="387" t="s">
        <v>1323</v>
      </c>
      <c r="O19" s="387"/>
      <c r="P19" s="387"/>
      <c r="Q19" s="387"/>
      <c r="R19" s="387"/>
      <c r="S19" s="749"/>
      <c r="T19" s="758"/>
      <c r="U19" s="749"/>
      <c r="V19" s="609">
        <f>IF(W19=1,G19,0)</f>
        <v>0</v>
      </c>
      <c r="W19" s="707"/>
    </row>
    <row r="20" spans="2:23" s="815" customFormat="1" outlineLevel="3">
      <c r="B20" s="387" t="s">
        <v>1321</v>
      </c>
      <c r="C20" s="387" t="s">
        <v>1321</v>
      </c>
      <c r="D20" s="387" t="s">
        <v>159</v>
      </c>
      <c r="E20" s="387" t="s">
        <v>664</v>
      </c>
      <c r="F20" s="705" t="s">
        <v>1237</v>
      </c>
      <c r="G20" s="706">
        <v>3.6843764999999999</v>
      </c>
      <c r="H20" s="707">
        <v>1</v>
      </c>
      <c r="I20" s="741"/>
      <c r="J20" s="758"/>
      <c r="K20" s="749"/>
      <c r="L20" s="387" t="s">
        <v>664</v>
      </c>
      <c r="M20" s="387" t="s">
        <v>1324</v>
      </c>
      <c r="N20" s="387" t="s">
        <v>1323</v>
      </c>
      <c r="O20" s="387" t="s">
        <v>1325</v>
      </c>
      <c r="P20" s="387"/>
      <c r="Q20" s="387"/>
      <c r="R20" s="387"/>
      <c r="S20" s="749"/>
      <c r="T20" s="758"/>
      <c r="U20" s="749"/>
      <c r="V20" s="609">
        <f>IF(W20=1,G20,0)</f>
        <v>0</v>
      </c>
      <c r="W20" s="707"/>
    </row>
    <row r="21" spans="2:23" s="815" customFormat="1" outlineLevel="3">
      <c r="B21" s="387" t="s">
        <v>1321</v>
      </c>
      <c r="C21" s="387" t="s">
        <v>1321</v>
      </c>
      <c r="D21" s="387" t="s">
        <v>159</v>
      </c>
      <c r="E21" s="387" t="s">
        <v>664</v>
      </c>
      <c r="F21" s="705" t="s">
        <v>1326</v>
      </c>
      <c r="G21" s="706">
        <v>1.8421882500000004</v>
      </c>
      <c r="H21" s="707">
        <v>1</v>
      </c>
      <c r="I21" s="741"/>
      <c r="J21" s="758"/>
      <c r="K21" s="749"/>
      <c r="L21" s="387" t="s">
        <v>664</v>
      </c>
      <c r="M21" s="387" t="s">
        <v>1324</v>
      </c>
      <c r="N21" s="387" t="s">
        <v>1323</v>
      </c>
      <c r="O21" s="387" t="s">
        <v>1325</v>
      </c>
      <c r="P21" s="387"/>
      <c r="Q21" s="387"/>
      <c r="R21" s="387"/>
      <c r="S21" s="749"/>
      <c r="T21" s="758"/>
      <c r="U21" s="749"/>
      <c r="V21" s="609">
        <f>IF(W21=1,G21,0)</f>
        <v>0</v>
      </c>
      <c r="W21" s="707"/>
    </row>
    <row r="22" spans="2:23" s="815" customFormat="1" outlineLevel="3">
      <c r="B22" s="387" t="s">
        <v>1321</v>
      </c>
      <c r="C22" s="387" t="s">
        <v>1321</v>
      </c>
      <c r="D22" s="387" t="s">
        <v>159</v>
      </c>
      <c r="E22" s="387" t="s">
        <v>664</v>
      </c>
      <c r="F22" s="705" t="s">
        <v>1873</v>
      </c>
      <c r="G22" s="706">
        <v>3.6843765000000008</v>
      </c>
      <c r="H22" s="707">
        <v>1</v>
      </c>
      <c r="I22" s="741"/>
      <c r="J22" s="758"/>
      <c r="K22" s="749"/>
      <c r="L22" s="387" t="s">
        <v>664</v>
      </c>
      <c r="M22" s="387" t="s">
        <v>664</v>
      </c>
      <c r="N22" s="387" t="s">
        <v>1323</v>
      </c>
      <c r="O22" s="387"/>
      <c r="P22" s="387"/>
      <c r="Q22" s="387"/>
      <c r="R22" s="387"/>
      <c r="S22" s="749"/>
      <c r="T22" s="758"/>
      <c r="U22" s="749"/>
      <c r="V22" s="609">
        <f>IF(W22=1,G22,0)</f>
        <v>0</v>
      </c>
      <c r="W22" s="707"/>
    </row>
    <row r="23" spans="2:23" s="815" customFormat="1" outlineLevel="1">
      <c r="B23" s="666" t="s">
        <v>1329</v>
      </c>
      <c r="C23" s="666" t="s">
        <v>1330</v>
      </c>
      <c r="D23" s="666"/>
      <c r="E23" s="666"/>
      <c r="F23" s="681" t="s">
        <v>947</v>
      </c>
      <c r="G23" s="708">
        <f>SUBTOTAL(9,G24:G29)</f>
        <v>5.5265647500000004</v>
      </c>
      <c r="H23" s="709">
        <f>SUBTOTAL(9,H24:H29)</f>
        <v>5</v>
      </c>
      <c r="I23" s="741"/>
      <c r="J23" s="758"/>
      <c r="K23" s="749"/>
      <c r="L23" s="666"/>
      <c r="M23" s="666"/>
      <c r="N23" s="666"/>
      <c r="O23" s="666"/>
      <c r="P23" s="666"/>
      <c r="Q23" s="666"/>
      <c r="R23" s="666"/>
      <c r="S23" s="749"/>
      <c r="T23" s="758"/>
      <c r="U23" s="749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1330</v>
      </c>
      <c r="C24" s="687" t="s">
        <v>1330</v>
      </c>
      <c r="D24" s="684" t="s">
        <v>159</v>
      </c>
      <c r="E24" s="687"/>
      <c r="F24" s="717" t="s">
        <v>1892</v>
      </c>
      <c r="G24" s="743">
        <f>SUBTOTAL(9,G25:G29)</f>
        <v>5.5265647500000004</v>
      </c>
      <c r="H24" s="744">
        <f>SUBTOTAL(9,H25:H29)</f>
        <v>5</v>
      </c>
      <c r="I24" s="626"/>
      <c r="J24" s="752"/>
      <c r="K24" s="416"/>
      <c r="L24" s="687"/>
      <c r="M24" s="687"/>
      <c r="N24" s="687"/>
      <c r="O24" s="687"/>
      <c r="P24" s="687"/>
      <c r="Q24" s="687"/>
      <c r="R24" s="687"/>
      <c r="S24" s="416"/>
      <c r="T24" s="752"/>
      <c r="U24" s="416"/>
      <c r="V24" s="743">
        <f>SUBTOTAL(9,V25:V28)</f>
        <v>0</v>
      </c>
      <c r="W24" s="744">
        <f>SUBTOTAL(9,W25:W28)</f>
        <v>0</v>
      </c>
    </row>
    <row r="25" spans="2:23" outlineLevel="3" collapsed="1">
      <c r="B25" s="387" t="s">
        <v>1330</v>
      </c>
      <c r="C25" s="387" t="s">
        <v>1330</v>
      </c>
      <c r="D25" s="376" t="s">
        <v>159</v>
      </c>
      <c r="E25" s="387" t="s">
        <v>664</v>
      </c>
      <c r="F25" s="705" t="s">
        <v>17</v>
      </c>
      <c r="G25" s="706">
        <v>1.2281255000000002</v>
      </c>
      <c r="H25" s="707">
        <v>1</v>
      </c>
      <c r="I25" s="626"/>
      <c r="J25" s="752"/>
      <c r="K25" s="416"/>
      <c r="L25" s="387" t="s">
        <v>664</v>
      </c>
      <c r="M25" s="387" t="s">
        <v>664</v>
      </c>
      <c r="N25" s="387" t="s">
        <v>1331</v>
      </c>
      <c r="O25" s="387"/>
      <c r="P25" s="387"/>
      <c r="Q25" s="387"/>
      <c r="R25" s="387"/>
      <c r="S25" s="416"/>
      <c r="T25" s="752"/>
      <c r="U25" s="416"/>
      <c r="V25" s="609">
        <f>IF(W25=1,G25,0)</f>
        <v>0</v>
      </c>
      <c r="W25" s="707"/>
    </row>
    <row r="26" spans="2:23" outlineLevel="3">
      <c r="B26" s="387" t="s">
        <v>1330</v>
      </c>
      <c r="C26" s="387" t="s">
        <v>1330</v>
      </c>
      <c r="D26" s="376" t="s">
        <v>159</v>
      </c>
      <c r="E26" s="387" t="s">
        <v>664</v>
      </c>
      <c r="F26" s="705" t="s">
        <v>36</v>
      </c>
      <c r="G26" s="706">
        <v>1.2281255000000002</v>
      </c>
      <c r="H26" s="707">
        <v>1</v>
      </c>
      <c r="I26" s="626"/>
      <c r="J26" s="752"/>
      <c r="K26" s="416"/>
      <c r="L26" s="387" t="s">
        <v>664</v>
      </c>
      <c r="M26" s="387" t="s">
        <v>664</v>
      </c>
      <c r="N26" s="387" t="s">
        <v>1331</v>
      </c>
      <c r="O26" s="387"/>
      <c r="P26" s="387"/>
      <c r="Q26" s="387"/>
      <c r="R26" s="387"/>
      <c r="S26" s="416"/>
      <c r="T26" s="752"/>
      <c r="U26" s="416"/>
      <c r="V26" s="609">
        <f>IF(W26=1,G26,0)</f>
        <v>0</v>
      </c>
      <c r="W26" s="707"/>
    </row>
    <row r="27" spans="2:23" outlineLevel="3">
      <c r="B27" s="387" t="s">
        <v>1330</v>
      </c>
      <c r="C27" s="387" t="s">
        <v>1330</v>
      </c>
      <c r="D27" s="376" t="s">
        <v>159</v>
      </c>
      <c r="E27" s="387" t="s">
        <v>664</v>
      </c>
      <c r="F27" s="705" t="s">
        <v>1237</v>
      </c>
      <c r="G27" s="706">
        <v>1.2281255</v>
      </c>
      <c r="H27" s="707">
        <v>1</v>
      </c>
      <c r="I27" s="626"/>
      <c r="J27" s="752"/>
      <c r="K27" s="416"/>
      <c r="L27" s="387" t="s">
        <v>664</v>
      </c>
      <c r="M27" s="387" t="s">
        <v>1324</v>
      </c>
      <c r="N27" s="387" t="s">
        <v>1331</v>
      </c>
      <c r="O27" s="387" t="s">
        <v>1332</v>
      </c>
      <c r="P27" s="387"/>
      <c r="Q27" s="387"/>
      <c r="R27" s="387"/>
      <c r="S27" s="416"/>
      <c r="T27" s="752"/>
      <c r="U27" s="416"/>
      <c r="V27" s="609">
        <f>IF(W27=1,G27,0)</f>
        <v>0</v>
      </c>
      <c r="W27" s="707"/>
    </row>
    <row r="28" spans="2:23" outlineLevel="3">
      <c r="B28" s="387" t="s">
        <v>1330</v>
      </c>
      <c r="C28" s="387" t="s">
        <v>1330</v>
      </c>
      <c r="D28" s="376" t="s">
        <v>159</v>
      </c>
      <c r="E28" s="387" t="s">
        <v>664</v>
      </c>
      <c r="F28" s="705" t="s">
        <v>1326</v>
      </c>
      <c r="G28" s="706">
        <v>0.6140627500000001</v>
      </c>
      <c r="H28" s="707">
        <v>1</v>
      </c>
      <c r="I28" s="626"/>
      <c r="J28" s="752"/>
      <c r="K28" s="416"/>
      <c r="L28" s="387" t="s">
        <v>664</v>
      </c>
      <c r="M28" s="387" t="s">
        <v>1324</v>
      </c>
      <c r="N28" s="387" t="s">
        <v>1331</v>
      </c>
      <c r="O28" s="387" t="s">
        <v>1332</v>
      </c>
      <c r="P28" s="387"/>
      <c r="Q28" s="387"/>
      <c r="R28" s="387"/>
      <c r="S28" s="416"/>
      <c r="T28" s="752"/>
      <c r="U28" s="416"/>
      <c r="V28" s="609">
        <f>IF(W28=1,G28,0)</f>
        <v>0</v>
      </c>
      <c r="W28" s="707"/>
    </row>
    <row r="29" spans="2:23" outlineLevel="3">
      <c r="B29" s="387" t="s">
        <v>1330</v>
      </c>
      <c r="C29" s="387" t="s">
        <v>1330</v>
      </c>
      <c r="D29" s="376" t="s">
        <v>159</v>
      </c>
      <c r="E29" s="387" t="s">
        <v>664</v>
      </c>
      <c r="F29" s="705" t="s">
        <v>1873</v>
      </c>
      <c r="G29" s="706">
        <v>1.2281255000000002</v>
      </c>
      <c r="H29" s="707">
        <v>1</v>
      </c>
      <c r="I29" s="626"/>
      <c r="J29" s="752"/>
      <c r="K29" s="416"/>
      <c r="L29" s="387" t="s">
        <v>664</v>
      </c>
      <c r="M29" s="387" t="s">
        <v>664</v>
      </c>
      <c r="N29" s="387" t="s">
        <v>1331</v>
      </c>
      <c r="O29" s="387"/>
      <c r="P29" s="387"/>
      <c r="Q29" s="387"/>
      <c r="R29" s="387"/>
      <c r="S29" s="416"/>
      <c r="T29" s="752"/>
      <c r="U29" s="416"/>
      <c r="V29" s="609">
        <f>IF(W29=1,G29,0)</f>
        <v>0</v>
      </c>
      <c r="W29" s="707"/>
    </row>
    <row r="30" spans="2:23" outlineLevel="1">
      <c r="B30" s="665" t="s">
        <v>1273</v>
      </c>
      <c r="C30" s="665" t="s">
        <v>1273</v>
      </c>
      <c r="D30" s="665"/>
      <c r="E30" s="665"/>
      <c r="F30" s="681" t="s">
        <v>947</v>
      </c>
      <c r="G30" s="708">
        <f>SUBTOTAL(9,G31:G38)</f>
        <v>3.3325</v>
      </c>
      <c r="H30" s="709">
        <f>SUBTOTAL(9,H31:H38)</f>
        <v>7</v>
      </c>
      <c r="I30" s="626"/>
      <c r="J30" s="752"/>
      <c r="K30" s="416"/>
      <c r="L30" s="665"/>
      <c r="M30" s="665"/>
      <c r="N30" s="665"/>
      <c r="O30" s="665"/>
      <c r="P30" s="665"/>
      <c r="Q30" s="665"/>
      <c r="R30" s="665"/>
      <c r="S30" s="416"/>
      <c r="T30" s="752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1273</v>
      </c>
      <c r="C31" s="684" t="s">
        <v>1273</v>
      </c>
      <c r="D31" s="684" t="s">
        <v>1335</v>
      </c>
      <c r="E31" s="684"/>
      <c r="F31" s="685" t="s">
        <v>1893</v>
      </c>
      <c r="G31" s="686">
        <f>SUBTOTAL(9,G32:G38)</f>
        <v>3.3325</v>
      </c>
      <c r="H31" s="691">
        <f>SUBTOTAL(9,H32:H38)</f>
        <v>7</v>
      </c>
      <c r="I31" s="626"/>
      <c r="J31" s="752"/>
      <c r="K31" s="416"/>
      <c r="L31" s="684"/>
      <c r="M31" s="684"/>
      <c r="N31" s="684"/>
      <c r="O31" s="684"/>
      <c r="P31" s="684"/>
      <c r="Q31" s="684"/>
      <c r="R31" s="684"/>
      <c r="S31" s="416"/>
      <c r="T31" s="752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1273</v>
      </c>
      <c r="C32" s="376" t="s">
        <v>1273</v>
      </c>
      <c r="D32" s="376" t="s">
        <v>1335</v>
      </c>
      <c r="E32" s="376" t="s">
        <v>664</v>
      </c>
      <c r="F32" s="608" t="s">
        <v>1337</v>
      </c>
      <c r="G32" s="609">
        <v>0.33750000000000002</v>
      </c>
      <c r="H32" s="692">
        <v>1</v>
      </c>
      <c r="I32" s="626"/>
      <c r="J32" s="752"/>
      <c r="K32" s="416"/>
      <c r="L32" s="376" t="s">
        <v>664</v>
      </c>
      <c r="M32" s="376" t="s">
        <v>664</v>
      </c>
      <c r="N32" s="376" t="s">
        <v>1338</v>
      </c>
      <c r="O32" s="376"/>
      <c r="P32" s="376"/>
      <c r="Q32" s="376"/>
      <c r="R32" s="376"/>
      <c r="S32" s="416"/>
      <c r="T32" s="752"/>
      <c r="U32" s="416"/>
      <c r="V32" s="609">
        <f t="shared" ref="V32:V38" si="0">IF(W32=1,G32,0)</f>
        <v>0</v>
      </c>
      <c r="W32" s="692"/>
    </row>
    <row r="33" spans="2:23" outlineLevel="3">
      <c r="B33" s="376" t="s">
        <v>1273</v>
      </c>
      <c r="C33" s="376" t="s">
        <v>1273</v>
      </c>
      <c r="D33" s="376" t="s">
        <v>1335</v>
      </c>
      <c r="E33" s="376" t="s">
        <v>664</v>
      </c>
      <c r="F33" s="608" t="s">
        <v>36</v>
      </c>
      <c r="G33" s="609">
        <v>0.58000000000000007</v>
      </c>
      <c r="H33" s="692">
        <v>1</v>
      </c>
      <c r="I33" s="626"/>
      <c r="J33" s="752"/>
      <c r="K33" s="416"/>
      <c r="L33" s="376" t="s">
        <v>664</v>
      </c>
      <c r="M33" s="376" t="s">
        <v>664</v>
      </c>
      <c r="N33" s="376" t="s">
        <v>1338</v>
      </c>
      <c r="O33" s="376"/>
      <c r="P33" s="376"/>
      <c r="Q33" s="376"/>
      <c r="R33" s="376"/>
      <c r="S33" s="416"/>
      <c r="T33" s="752"/>
      <c r="U33" s="416"/>
      <c r="V33" s="609">
        <f t="shared" si="0"/>
        <v>0</v>
      </c>
      <c r="W33" s="692"/>
    </row>
    <row r="34" spans="2:23" outlineLevel="3">
      <c r="B34" s="376" t="s">
        <v>1273</v>
      </c>
      <c r="C34" s="376" t="s">
        <v>1273</v>
      </c>
      <c r="D34" s="376" t="s">
        <v>1335</v>
      </c>
      <c r="E34" s="376" t="s">
        <v>664</v>
      </c>
      <c r="F34" s="608" t="s">
        <v>1339</v>
      </c>
      <c r="G34" s="609">
        <v>0.58000000000000007</v>
      </c>
      <c r="H34" s="692">
        <v>1</v>
      </c>
      <c r="I34" s="626"/>
      <c r="J34" s="752"/>
      <c r="K34" s="416"/>
      <c r="L34" s="376" t="s">
        <v>664</v>
      </c>
      <c r="M34" s="376" t="s">
        <v>1338</v>
      </c>
      <c r="N34" s="376" t="s">
        <v>1340</v>
      </c>
      <c r="O34" s="376"/>
      <c r="P34" s="376"/>
      <c r="Q34" s="376"/>
      <c r="R34" s="376"/>
      <c r="S34" s="416"/>
      <c r="T34" s="752"/>
      <c r="U34" s="416"/>
      <c r="V34" s="609">
        <f t="shared" si="0"/>
        <v>0</v>
      </c>
      <c r="W34" s="692"/>
    </row>
    <row r="35" spans="2:23" outlineLevel="3">
      <c r="B35" s="376" t="s">
        <v>1273</v>
      </c>
      <c r="C35" s="376" t="s">
        <v>1273</v>
      </c>
      <c r="D35" s="376" t="s">
        <v>1335</v>
      </c>
      <c r="E35" s="376" t="s">
        <v>664</v>
      </c>
      <c r="F35" s="608" t="s">
        <v>1341</v>
      </c>
      <c r="G35" s="609">
        <v>0.58000000000000007</v>
      </c>
      <c r="H35" s="692">
        <v>1</v>
      </c>
      <c r="I35" s="626"/>
      <c r="J35" s="752"/>
      <c r="K35" s="416"/>
      <c r="L35" s="376" t="s">
        <v>664</v>
      </c>
      <c r="M35" s="376" t="s">
        <v>1338</v>
      </c>
      <c r="N35" s="376" t="s">
        <v>1340</v>
      </c>
      <c r="O35" s="376"/>
      <c r="P35" s="376"/>
      <c r="Q35" s="376"/>
      <c r="R35" s="376"/>
      <c r="S35" s="416"/>
      <c r="T35" s="752"/>
      <c r="U35" s="416"/>
      <c r="V35" s="609">
        <f t="shared" si="0"/>
        <v>0</v>
      </c>
      <c r="W35" s="692"/>
    </row>
    <row r="36" spans="2:23" outlineLevel="3">
      <c r="B36" s="376" t="s">
        <v>1273</v>
      </c>
      <c r="C36" s="376" t="s">
        <v>1273</v>
      </c>
      <c r="D36" s="376" t="s">
        <v>1335</v>
      </c>
      <c r="E36" s="376" t="s">
        <v>664</v>
      </c>
      <c r="F36" s="608" t="s">
        <v>1326</v>
      </c>
      <c r="G36" s="609">
        <v>0.33750000000000002</v>
      </c>
      <c r="H36" s="692">
        <v>1</v>
      </c>
      <c r="I36" s="626"/>
      <c r="J36" s="752"/>
      <c r="K36" s="416"/>
      <c r="L36" s="376" t="s">
        <v>664</v>
      </c>
      <c r="M36" s="376" t="s">
        <v>1338</v>
      </c>
      <c r="N36" s="376" t="s">
        <v>1340</v>
      </c>
      <c r="O36" s="376"/>
      <c r="P36" s="376"/>
      <c r="Q36" s="376"/>
      <c r="R36" s="376"/>
      <c r="S36" s="416"/>
      <c r="T36" s="752"/>
      <c r="U36" s="416"/>
      <c r="V36" s="609">
        <f t="shared" si="0"/>
        <v>0</v>
      </c>
      <c r="W36" s="692"/>
    </row>
    <row r="37" spans="2:23" outlineLevel="3">
      <c r="B37" s="376" t="s">
        <v>1273</v>
      </c>
      <c r="C37" s="376" t="s">
        <v>1273</v>
      </c>
      <c r="D37" s="376" t="s">
        <v>1335</v>
      </c>
      <c r="E37" s="376" t="s">
        <v>664</v>
      </c>
      <c r="F37" s="608" t="s">
        <v>1342</v>
      </c>
      <c r="G37" s="609">
        <v>0.33750000000000002</v>
      </c>
      <c r="H37" s="692">
        <v>1</v>
      </c>
      <c r="I37" s="626"/>
      <c r="J37" s="752"/>
      <c r="K37" s="416"/>
      <c r="L37" s="376" t="s">
        <v>664</v>
      </c>
      <c r="M37" s="376" t="s">
        <v>1338</v>
      </c>
      <c r="N37" s="376" t="s">
        <v>1340</v>
      </c>
      <c r="O37" s="376"/>
      <c r="P37" s="376"/>
      <c r="Q37" s="376"/>
      <c r="R37" s="376"/>
      <c r="S37" s="416"/>
      <c r="T37" s="752"/>
      <c r="U37" s="416"/>
      <c r="V37" s="609">
        <f t="shared" si="0"/>
        <v>0</v>
      </c>
      <c r="W37" s="692"/>
    </row>
    <row r="38" spans="2:23" outlineLevel="3">
      <c r="B38" s="376" t="s">
        <v>1273</v>
      </c>
      <c r="C38" s="376" t="s">
        <v>1273</v>
      </c>
      <c r="D38" s="376" t="s">
        <v>1335</v>
      </c>
      <c r="E38" s="376" t="s">
        <v>664</v>
      </c>
      <c r="F38" s="608" t="s">
        <v>1367</v>
      </c>
      <c r="G38" s="609">
        <v>0.57999999999999996</v>
      </c>
      <c r="H38" s="692">
        <v>1</v>
      </c>
      <c r="I38" s="626"/>
      <c r="J38" s="752"/>
      <c r="K38" s="416"/>
      <c r="L38" s="376" t="s">
        <v>664</v>
      </c>
      <c r="M38" s="376" t="s">
        <v>1338</v>
      </c>
      <c r="N38" s="376"/>
      <c r="O38" s="376"/>
      <c r="P38" s="376"/>
      <c r="Q38" s="376"/>
      <c r="R38" s="376"/>
      <c r="S38" s="416"/>
      <c r="T38" s="752"/>
      <c r="U38" s="416"/>
      <c r="V38" s="609">
        <f t="shared" si="0"/>
        <v>0</v>
      </c>
      <c r="W38" s="692"/>
    </row>
    <row r="39" spans="2:23" outlineLevel="1">
      <c r="B39" s="665" t="s">
        <v>1392</v>
      </c>
      <c r="C39" s="665" t="s">
        <v>1392</v>
      </c>
      <c r="D39" s="665"/>
      <c r="E39" s="665"/>
      <c r="F39" s="681" t="s">
        <v>947</v>
      </c>
      <c r="G39" s="708">
        <f>SUBTOTAL(9,G40:G43)</f>
        <v>0</v>
      </c>
      <c r="H39" s="709">
        <f>SUBTOTAL(9,H40:H43)</f>
        <v>3</v>
      </c>
      <c r="I39" s="626"/>
      <c r="J39" s="752"/>
      <c r="K39" s="416"/>
      <c r="L39" s="665"/>
      <c r="M39" s="665"/>
      <c r="N39" s="665"/>
      <c r="O39" s="665"/>
      <c r="P39" s="665"/>
      <c r="Q39" s="665"/>
      <c r="R39" s="665"/>
      <c r="S39" s="416"/>
      <c r="T39" s="752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1392</v>
      </c>
      <c r="C40" s="684" t="s">
        <v>1392</v>
      </c>
      <c r="D40" s="684" t="s">
        <v>1335</v>
      </c>
      <c r="E40" s="684"/>
      <c r="F40" s="685" t="s">
        <v>1393</v>
      </c>
      <c r="G40" s="686">
        <f>SUBTOTAL(9,G41:G43)</f>
        <v>0</v>
      </c>
      <c r="H40" s="691">
        <f>SUBTOTAL(9,H41:H43)</f>
        <v>3</v>
      </c>
      <c r="I40" s="626"/>
      <c r="J40" s="752"/>
      <c r="K40" s="416"/>
      <c r="L40" s="684"/>
      <c r="M40" s="684"/>
      <c r="N40" s="684"/>
      <c r="O40" s="684"/>
      <c r="P40" s="684"/>
      <c r="Q40" s="684"/>
      <c r="R40" s="684"/>
      <c r="S40" s="416"/>
      <c r="T40" s="752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1392</v>
      </c>
      <c r="C41" s="376" t="s">
        <v>1392</v>
      </c>
      <c r="D41" s="376" t="s">
        <v>159</v>
      </c>
      <c r="E41" s="376" t="s">
        <v>664</v>
      </c>
      <c r="F41" s="608" t="s">
        <v>17</v>
      </c>
      <c r="G41" s="609"/>
      <c r="H41" s="692">
        <v>1</v>
      </c>
      <c r="I41" s="626"/>
      <c r="J41" s="752"/>
      <c r="K41" s="416"/>
      <c r="L41" s="376" t="s">
        <v>664</v>
      </c>
      <c r="M41" s="376" t="s">
        <v>1894</v>
      </c>
      <c r="N41" s="376" t="s">
        <v>1360</v>
      </c>
      <c r="O41" s="376"/>
      <c r="P41" s="376"/>
      <c r="Q41" s="376"/>
      <c r="R41" s="376"/>
      <c r="S41" s="416"/>
      <c r="T41" s="752"/>
      <c r="U41" s="416"/>
      <c r="V41" s="609"/>
      <c r="W41" s="692"/>
    </row>
    <row r="42" spans="2:23" outlineLevel="3">
      <c r="B42" s="376" t="s">
        <v>1392</v>
      </c>
      <c r="C42" s="376" t="s">
        <v>1392</v>
      </c>
      <c r="D42" s="376" t="s">
        <v>159</v>
      </c>
      <c r="E42" s="376" t="s">
        <v>664</v>
      </c>
      <c r="F42" s="608" t="s">
        <v>36</v>
      </c>
      <c r="G42" s="609"/>
      <c r="H42" s="692">
        <v>1</v>
      </c>
      <c r="I42" s="626"/>
      <c r="J42" s="752"/>
      <c r="K42" s="416"/>
      <c r="L42" s="376" t="s">
        <v>664</v>
      </c>
      <c r="M42" s="376" t="s">
        <v>1894</v>
      </c>
      <c r="N42" s="376" t="s">
        <v>1360</v>
      </c>
      <c r="O42" s="376"/>
      <c r="P42" s="376"/>
      <c r="Q42" s="376"/>
      <c r="R42" s="376"/>
      <c r="S42" s="416"/>
      <c r="T42" s="752"/>
      <c r="U42" s="416"/>
      <c r="V42" s="609"/>
      <c r="W42" s="692"/>
    </row>
    <row r="43" spans="2:23" outlineLevel="3">
      <c r="B43" s="376" t="s">
        <v>1392</v>
      </c>
      <c r="C43" s="376" t="s">
        <v>1392</v>
      </c>
      <c r="D43" s="376" t="s">
        <v>159</v>
      </c>
      <c r="E43" s="376" t="s">
        <v>664</v>
      </c>
      <c r="F43" s="608" t="s">
        <v>208</v>
      </c>
      <c r="G43" s="609"/>
      <c r="H43" s="692">
        <v>1</v>
      </c>
      <c r="I43" s="626"/>
      <c r="J43" s="752"/>
      <c r="K43" s="416"/>
      <c r="L43" s="376" t="s">
        <v>664</v>
      </c>
      <c r="M43" s="376" t="s">
        <v>1894</v>
      </c>
      <c r="N43" s="376" t="s">
        <v>1360</v>
      </c>
      <c r="O43" s="376"/>
      <c r="P43" s="376"/>
      <c r="Q43" s="376"/>
      <c r="R43" s="376"/>
      <c r="S43" s="416"/>
      <c r="T43" s="752"/>
      <c r="U43" s="416"/>
      <c r="V43" s="609"/>
      <c r="W43" s="692"/>
    </row>
    <row r="44" spans="2:23" outlineLevel="1">
      <c r="B44" s="665" t="s">
        <v>497</v>
      </c>
      <c r="C44" s="665" t="s">
        <v>1394</v>
      </c>
      <c r="D44" s="665"/>
      <c r="E44" s="665"/>
      <c r="F44" s="681" t="s">
        <v>947</v>
      </c>
      <c r="G44" s="708">
        <f>SUBTOTAL(9,G45:G47)</f>
        <v>1.1499999999999999</v>
      </c>
      <c r="H44" s="709">
        <f>SUBTOTAL(9,H45:H47)</f>
        <v>2</v>
      </c>
      <c r="I44" s="626"/>
      <c r="J44" s="752"/>
      <c r="K44" s="416"/>
      <c r="L44" s="665"/>
      <c r="M44" s="665"/>
      <c r="N44" s="665"/>
      <c r="O44" s="665"/>
      <c r="P44" s="665"/>
      <c r="Q44" s="665"/>
      <c r="R44" s="665"/>
      <c r="S44" s="416"/>
      <c r="T44" s="752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497</v>
      </c>
      <c r="C45" s="684" t="s">
        <v>1394</v>
      </c>
      <c r="D45" s="684" t="s">
        <v>159</v>
      </c>
      <c r="E45" s="684"/>
      <c r="F45" s="685" t="s">
        <v>1395</v>
      </c>
      <c r="G45" s="686">
        <f>SUBTOTAL(9,G46:G47)</f>
        <v>1.1499999999999999</v>
      </c>
      <c r="H45" s="691">
        <f>SUBTOTAL(9,H46:H47)</f>
        <v>2</v>
      </c>
      <c r="I45" s="626"/>
      <c r="J45" s="752"/>
      <c r="K45" s="416"/>
      <c r="L45" s="684"/>
      <c r="M45" s="684"/>
      <c r="N45" s="684"/>
      <c r="O45" s="684"/>
      <c r="P45" s="684"/>
      <c r="Q45" s="684"/>
      <c r="R45" s="684"/>
      <c r="S45" s="416"/>
      <c r="T45" s="752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497</v>
      </c>
      <c r="C46" s="376" t="s">
        <v>1394</v>
      </c>
      <c r="D46" s="376" t="s">
        <v>159</v>
      </c>
      <c r="E46" s="376" t="s">
        <v>664</v>
      </c>
      <c r="F46" s="608" t="s">
        <v>36</v>
      </c>
      <c r="G46" s="609">
        <v>0.69</v>
      </c>
      <c r="H46" s="692">
        <v>1</v>
      </c>
      <c r="I46" s="626"/>
      <c r="J46" s="752"/>
      <c r="K46" s="416"/>
      <c r="L46" s="376" t="s">
        <v>664</v>
      </c>
      <c r="M46" s="376" t="s">
        <v>1324</v>
      </c>
      <c r="N46" s="376" t="s">
        <v>1331</v>
      </c>
      <c r="O46" s="376"/>
      <c r="P46" s="376"/>
      <c r="Q46" s="376"/>
      <c r="R46" s="376"/>
      <c r="S46" s="416"/>
      <c r="T46" s="752"/>
      <c r="U46" s="416"/>
      <c r="V46" s="609">
        <f>IF(W46=1,G46,0)</f>
        <v>0</v>
      </c>
      <c r="W46" s="692"/>
    </row>
    <row r="47" spans="2:23" outlineLevel="3">
      <c r="B47" s="376" t="s">
        <v>497</v>
      </c>
      <c r="C47" s="376" t="s">
        <v>1394</v>
      </c>
      <c r="D47" s="376" t="s">
        <v>159</v>
      </c>
      <c r="E47" s="376" t="s">
        <v>664</v>
      </c>
      <c r="F47" s="608" t="s">
        <v>208</v>
      </c>
      <c r="G47" s="609">
        <v>0.46</v>
      </c>
      <c r="H47" s="692">
        <v>1</v>
      </c>
      <c r="I47" s="626"/>
      <c r="J47" s="752"/>
      <c r="K47" s="416"/>
      <c r="L47" s="376" t="s">
        <v>664</v>
      </c>
      <c r="M47" s="376" t="s">
        <v>1324</v>
      </c>
      <c r="N47" s="376" t="s">
        <v>1331</v>
      </c>
      <c r="O47" s="376"/>
      <c r="P47" s="376"/>
      <c r="Q47" s="376"/>
      <c r="R47" s="376"/>
      <c r="S47" s="416"/>
      <c r="T47" s="752"/>
      <c r="U47" s="416"/>
      <c r="V47" s="609">
        <f>IF(W47=1,G47,0)</f>
        <v>0</v>
      </c>
      <c r="W47" s="692"/>
    </row>
    <row r="48" spans="2:23" s="820" customFormat="1" outlineLevel="1">
      <c r="B48" s="682" t="s">
        <v>1402</v>
      </c>
      <c r="C48" s="682" t="s">
        <v>1403</v>
      </c>
      <c r="D48" s="682"/>
      <c r="E48" s="682"/>
      <c r="F48" s="681" t="s">
        <v>947</v>
      </c>
      <c r="G48" s="708">
        <f>SUBTOTAL(9,G49:G52)</f>
        <v>8.2774750000000008</v>
      </c>
      <c r="H48" s="709">
        <f>SUBTOTAL(9,H49:H52)</f>
        <v>3</v>
      </c>
      <c r="I48" s="747"/>
      <c r="J48" s="759"/>
      <c r="K48" s="748"/>
      <c r="L48" s="682"/>
      <c r="M48" s="682"/>
      <c r="N48" s="682"/>
      <c r="O48" s="682"/>
      <c r="P48" s="682"/>
      <c r="Q48" s="682"/>
      <c r="R48" s="682"/>
      <c r="S48" s="748"/>
      <c r="T48" s="759"/>
      <c r="U48" s="748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1402</v>
      </c>
      <c r="C49" s="684" t="s">
        <v>1403</v>
      </c>
      <c r="D49" s="684" t="s">
        <v>159</v>
      </c>
      <c r="E49" s="684"/>
      <c r="F49" s="685" t="s">
        <v>971</v>
      </c>
      <c r="G49" s="686">
        <f>SUBTOTAL(9,G50:G52)</f>
        <v>8.2774750000000008</v>
      </c>
      <c r="H49" s="691">
        <f>SUBTOTAL(9,H50:H52)</f>
        <v>3</v>
      </c>
      <c r="I49" s="626"/>
      <c r="J49" s="752"/>
      <c r="K49" s="416"/>
      <c r="L49" s="684"/>
      <c r="M49" s="684" t="s">
        <v>1312</v>
      </c>
      <c r="N49" s="684"/>
      <c r="O49" s="684"/>
      <c r="P49" s="684"/>
      <c r="Q49" s="684"/>
      <c r="R49" s="684"/>
      <c r="S49" s="416"/>
      <c r="T49" s="752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1402</v>
      </c>
      <c r="C50" s="376" t="s">
        <v>1403</v>
      </c>
      <c r="D50" s="376" t="s">
        <v>159</v>
      </c>
      <c r="E50" s="376" t="s">
        <v>664</v>
      </c>
      <c r="F50" s="608" t="s">
        <v>1405</v>
      </c>
      <c r="G50" s="609">
        <v>3.3116500000000002</v>
      </c>
      <c r="H50" s="692">
        <v>1</v>
      </c>
      <c r="I50" s="626"/>
      <c r="J50" s="752"/>
      <c r="K50" s="416"/>
      <c r="L50" s="376" t="s">
        <v>664</v>
      </c>
      <c r="M50" s="376" t="s">
        <v>1001</v>
      </c>
      <c r="N50" s="376" t="s">
        <v>1338</v>
      </c>
      <c r="O50" s="376"/>
      <c r="P50" s="376"/>
      <c r="Q50" s="376"/>
      <c r="R50" s="376"/>
      <c r="S50" s="416"/>
      <c r="T50" s="752"/>
      <c r="U50" s="416"/>
      <c r="V50" s="609">
        <f>IF(W50=1,G50,0)</f>
        <v>0</v>
      </c>
      <c r="W50" s="692"/>
    </row>
    <row r="51" spans="2:23" outlineLevel="3">
      <c r="B51" s="376" t="s">
        <v>1402</v>
      </c>
      <c r="C51" s="376" t="s">
        <v>1403</v>
      </c>
      <c r="D51" s="376" t="s">
        <v>159</v>
      </c>
      <c r="E51" s="376" t="s">
        <v>664</v>
      </c>
      <c r="F51" s="608" t="s">
        <v>208</v>
      </c>
      <c r="G51" s="609">
        <v>1.6558250000000001</v>
      </c>
      <c r="H51" s="692">
        <v>1</v>
      </c>
      <c r="I51" s="626"/>
      <c r="J51" s="752"/>
      <c r="K51" s="416"/>
      <c r="L51" s="376" t="s">
        <v>664</v>
      </c>
      <c r="M51" s="376" t="s">
        <v>1001</v>
      </c>
      <c r="N51" s="376" t="s">
        <v>1338</v>
      </c>
      <c r="O51" s="376"/>
      <c r="P51" s="376"/>
      <c r="Q51" s="376"/>
      <c r="R51" s="376"/>
      <c r="S51" s="416"/>
      <c r="T51" s="752"/>
      <c r="U51" s="416"/>
      <c r="V51" s="609">
        <f>IF(W51=1,G51,0)</f>
        <v>0</v>
      </c>
      <c r="W51" s="692"/>
    </row>
    <row r="52" spans="2:23" outlineLevel="3">
      <c r="B52" s="376" t="s">
        <v>1402</v>
      </c>
      <c r="C52" s="376" t="s">
        <v>1403</v>
      </c>
      <c r="D52" s="376" t="s">
        <v>159</v>
      </c>
      <c r="E52" s="376" t="s">
        <v>664</v>
      </c>
      <c r="F52" s="608" t="s">
        <v>1341</v>
      </c>
      <c r="G52" s="609">
        <v>3.31</v>
      </c>
      <c r="H52" s="692">
        <v>1</v>
      </c>
      <c r="I52" s="626"/>
      <c r="J52" s="752"/>
      <c r="K52" s="416"/>
      <c r="L52" s="376" t="s">
        <v>664</v>
      </c>
      <c r="M52" s="376" t="s">
        <v>1001</v>
      </c>
      <c r="N52" s="376" t="s">
        <v>1338</v>
      </c>
      <c r="O52" s="376"/>
      <c r="P52" s="376"/>
      <c r="Q52" s="376"/>
      <c r="R52" s="376"/>
      <c r="S52" s="416"/>
      <c r="T52" s="752"/>
      <c r="U52" s="416"/>
      <c r="V52" s="609">
        <f>IF(W52=1,G52,0)</f>
        <v>0</v>
      </c>
      <c r="W52" s="692"/>
    </row>
    <row r="53" spans="2:23" outlineLevel="1">
      <c r="B53" s="666" t="s">
        <v>236</v>
      </c>
      <c r="C53" s="666" t="s">
        <v>1406</v>
      </c>
      <c r="D53" s="667"/>
      <c r="E53" s="665"/>
      <c r="F53" s="681" t="s">
        <v>947</v>
      </c>
      <c r="G53" s="708">
        <f>SUBTOTAL(9,G54:G57)</f>
        <v>5.6190376572500007</v>
      </c>
      <c r="H53" s="709">
        <f>SUBTOTAL(9,H54:H57)</f>
        <v>3</v>
      </c>
      <c r="I53" s="626"/>
      <c r="J53" s="752"/>
      <c r="K53" s="416"/>
      <c r="L53" s="665"/>
      <c r="M53" s="665"/>
      <c r="N53" s="665"/>
      <c r="O53" s="665"/>
      <c r="P53" s="665"/>
      <c r="Q53" s="665"/>
      <c r="R53" s="665"/>
      <c r="S53" s="416"/>
      <c r="T53" s="752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236</v>
      </c>
      <c r="C54" s="687" t="s">
        <v>1410</v>
      </c>
      <c r="D54" s="684" t="s">
        <v>159</v>
      </c>
      <c r="E54" s="684"/>
      <c r="F54" s="685" t="s">
        <v>36</v>
      </c>
      <c r="G54" s="686">
        <f>SUBTOTAL(9,G55:G57)</f>
        <v>5.6190376572500007</v>
      </c>
      <c r="H54" s="691">
        <f>SUBTOTAL(9,H55:H57)</f>
        <v>3</v>
      </c>
      <c r="I54" s="626"/>
      <c r="J54" s="752"/>
      <c r="K54" s="416"/>
      <c r="L54" s="684"/>
      <c r="M54" s="684"/>
      <c r="N54" s="684"/>
      <c r="O54" s="684"/>
      <c r="P54" s="684"/>
      <c r="Q54" s="684"/>
      <c r="R54" s="684"/>
      <c r="S54" s="416"/>
      <c r="T54" s="752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236</v>
      </c>
      <c r="C55" s="387" t="s">
        <v>1410</v>
      </c>
      <c r="D55" s="376" t="s">
        <v>159</v>
      </c>
      <c r="E55" s="376" t="s">
        <v>664</v>
      </c>
      <c r="F55" s="608" t="s">
        <v>17</v>
      </c>
      <c r="G55" s="609">
        <v>1.4045188286250001</v>
      </c>
      <c r="H55" s="692">
        <v>1</v>
      </c>
      <c r="I55" s="626"/>
      <c r="J55" s="752"/>
      <c r="K55" s="416"/>
      <c r="L55" s="376" t="s">
        <v>664</v>
      </c>
      <c r="M55" s="376"/>
      <c r="N55" s="376"/>
      <c r="O55" s="376"/>
      <c r="P55" s="376"/>
      <c r="Q55" s="376"/>
      <c r="R55" s="376"/>
      <c r="S55" s="416"/>
      <c r="T55" s="752"/>
      <c r="U55" s="416"/>
      <c r="V55" s="609">
        <f>IF(W55=1,G55,0)</f>
        <v>0</v>
      </c>
      <c r="W55" s="692"/>
    </row>
    <row r="56" spans="2:23" outlineLevel="3">
      <c r="B56" s="376" t="s">
        <v>236</v>
      </c>
      <c r="C56" s="387" t="s">
        <v>1410</v>
      </c>
      <c r="D56" s="376" t="s">
        <v>159</v>
      </c>
      <c r="E56" s="376" t="s">
        <v>664</v>
      </c>
      <c r="F56" s="608" t="s">
        <v>36</v>
      </c>
      <c r="G56" s="609">
        <v>1.4045188286250001</v>
      </c>
      <c r="H56" s="692">
        <v>1</v>
      </c>
      <c r="I56" s="626"/>
      <c r="J56" s="752"/>
      <c r="K56" s="416"/>
      <c r="L56" s="376" t="s">
        <v>664</v>
      </c>
      <c r="M56" s="376"/>
      <c r="N56" s="376"/>
      <c r="O56" s="376"/>
      <c r="P56" s="376"/>
      <c r="Q56" s="376"/>
      <c r="R56" s="376"/>
      <c r="S56" s="416"/>
      <c r="T56" s="752"/>
      <c r="U56" s="416"/>
      <c r="V56" s="609">
        <f>IF(W56=1,G56,0)</f>
        <v>0</v>
      </c>
      <c r="W56" s="692"/>
    </row>
    <row r="57" spans="2:23" outlineLevel="3">
      <c r="B57" s="376" t="s">
        <v>236</v>
      </c>
      <c r="C57" s="387" t="s">
        <v>1410</v>
      </c>
      <c r="D57" s="376" t="s">
        <v>159</v>
      </c>
      <c r="E57" s="376" t="s">
        <v>664</v>
      </c>
      <c r="F57" s="608" t="s">
        <v>208</v>
      </c>
      <c r="G57" s="609">
        <v>2.81</v>
      </c>
      <c r="H57" s="692">
        <v>1</v>
      </c>
      <c r="I57" s="626"/>
      <c r="J57" s="752"/>
      <c r="K57" s="416"/>
      <c r="L57" s="376" t="s">
        <v>664</v>
      </c>
      <c r="M57" s="376"/>
      <c r="N57" s="376"/>
      <c r="O57" s="376"/>
      <c r="P57" s="376"/>
      <c r="Q57" s="376"/>
      <c r="R57" s="376"/>
      <c r="S57" s="416"/>
      <c r="T57" s="752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50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812" customWidth="1"/>
    <col min="2" max="2" width="22.7109375" style="812" customWidth="1"/>
    <col min="3" max="3" width="17.7109375" style="812" bestFit="1" customWidth="1"/>
    <col min="4" max="4" width="16.28515625" style="812" customWidth="1"/>
    <col min="5" max="5" width="14.42578125" style="812" customWidth="1"/>
    <col min="6" max="6" width="53.7109375" style="816" customWidth="1"/>
    <col min="7" max="7" width="13.28515625" style="812" bestFit="1" customWidth="1"/>
    <col min="8" max="8" width="9.5703125" style="812" customWidth="1" outlineLevel="1"/>
    <col min="9" max="11" width="0.5703125" style="812" customWidth="1"/>
    <col min="12" max="12" width="14.42578125" style="812" customWidth="1"/>
    <col min="13" max="13" width="14.42578125" style="812" customWidth="1" collapsed="1"/>
    <col min="14" max="18" width="14.42578125" style="812" hidden="1" customWidth="1" outlineLevel="1"/>
    <col min="19" max="21" width="0.5703125" style="812" customWidth="1"/>
    <col min="22" max="22" width="16.28515625" style="812" customWidth="1" collapsed="1"/>
    <col min="23" max="23" width="14.28515625" style="812" hidden="1" customWidth="1" outlineLevel="1"/>
    <col min="24" max="26" width="9.42578125" style="812" bestFit="1"/>
    <col min="27" max="27" width="9.42578125" style="812" bestFit="1" customWidth="1"/>
    <col min="28" max="16384" width="9.42578125" style="812"/>
  </cols>
  <sheetData>
    <row r="2" spans="1:27" ht="17.45">
      <c r="A2" s="376"/>
      <c r="B2" s="418" t="s">
        <v>1895</v>
      </c>
      <c r="C2" s="418"/>
      <c r="D2" s="418"/>
      <c r="E2" s="418"/>
      <c r="F2" s="423"/>
      <c r="G2" s="821">
        <f>SUBTOTAL(9,G6:G39)</f>
        <v>1.4242604669999996</v>
      </c>
      <c r="H2" s="690">
        <f>SUBTOTAL(9,H6:H39)</f>
        <v>20</v>
      </c>
      <c r="I2" s="626"/>
      <c r="J2" s="752"/>
      <c r="K2" s="416"/>
      <c r="L2" s="418"/>
      <c r="M2" s="418"/>
      <c r="N2" s="418"/>
      <c r="O2" s="418"/>
      <c r="P2" s="418"/>
      <c r="Q2" s="418"/>
      <c r="R2" s="418"/>
      <c r="S2" s="416"/>
      <c r="T2" s="752"/>
      <c r="U2" s="416"/>
      <c r="V2" s="821">
        <f>SUBTOTAL(9,V6:V39)</f>
        <v>0</v>
      </c>
      <c r="W2" s="765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K3" s="416"/>
      <c r="L3" s="376"/>
      <c r="M3" s="376"/>
      <c r="N3" s="376"/>
      <c r="O3" s="376"/>
      <c r="P3" s="376"/>
      <c r="Q3" s="376"/>
      <c r="R3" s="376"/>
      <c r="S3" s="416"/>
      <c r="T3" s="752"/>
      <c r="U3" s="416"/>
      <c r="V3" s="376"/>
      <c r="W3" s="376"/>
      <c r="X3" s="416"/>
      <c r="Y3" s="416"/>
      <c r="Z3" s="416"/>
      <c r="AA3" s="416"/>
    </row>
    <row r="4" spans="1:27" s="817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K4" s="442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S4" s="442"/>
      <c r="T4" s="753"/>
      <c r="U4" s="442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7"/>
      <c r="I5" s="626"/>
      <c r="J5" s="752"/>
      <c r="K5" s="416"/>
      <c r="L5" s="376"/>
      <c r="M5" s="376"/>
      <c r="N5" s="376"/>
      <c r="O5" s="376"/>
      <c r="P5" s="376"/>
      <c r="Q5" s="376"/>
      <c r="R5" s="376"/>
      <c r="S5" s="416"/>
      <c r="T5" s="752"/>
      <c r="U5" s="416"/>
      <c r="V5" s="609"/>
      <c r="W5" s="727"/>
      <c r="X5" s="610"/>
      <c r="Y5" s="610"/>
      <c r="Z5" s="610"/>
      <c r="AA5" s="610"/>
    </row>
    <row r="6" spans="1:27" ht="15">
      <c r="A6" s="376"/>
      <c r="B6" s="430" t="s">
        <v>945</v>
      </c>
      <c r="C6" s="430"/>
      <c r="D6" s="430"/>
      <c r="E6" s="430"/>
      <c r="F6" s="697"/>
      <c r="G6" s="739">
        <f>SUBTOTAL(9,G8:G31)</f>
        <v>1.2708018749999996</v>
      </c>
      <c r="H6" s="740">
        <f>SUBTOTAL(9,H8:H31)</f>
        <v>17</v>
      </c>
      <c r="I6" s="626"/>
      <c r="J6" s="752"/>
      <c r="K6" s="416"/>
      <c r="L6" s="430"/>
      <c r="M6" s="430"/>
      <c r="N6" s="430"/>
      <c r="O6" s="430"/>
      <c r="P6" s="430"/>
      <c r="Q6" s="430"/>
      <c r="R6" s="430"/>
      <c r="S6" s="416"/>
      <c r="T6" s="752"/>
      <c r="U6" s="416"/>
      <c r="V6" s="739">
        <f>SUBTOTAL(9,V8:V31)</f>
        <v>0</v>
      </c>
      <c r="W6" s="740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2"/>
      <c r="K7" s="416"/>
      <c r="L7" s="376"/>
      <c r="M7" s="376"/>
      <c r="N7" s="376"/>
      <c r="O7" s="376"/>
      <c r="P7" s="376"/>
      <c r="Q7" s="376"/>
      <c r="R7" s="376"/>
      <c r="S7" s="416"/>
      <c r="T7" s="752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612</v>
      </c>
      <c r="C8" s="665" t="s">
        <v>612</v>
      </c>
      <c r="D8" s="665"/>
      <c r="E8" s="665"/>
      <c r="F8" s="681" t="s">
        <v>947</v>
      </c>
      <c r="G8" s="822">
        <f>SUBTOTAL(9,G9:G25)</f>
        <v>1.2668018749999996</v>
      </c>
      <c r="H8" s="823">
        <f>SUBTOTAL(9,H9:H25)</f>
        <v>13</v>
      </c>
      <c r="I8" s="626"/>
      <c r="J8" s="752"/>
      <c r="K8" s="416"/>
      <c r="L8" s="665"/>
      <c r="M8" s="665"/>
      <c r="N8" s="665"/>
      <c r="O8" s="665"/>
      <c r="P8" s="665"/>
      <c r="Q8" s="665"/>
      <c r="R8" s="665"/>
      <c r="S8" s="416"/>
      <c r="T8" s="752"/>
      <c r="U8" s="416"/>
      <c r="V8" s="822">
        <f>SUBTOTAL(9,V9:V25)</f>
        <v>0</v>
      </c>
      <c r="W8" s="823">
        <f>SUBTOTAL(9,W9:W25)</f>
        <v>0</v>
      </c>
      <c r="X8" s="416"/>
      <c r="Y8" s="416"/>
      <c r="Z8" s="416"/>
      <c r="AA8" s="416"/>
    </row>
    <row r="9" spans="1:27" ht="26.45" outlineLevel="2">
      <c r="A9" s="376"/>
      <c r="B9" s="684" t="s">
        <v>612</v>
      </c>
      <c r="C9" s="684" t="s">
        <v>612</v>
      </c>
      <c r="D9" s="684" t="s">
        <v>159</v>
      </c>
      <c r="E9" s="684"/>
      <c r="F9" s="685" t="s">
        <v>1235</v>
      </c>
      <c r="G9" s="686">
        <f>SUBTOTAL(9,G10:G14)</f>
        <v>1.0156737499999999</v>
      </c>
      <c r="H9" s="691">
        <f>SUBTOTAL(9,H10:H14)</f>
        <v>5</v>
      </c>
      <c r="I9" s="626"/>
      <c r="J9" s="752"/>
      <c r="K9" s="416"/>
      <c r="L9" s="684"/>
      <c r="M9" s="684"/>
      <c r="N9" s="684"/>
      <c r="O9" s="684"/>
      <c r="P9" s="684"/>
      <c r="Q9" s="684"/>
      <c r="R9" s="684"/>
      <c r="S9" s="416"/>
      <c r="T9" s="752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612</v>
      </c>
      <c r="C10" s="376" t="s">
        <v>612</v>
      </c>
      <c r="D10" s="376" t="s">
        <v>159</v>
      </c>
      <c r="E10" s="376" t="s">
        <v>1236</v>
      </c>
      <c r="F10" s="608" t="s">
        <v>1231</v>
      </c>
      <c r="G10" s="609">
        <v>0.15625749999999999</v>
      </c>
      <c r="H10" s="692">
        <v>1</v>
      </c>
      <c r="I10" s="626"/>
      <c r="J10" s="752"/>
      <c r="K10" s="416"/>
      <c r="L10" s="376" t="s">
        <v>1236</v>
      </c>
      <c r="M10" s="376"/>
      <c r="N10" s="376"/>
      <c r="O10" s="376"/>
      <c r="P10" s="376"/>
      <c r="Q10" s="376"/>
      <c r="R10" s="376"/>
      <c r="S10" s="416"/>
      <c r="T10" s="752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612</v>
      </c>
      <c r="C11" s="376" t="s">
        <v>612</v>
      </c>
      <c r="D11" s="376" t="s">
        <v>159</v>
      </c>
      <c r="E11" s="376" t="s">
        <v>1236</v>
      </c>
      <c r="F11" s="608" t="s">
        <v>36</v>
      </c>
      <c r="G11" s="609">
        <v>0.23438624999999996</v>
      </c>
      <c r="H11" s="692">
        <v>1</v>
      </c>
      <c r="I11" s="626"/>
      <c r="J11" s="752"/>
      <c r="K11" s="416"/>
      <c r="L11" s="376" t="s">
        <v>1236</v>
      </c>
      <c r="M11" s="376"/>
      <c r="N11" s="376"/>
      <c r="O11" s="376"/>
      <c r="P11" s="376"/>
      <c r="Q11" s="376"/>
      <c r="R11" s="376"/>
      <c r="S11" s="416"/>
      <c r="T11" s="752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612</v>
      </c>
      <c r="C12" s="376" t="s">
        <v>612</v>
      </c>
      <c r="D12" s="376" t="s">
        <v>159</v>
      </c>
      <c r="E12" s="376" t="s">
        <v>1236</v>
      </c>
      <c r="F12" s="608" t="s">
        <v>1237</v>
      </c>
      <c r="G12" s="609">
        <v>0.15625749999999999</v>
      </c>
      <c r="H12" s="692">
        <v>1</v>
      </c>
      <c r="I12" s="626"/>
      <c r="J12" s="752"/>
      <c r="K12" s="416"/>
      <c r="L12" s="376" t="s">
        <v>1236</v>
      </c>
      <c r="M12" s="376"/>
      <c r="N12" s="376"/>
      <c r="O12" s="376"/>
      <c r="P12" s="376"/>
      <c r="Q12" s="376"/>
      <c r="R12" s="376"/>
      <c r="S12" s="416"/>
      <c r="T12" s="752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612</v>
      </c>
      <c r="C13" s="376" t="s">
        <v>612</v>
      </c>
      <c r="D13" s="376" t="s">
        <v>159</v>
      </c>
      <c r="E13" s="376" t="s">
        <v>1236</v>
      </c>
      <c r="F13" s="608" t="s">
        <v>1238</v>
      </c>
      <c r="G13" s="609">
        <v>0.15625749999999999</v>
      </c>
      <c r="H13" s="692">
        <v>1</v>
      </c>
      <c r="I13" s="626"/>
      <c r="J13" s="752"/>
      <c r="K13" s="416"/>
      <c r="L13" s="376" t="s">
        <v>1236</v>
      </c>
      <c r="M13" s="376"/>
      <c r="N13" s="376"/>
      <c r="O13" s="376"/>
      <c r="P13" s="376"/>
      <c r="Q13" s="376"/>
      <c r="R13" s="376"/>
      <c r="S13" s="416"/>
      <c r="T13" s="752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612</v>
      </c>
      <c r="C14" s="376" t="s">
        <v>612</v>
      </c>
      <c r="D14" s="376" t="s">
        <v>159</v>
      </c>
      <c r="E14" s="376" t="s">
        <v>1236</v>
      </c>
      <c r="F14" s="608" t="s">
        <v>1239</v>
      </c>
      <c r="G14" s="609">
        <v>0.31251499999999999</v>
      </c>
      <c r="H14" s="692">
        <v>1</v>
      </c>
      <c r="I14" s="626"/>
      <c r="J14" s="752"/>
      <c r="K14" s="416"/>
      <c r="L14" s="376" t="s">
        <v>1236</v>
      </c>
      <c r="M14" s="376"/>
      <c r="N14" s="376"/>
      <c r="O14" s="376"/>
      <c r="P14" s="376"/>
      <c r="Q14" s="376"/>
      <c r="R14" s="376"/>
      <c r="S14" s="416"/>
      <c r="T14" s="752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612</v>
      </c>
      <c r="C15" s="684" t="s">
        <v>612</v>
      </c>
      <c r="D15" s="684" t="s">
        <v>518</v>
      </c>
      <c r="E15" s="684"/>
      <c r="F15" s="685" t="s">
        <v>1240</v>
      </c>
      <c r="G15" s="686">
        <f>SUBTOTAL(9,G16:G17)</f>
        <v>0.14286399999999999</v>
      </c>
      <c r="H15" s="691">
        <f>SUBTOTAL(9,H16:H17)</f>
        <v>2</v>
      </c>
      <c r="I15" s="626"/>
      <c r="J15" s="752"/>
      <c r="K15" s="416"/>
      <c r="L15" s="684"/>
      <c r="M15" s="684"/>
      <c r="N15" s="684"/>
      <c r="O15" s="684"/>
      <c r="P15" s="684"/>
      <c r="Q15" s="684"/>
      <c r="R15" s="684"/>
      <c r="S15" s="416"/>
      <c r="T15" s="752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612</v>
      </c>
      <c r="C16" s="376" t="s">
        <v>612</v>
      </c>
      <c r="D16" s="376" t="s">
        <v>518</v>
      </c>
      <c r="E16" s="376" t="s">
        <v>1236</v>
      </c>
      <c r="F16" s="608" t="s">
        <v>36</v>
      </c>
      <c r="G16" s="609">
        <v>7.1431999999999995E-2</v>
      </c>
      <c r="H16" s="692">
        <v>1</v>
      </c>
      <c r="I16" s="626"/>
      <c r="J16" s="752"/>
      <c r="K16" s="416"/>
      <c r="L16" s="376" t="s">
        <v>1236</v>
      </c>
      <c r="M16" s="376"/>
      <c r="N16" s="376"/>
      <c r="O16" s="376"/>
      <c r="P16" s="376"/>
      <c r="Q16" s="376"/>
      <c r="R16" s="376"/>
      <c r="S16" s="416"/>
      <c r="T16" s="752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612</v>
      </c>
      <c r="C17" s="376" t="s">
        <v>612</v>
      </c>
      <c r="D17" s="376" t="s">
        <v>518</v>
      </c>
      <c r="E17" s="376" t="s">
        <v>1236</v>
      </c>
      <c r="F17" s="608" t="s">
        <v>1238</v>
      </c>
      <c r="G17" s="609">
        <v>7.1431999999999995E-2</v>
      </c>
      <c r="H17" s="692">
        <v>1</v>
      </c>
      <c r="I17" s="626"/>
      <c r="J17" s="752"/>
      <c r="K17" s="416"/>
      <c r="L17" s="376" t="s">
        <v>1236</v>
      </c>
      <c r="M17" s="376"/>
      <c r="N17" s="376"/>
      <c r="O17" s="376"/>
      <c r="P17" s="376"/>
      <c r="Q17" s="376"/>
      <c r="R17" s="376"/>
      <c r="S17" s="416"/>
      <c r="T17" s="752"/>
      <c r="U17" s="416"/>
      <c r="V17" s="609">
        <f>IF(W17=1,G17,0)</f>
        <v>0</v>
      </c>
      <c r="W17" s="692"/>
    </row>
    <row r="18" spans="2:23" outlineLevel="2">
      <c r="B18" s="684" t="s">
        <v>612</v>
      </c>
      <c r="C18" s="684" t="s">
        <v>612</v>
      </c>
      <c r="D18" s="684" t="s">
        <v>441</v>
      </c>
      <c r="E18" s="684"/>
      <c r="F18" s="685" t="s">
        <v>1240</v>
      </c>
      <c r="G18" s="686">
        <f>SUBTOTAL(9,G19:G21)</f>
        <v>6.0270749999999998E-2</v>
      </c>
      <c r="H18" s="691">
        <f>SUBTOTAL(9,H19:H21)</f>
        <v>3</v>
      </c>
      <c r="I18" s="626"/>
      <c r="J18" s="752"/>
      <c r="K18" s="416"/>
      <c r="L18" s="684"/>
      <c r="M18" s="684"/>
      <c r="N18" s="684"/>
      <c r="O18" s="684"/>
      <c r="P18" s="684"/>
      <c r="Q18" s="684"/>
      <c r="R18" s="684"/>
      <c r="S18" s="416"/>
      <c r="T18" s="752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612</v>
      </c>
      <c r="C19" s="376" t="s">
        <v>612</v>
      </c>
      <c r="D19" s="376" t="s">
        <v>441</v>
      </c>
      <c r="E19" s="376" t="s">
        <v>1236</v>
      </c>
      <c r="F19" s="608" t="s">
        <v>36</v>
      </c>
      <c r="G19" s="609">
        <v>2.009025E-2</v>
      </c>
      <c r="H19" s="692">
        <v>1</v>
      </c>
      <c r="I19" s="626"/>
      <c r="J19" s="752"/>
      <c r="K19" s="416"/>
      <c r="L19" s="376" t="s">
        <v>1236</v>
      </c>
      <c r="M19" s="376"/>
      <c r="N19" s="376"/>
      <c r="O19" s="376"/>
      <c r="P19" s="376"/>
      <c r="Q19" s="376"/>
      <c r="R19" s="376"/>
      <c r="S19" s="416"/>
      <c r="T19" s="752"/>
      <c r="U19" s="416"/>
      <c r="V19" s="609">
        <f>IF(W19=1,G19,0)</f>
        <v>0</v>
      </c>
      <c r="W19" s="692"/>
    </row>
    <row r="20" spans="2:23" outlineLevel="3">
      <c r="B20" s="376" t="s">
        <v>612</v>
      </c>
      <c r="C20" s="376" t="s">
        <v>612</v>
      </c>
      <c r="D20" s="376" t="s">
        <v>441</v>
      </c>
      <c r="E20" s="376" t="s">
        <v>1236</v>
      </c>
      <c r="F20" s="608" t="s">
        <v>1237</v>
      </c>
      <c r="G20" s="609">
        <v>2.009025E-2</v>
      </c>
      <c r="H20" s="692">
        <v>1</v>
      </c>
      <c r="I20" s="626"/>
      <c r="J20" s="752"/>
      <c r="K20" s="416"/>
      <c r="L20" s="376" t="s">
        <v>1236</v>
      </c>
      <c r="M20" s="376"/>
      <c r="N20" s="376"/>
      <c r="O20" s="376"/>
      <c r="P20" s="376"/>
      <c r="Q20" s="376"/>
      <c r="R20" s="376"/>
      <c r="S20" s="416"/>
      <c r="T20" s="752"/>
      <c r="U20" s="416"/>
      <c r="V20" s="609">
        <f>IF(W20=1,G20,0)</f>
        <v>0</v>
      </c>
      <c r="W20" s="692"/>
    </row>
    <row r="21" spans="2:23" outlineLevel="3">
      <c r="B21" s="376" t="s">
        <v>612</v>
      </c>
      <c r="C21" s="376" t="s">
        <v>612</v>
      </c>
      <c r="D21" s="376" t="s">
        <v>441</v>
      </c>
      <c r="E21" s="376" t="s">
        <v>1236</v>
      </c>
      <c r="F21" s="608" t="s">
        <v>1238</v>
      </c>
      <c r="G21" s="609">
        <v>2.009025E-2</v>
      </c>
      <c r="H21" s="692">
        <v>1</v>
      </c>
      <c r="I21" s="626"/>
      <c r="J21" s="752"/>
      <c r="K21" s="416"/>
      <c r="L21" s="376" t="s">
        <v>1236</v>
      </c>
      <c r="M21" s="376"/>
      <c r="N21" s="376"/>
      <c r="O21" s="376"/>
      <c r="P21" s="376"/>
      <c r="Q21" s="376"/>
      <c r="R21" s="376"/>
      <c r="S21" s="416"/>
      <c r="T21" s="752"/>
      <c r="U21" s="416"/>
      <c r="V21" s="609">
        <f>IF(W21=1,G21,0)</f>
        <v>0</v>
      </c>
      <c r="W21" s="692"/>
    </row>
    <row r="22" spans="2:23" outlineLevel="2">
      <c r="B22" s="684" t="s">
        <v>612</v>
      </c>
      <c r="C22" s="684" t="s">
        <v>612</v>
      </c>
      <c r="D22" s="684" t="s">
        <v>860</v>
      </c>
      <c r="E22" s="684"/>
      <c r="F22" s="685" t="s">
        <v>1240</v>
      </c>
      <c r="G22" s="686">
        <f>SUBTOTAL(9,G23:G25)</f>
        <v>4.7993374999999998E-2</v>
      </c>
      <c r="H22" s="691">
        <f>SUBTOTAL(9,H23:H25)</f>
        <v>3</v>
      </c>
      <c r="I22" s="626"/>
      <c r="J22" s="752"/>
      <c r="K22" s="416"/>
      <c r="L22" s="684"/>
      <c r="M22" s="684"/>
      <c r="N22" s="684"/>
      <c r="O22" s="684"/>
      <c r="P22" s="684"/>
      <c r="Q22" s="684"/>
      <c r="R22" s="684"/>
      <c r="S22" s="416"/>
      <c r="T22" s="752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612</v>
      </c>
      <c r="C23" s="376" t="s">
        <v>612</v>
      </c>
      <c r="D23" s="376" t="s">
        <v>860</v>
      </c>
      <c r="E23" s="376" t="s">
        <v>1236</v>
      </c>
      <c r="F23" s="608" t="s">
        <v>36</v>
      </c>
      <c r="G23" s="609">
        <v>1.6741875E-2</v>
      </c>
      <c r="H23" s="692">
        <v>1</v>
      </c>
      <c r="I23" s="626"/>
      <c r="J23" s="752"/>
      <c r="K23" s="416"/>
      <c r="L23" s="376" t="s">
        <v>1236</v>
      </c>
      <c r="M23" s="376"/>
      <c r="N23" s="376"/>
      <c r="O23" s="376"/>
      <c r="P23" s="376"/>
      <c r="Q23" s="376"/>
      <c r="R23" s="376"/>
      <c r="S23" s="416"/>
      <c r="T23" s="752"/>
      <c r="U23" s="416"/>
      <c r="V23" s="609">
        <f>IF(W23=1,G23,0)</f>
        <v>0</v>
      </c>
      <c r="W23" s="692"/>
    </row>
    <row r="24" spans="2:23" outlineLevel="3">
      <c r="B24" s="376" t="s">
        <v>612</v>
      </c>
      <c r="C24" s="376" t="s">
        <v>612</v>
      </c>
      <c r="D24" s="376" t="s">
        <v>860</v>
      </c>
      <c r="E24" s="376" t="s">
        <v>1236</v>
      </c>
      <c r="F24" s="608" t="s">
        <v>1237</v>
      </c>
      <c r="G24" s="609">
        <v>2.009025E-2</v>
      </c>
      <c r="H24" s="692">
        <v>1</v>
      </c>
      <c r="I24" s="626"/>
      <c r="J24" s="752"/>
      <c r="K24" s="416"/>
      <c r="L24" s="376" t="s">
        <v>1236</v>
      </c>
      <c r="M24" s="376"/>
      <c r="N24" s="376"/>
      <c r="O24" s="376"/>
      <c r="P24" s="376"/>
      <c r="Q24" s="376"/>
      <c r="R24" s="376"/>
      <c r="S24" s="416"/>
      <c r="T24" s="752"/>
      <c r="U24" s="416"/>
      <c r="V24" s="609">
        <f>IF(W24=1,G24,0)</f>
        <v>0</v>
      </c>
      <c r="W24" s="692"/>
    </row>
    <row r="25" spans="2:23" outlineLevel="3">
      <c r="B25" s="376" t="s">
        <v>612</v>
      </c>
      <c r="C25" s="376" t="s">
        <v>612</v>
      </c>
      <c r="D25" s="376" t="s">
        <v>860</v>
      </c>
      <c r="E25" s="376" t="s">
        <v>1236</v>
      </c>
      <c r="F25" s="608" t="s">
        <v>1238</v>
      </c>
      <c r="G25" s="609">
        <v>1.1161249999999999E-2</v>
      </c>
      <c r="H25" s="692">
        <v>1</v>
      </c>
      <c r="I25" s="626"/>
      <c r="J25" s="752"/>
      <c r="K25" s="416"/>
      <c r="L25" s="376" t="s">
        <v>1236</v>
      </c>
      <c r="M25" s="376"/>
      <c r="N25" s="376"/>
      <c r="O25" s="376"/>
      <c r="P25" s="376"/>
      <c r="Q25" s="376"/>
      <c r="R25" s="376"/>
      <c r="S25" s="416"/>
      <c r="T25" s="752"/>
      <c r="U25" s="416"/>
      <c r="V25" s="609">
        <f>IF(W25=1,G25,0)</f>
        <v>0</v>
      </c>
      <c r="W25" s="692"/>
    </row>
    <row r="26" spans="2:23" outlineLevel="1">
      <c r="B26" s="665" t="s">
        <v>918</v>
      </c>
      <c r="C26" s="665" t="s">
        <v>1250</v>
      </c>
      <c r="D26" s="665"/>
      <c r="E26" s="665"/>
      <c r="F26" s="681" t="s">
        <v>947</v>
      </c>
      <c r="G26" s="822">
        <f>SUBTOTAL(9,G27:G31)</f>
        <v>4.0000000000000001E-3</v>
      </c>
      <c r="H26" s="823">
        <f>SUBTOTAL(9,H27:H31)</f>
        <v>4</v>
      </c>
      <c r="I26" s="626"/>
      <c r="J26" s="752"/>
      <c r="K26" s="416"/>
      <c r="L26" s="665"/>
      <c r="M26" s="665"/>
      <c r="N26" s="665"/>
      <c r="O26" s="665"/>
      <c r="P26" s="665"/>
      <c r="Q26" s="665"/>
      <c r="R26" s="665"/>
      <c r="S26" s="416"/>
      <c r="T26" s="752"/>
      <c r="U26" s="416"/>
      <c r="V26" s="822">
        <f>SUBTOTAL(9,V27:V31)</f>
        <v>0</v>
      </c>
      <c r="W26" s="823">
        <f>SUBTOTAL(9,W27:W31)</f>
        <v>0</v>
      </c>
    </row>
    <row r="27" spans="2:23" outlineLevel="2">
      <c r="B27" s="684" t="s">
        <v>918</v>
      </c>
      <c r="C27" s="684" t="s">
        <v>1250</v>
      </c>
      <c r="D27" s="684" t="s">
        <v>159</v>
      </c>
      <c r="E27" s="684"/>
      <c r="F27" s="685" t="s">
        <v>1251</v>
      </c>
      <c r="G27" s="686">
        <f>SUBTOTAL(9,G28:G31)</f>
        <v>4.0000000000000001E-3</v>
      </c>
      <c r="H27" s="691">
        <f>SUBTOTAL(9,H28:H31)</f>
        <v>4</v>
      </c>
      <c r="I27" s="626"/>
      <c r="J27" s="752"/>
      <c r="K27" s="416"/>
      <c r="L27" s="684"/>
      <c r="M27" s="684"/>
      <c r="N27" s="684"/>
      <c r="O27" s="684"/>
      <c r="P27" s="684"/>
      <c r="Q27" s="684"/>
      <c r="R27" s="684"/>
      <c r="S27" s="416"/>
      <c r="T27" s="752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918</v>
      </c>
      <c r="C28" s="376" t="s">
        <v>1250</v>
      </c>
      <c r="D28" s="376" t="s">
        <v>159</v>
      </c>
      <c r="E28" s="376" t="s">
        <v>1236</v>
      </c>
      <c r="F28" s="608" t="s">
        <v>1252</v>
      </c>
      <c r="G28" s="609">
        <v>2.0999999999999999E-3</v>
      </c>
      <c r="H28" s="692">
        <v>1</v>
      </c>
      <c r="I28" s="626"/>
      <c r="J28" s="752"/>
      <c r="K28" s="416"/>
      <c r="L28" s="376" t="s">
        <v>1236</v>
      </c>
      <c r="M28" s="376"/>
      <c r="N28" s="376"/>
      <c r="O28" s="376"/>
      <c r="P28" s="376"/>
      <c r="Q28" s="376"/>
      <c r="R28" s="376"/>
      <c r="S28" s="416"/>
      <c r="T28" s="752"/>
      <c r="U28" s="416"/>
      <c r="V28" s="609">
        <f>IF(W28=1,G28,0)</f>
        <v>0</v>
      </c>
      <c r="W28" s="692"/>
    </row>
    <row r="29" spans="2:23" outlineLevel="3">
      <c r="B29" s="376" t="s">
        <v>918</v>
      </c>
      <c r="C29" s="376" t="s">
        <v>1250</v>
      </c>
      <c r="D29" s="376" t="s">
        <v>159</v>
      </c>
      <c r="E29" s="376" t="s">
        <v>1236</v>
      </c>
      <c r="F29" s="608" t="s">
        <v>1253</v>
      </c>
      <c r="G29" s="609">
        <v>8.7500000000000002E-4</v>
      </c>
      <c r="H29" s="692">
        <v>1</v>
      </c>
      <c r="I29" s="626"/>
      <c r="J29" s="752"/>
      <c r="K29" s="416"/>
      <c r="L29" s="376" t="s">
        <v>1236</v>
      </c>
      <c r="M29" s="376"/>
      <c r="N29" s="376"/>
      <c r="O29" s="376"/>
      <c r="P29" s="376"/>
      <c r="Q29" s="376"/>
      <c r="R29" s="376"/>
      <c r="S29" s="416"/>
      <c r="T29" s="752"/>
      <c r="U29" s="416"/>
      <c r="V29" s="609">
        <f>IF(W29=1,G29,0)</f>
        <v>0</v>
      </c>
      <c r="W29" s="692"/>
    </row>
    <row r="30" spans="2:23" outlineLevel="3">
      <c r="B30" s="376" t="s">
        <v>918</v>
      </c>
      <c r="C30" s="376" t="s">
        <v>1250</v>
      </c>
      <c r="D30" s="376" t="s">
        <v>159</v>
      </c>
      <c r="E30" s="376" t="s">
        <v>1236</v>
      </c>
      <c r="F30" s="608" t="s">
        <v>1254</v>
      </c>
      <c r="G30" s="609">
        <v>5.2499999999999997E-4</v>
      </c>
      <c r="H30" s="692">
        <v>1</v>
      </c>
      <c r="I30" s="626"/>
      <c r="J30" s="752"/>
      <c r="K30" s="416"/>
      <c r="L30" s="376" t="s">
        <v>1236</v>
      </c>
      <c r="M30" s="376"/>
      <c r="N30" s="376"/>
      <c r="O30" s="376"/>
      <c r="P30" s="376"/>
      <c r="Q30" s="376"/>
      <c r="R30" s="376"/>
      <c r="S30" s="416"/>
      <c r="T30" s="752"/>
      <c r="U30" s="416"/>
      <c r="V30" s="609">
        <f>IF(W30=1,G30,0)</f>
        <v>0</v>
      </c>
      <c r="W30" s="692"/>
    </row>
    <row r="31" spans="2:23" outlineLevel="3">
      <c r="B31" s="376" t="s">
        <v>918</v>
      </c>
      <c r="C31" s="376" t="s">
        <v>1250</v>
      </c>
      <c r="D31" s="376" t="s">
        <v>159</v>
      </c>
      <c r="E31" s="376" t="s">
        <v>1236</v>
      </c>
      <c r="F31" s="608" t="s">
        <v>1255</v>
      </c>
      <c r="G31" s="609">
        <v>5.0000000000000001E-4</v>
      </c>
      <c r="H31" s="692">
        <v>1</v>
      </c>
      <c r="I31" s="626"/>
      <c r="J31" s="752"/>
      <c r="K31" s="416"/>
      <c r="L31" s="376" t="s">
        <v>1236</v>
      </c>
      <c r="M31" s="376"/>
      <c r="N31" s="376"/>
      <c r="O31" s="376"/>
      <c r="P31" s="376"/>
      <c r="Q31" s="376"/>
      <c r="R31" s="376"/>
      <c r="S31" s="416"/>
      <c r="T31" s="752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50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">
      <c r="B33" s="430" t="s">
        <v>1285</v>
      </c>
      <c r="C33" s="430"/>
      <c r="D33" s="430"/>
      <c r="E33" s="430"/>
      <c r="F33" s="697"/>
      <c r="G33" s="739">
        <f>SUBTOTAL(9,G35:G39)</f>
        <v>0.153458592</v>
      </c>
      <c r="H33" s="740">
        <f>SUBTOTAL(9,H35:H39)</f>
        <v>3</v>
      </c>
      <c r="I33" s="626"/>
      <c r="J33" s="752"/>
      <c r="K33" s="416"/>
      <c r="L33" s="430"/>
      <c r="M33" s="430"/>
      <c r="N33" s="430"/>
      <c r="O33" s="430"/>
      <c r="P33" s="430"/>
      <c r="Q33" s="430"/>
      <c r="R33" s="430"/>
      <c r="S33" s="416"/>
      <c r="T33" s="752"/>
      <c r="U33" s="416"/>
      <c r="V33" s="739">
        <f>SUBTOTAL(9,V35:V39)</f>
        <v>0</v>
      </c>
      <c r="W33" s="740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2"/>
      <c r="K34" s="416"/>
      <c r="L34" s="376"/>
      <c r="M34" s="376"/>
      <c r="N34" s="376"/>
      <c r="O34" s="376"/>
      <c r="P34" s="376"/>
      <c r="Q34" s="376"/>
      <c r="R34" s="376"/>
      <c r="S34" s="416"/>
      <c r="T34" s="752"/>
      <c r="U34" s="416"/>
      <c r="V34" s="609"/>
      <c r="W34" s="692"/>
    </row>
    <row r="35" spans="2:23" outlineLevel="1">
      <c r="B35" s="682" t="s">
        <v>1399</v>
      </c>
      <c r="C35" s="682" t="s">
        <v>1400</v>
      </c>
      <c r="D35" s="682"/>
      <c r="E35" s="682"/>
      <c r="F35" s="681" t="s">
        <v>947</v>
      </c>
      <c r="G35" s="708">
        <f>SUBTOTAL(9,G36:G39)</f>
        <v>0.153458592</v>
      </c>
      <c r="H35" s="709">
        <f>SUBTOTAL(9,H36:H39)</f>
        <v>3</v>
      </c>
      <c r="I35" s="626"/>
      <c r="J35" s="752"/>
      <c r="K35" s="416"/>
      <c r="L35" s="682"/>
      <c r="M35" s="682"/>
      <c r="N35" s="682"/>
      <c r="O35" s="682"/>
      <c r="P35" s="682"/>
      <c r="Q35" s="682"/>
      <c r="R35" s="682"/>
      <c r="S35" s="416"/>
      <c r="T35" s="752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1400</v>
      </c>
      <c r="C36" s="688" t="s">
        <v>1400</v>
      </c>
      <c r="D36" s="688" t="s">
        <v>159</v>
      </c>
      <c r="E36" s="688"/>
      <c r="F36" s="712" t="s">
        <v>1286</v>
      </c>
      <c r="G36" s="686">
        <f>SUBTOTAL(9,G37:G39)</f>
        <v>0.153458592</v>
      </c>
      <c r="H36" s="691">
        <f>SUBTOTAL(9,H37:H39)</f>
        <v>3</v>
      </c>
      <c r="I36" s="626"/>
      <c r="J36" s="752"/>
      <c r="K36" s="416"/>
      <c r="L36" s="688"/>
      <c r="M36" s="688"/>
      <c r="N36" s="688"/>
      <c r="O36" s="688"/>
      <c r="P36" s="688"/>
      <c r="Q36" s="688"/>
      <c r="R36" s="688"/>
      <c r="S36" s="416"/>
      <c r="T36" s="752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1400</v>
      </c>
      <c r="C37" s="456" t="s">
        <v>1400</v>
      </c>
      <c r="D37" s="456" t="s">
        <v>159</v>
      </c>
      <c r="E37" s="456" t="s">
        <v>1236</v>
      </c>
      <c r="F37" s="623" t="s">
        <v>1401</v>
      </c>
      <c r="G37" s="745">
        <v>4.3845312000000004E-2</v>
      </c>
      <c r="H37" s="746">
        <v>1</v>
      </c>
      <c r="I37" s="626"/>
      <c r="J37" s="752"/>
      <c r="K37" s="416"/>
      <c r="L37" s="456" t="s">
        <v>1236</v>
      </c>
      <c r="M37" s="456"/>
      <c r="N37" s="456"/>
      <c r="O37" s="456"/>
      <c r="P37" s="456"/>
      <c r="Q37" s="456"/>
      <c r="R37" s="456"/>
      <c r="S37" s="416"/>
      <c r="T37" s="752"/>
      <c r="U37" s="416"/>
      <c r="V37" s="609">
        <f>IF(W37=1,G37,0)</f>
        <v>0</v>
      </c>
      <c r="W37" s="746"/>
    </row>
    <row r="38" spans="2:23" outlineLevel="3">
      <c r="B38" s="456" t="s">
        <v>1400</v>
      </c>
      <c r="C38" s="456" t="s">
        <v>1400</v>
      </c>
      <c r="D38" s="456" t="s">
        <v>159</v>
      </c>
      <c r="E38" s="456" t="s">
        <v>1236</v>
      </c>
      <c r="F38" s="623" t="s">
        <v>36</v>
      </c>
      <c r="G38" s="745">
        <v>6.576796800000001E-2</v>
      </c>
      <c r="H38" s="746">
        <v>1</v>
      </c>
      <c r="I38" s="626"/>
      <c r="J38" s="752"/>
      <c r="K38" s="416"/>
      <c r="L38" s="456" t="s">
        <v>1236</v>
      </c>
      <c r="M38" s="456"/>
      <c r="N38" s="456"/>
      <c r="O38" s="456"/>
      <c r="P38" s="456"/>
      <c r="Q38" s="456"/>
      <c r="R38" s="456"/>
      <c r="S38" s="416"/>
      <c r="T38" s="752"/>
      <c r="U38" s="416"/>
      <c r="V38" s="609">
        <f>IF(W38=1,G38,0)</f>
        <v>0</v>
      </c>
      <c r="W38" s="746"/>
    </row>
    <row r="39" spans="2:23" outlineLevel="3">
      <c r="B39" s="456" t="s">
        <v>1400</v>
      </c>
      <c r="C39" s="456" t="s">
        <v>1400</v>
      </c>
      <c r="D39" s="456" t="s">
        <v>159</v>
      </c>
      <c r="E39" s="456" t="s">
        <v>1236</v>
      </c>
      <c r="F39" s="623" t="s">
        <v>208</v>
      </c>
      <c r="G39" s="745">
        <v>4.3845312000000004E-2</v>
      </c>
      <c r="H39" s="746">
        <v>1</v>
      </c>
      <c r="I39" s="626"/>
      <c r="J39" s="752"/>
      <c r="K39" s="416"/>
      <c r="L39" s="456" t="s">
        <v>1236</v>
      </c>
      <c r="M39" s="456"/>
      <c r="N39" s="456"/>
      <c r="O39" s="456"/>
      <c r="P39" s="456"/>
      <c r="Q39" s="456"/>
      <c r="R39" s="456"/>
      <c r="S39" s="416"/>
      <c r="T39" s="752"/>
      <c r="U39" s="416"/>
      <c r="V39" s="609">
        <f>IF(W39=1,G39,0)</f>
        <v>0</v>
      </c>
      <c r="W39" s="746"/>
    </row>
    <row r="40" spans="2:23">
      <c r="B40" s="416"/>
      <c r="C40" s="416"/>
      <c r="D40" s="416"/>
      <c r="E40" s="416"/>
      <c r="F40" s="750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4" outlineLevelCol="1"/>
  <cols>
    <col min="1" max="1" width="0.5703125" style="812" customWidth="1"/>
    <col min="2" max="2" width="22.7109375" style="812" customWidth="1"/>
    <col min="3" max="3" width="17.7109375" style="812" bestFit="1" customWidth="1"/>
    <col min="4" max="4" width="16.28515625" style="812" customWidth="1"/>
    <col min="5" max="5" width="14.42578125" style="812" customWidth="1"/>
    <col min="6" max="6" width="53.7109375" style="816" customWidth="1"/>
    <col min="7" max="7" width="13.28515625" style="812" bestFit="1" customWidth="1"/>
    <col min="8" max="8" width="9.5703125" style="812" customWidth="1" outlineLevel="1"/>
    <col min="9" max="11" width="0.5703125" style="812" customWidth="1"/>
    <col min="12" max="12" width="14.42578125" style="812" customWidth="1"/>
    <col min="13" max="13" width="14.42578125" style="812" customWidth="1" collapsed="1"/>
    <col min="14" max="18" width="14.42578125" style="812" hidden="1" customWidth="1" outlineLevel="1"/>
    <col min="19" max="21" width="0.5703125" style="812" customWidth="1"/>
    <col min="22" max="22" width="16.28515625" style="812" customWidth="1" collapsed="1"/>
    <col min="23" max="23" width="14.28515625" style="812" hidden="1" customWidth="1" outlineLevel="1"/>
    <col min="24" max="26" width="9.42578125" style="812" bestFit="1"/>
    <col min="27" max="27" width="9.42578125" style="812" bestFit="1" customWidth="1"/>
    <col min="28" max="16384" width="9.42578125" style="812"/>
  </cols>
  <sheetData>
    <row r="2" spans="1:31" ht="17.45">
      <c r="A2" s="376"/>
      <c r="B2" s="418" t="s">
        <v>1896</v>
      </c>
      <c r="C2" s="418"/>
      <c r="D2" s="418"/>
      <c r="E2" s="418"/>
      <c r="F2" s="423"/>
      <c r="G2" s="821">
        <f>SUBTOTAL(9,G6:G262)</f>
        <v>23.760371167549934</v>
      </c>
      <c r="H2" s="690">
        <f>SUBTOTAL(9,H6:H263)</f>
        <v>153</v>
      </c>
      <c r="I2" s="626"/>
      <c r="J2" s="752"/>
      <c r="K2" s="416"/>
      <c r="L2" s="418"/>
      <c r="M2" s="418"/>
      <c r="N2" s="418"/>
      <c r="O2" s="418"/>
      <c r="P2" s="418"/>
      <c r="Q2" s="418"/>
      <c r="R2" s="418"/>
      <c r="S2" s="416"/>
      <c r="T2" s="752"/>
      <c r="U2" s="416"/>
      <c r="V2" s="821">
        <f>SUBTOTAL(9,V6:V262)</f>
        <v>0</v>
      </c>
      <c r="W2" s="765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K3" s="416"/>
      <c r="L3" s="376"/>
      <c r="M3" s="376"/>
      <c r="N3" s="376"/>
      <c r="O3" s="376"/>
      <c r="P3" s="376"/>
      <c r="Q3" s="376"/>
      <c r="R3" s="376"/>
      <c r="S3" s="416"/>
      <c r="T3" s="752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817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K4" s="442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S4" s="442"/>
      <c r="T4" s="753"/>
      <c r="U4" s="442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7"/>
      <c r="I5" s="626"/>
      <c r="J5" s="752"/>
      <c r="K5" s="416"/>
      <c r="L5" s="376"/>
      <c r="M5" s="376"/>
      <c r="N5" s="376"/>
      <c r="O5" s="376"/>
      <c r="P5" s="376"/>
      <c r="Q5" s="376"/>
      <c r="R5" s="376"/>
      <c r="S5" s="416"/>
      <c r="T5" s="752"/>
      <c r="U5" s="416"/>
      <c r="V5" s="609"/>
      <c r="W5" s="727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945</v>
      </c>
      <c r="C6" s="430"/>
      <c r="D6" s="430"/>
      <c r="E6" s="430"/>
      <c r="F6" s="697"/>
      <c r="G6" s="739">
        <f>SUBTOTAL(9,G8:G101)</f>
        <v>2.3617668135042287</v>
      </c>
      <c r="H6" s="740">
        <f>SUBTOTAL(9,H8:H101)</f>
        <v>52</v>
      </c>
      <c r="I6" s="626"/>
      <c r="J6" s="752"/>
      <c r="K6" s="416"/>
      <c r="L6" s="430"/>
      <c r="M6" s="430"/>
      <c r="N6" s="430"/>
      <c r="O6" s="430"/>
      <c r="P6" s="430"/>
      <c r="Q6" s="430"/>
      <c r="R6" s="430"/>
      <c r="S6" s="416"/>
      <c r="T6" s="752"/>
      <c r="U6" s="416"/>
      <c r="V6" s="739">
        <f>SUBTOTAL(9,V8:V101)</f>
        <v>0</v>
      </c>
      <c r="W6" s="740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2"/>
      <c r="K7" s="416"/>
      <c r="L7" s="376"/>
      <c r="M7" s="376"/>
      <c r="N7" s="376"/>
      <c r="O7" s="376"/>
      <c r="P7" s="376"/>
      <c r="Q7" s="376"/>
      <c r="R7" s="376"/>
      <c r="S7" s="416"/>
      <c r="T7" s="752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946</v>
      </c>
      <c r="D8" s="665"/>
      <c r="E8" s="665"/>
      <c r="F8" s="681" t="s">
        <v>947</v>
      </c>
      <c r="G8" s="822">
        <f>SUBTOTAL(9,G9:G10)</f>
        <v>1.4336873100000001E-2</v>
      </c>
      <c r="H8" s="823">
        <f>SUBTOTAL(9,H9:H10)</f>
        <v>1</v>
      </c>
      <c r="I8" s="626"/>
      <c r="J8" s="752"/>
      <c r="K8" s="416"/>
      <c r="L8" s="665"/>
      <c r="M8" s="665"/>
      <c r="N8" s="665"/>
      <c r="O8" s="665"/>
      <c r="P8" s="665"/>
      <c r="Q8" s="665"/>
      <c r="R8" s="665"/>
      <c r="S8" s="416"/>
      <c r="T8" s="752"/>
      <c r="U8" s="416"/>
      <c r="V8" s="822">
        <f>SUBTOTAL(9,V9:V10)</f>
        <v>0</v>
      </c>
      <c r="W8" s="823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946</v>
      </c>
      <c r="D9" s="684" t="s">
        <v>441</v>
      </c>
      <c r="E9" s="684"/>
      <c r="F9" s="685" t="s">
        <v>948</v>
      </c>
      <c r="G9" s="686">
        <f>SUBTOTAL(9,G10)</f>
        <v>1.4336873100000001E-2</v>
      </c>
      <c r="H9" s="691">
        <f>SUBTOTAL(9,H10)</f>
        <v>1</v>
      </c>
      <c r="I9" s="626"/>
      <c r="J9" s="752"/>
      <c r="K9" s="416"/>
      <c r="L9" s="684"/>
      <c r="M9" s="684"/>
      <c r="N9" s="684"/>
      <c r="O9" s="684"/>
      <c r="P9" s="684"/>
      <c r="Q9" s="684"/>
      <c r="R9" s="684"/>
      <c r="S9" s="416"/>
      <c r="T9" s="752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891</v>
      </c>
      <c r="C10" s="376" t="s">
        <v>956</v>
      </c>
      <c r="D10" s="376" t="s">
        <v>441</v>
      </c>
      <c r="E10" s="376" t="s">
        <v>437</v>
      </c>
      <c r="F10" s="376" t="s">
        <v>957</v>
      </c>
      <c r="G10" s="609">
        <v>1.4336873100000001E-2</v>
      </c>
      <c r="H10" s="692">
        <v>1</v>
      </c>
      <c r="I10" s="626"/>
      <c r="J10" s="752"/>
      <c r="K10" s="416"/>
      <c r="L10" s="376" t="s">
        <v>437</v>
      </c>
      <c r="M10" s="376" t="s">
        <v>966</v>
      </c>
      <c r="N10" s="376" t="s">
        <v>967</v>
      </c>
      <c r="O10" s="376" t="s">
        <v>968</v>
      </c>
      <c r="P10" s="376"/>
      <c r="Q10" s="376"/>
      <c r="R10" s="376"/>
      <c r="S10" s="416"/>
      <c r="T10" s="752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818" customFormat="1" outlineLevel="1">
      <c r="A11" s="380"/>
      <c r="B11" s="665" t="s">
        <v>891</v>
      </c>
      <c r="C11" s="665" t="s">
        <v>969</v>
      </c>
      <c r="D11" s="665"/>
      <c r="E11" s="665"/>
      <c r="F11" s="681" t="s">
        <v>947</v>
      </c>
      <c r="G11" s="822">
        <f>SUBTOTAL(9,G12:G21)</f>
        <v>0.37131450852665654</v>
      </c>
      <c r="H11" s="823">
        <f>SUBTOTAL(9,H12:H21)</f>
        <v>8</v>
      </c>
      <c r="I11" s="627"/>
      <c r="J11" s="754"/>
      <c r="K11" s="612"/>
      <c r="L11" s="665"/>
      <c r="M11" s="665"/>
      <c r="N11" s="665"/>
      <c r="O11" s="665"/>
      <c r="P11" s="665"/>
      <c r="Q11" s="665"/>
      <c r="R11" s="665"/>
      <c r="S11" s="612"/>
      <c r="T11" s="754"/>
      <c r="U11" s="612"/>
      <c r="V11" s="822">
        <f>SUBTOTAL(9,V12:V21)</f>
        <v>0</v>
      </c>
      <c r="W11" s="823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891</v>
      </c>
      <c r="C12" s="684" t="s">
        <v>969</v>
      </c>
      <c r="D12" s="684" t="s">
        <v>441</v>
      </c>
      <c r="E12" s="684"/>
      <c r="F12" s="685" t="s">
        <v>1897</v>
      </c>
      <c r="G12" s="686">
        <f>SUBTOTAL(9,G13:G18)</f>
        <v>0.27704634295729169</v>
      </c>
      <c r="H12" s="691">
        <f>SUBTOTAL(9,H13:H18)</f>
        <v>6</v>
      </c>
      <c r="I12" s="626"/>
      <c r="J12" s="752"/>
      <c r="K12" s="416"/>
      <c r="L12" s="684"/>
      <c r="M12" s="684"/>
      <c r="N12" s="684"/>
      <c r="O12" s="684"/>
      <c r="P12" s="684"/>
      <c r="Q12" s="684"/>
      <c r="R12" s="684"/>
      <c r="S12" s="416"/>
      <c r="T12" s="752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891</v>
      </c>
      <c r="C13" s="376" t="s">
        <v>969</v>
      </c>
      <c r="D13" s="376" t="s">
        <v>441</v>
      </c>
      <c r="E13" s="376" t="s">
        <v>437</v>
      </c>
      <c r="F13" s="608" t="s">
        <v>987</v>
      </c>
      <c r="G13" s="609">
        <v>2.1499694035440806E-2</v>
      </c>
      <c r="H13" s="692">
        <v>1</v>
      </c>
      <c r="I13" s="626"/>
      <c r="J13" s="752"/>
      <c r="K13" s="416"/>
      <c r="L13" s="376" t="s">
        <v>437</v>
      </c>
      <c r="M13" s="376" t="s">
        <v>966</v>
      </c>
      <c r="N13" s="376" t="s">
        <v>967</v>
      </c>
      <c r="O13" s="376" t="s">
        <v>995</v>
      </c>
      <c r="P13" s="376"/>
      <c r="Q13" s="376"/>
      <c r="R13" s="376"/>
      <c r="S13" s="416"/>
      <c r="T13" s="752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6.45" outlineLevel="3">
      <c r="A14" s="376"/>
      <c r="B14" s="376" t="s">
        <v>891</v>
      </c>
      <c r="C14" s="376" t="s">
        <v>969</v>
      </c>
      <c r="D14" s="376" t="s">
        <v>441</v>
      </c>
      <c r="E14" s="376" t="s">
        <v>437</v>
      </c>
      <c r="F14" s="608" t="s">
        <v>975</v>
      </c>
      <c r="G14" s="609">
        <v>2.8273590763100436E-3</v>
      </c>
      <c r="H14" s="692">
        <v>1</v>
      </c>
      <c r="I14" s="626"/>
      <c r="J14" s="752"/>
      <c r="K14" s="416"/>
      <c r="L14" s="376" t="s">
        <v>437</v>
      </c>
      <c r="M14" s="376" t="s">
        <v>966</v>
      </c>
      <c r="N14" s="376" t="s">
        <v>967</v>
      </c>
      <c r="O14" s="376" t="s">
        <v>995</v>
      </c>
      <c r="P14" s="376"/>
      <c r="Q14" s="376"/>
      <c r="R14" s="376"/>
      <c r="S14" s="416"/>
      <c r="T14" s="752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6.45" outlineLevel="3">
      <c r="A15" s="376"/>
      <c r="B15" s="376" t="s">
        <v>891</v>
      </c>
      <c r="C15" s="376" t="s">
        <v>969</v>
      </c>
      <c r="D15" s="376" t="s">
        <v>441</v>
      </c>
      <c r="E15" s="376" t="s">
        <v>437</v>
      </c>
      <c r="F15" s="608" t="s">
        <v>976</v>
      </c>
      <c r="G15" s="609">
        <v>2.8273590763100436E-3</v>
      </c>
      <c r="H15" s="692">
        <v>1</v>
      </c>
      <c r="I15" s="626"/>
      <c r="J15" s="752"/>
      <c r="K15" s="416"/>
      <c r="L15" s="376" t="s">
        <v>437</v>
      </c>
      <c r="M15" s="376" t="s">
        <v>966</v>
      </c>
      <c r="N15" s="376" t="s">
        <v>967</v>
      </c>
      <c r="O15" s="376" t="s">
        <v>995</v>
      </c>
      <c r="P15" s="376"/>
      <c r="Q15" s="376"/>
      <c r="R15" s="376"/>
      <c r="S15" s="416"/>
      <c r="T15" s="752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891</v>
      </c>
      <c r="C16" s="376" t="s">
        <v>969</v>
      </c>
      <c r="D16" s="376" t="s">
        <v>441</v>
      </c>
      <c r="E16" s="376" t="s">
        <v>437</v>
      </c>
      <c r="F16" s="608" t="s">
        <v>973</v>
      </c>
      <c r="G16" s="609">
        <v>0.10494596538461541</v>
      </c>
      <c r="H16" s="692">
        <v>1</v>
      </c>
      <c r="I16" s="626"/>
      <c r="J16" s="752"/>
      <c r="K16" s="416"/>
      <c r="L16" s="376" t="s">
        <v>437</v>
      </c>
      <c r="M16" s="376" t="s">
        <v>966</v>
      </c>
      <c r="N16" s="376" t="s">
        <v>967</v>
      </c>
      <c r="O16" s="376" t="s">
        <v>995</v>
      </c>
      <c r="P16" s="376"/>
      <c r="Q16" s="376"/>
      <c r="R16" s="376"/>
      <c r="S16" s="416"/>
      <c r="T16" s="752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891</v>
      </c>
      <c r="C17" s="376" t="s">
        <v>969</v>
      </c>
      <c r="D17" s="376" t="s">
        <v>441</v>
      </c>
      <c r="E17" s="376" t="s">
        <v>437</v>
      </c>
      <c r="F17" s="608" t="s">
        <v>1875</v>
      </c>
      <c r="G17" s="609">
        <v>0.10494596538461541</v>
      </c>
      <c r="H17" s="692">
        <v>1</v>
      </c>
      <c r="I17" s="626"/>
      <c r="J17" s="752"/>
      <c r="K17" s="416"/>
      <c r="L17" s="376" t="s">
        <v>437</v>
      </c>
      <c r="M17" s="376" t="s">
        <v>966</v>
      </c>
      <c r="N17" s="376" t="s">
        <v>967</v>
      </c>
      <c r="O17" s="376" t="s">
        <v>995</v>
      </c>
      <c r="P17" s="376"/>
      <c r="Q17" s="376"/>
      <c r="R17" s="376"/>
      <c r="S17" s="416"/>
      <c r="T17" s="752"/>
      <c r="U17" s="416"/>
      <c r="V17" s="609">
        <f t="shared" si="0"/>
        <v>0</v>
      </c>
      <c r="W17" s="692"/>
    </row>
    <row r="18" spans="2:23" outlineLevel="3">
      <c r="B18" s="376" t="s">
        <v>891</v>
      </c>
      <c r="C18" s="376" t="s">
        <v>969</v>
      </c>
      <c r="D18" s="376" t="s">
        <v>441</v>
      </c>
      <c r="E18" s="376" t="s">
        <v>437</v>
      </c>
      <c r="F18" s="608" t="s">
        <v>984</v>
      </c>
      <c r="G18" s="609">
        <v>0.04</v>
      </c>
      <c r="H18" s="692">
        <v>1</v>
      </c>
      <c r="I18" s="626"/>
      <c r="J18" s="752"/>
      <c r="K18" s="416"/>
      <c r="L18" s="376" t="s">
        <v>437</v>
      </c>
      <c r="M18" s="376" t="s">
        <v>966</v>
      </c>
      <c r="N18" s="376" t="s">
        <v>967</v>
      </c>
      <c r="O18" s="376" t="s">
        <v>995</v>
      </c>
      <c r="P18" s="376"/>
      <c r="Q18" s="376"/>
      <c r="R18" s="376"/>
      <c r="S18" s="416"/>
      <c r="T18" s="752"/>
      <c r="U18" s="416"/>
      <c r="V18" s="609">
        <f t="shared" si="0"/>
        <v>0</v>
      </c>
      <c r="W18" s="692"/>
    </row>
    <row r="19" spans="2:23" outlineLevel="2">
      <c r="B19" s="684" t="s">
        <v>891</v>
      </c>
      <c r="C19" s="684" t="s">
        <v>969</v>
      </c>
      <c r="D19" s="684" t="s">
        <v>860</v>
      </c>
      <c r="E19" s="684"/>
      <c r="F19" s="685" t="s">
        <v>1897</v>
      </c>
      <c r="G19" s="686">
        <f>SUBTOTAL(9,G20:G21)</f>
        <v>9.4268165569364862E-2</v>
      </c>
      <c r="H19" s="691">
        <f>SUBTOTAL(9,H20:H21)</f>
        <v>2</v>
      </c>
      <c r="I19" s="626"/>
      <c r="J19" s="752"/>
      <c r="K19" s="416"/>
      <c r="L19" s="684"/>
      <c r="M19" s="684"/>
      <c r="N19" s="684"/>
      <c r="O19" s="684"/>
      <c r="P19" s="684"/>
      <c r="Q19" s="684"/>
      <c r="R19" s="684"/>
      <c r="S19" s="416"/>
      <c r="T19" s="752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891</v>
      </c>
      <c r="C20" s="376" t="s">
        <v>969</v>
      </c>
      <c r="D20" s="376" t="s">
        <v>860</v>
      </c>
      <c r="E20" s="376" t="s">
        <v>437</v>
      </c>
      <c r="F20" s="608" t="s">
        <v>987</v>
      </c>
      <c r="G20" s="609">
        <v>4.7863519954722676E-2</v>
      </c>
      <c r="H20" s="692">
        <v>1</v>
      </c>
      <c r="I20" s="626"/>
      <c r="J20" s="752"/>
      <c r="K20" s="416"/>
      <c r="L20" s="376" t="s">
        <v>437</v>
      </c>
      <c r="M20" s="376" t="s">
        <v>996</v>
      </c>
      <c r="N20" s="376" t="s">
        <v>997</v>
      </c>
      <c r="O20" s="376" t="s">
        <v>998</v>
      </c>
      <c r="P20" s="376"/>
      <c r="Q20" s="376"/>
      <c r="R20" s="376"/>
      <c r="S20" s="416"/>
      <c r="T20" s="752"/>
      <c r="U20" s="416"/>
      <c r="V20" s="609">
        <f>IF(W20=1,G20,0)</f>
        <v>0</v>
      </c>
      <c r="W20" s="692"/>
    </row>
    <row r="21" spans="2:23" outlineLevel="3">
      <c r="B21" s="376" t="s">
        <v>891</v>
      </c>
      <c r="C21" s="376" t="s">
        <v>969</v>
      </c>
      <c r="D21" s="376" t="s">
        <v>860</v>
      </c>
      <c r="E21" s="376" t="s">
        <v>437</v>
      </c>
      <c r="F21" s="608" t="s">
        <v>999</v>
      </c>
      <c r="G21" s="609">
        <v>4.6404645614642186E-2</v>
      </c>
      <c r="H21" s="692">
        <v>1</v>
      </c>
      <c r="I21" s="626"/>
      <c r="J21" s="752"/>
      <c r="K21" s="416"/>
      <c r="L21" s="376" t="s">
        <v>437</v>
      </c>
      <c r="M21" s="376" t="s">
        <v>996</v>
      </c>
      <c r="N21" s="376" t="s">
        <v>997</v>
      </c>
      <c r="O21" s="376" t="s">
        <v>998</v>
      </c>
      <c r="P21" s="376"/>
      <c r="Q21" s="376"/>
      <c r="R21" s="376"/>
      <c r="S21" s="416"/>
      <c r="T21" s="752"/>
      <c r="U21" s="416"/>
      <c r="V21" s="609">
        <f>IF(W21=1,G21,0)</f>
        <v>0</v>
      </c>
      <c r="W21" s="692"/>
    </row>
    <row r="22" spans="2:23" outlineLevel="3">
      <c r="B22" s="376" t="s">
        <v>891</v>
      </c>
      <c r="C22" s="376" t="s">
        <v>969</v>
      </c>
      <c r="D22" s="376" t="s">
        <v>860</v>
      </c>
      <c r="E22" s="376" t="s">
        <v>437</v>
      </c>
      <c r="F22" s="608" t="s">
        <v>1875</v>
      </c>
      <c r="G22" s="609">
        <v>4.6404645614642186E-2</v>
      </c>
      <c r="H22" s="692">
        <v>1</v>
      </c>
      <c r="I22" s="626"/>
      <c r="J22" s="752"/>
      <c r="K22" s="416"/>
      <c r="L22" s="376" t="s">
        <v>437</v>
      </c>
      <c r="M22" s="376" t="s">
        <v>996</v>
      </c>
      <c r="N22" s="376" t="s">
        <v>997</v>
      </c>
      <c r="O22" s="376" t="s">
        <v>998</v>
      </c>
      <c r="P22" s="376"/>
      <c r="Q22" s="376"/>
      <c r="R22" s="376"/>
      <c r="S22" s="416"/>
      <c r="T22" s="752"/>
      <c r="U22" s="416"/>
      <c r="V22" s="609">
        <f>IF(W22=1,G22,0)</f>
        <v>0</v>
      </c>
      <c r="W22" s="692"/>
    </row>
    <row r="23" spans="2:23" s="819" customFormat="1" outlineLevel="1">
      <c r="B23" s="666" t="s">
        <v>893</v>
      </c>
      <c r="C23" s="666" t="s">
        <v>1000</v>
      </c>
      <c r="D23" s="666"/>
      <c r="E23" s="666"/>
      <c r="F23" s="681" t="s">
        <v>947</v>
      </c>
      <c r="G23" s="708">
        <f>SUBTOTAL(9,G24:G26)</f>
        <v>0.16750548359999998</v>
      </c>
      <c r="H23" s="709">
        <f>SUBTOTAL(9,H24:H26)</f>
        <v>2</v>
      </c>
      <c r="I23" s="710"/>
      <c r="J23" s="756"/>
      <c r="K23" s="711"/>
      <c r="L23" s="666"/>
      <c r="M23" s="666"/>
      <c r="N23" s="666"/>
      <c r="O23" s="666"/>
      <c r="P23" s="666"/>
      <c r="Q23" s="666"/>
      <c r="R23" s="666"/>
      <c r="S23" s="711"/>
      <c r="T23" s="756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893</v>
      </c>
      <c r="C24" s="684" t="s">
        <v>1000</v>
      </c>
      <c r="D24" s="684" t="s">
        <v>441</v>
      </c>
      <c r="E24" s="684"/>
      <c r="F24" s="712" t="s">
        <v>948</v>
      </c>
      <c r="G24" s="686">
        <f>SUBTOTAL(9,G25:G26)</f>
        <v>0.16750548359999998</v>
      </c>
      <c r="H24" s="691">
        <f>SUBTOTAL(9,H25:H26)</f>
        <v>2</v>
      </c>
      <c r="I24" s="626"/>
      <c r="J24" s="752"/>
      <c r="K24" s="416"/>
      <c r="L24" s="684"/>
      <c r="M24" s="684"/>
      <c r="N24" s="684"/>
      <c r="O24" s="684"/>
      <c r="P24" s="684"/>
      <c r="Q24" s="684"/>
      <c r="R24" s="684"/>
      <c r="S24" s="416"/>
      <c r="T24" s="752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893</v>
      </c>
      <c r="C25" s="376" t="s">
        <v>1000</v>
      </c>
      <c r="D25" s="376" t="s">
        <v>441</v>
      </c>
      <c r="E25" s="376" t="s">
        <v>437</v>
      </c>
      <c r="F25" s="623" t="s">
        <v>984</v>
      </c>
      <c r="G25" s="609">
        <v>3.8655111599999993E-2</v>
      </c>
      <c r="H25" s="692">
        <v>1</v>
      </c>
      <c r="I25" s="626"/>
      <c r="J25" s="752"/>
      <c r="K25" s="416"/>
      <c r="L25" s="376" t="s">
        <v>437</v>
      </c>
      <c r="M25" s="376" t="s">
        <v>966</v>
      </c>
      <c r="N25" s="376" t="s">
        <v>1015</v>
      </c>
      <c r="O25" s="376" t="s">
        <v>1016</v>
      </c>
      <c r="P25" s="376"/>
      <c r="Q25" s="376"/>
      <c r="R25" s="376"/>
      <c r="S25" s="416"/>
      <c r="T25" s="752"/>
      <c r="U25" s="416"/>
      <c r="V25" s="609">
        <f>IF(W25=1,G25,0)</f>
        <v>0</v>
      </c>
      <c r="W25" s="692"/>
    </row>
    <row r="26" spans="2:23" outlineLevel="3">
      <c r="B26" s="376" t="s">
        <v>893</v>
      </c>
      <c r="C26" s="376" t="s">
        <v>1000</v>
      </c>
      <c r="D26" s="376" t="s">
        <v>441</v>
      </c>
      <c r="E26" s="376" t="s">
        <v>437</v>
      </c>
      <c r="F26" s="623" t="s">
        <v>957</v>
      </c>
      <c r="G26" s="609">
        <v>0.12885037199999999</v>
      </c>
      <c r="H26" s="692">
        <v>1</v>
      </c>
      <c r="I26" s="626"/>
      <c r="J26" s="752"/>
      <c r="K26" s="416"/>
      <c r="L26" s="376" t="s">
        <v>437</v>
      </c>
      <c r="M26" s="376" t="s">
        <v>966</v>
      </c>
      <c r="N26" s="376" t="s">
        <v>1015</v>
      </c>
      <c r="O26" s="376" t="s">
        <v>1016</v>
      </c>
      <c r="P26" s="376"/>
      <c r="Q26" s="376"/>
      <c r="R26" s="376"/>
      <c r="S26" s="416"/>
      <c r="T26" s="752"/>
      <c r="U26" s="416"/>
      <c r="V26" s="609">
        <f>IF(W26=1,G26,0)</f>
        <v>0</v>
      </c>
      <c r="W26" s="692"/>
    </row>
    <row r="27" spans="2:23" s="819" customFormat="1" outlineLevel="1">
      <c r="B27" s="666" t="s">
        <v>1017</v>
      </c>
      <c r="C27" s="666" t="s">
        <v>1018</v>
      </c>
      <c r="D27" s="666"/>
      <c r="E27" s="666"/>
      <c r="F27" s="681" t="s">
        <v>947</v>
      </c>
      <c r="G27" s="715">
        <f>SUBTOTAL(9,G28:G29)</f>
        <v>0</v>
      </c>
      <c r="H27" s="716">
        <f>SUBTOTAL(9,H28:H29)</f>
        <v>0</v>
      </c>
      <c r="I27" s="710"/>
      <c r="J27" s="756"/>
      <c r="K27" s="711"/>
      <c r="L27" s="666"/>
      <c r="M27" s="666"/>
      <c r="N27" s="666"/>
      <c r="O27" s="666"/>
      <c r="P27" s="666"/>
      <c r="Q27" s="666"/>
      <c r="R27" s="666"/>
      <c r="S27" s="711"/>
      <c r="T27" s="756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1017</v>
      </c>
      <c r="C28" s="687" t="s">
        <v>1018</v>
      </c>
      <c r="D28" s="684"/>
      <c r="E28" s="684"/>
      <c r="F28" s="717" t="s">
        <v>1019</v>
      </c>
      <c r="G28" s="686">
        <f>SUBTOTAL(9,G29)</f>
        <v>0</v>
      </c>
      <c r="H28" s="691">
        <f>SUBTOTAL(9,H29)</f>
        <v>0</v>
      </c>
      <c r="I28" s="626"/>
      <c r="J28" s="752"/>
      <c r="K28" s="416"/>
      <c r="L28" s="684"/>
      <c r="M28" s="684"/>
      <c r="N28" s="684"/>
      <c r="O28" s="684"/>
      <c r="P28" s="684"/>
      <c r="Q28" s="684"/>
      <c r="R28" s="684"/>
      <c r="S28" s="416"/>
      <c r="T28" s="752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1020</v>
      </c>
      <c r="G29" s="718"/>
      <c r="H29" s="824"/>
      <c r="I29" s="626"/>
      <c r="J29" s="752"/>
      <c r="K29" s="416"/>
      <c r="L29" s="380"/>
      <c r="M29" s="380"/>
      <c r="N29" s="380"/>
      <c r="O29" s="380"/>
      <c r="P29" s="380"/>
      <c r="Q29" s="380"/>
      <c r="R29" s="380"/>
      <c r="S29" s="416"/>
      <c r="T29" s="752"/>
      <c r="U29" s="416"/>
      <c r="V29" s="718"/>
      <c r="W29" s="824"/>
    </row>
    <row r="30" spans="2:23" s="819" customFormat="1" outlineLevel="1">
      <c r="B30" s="666" t="s">
        <v>894</v>
      </c>
      <c r="C30" s="666" t="s">
        <v>1021</v>
      </c>
      <c r="D30" s="666"/>
      <c r="E30" s="666"/>
      <c r="F30" s="681" t="s">
        <v>947</v>
      </c>
      <c r="G30" s="708">
        <f>SUBTOTAL(9,G31:G35)</f>
        <v>0.40109149999999999</v>
      </c>
      <c r="H30" s="709">
        <f>SUBTOTAL(9,H31:H35)</f>
        <v>3</v>
      </c>
      <c r="I30" s="710"/>
      <c r="J30" s="756"/>
      <c r="K30" s="711"/>
      <c r="L30" s="666"/>
      <c r="M30" s="666"/>
      <c r="N30" s="666"/>
      <c r="O30" s="666"/>
      <c r="P30" s="666"/>
      <c r="Q30" s="666"/>
      <c r="R30" s="666"/>
      <c r="S30" s="711"/>
      <c r="T30" s="756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894</v>
      </c>
      <c r="C31" s="684" t="s">
        <v>1021</v>
      </c>
      <c r="D31" s="684" t="s">
        <v>441</v>
      </c>
      <c r="E31" s="684"/>
      <c r="F31" s="712" t="s">
        <v>1022</v>
      </c>
      <c r="G31" s="686">
        <f>SUBTOTAL(9,G32:G33)</f>
        <v>0.36109150000000001</v>
      </c>
      <c r="H31" s="691">
        <f>SUBTOTAL(9,H32:H33)</f>
        <v>2</v>
      </c>
      <c r="I31" s="626"/>
      <c r="J31" s="752"/>
      <c r="K31" s="416"/>
      <c r="L31" s="684"/>
      <c r="M31" s="684"/>
      <c r="N31" s="684"/>
      <c r="O31" s="684"/>
      <c r="P31" s="684"/>
      <c r="Q31" s="684"/>
      <c r="R31" s="684"/>
      <c r="S31" s="416"/>
      <c r="T31" s="752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894</v>
      </c>
      <c r="C32" s="376" t="s">
        <v>1021</v>
      </c>
      <c r="D32" s="376" t="s">
        <v>441</v>
      </c>
      <c r="E32" s="376" t="s">
        <v>437</v>
      </c>
      <c r="F32" s="623" t="s">
        <v>1041</v>
      </c>
      <c r="G32" s="723">
        <v>0.36</v>
      </c>
      <c r="H32" s="692">
        <v>1</v>
      </c>
      <c r="I32" s="626"/>
      <c r="J32" s="752"/>
      <c r="K32" s="416"/>
      <c r="L32" s="376" t="s">
        <v>437</v>
      </c>
      <c r="M32" s="376" t="s">
        <v>966</v>
      </c>
      <c r="N32" s="376" t="s">
        <v>1044</v>
      </c>
      <c r="O32" s="376" t="s">
        <v>1045</v>
      </c>
      <c r="P32" s="376"/>
      <c r="Q32" s="376"/>
      <c r="R32" s="376"/>
      <c r="S32" s="416"/>
      <c r="T32" s="752"/>
      <c r="U32" s="416"/>
      <c r="V32" s="609">
        <f>IF(W32=1,G32,0)</f>
        <v>0</v>
      </c>
      <c r="W32" s="692"/>
    </row>
    <row r="33" spans="2:23" outlineLevel="3">
      <c r="B33" s="376" t="s">
        <v>894</v>
      </c>
      <c r="C33" s="376" t="s">
        <v>1021</v>
      </c>
      <c r="D33" s="376" t="s">
        <v>441</v>
      </c>
      <c r="E33" s="376" t="s">
        <v>437</v>
      </c>
      <c r="F33" s="623" t="s">
        <v>1042</v>
      </c>
      <c r="G33" s="723">
        <v>1.0915E-3</v>
      </c>
      <c r="H33" s="692">
        <v>1</v>
      </c>
      <c r="I33" s="626"/>
      <c r="J33" s="752"/>
      <c r="K33" s="416"/>
      <c r="L33" s="376" t="s">
        <v>437</v>
      </c>
      <c r="M33" s="376" t="s">
        <v>966</v>
      </c>
      <c r="N33" s="376" t="s">
        <v>1044</v>
      </c>
      <c r="O33" s="376" t="s">
        <v>1045</v>
      </c>
      <c r="P33" s="376"/>
      <c r="Q33" s="376"/>
      <c r="R33" s="376"/>
      <c r="S33" s="416"/>
      <c r="T33" s="752"/>
      <c r="U33" s="416"/>
      <c r="V33" s="609">
        <f>IF(W33=1,G33,0)</f>
        <v>0</v>
      </c>
      <c r="W33" s="692"/>
    </row>
    <row r="34" spans="2:23" outlineLevel="2">
      <c r="B34" s="684" t="s">
        <v>894</v>
      </c>
      <c r="C34" s="684" t="s">
        <v>1021</v>
      </c>
      <c r="D34" s="684" t="s">
        <v>860</v>
      </c>
      <c r="E34" s="684"/>
      <c r="F34" s="712" t="s">
        <v>1022</v>
      </c>
      <c r="G34" s="686">
        <f>SUBTOTAL(9,G35)</f>
        <v>0.04</v>
      </c>
      <c r="H34" s="691">
        <f>SUBTOTAL(9,H35)</f>
        <v>1</v>
      </c>
      <c r="I34" s="626"/>
      <c r="J34" s="752"/>
      <c r="K34" s="416"/>
      <c r="L34" s="684"/>
      <c r="M34" s="684"/>
      <c r="N34" s="684"/>
      <c r="O34" s="684"/>
      <c r="P34" s="684"/>
      <c r="Q34" s="684"/>
      <c r="R34" s="684"/>
      <c r="S34" s="416"/>
      <c r="T34" s="752"/>
      <c r="U34" s="416"/>
      <c r="V34" s="686">
        <f>SUBTOTAL(9,V35)</f>
        <v>0</v>
      </c>
      <c r="W34" s="691">
        <f>SUBTOTAL(9,W35)</f>
        <v>0</v>
      </c>
    </row>
    <row r="35" spans="2:23" ht="26.45" outlineLevel="3">
      <c r="B35" s="376" t="s">
        <v>894</v>
      </c>
      <c r="C35" s="376" t="s">
        <v>1021</v>
      </c>
      <c r="D35" s="376" t="s">
        <v>860</v>
      </c>
      <c r="E35" s="376" t="s">
        <v>437</v>
      </c>
      <c r="F35" s="623" t="s">
        <v>1047</v>
      </c>
      <c r="G35" s="723">
        <v>0.04</v>
      </c>
      <c r="H35" s="692">
        <v>1</v>
      </c>
      <c r="I35" s="626"/>
      <c r="J35" s="752"/>
      <c r="K35" s="416"/>
      <c r="L35" s="376" t="s">
        <v>437</v>
      </c>
      <c r="M35" s="376" t="s">
        <v>996</v>
      </c>
      <c r="N35" s="376" t="s">
        <v>1048</v>
      </c>
      <c r="O35" s="376"/>
      <c r="P35" s="376"/>
      <c r="Q35" s="376"/>
      <c r="R35" s="376"/>
      <c r="S35" s="416"/>
      <c r="T35" s="752"/>
      <c r="U35" s="416"/>
      <c r="V35" s="609">
        <f>IF(W35=1,G35,0)</f>
        <v>0</v>
      </c>
      <c r="W35" s="692"/>
    </row>
    <row r="36" spans="2:23" s="818" customFormat="1" outlineLevel="1">
      <c r="B36" s="666" t="s">
        <v>469</v>
      </c>
      <c r="C36" s="666" t="s">
        <v>1049</v>
      </c>
      <c r="D36" s="666"/>
      <c r="E36" s="666"/>
      <c r="F36" s="681" t="s">
        <v>947</v>
      </c>
      <c r="G36" s="708">
        <f>SUBTOTAL(9,G37:G51)</f>
        <v>0.86443961999999996</v>
      </c>
      <c r="H36" s="709">
        <f>SUBTOTAL(9,H37:H51)</f>
        <v>13</v>
      </c>
      <c r="I36" s="627"/>
      <c r="J36" s="754"/>
      <c r="K36" s="612"/>
      <c r="L36" s="666"/>
      <c r="M36" s="666"/>
      <c r="N36" s="666"/>
      <c r="O36" s="666"/>
      <c r="P36" s="666"/>
      <c r="Q36" s="666"/>
      <c r="R36" s="666"/>
      <c r="S36" s="612"/>
      <c r="T36" s="754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469</v>
      </c>
      <c r="C37" s="684" t="s">
        <v>1049</v>
      </c>
      <c r="D37" s="684" t="s">
        <v>441</v>
      </c>
      <c r="E37" s="684"/>
      <c r="F37" s="685" t="s">
        <v>1050</v>
      </c>
      <c r="G37" s="686">
        <f>SUBTOTAL(9,G38:G46)</f>
        <v>0.65547999999999995</v>
      </c>
      <c r="H37" s="691">
        <f>SUBTOTAL(9,H38:H46)</f>
        <v>9</v>
      </c>
      <c r="I37" s="626"/>
      <c r="J37" s="752"/>
      <c r="K37" s="416"/>
      <c r="L37" s="684"/>
      <c r="M37" s="684"/>
      <c r="N37" s="684"/>
      <c r="O37" s="684"/>
      <c r="P37" s="684"/>
      <c r="Q37" s="684"/>
      <c r="R37" s="684"/>
      <c r="S37" s="416"/>
      <c r="T37" s="752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469</v>
      </c>
      <c r="C38" s="376" t="s">
        <v>1049</v>
      </c>
      <c r="D38" s="376" t="s">
        <v>441</v>
      </c>
      <c r="E38" s="376" t="s">
        <v>437</v>
      </c>
      <c r="F38" s="623" t="s">
        <v>1066</v>
      </c>
      <c r="G38" s="723">
        <v>8.5739999999999997E-2</v>
      </c>
      <c r="H38" s="692">
        <v>1</v>
      </c>
      <c r="I38" s="626"/>
      <c r="J38" s="752"/>
      <c r="K38" s="416"/>
      <c r="L38" s="376" t="s">
        <v>437</v>
      </c>
      <c r="M38" s="376" t="s">
        <v>966</v>
      </c>
      <c r="N38" s="376" t="s">
        <v>1082</v>
      </c>
      <c r="O38" s="376" t="s">
        <v>1083</v>
      </c>
      <c r="P38" s="376"/>
      <c r="Q38" s="376"/>
      <c r="R38" s="376"/>
      <c r="S38" s="416"/>
      <c r="T38" s="752"/>
      <c r="U38" s="416"/>
      <c r="V38" s="609">
        <f t="shared" ref="V38:V46" si="1">IF(W38=1,G38,0)</f>
        <v>0</v>
      </c>
      <c r="W38" s="692"/>
    </row>
    <row r="39" spans="2:23" outlineLevel="3">
      <c r="B39" s="376" t="s">
        <v>469</v>
      </c>
      <c r="C39" s="376" t="s">
        <v>1049</v>
      </c>
      <c r="D39" s="376" t="s">
        <v>441</v>
      </c>
      <c r="E39" s="376" t="s">
        <v>437</v>
      </c>
      <c r="F39" s="623" t="s">
        <v>1067</v>
      </c>
      <c r="G39" s="723">
        <v>8.5739999999999997E-2</v>
      </c>
      <c r="H39" s="692">
        <v>1</v>
      </c>
      <c r="I39" s="626"/>
      <c r="J39" s="752"/>
      <c r="K39" s="416"/>
      <c r="L39" s="376" t="s">
        <v>437</v>
      </c>
      <c r="M39" s="376" t="s">
        <v>966</v>
      </c>
      <c r="N39" s="376" t="s">
        <v>1082</v>
      </c>
      <c r="O39" s="376" t="s">
        <v>1083</v>
      </c>
      <c r="P39" s="376"/>
      <c r="Q39" s="376"/>
      <c r="R39" s="376"/>
      <c r="S39" s="416"/>
      <c r="T39" s="752"/>
      <c r="U39" s="416"/>
      <c r="V39" s="609">
        <f t="shared" si="1"/>
        <v>0</v>
      </c>
      <c r="W39" s="692"/>
    </row>
    <row r="40" spans="2:23" outlineLevel="3">
      <c r="B40" s="376" t="s">
        <v>469</v>
      </c>
      <c r="C40" s="376" t="s">
        <v>1049</v>
      </c>
      <c r="D40" s="376" t="s">
        <v>441</v>
      </c>
      <c r="E40" s="376" t="s">
        <v>437</v>
      </c>
      <c r="F40" s="623" t="s">
        <v>1085</v>
      </c>
      <c r="G40" s="723">
        <v>0.06</v>
      </c>
      <c r="H40" s="692">
        <v>1</v>
      </c>
      <c r="I40" s="626"/>
      <c r="J40" s="752"/>
      <c r="K40" s="416"/>
      <c r="L40" s="376" t="s">
        <v>437</v>
      </c>
      <c r="M40" s="376" t="s">
        <v>966</v>
      </c>
      <c r="N40" s="376" t="s">
        <v>1082</v>
      </c>
      <c r="O40" s="376" t="s">
        <v>1083</v>
      </c>
      <c r="P40" s="376"/>
      <c r="Q40" s="376"/>
      <c r="R40" s="376"/>
      <c r="S40" s="416"/>
      <c r="T40" s="752"/>
      <c r="U40" s="416"/>
      <c r="V40" s="609">
        <f t="shared" si="1"/>
        <v>0</v>
      </c>
      <c r="W40" s="692"/>
    </row>
    <row r="41" spans="2:23" outlineLevel="3">
      <c r="B41" s="376" t="s">
        <v>469</v>
      </c>
      <c r="C41" s="376" t="s">
        <v>1049</v>
      </c>
      <c r="D41" s="376" t="s">
        <v>441</v>
      </c>
      <c r="E41" s="376" t="s">
        <v>437</v>
      </c>
      <c r="F41" s="623" t="s">
        <v>1086</v>
      </c>
      <c r="G41" s="723">
        <v>0.06</v>
      </c>
      <c r="H41" s="692">
        <v>1</v>
      </c>
      <c r="I41" s="626"/>
      <c r="J41" s="752"/>
      <c r="K41" s="416"/>
      <c r="L41" s="376" t="s">
        <v>437</v>
      </c>
      <c r="M41" s="376" t="s">
        <v>966</v>
      </c>
      <c r="N41" s="376" t="s">
        <v>1082</v>
      </c>
      <c r="O41" s="376" t="s">
        <v>1083</v>
      </c>
      <c r="P41" s="376"/>
      <c r="Q41" s="376"/>
      <c r="R41" s="376"/>
      <c r="S41" s="416"/>
      <c r="T41" s="752"/>
      <c r="U41" s="416"/>
      <c r="V41" s="609">
        <f t="shared" si="1"/>
        <v>0</v>
      </c>
      <c r="W41" s="692"/>
    </row>
    <row r="42" spans="2:23" outlineLevel="3">
      <c r="B42" s="376" t="s">
        <v>469</v>
      </c>
      <c r="C42" s="376" t="s">
        <v>1049</v>
      </c>
      <c r="D42" s="376" t="s">
        <v>441</v>
      </c>
      <c r="E42" s="376" t="s">
        <v>437</v>
      </c>
      <c r="F42" s="623" t="s">
        <v>1069</v>
      </c>
      <c r="G42" s="723">
        <v>4.0000000000000001E-3</v>
      </c>
      <c r="H42" s="692">
        <v>1</v>
      </c>
      <c r="I42" s="626"/>
      <c r="J42" s="752"/>
      <c r="K42" s="416"/>
      <c r="L42" s="376" t="s">
        <v>437</v>
      </c>
      <c r="M42" s="376" t="s">
        <v>966</v>
      </c>
      <c r="N42" s="376" t="s">
        <v>1082</v>
      </c>
      <c r="O42" s="376" t="s">
        <v>1083</v>
      </c>
      <c r="P42" s="376"/>
      <c r="Q42" s="376"/>
      <c r="R42" s="376"/>
      <c r="S42" s="416"/>
      <c r="T42" s="752"/>
      <c r="U42" s="416"/>
      <c r="V42" s="609">
        <f t="shared" si="1"/>
        <v>0</v>
      </c>
      <c r="W42" s="692"/>
    </row>
    <row r="43" spans="2:23" outlineLevel="3">
      <c r="B43" s="376" t="s">
        <v>469</v>
      </c>
      <c r="C43" s="376" t="s">
        <v>1049</v>
      </c>
      <c r="D43" s="376" t="s">
        <v>441</v>
      </c>
      <c r="E43" s="376" t="s">
        <v>437</v>
      </c>
      <c r="F43" s="623" t="s">
        <v>1065</v>
      </c>
      <c r="G43" s="723">
        <v>0.04</v>
      </c>
      <c r="H43" s="692">
        <v>1</v>
      </c>
      <c r="I43" s="626"/>
      <c r="J43" s="752"/>
      <c r="K43" s="416"/>
      <c r="L43" s="376" t="s">
        <v>437</v>
      </c>
      <c r="M43" s="376" t="s">
        <v>966</v>
      </c>
      <c r="N43" s="376" t="s">
        <v>1082</v>
      </c>
      <c r="O43" s="376" t="s">
        <v>1083</v>
      </c>
      <c r="P43" s="376"/>
      <c r="Q43" s="376"/>
      <c r="R43" s="376"/>
      <c r="S43" s="416"/>
      <c r="T43" s="752"/>
      <c r="U43" s="416"/>
      <c r="V43" s="609">
        <f t="shared" si="1"/>
        <v>0</v>
      </c>
      <c r="W43" s="692"/>
    </row>
    <row r="44" spans="2:23" outlineLevel="3">
      <c r="B44" s="376" t="s">
        <v>469</v>
      </c>
      <c r="C44" s="376" t="s">
        <v>1049</v>
      </c>
      <c r="D44" s="376" t="s">
        <v>441</v>
      </c>
      <c r="E44" s="376" t="s">
        <v>437</v>
      </c>
      <c r="F44" s="623" t="s">
        <v>1041</v>
      </c>
      <c r="G44" s="723">
        <v>0.12</v>
      </c>
      <c r="H44" s="692">
        <v>1</v>
      </c>
      <c r="I44" s="626"/>
      <c r="J44" s="752"/>
      <c r="K44" s="416"/>
      <c r="L44" s="376" t="s">
        <v>437</v>
      </c>
      <c r="M44" s="376" t="s">
        <v>966</v>
      </c>
      <c r="N44" s="376" t="s">
        <v>1082</v>
      </c>
      <c r="O44" s="376" t="s">
        <v>1083</v>
      </c>
      <c r="P44" s="376"/>
      <c r="Q44" s="376"/>
      <c r="R44" s="376"/>
      <c r="S44" s="416"/>
      <c r="T44" s="752"/>
      <c r="U44" s="416"/>
      <c r="V44" s="609">
        <f t="shared" si="1"/>
        <v>0</v>
      </c>
      <c r="W44" s="692"/>
    </row>
    <row r="45" spans="2:23" outlineLevel="3">
      <c r="B45" s="376" t="s">
        <v>469</v>
      </c>
      <c r="C45" s="376" t="s">
        <v>1049</v>
      </c>
      <c r="D45" s="376" t="s">
        <v>441</v>
      </c>
      <c r="E45" s="376" t="s">
        <v>437</v>
      </c>
      <c r="F45" s="623" t="s">
        <v>1087</v>
      </c>
      <c r="G45" s="723">
        <v>0.1</v>
      </c>
      <c r="H45" s="692">
        <v>1</v>
      </c>
      <c r="I45" s="626"/>
      <c r="J45" s="752"/>
      <c r="K45" s="416"/>
      <c r="L45" s="376" t="s">
        <v>437</v>
      </c>
      <c r="M45" s="376" t="s">
        <v>966</v>
      </c>
      <c r="N45" s="376" t="s">
        <v>1082</v>
      </c>
      <c r="O45" s="376" t="s">
        <v>1083</v>
      </c>
      <c r="P45" s="376"/>
      <c r="Q45" s="376"/>
      <c r="R45" s="376"/>
      <c r="S45" s="416"/>
      <c r="T45" s="752"/>
      <c r="U45" s="416"/>
      <c r="V45" s="609">
        <f t="shared" si="1"/>
        <v>0</v>
      </c>
      <c r="W45" s="692"/>
    </row>
    <row r="46" spans="2:23" outlineLevel="3">
      <c r="B46" s="376" t="s">
        <v>469</v>
      </c>
      <c r="C46" s="376" t="s">
        <v>1049</v>
      </c>
      <c r="D46" s="376" t="s">
        <v>441</v>
      </c>
      <c r="E46" s="376" t="s">
        <v>437</v>
      </c>
      <c r="F46" s="623" t="s">
        <v>1073</v>
      </c>
      <c r="G46" s="723">
        <v>0.1</v>
      </c>
      <c r="H46" s="692">
        <v>1</v>
      </c>
      <c r="I46" s="626"/>
      <c r="J46" s="752"/>
      <c r="K46" s="416"/>
      <c r="L46" s="376" t="s">
        <v>437</v>
      </c>
      <c r="M46" s="376" t="s">
        <v>966</v>
      </c>
      <c r="N46" s="376" t="s">
        <v>1082</v>
      </c>
      <c r="O46" s="376" t="s">
        <v>1083</v>
      </c>
      <c r="P46" s="376"/>
      <c r="Q46" s="376"/>
      <c r="R46" s="376"/>
      <c r="S46" s="416"/>
      <c r="T46" s="752"/>
      <c r="U46" s="416"/>
      <c r="V46" s="609">
        <f t="shared" si="1"/>
        <v>0</v>
      </c>
      <c r="W46" s="692"/>
    </row>
    <row r="47" spans="2:23" outlineLevel="2">
      <c r="B47" s="684" t="s">
        <v>469</v>
      </c>
      <c r="C47" s="684" t="s">
        <v>1049</v>
      </c>
      <c r="D47" s="684" t="s">
        <v>860</v>
      </c>
      <c r="E47" s="684"/>
      <c r="F47" s="685" t="s">
        <v>1050</v>
      </c>
      <c r="G47" s="686">
        <f>SUBTOTAL(9,G48:G51)</f>
        <v>0.20895962000000001</v>
      </c>
      <c r="H47" s="691">
        <f>SUBTOTAL(9,H48:H51)</f>
        <v>4</v>
      </c>
      <c r="I47" s="626"/>
      <c r="J47" s="752"/>
      <c r="K47" s="416"/>
      <c r="L47" s="684"/>
      <c r="M47" s="684"/>
      <c r="N47" s="684"/>
      <c r="O47" s="684"/>
      <c r="P47" s="684"/>
      <c r="Q47" s="684"/>
      <c r="R47" s="684"/>
      <c r="S47" s="416"/>
      <c r="T47" s="752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469</v>
      </c>
      <c r="C48" s="376" t="s">
        <v>1049</v>
      </c>
      <c r="D48" s="376" t="s">
        <v>860</v>
      </c>
      <c r="E48" s="376" t="s">
        <v>437</v>
      </c>
      <c r="F48" s="623" t="s">
        <v>1088</v>
      </c>
      <c r="G48" s="723">
        <v>0.02</v>
      </c>
      <c r="H48" s="692">
        <v>1</v>
      </c>
      <c r="I48" s="626"/>
      <c r="J48" s="752"/>
      <c r="K48" s="416"/>
      <c r="L48" s="376" t="s">
        <v>437</v>
      </c>
      <c r="M48" s="376" t="s">
        <v>996</v>
      </c>
      <c r="N48" s="376" t="s">
        <v>1048</v>
      </c>
      <c r="O48" s="376"/>
      <c r="P48" s="376"/>
      <c r="Q48" s="376"/>
      <c r="R48" s="376"/>
      <c r="S48" s="416"/>
      <c r="T48" s="752"/>
      <c r="U48" s="416"/>
      <c r="V48" s="609">
        <f>IF(W48=1,G48,0)</f>
        <v>0</v>
      </c>
      <c r="W48" s="692"/>
    </row>
    <row r="49" spans="2:23" outlineLevel="3">
      <c r="B49" s="376" t="s">
        <v>469</v>
      </c>
      <c r="C49" s="376" t="s">
        <v>1049</v>
      </c>
      <c r="D49" s="376" t="s">
        <v>860</v>
      </c>
      <c r="E49" s="376" t="s">
        <v>437</v>
      </c>
      <c r="F49" s="623" t="s">
        <v>1898</v>
      </c>
      <c r="G49" s="723">
        <v>3.8959620000000007E-2</v>
      </c>
      <c r="H49" s="692">
        <v>1</v>
      </c>
      <c r="I49" s="626"/>
      <c r="J49" s="752"/>
      <c r="K49" s="416"/>
      <c r="L49" s="376" t="s">
        <v>437</v>
      </c>
      <c r="M49" s="376" t="s">
        <v>996</v>
      </c>
      <c r="N49" s="376"/>
      <c r="O49" s="376"/>
      <c r="P49" s="376"/>
      <c r="Q49" s="376"/>
      <c r="R49" s="376"/>
      <c r="S49" s="416"/>
      <c r="T49" s="752"/>
      <c r="U49" s="416"/>
      <c r="V49" s="609">
        <f>IF(W49=1,G49,0)</f>
        <v>0</v>
      </c>
      <c r="W49" s="692"/>
    </row>
    <row r="50" spans="2:23" ht="26.45" outlineLevel="3">
      <c r="B50" s="376" t="s">
        <v>469</v>
      </c>
      <c r="C50" s="376" t="s">
        <v>1049</v>
      </c>
      <c r="D50" s="376" t="s">
        <v>860</v>
      </c>
      <c r="E50" s="376" t="s">
        <v>437</v>
      </c>
      <c r="F50" s="623" t="s">
        <v>1899</v>
      </c>
      <c r="G50" s="723">
        <v>0.05</v>
      </c>
      <c r="H50" s="692">
        <v>1</v>
      </c>
      <c r="I50" s="626"/>
      <c r="J50" s="752"/>
      <c r="K50" s="416"/>
      <c r="L50" s="376" t="s">
        <v>437</v>
      </c>
      <c r="M50" s="376" t="s">
        <v>996</v>
      </c>
      <c r="N50" s="376"/>
      <c r="O50" s="376"/>
      <c r="P50" s="376"/>
      <c r="Q50" s="376"/>
      <c r="R50" s="376"/>
      <c r="S50" s="416"/>
      <c r="T50" s="752"/>
      <c r="U50" s="416"/>
      <c r="V50" s="609">
        <f>IF(W50=1,G50,0)</f>
        <v>0</v>
      </c>
      <c r="W50" s="692"/>
    </row>
    <row r="51" spans="2:23" outlineLevel="3">
      <c r="B51" s="376" t="s">
        <v>469</v>
      </c>
      <c r="C51" s="376" t="s">
        <v>1049</v>
      </c>
      <c r="D51" s="376" t="s">
        <v>860</v>
      </c>
      <c r="E51" s="376" t="s">
        <v>437</v>
      </c>
      <c r="F51" s="623" t="s">
        <v>1073</v>
      </c>
      <c r="G51" s="723">
        <v>0.1</v>
      </c>
      <c r="H51" s="692">
        <v>1</v>
      </c>
      <c r="I51" s="626"/>
      <c r="J51" s="752"/>
      <c r="K51" s="416"/>
      <c r="L51" s="376" t="s">
        <v>437</v>
      </c>
      <c r="M51" s="376" t="s">
        <v>996</v>
      </c>
      <c r="N51" s="376" t="s">
        <v>1048</v>
      </c>
      <c r="O51" s="376"/>
      <c r="P51" s="376"/>
      <c r="Q51" s="376"/>
      <c r="R51" s="376"/>
      <c r="S51" s="416"/>
      <c r="T51" s="752"/>
      <c r="U51" s="416"/>
      <c r="V51" s="609">
        <f>IF(W51=1,G51,0)</f>
        <v>0</v>
      </c>
      <c r="W51" s="692"/>
    </row>
    <row r="52" spans="2:23" s="818" customFormat="1" outlineLevel="1">
      <c r="B52" s="665" t="s">
        <v>897</v>
      </c>
      <c r="C52" s="665" t="s">
        <v>1089</v>
      </c>
      <c r="D52" s="665"/>
      <c r="E52" s="665"/>
      <c r="F52" s="681" t="s">
        <v>947</v>
      </c>
      <c r="G52" s="822">
        <f>SUBTOTAL(9,G53:G54)</f>
        <v>0</v>
      </c>
      <c r="H52" s="823">
        <f>SUBTOTAL(9,H53:H54)</f>
        <v>0</v>
      </c>
      <c r="I52" s="627"/>
      <c r="J52" s="754"/>
      <c r="K52" s="612"/>
      <c r="L52" s="665"/>
      <c r="M52" s="665"/>
      <c r="N52" s="665" t="s">
        <v>1091</v>
      </c>
      <c r="O52" s="665" t="s">
        <v>1092</v>
      </c>
      <c r="P52" s="665" t="s">
        <v>1093</v>
      </c>
      <c r="Q52" s="665"/>
      <c r="R52" s="665"/>
      <c r="S52" s="612"/>
      <c r="T52" s="754"/>
      <c r="U52" s="612"/>
      <c r="V52" s="822">
        <f>SUBTOTAL(9,V53:V54)</f>
        <v>0</v>
      </c>
      <c r="W52" s="823">
        <f>SUBTOTAL(9,W53:W54)</f>
        <v>0</v>
      </c>
    </row>
    <row r="53" spans="2:23" outlineLevel="2">
      <c r="B53" s="687" t="s">
        <v>897</v>
      </c>
      <c r="C53" s="687" t="s">
        <v>1089</v>
      </c>
      <c r="D53" s="684" t="s">
        <v>860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2"/>
      <c r="K53" s="416"/>
      <c r="L53" s="684"/>
      <c r="M53" s="684"/>
      <c r="N53" s="684"/>
      <c r="O53" s="684"/>
      <c r="P53" s="684"/>
      <c r="Q53" s="684"/>
      <c r="R53" s="684"/>
      <c r="S53" s="416"/>
      <c r="T53" s="752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897</v>
      </c>
      <c r="C54" s="376" t="s">
        <v>1089</v>
      </c>
      <c r="D54" s="376" t="s">
        <v>860</v>
      </c>
      <c r="E54" s="376" t="s">
        <v>437</v>
      </c>
      <c r="F54" s="623" t="s">
        <v>1900</v>
      </c>
      <c r="G54" s="718"/>
      <c r="H54" s="824"/>
      <c r="I54" s="626"/>
      <c r="J54" s="752"/>
      <c r="K54" s="416"/>
      <c r="L54" s="380"/>
      <c r="M54" s="380"/>
      <c r="N54" s="380"/>
      <c r="O54" s="380"/>
      <c r="P54" s="380"/>
      <c r="Q54" s="380"/>
      <c r="R54" s="380"/>
      <c r="S54" s="416"/>
      <c r="T54" s="752"/>
      <c r="U54" s="416"/>
      <c r="V54" s="718"/>
      <c r="W54" s="824"/>
    </row>
    <row r="55" spans="2:23" s="818" customFormat="1" outlineLevel="1">
      <c r="B55" s="665" t="s">
        <v>899</v>
      </c>
      <c r="C55" s="665" t="s">
        <v>1107</v>
      </c>
      <c r="D55" s="665"/>
      <c r="E55" s="665"/>
      <c r="F55" s="681" t="s">
        <v>947</v>
      </c>
      <c r="G55" s="822">
        <f>SUBTOTAL(9,G56:G57)</f>
        <v>0.02</v>
      </c>
      <c r="H55" s="823">
        <f>SUBTOTAL(9,H56:H57)</f>
        <v>1</v>
      </c>
      <c r="I55" s="627"/>
      <c r="J55" s="754"/>
      <c r="K55" s="612"/>
      <c r="L55" s="665"/>
      <c r="M55" s="665"/>
      <c r="N55" s="665"/>
      <c r="O55" s="665"/>
      <c r="P55" s="665"/>
      <c r="Q55" s="665"/>
      <c r="R55" s="665"/>
      <c r="S55" s="612"/>
      <c r="T55" s="754"/>
      <c r="U55" s="612"/>
      <c r="V55" s="822">
        <f>SUBTOTAL(9,V56:V57)</f>
        <v>0</v>
      </c>
      <c r="W55" s="823">
        <f>SUBTOTAL(9,W56:W57)</f>
        <v>0</v>
      </c>
    </row>
    <row r="56" spans="2:23" outlineLevel="2">
      <c r="B56" s="684" t="s">
        <v>899</v>
      </c>
      <c r="C56" s="684" t="s">
        <v>1107</v>
      </c>
      <c r="D56" s="684" t="s">
        <v>441</v>
      </c>
      <c r="E56" s="684"/>
      <c r="F56" s="685" t="s">
        <v>1022</v>
      </c>
      <c r="G56" s="686">
        <f>SUBTOTAL(9,G57)</f>
        <v>0.02</v>
      </c>
      <c r="H56" s="691">
        <f>SUBTOTAL(9,H57)</f>
        <v>1</v>
      </c>
      <c r="I56" s="626"/>
      <c r="J56" s="752"/>
      <c r="K56" s="416"/>
      <c r="L56" s="684"/>
      <c r="M56" s="684"/>
      <c r="N56" s="684"/>
      <c r="O56" s="684"/>
      <c r="P56" s="684"/>
      <c r="Q56" s="684"/>
      <c r="R56" s="684"/>
      <c r="S56" s="416"/>
      <c r="T56" s="752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899</v>
      </c>
      <c r="C57" s="376" t="s">
        <v>1107</v>
      </c>
      <c r="D57" s="376" t="s">
        <v>441</v>
      </c>
      <c r="E57" s="376" t="s">
        <v>437</v>
      </c>
      <c r="F57" s="608" t="s">
        <v>1106</v>
      </c>
      <c r="G57" s="609">
        <v>0.02</v>
      </c>
      <c r="H57" s="692">
        <v>1</v>
      </c>
      <c r="I57" s="626"/>
      <c r="J57" s="752"/>
      <c r="K57" s="416"/>
      <c r="L57" s="376" t="s">
        <v>437</v>
      </c>
      <c r="M57" s="376" t="s">
        <v>966</v>
      </c>
      <c r="N57" s="376" t="s">
        <v>1124</v>
      </c>
      <c r="O57" s="376"/>
      <c r="P57" s="376" t="s">
        <v>1105</v>
      </c>
      <c r="Q57" s="376"/>
      <c r="R57" s="376">
        <v>0</v>
      </c>
      <c r="S57" s="416"/>
      <c r="T57" s="752"/>
      <c r="U57" s="416"/>
      <c r="V57" s="609">
        <f>IF(W57=1,G57,0)</f>
        <v>0</v>
      </c>
      <c r="W57" s="692"/>
    </row>
    <row r="58" spans="2:23" s="818" customFormat="1" outlineLevel="1">
      <c r="B58" s="666" t="s">
        <v>1137</v>
      </c>
      <c r="C58" s="666" t="s">
        <v>956</v>
      </c>
      <c r="D58" s="666"/>
      <c r="E58" s="666"/>
      <c r="F58" s="681" t="s">
        <v>947</v>
      </c>
      <c r="G58" s="822">
        <f>SUBTOTAL(9,G59:G62)</f>
        <v>6.7122779915E-2</v>
      </c>
      <c r="H58" s="823">
        <f>SUBTOTAL(9,H59:H62)</f>
        <v>3</v>
      </c>
      <c r="I58" s="627"/>
      <c r="J58" s="754"/>
      <c r="K58" s="612"/>
      <c r="L58" s="666"/>
      <c r="M58" s="666"/>
      <c r="N58" s="666"/>
      <c r="O58" s="666"/>
      <c r="P58" s="666"/>
      <c r="Q58" s="666"/>
      <c r="R58" s="666"/>
      <c r="S58" s="612"/>
      <c r="T58" s="754"/>
      <c r="U58" s="612"/>
      <c r="V58" s="822">
        <f>SUBTOTAL(9,V59:V62)</f>
        <v>0</v>
      </c>
      <c r="W58" s="823">
        <f>SUBTOTAL(9,W59:W62)</f>
        <v>0</v>
      </c>
    </row>
    <row r="59" spans="2:23" ht="26.45" outlineLevel="2">
      <c r="B59" s="684" t="s">
        <v>1137</v>
      </c>
      <c r="C59" s="684" t="s">
        <v>956</v>
      </c>
      <c r="D59" s="684" t="s">
        <v>441</v>
      </c>
      <c r="E59" s="684"/>
      <c r="F59" s="685" t="s">
        <v>1146</v>
      </c>
      <c r="G59" s="686">
        <f>SUBTOTAL(9,G60:G62)</f>
        <v>6.7122779915E-2</v>
      </c>
      <c r="H59" s="691">
        <f>SUBTOTAL(9,H60:H62)</f>
        <v>3</v>
      </c>
      <c r="I59" s="626"/>
      <c r="J59" s="752"/>
      <c r="K59" s="416"/>
      <c r="L59" s="684"/>
      <c r="M59" s="684"/>
      <c r="N59" s="684"/>
      <c r="O59" s="684"/>
      <c r="P59" s="684"/>
      <c r="Q59" s="684"/>
      <c r="R59" s="684"/>
      <c r="S59" s="416"/>
      <c r="T59" s="752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1137</v>
      </c>
      <c r="C60" s="376" t="s">
        <v>956</v>
      </c>
      <c r="D60" s="376" t="s">
        <v>441</v>
      </c>
      <c r="E60" s="376" t="s">
        <v>437</v>
      </c>
      <c r="F60" s="608" t="s">
        <v>1139</v>
      </c>
      <c r="G60" s="609">
        <v>3.0822447240000002E-2</v>
      </c>
      <c r="H60" s="692">
        <v>1</v>
      </c>
      <c r="I60" s="626"/>
      <c r="J60" s="752"/>
      <c r="K60" s="416"/>
      <c r="L60" s="376" t="s">
        <v>437</v>
      </c>
      <c r="M60" s="376" t="s">
        <v>966</v>
      </c>
      <c r="N60" s="376" t="s">
        <v>1147</v>
      </c>
      <c r="O60" s="376" t="s">
        <v>1148</v>
      </c>
      <c r="P60" s="376"/>
      <c r="Q60" s="376"/>
      <c r="R60" s="376"/>
      <c r="S60" s="416"/>
      <c r="T60" s="752"/>
      <c r="U60" s="416"/>
      <c r="V60" s="609">
        <f>IF(W60=1,G60,0)</f>
        <v>0</v>
      </c>
      <c r="W60" s="692"/>
    </row>
    <row r="61" spans="2:23" outlineLevel="3">
      <c r="B61" s="376" t="s">
        <v>1137</v>
      </c>
      <c r="C61" s="376" t="s">
        <v>956</v>
      </c>
      <c r="D61" s="376" t="s">
        <v>441</v>
      </c>
      <c r="E61" s="376" t="s">
        <v>437</v>
      </c>
      <c r="F61" s="608" t="s">
        <v>1141</v>
      </c>
      <c r="G61" s="609">
        <v>0.02</v>
      </c>
      <c r="H61" s="692">
        <v>1</v>
      </c>
      <c r="I61" s="626"/>
      <c r="J61" s="752"/>
      <c r="K61" s="416"/>
      <c r="L61" s="376" t="s">
        <v>437</v>
      </c>
      <c r="M61" s="376" t="s">
        <v>966</v>
      </c>
      <c r="N61" s="376" t="s">
        <v>1147</v>
      </c>
      <c r="O61" s="376" t="s">
        <v>1148</v>
      </c>
      <c r="P61" s="376"/>
      <c r="Q61" s="376"/>
      <c r="R61" s="376"/>
      <c r="S61" s="416"/>
      <c r="T61" s="752"/>
      <c r="U61" s="416"/>
      <c r="V61" s="609">
        <f>IF(W61=1,G61,0)</f>
        <v>0</v>
      </c>
      <c r="W61" s="692"/>
    </row>
    <row r="62" spans="2:23" outlineLevel="3">
      <c r="B62" s="376" t="s">
        <v>1137</v>
      </c>
      <c r="C62" s="376" t="s">
        <v>956</v>
      </c>
      <c r="D62" s="376" t="s">
        <v>441</v>
      </c>
      <c r="E62" s="376" t="s">
        <v>437</v>
      </c>
      <c r="F62" s="608" t="s">
        <v>1142</v>
      </c>
      <c r="G62" s="609">
        <v>1.6300332674999998E-2</v>
      </c>
      <c r="H62" s="692">
        <v>1</v>
      </c>
      <c r="I62" s="626"/>
      <c r="J62" s="752"/>
      <c r="K62" s="416"/>
      <c r="L62" s="376" t="s">
        <v>437</v>
      </c>
      <c r="M62" s="376" t="s">
        <v>966</v>
      </c>
      <c r="N62" s="376" t="s">
        <v>1147</v>
      </c>
      <c r="O62" s="376" t="s">
        <v>1148</v>
      </c>
      <c r="P62" s="376"/>
      <c r="Q62" s="376"/>
      <c r="R62" s="376"/>
      <c r="S62" s="416"/>
      <c r="T62" s="752"/>
      <c r="U62" s="416"/>
      <c r="V62" s="609">
        <f>IF(W62=1,G62,0)</f>
        <v>0</v>
      </c>
      <c r="W62" s="692"/>
    </row>
    <row r="63" spans="2:23" outlineLevel="1">
      <c r="B63" s="665" t="s">
        <v>901</v>
      </c>
      <c r="C63" s="665" t="s">
        <v>1089</v>
      </c>
      <c r="D63" s="665"/>
      <c r="E63" s="665"/>
      <c r="F63" s="681" t="s">
        <v>947</v>
      </c>
      <c r="G63" s="822">
        <f>SUBTOTAL(9,G64:G65)</f>
        <v>0.04</v>
      </c>
      <c r="H63" s="823">
        <f>SUBTOTAL(9,H64:H65)</f>
        <v>1</v>
      </c>
      <c r="I63" s="626"/>
      <c r="J63" s="752"/>
      <c r="K63" s="416"/>
      <c r="L63" s="665"/>
      <c r="M63" s="665"/>
      <c r="N63" s="665"/>
      <c r="O63" s="665"/>
      <c r="P63" s="665"/>
      <c r="Q63" s="665"/>
      <c r="R63" s="665"/>
      <c r="S63" s="416"/>
      <c r="T63" s="752"/>
      <c r="U63" s="416"/>
      <c r="V63" s="822">
        <f>SUBTOTAL(9,V64:V65)</f>
        <v>0</v>
      </c>
      <c r="W63" s="823">
        <f>SUBTOTAL(9,W64:W65)</f>
        <v>0</v>
      </c>
    </row>
    <row r="64" spans="2:23" outlineLevel="2">
      <c r="B64" s="684" t="s">
        <v>901</v>
      </c>
      <c r="C64" s="684" t="s">
        <v>1089</v>
      </c>
      <c r="D64" s="684" t="s">
        <v>441</v>
      </c>
      <c r="E64" s="684"/>
      <c r="F64" s="685" t="s">
        <v>1022</v>
      </c>
      <c r="G64" s="686">
        <f>SUBTOTAL(9,G65)</f>
        <v>0.04</v>
      </c>
      <c r="H64" s="691">
        <f>SUBTOTAL(9,H65)</f>
        <v>1</v>
      </c>
      <c r="I64" s="626"/>
      <c r="J64" s="752"/>
      <c r="K64" s="416"/>
      <c r="L64" s="684"/>
      <c r="M64" s="684"/>
      <c r="N64" s="684"/>
      <c r="O64" s="684"/>
      <c r="P64" s="684"/>
      <c r="Q64" s="684"/>
      <c r="R64" s="684"/>
      <c r="S64" s="416"/>
      <c r="T64" s="752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901</v>
      </c>
      <c r="C65" s="376" t="s">
        <v>1089</v>
      </c>
      <c r="D65" s="376" t="s">
        <v>441</v>
      </c>
      <c r="E65" s="376" t="s">
        <v>437</v>
      </c>
      <c r="F65" s="608" t="s">
        <v>1106</v>
      </c>
      <c r="G65" s="609">
        <v>0.04</v>
      </c>
      <c r="H65" s="692">
        <v>1</v>
      </c>
      <c r="I65" s="626"/>
      <c r="J65" s="752"/>
      <c r="K65" s="416"/>
      <c r="L65" s="376" t="s">
        <v>437</v>
      </c>
      <c r="M65" s="376" t="s">
        <v>966</v>
      </c>
      <c r="N65" s="376" t="s">
        <v>967</v>
      </c>
      <c r="O65" s="376" t="s">
        <v>995</v>
      </c>
      <c r="P65" s="376"/>
      <c r="Q65" s="376"/>
      <c r="R65" s="376"/>
      <c r="S65" s="416"/>
      <c r="T65" s="752"/>
      <c r="U65" s="416"/>
      <c r="V65" s="609">
        <f>IF(W65=1,G65,0)</f>
        <v>0</v>
      </c>
      <c r="W65" s="692"/>
    </row>
    <row r="66" spans="2:23" outlineLevel="2">
      <c r="B66" s="684" t="s">
        <v>252</v>
      </c>
      <c r="C66" s="684" t="s">
        <v>252</v>
      </c>
      <c r="D66" s="684" t="s">
        <v>441</v>
      </c>
      <c r="E66" s="684"/>
      <c r="F66" s="685" t="s">
        <v>1176</v>
      </c>
      <c r="G66" s="686">
        <f>SUBTOTAL(9,G67)</f>
        <v>3.6853334887931043E-2</v>
      </c>
      <c r="H66" s="691">
        <f>SUBTOTAL(9,H67)</f>
        <v>1</v>
      </c>
      <c r="I66" s="626"/>
      <c r="J66" s="752"/>
      <c r="K66" s="416"/>
      <c r="L66" s="684"/>
      <c r="M66" s="684"/>
      <c r="N66" s="684"/>
      <c r="O66" s="684"/>
      <c r="P66" s="684"/>
      <c r="Q66" s="684"/>
      <c r="R66" s="684"/>
      <c r="S66" s="416"/>
      <c r="T66" s="752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252</v>
      </c>
      <c r="C67" s="376" t="s">
        <v>252</v>
      </c>
      <c r="D67" s="376" t="s">
        <v>441</v>
      </c>
      <c r="E67" s="376" t="s">
        <v>437</v>
      </c>
      <c r="F67" s="608" t="s">
        <v>1208</v>
      </c>
      <c r="G67" s="609">
        <v>3.6853334887931043E-2</v>
      </c>
      <c r="H67" s="692">
        <v>1</v>
      </c>
      <c r="I67" s="626"/>
      <c r="J67" s="752"/>
      <c r="K67" s="416"/>
      <c r="L67" s="376" t="s">
        <v>437</v>
      </c>
      <c r="M67" s="376" t="s">
        <v>966</v>
      </c>
      <c r="N67" s="376" t="s">
        <v>1209</v>
      </c>
      <c r="O67" s="376" t="s">
        <v>1210</v>
      </c>
      <c r="P67" s="376"/>
      <c r="Q67" s="376"/>
      <c r="R67" s="376"/>
      <c r="S67" s="416"/>
      <c r="T67" s="752"/>
      <c r="U67" s="416"/>
      <c r="V67" s="609">
        <f>IF(W67=1,G67,0)</f>
        <v>0</v>
      </c>
      <c r="W67" s="692"/>
    </row>
    <row r="68" spans="2:23" outlineLevel="1">
      <c r="B68" s="665" t="s">
        <v>903</v>
      </c>
      <c r="C68" s="665" t="s">
        <v>903</v>
      </c>
      <c r="D68" s="665"/>
      <c r="E68" s="665"/>
      <c r="F68" s="681" t="s">
        <v>947</v>
      </c>
      <c r="G68" s="822">
        <f>SUBTOTAL(9,G69:G71)</f>
        <v>2.1397857699999998E-2</v>
      </c>
      <c r="H68" s="823">
        <f>SUBTOTAL(9,H69:H71)</f>
        <v>2</v>
      </c>
      <c r="I68" s="626"/>
      <c r="J68" s="752"/>
      <c r="K68" s="416"/>
      <c r="L68" s="665"/>
      <c r="M68" s="665"/>
      <c r="N68" s="665"/>
      <c r="O68" s="665"/>
      <c r="P68" s="665"/>
      <c r="Q68" s="665"/>
      <c r="R68" s="665"/>
      <c r="S68" s="416"/>
      <c r="T68" s="752"/>
      <c r="U68" s="416"/>
      <c r="V68" s="822">
        <f>SUBTOTAL(9,V69:V71)</f>
        <v>0</v>
      </c>
      <c r="W68" s="823">
        <f>SUBTOTAL(9,W69:W71)</f>
        <v>0</v>
      </c>
    </row>
    <row r="69" spans="2:23" outlineLevel="2">
      <c r="B69" s="684" t="s">
        <v>903</v>
      </c>
      <c r="C69" s="684" t="s">
        <v>903</v>
      </c>
      <c r="D69" s="684" t="s">
        <v>441</v>
      </c>
      <c r="E69" s="684"/>
      <c r="F69" s="685" t="s">
        <v>1222</v>
      </c>
      <c r="G69" s="686">
        <f>SUBTOTAL(9,G70:G71)</f>
        <v>2.1397857699999998E-2</v>
      </c>
      <c r="H69" s="691">
        <f>SUBTOTAL(9,H70:H71)</f>
        <v>2</v>
      </c>
      <c r="I69" s="626"/>
      <c r="J69" s="752"/>
      <c r="K69" s="416"/>
      <c r="L69" s="684"/>
      <c r="M69" s="684"/>
      <c r="N69" s="684"/>
      <c r="O69" s="684"/>
      <c r="P69" s="684"/>
      <c r="Q69" s="684"/>
      <c r="R69" s="684"/>
      <c r="S69" s="416"/>
      <c r="T69" s="752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903</v>
      </c>
      <c r="C70" s="376" t="s">
        <v>903</v>
      </c>
      <c r="D70" s="376" t="s">
        <v>441</v>
      </c>
      <c r="E70" s="376" t="s">
        <v>437</v>
      </c>
      <c r="F70" s="608" t="s">
        <v>1218</v>
      </c>
      <c r="G70" s="729">
        <v>2.0842521999999999E-2</v>
      </c>
      <c r="H70" s="692">
        <v>1</v>
      </c>
      <c r="I70" s="626"/>
      <c r="J70" s="752"/>
      <c r="K70" s="416"/>
      <c r="L70" s="376" t="s">
        <v>437</v>
      </c>
      <c r="M70" s="376" t="s">
        <v>966</v>
      </c>
      <c r="N70" s="376" t="s">
        <v>1173</v>
      </c>
      <c r="O70" s="376" t="s">
        <v>1229</v>
      </c>
      <c r="P70" s="376"/>
      <c r="Q70" s="376"/>
      <c r="R70" s="376"/>
      <c r="S70" s="416"/>
      <c r="T70" s="752"/>
      <c r="U70" s="416"/>
      <c r="V70" s="609">
        <f>IF(W70=1,G70,0)</f>
        <v>0</v>
      </c>
      <c r="W70" s="692"/>
    </row>
    <row r="71" spans="2:23" outlineLevel="3">
      <c r="B71" s="376" t="s">
        <v>903</v>
      </c>
      <c r="C71" s="376" t="s">
        <v>903</v>
      </c>
      <c r="D71" s="376" t="s">
        <v>441</v>
      </c>
      <c r="E71" s="376" t="s">
        <v>437</v>
      </c>
      <c r="F71" s="608" t="s">
        <v>1220</v>
      </c>
      <c r="G71" s="729">
        <v>5.5533570000000003E-4</v>
      </c>
      <c r="H71" s="692">
        <v>1</v>
      </c>
      <c r="I71" s="626"/>
      <c r="J71" s="752"/>
      <c r="K71" s="416"/>
      <c r="L71" s="376" t="s">
        <v>437</v>
      </c>
      <c r="M71" s="376" t="s">
        <v>966</v>
      </c>
      <c r="N71" s="376" t="s">
        <v>1173</v>
      </c>
      <c r="O71" s="376" t="s">
        <v>1229</v>
      </c>
      <c r="P71" s="376"/>
      <c r="Q71" s="376"/>
      <c r="R71" s="376"/>
      <c r="S71" s="416"/>
      <c r="T71" s="752"/>
      <c r="U71" s="416"/>
      <c r="V71" s="609">
        <f>IF(W71=1,G71,0)</f>
        <v>0</v>
      </c>
      <c r="W71" s="692"/>
    </row>
    <row r="72" spans="2:23" outlineLevel="1">
      <c r="B72" s="665" t="s">
        <v>502</v>
      </c>
      <c r="C72" s="665" t="s">
        <v>502</v>
      </c>
      <c r="D72" s="665"/>
      <c r="E72" s="665"/>
      <c r="F72" s="681" t="s">
        <v>947</v>
      </c>
      <c r="G72" s="822">
        <f>SUBTOTAL(9,G73:G76)</f>
        <v>3.3020265040000003E-2</v>
      </c>
      <c r="H72" s="823">
        <f>SUBTOTAL(9,H73:H76)</f>
        <v>2</v>
      </c>
      <c r="I72" s="626"/>
      <c r="J72" s="752"/>
      <c r="K72" s="416"/>
      <c r="L72" s="665"/>
      <c r="M72" s="665"/>
      <c r="N72" s="665"/>
      <c r="O72" s="665"/>
      <c r="P72" s="665"/>
      <c r="Q72" s="665"/>
      <c r="R72" s="665"/>
      <c r="S72" s="416"/>
      <c r="T72" s="752"/>
      <c r="U72" s="416"/>
      <c r="V72" s="822">
        <f>SUBTOTAL(9,V73:V76)</f>
        <v>0</v>
      </c>
      <c r="W72" s="823">
        <f>SUBTOTAL(9,W73:W76)</f>
        <v>0</v>
      </c>
    </row>
    <row r="73" spans="2:23" outlineLevel="2">
      <c r="B73" s="684" t="s">
        <v>502</v>
      </c>
      <c r="C73" s="684" t="s">
        <v>502</v>
      </c>
      <c r="D73" s="684" t="s">
        <v>441</v>
      </c>
      <c r="E73" s="684"/>
      <c r="F73" s="685" t="s">
        <v>1230</v>
      </c>
      <c r="G73" s="686">
        <f>SUBTOTAL(9,G74)</f>
        <v>1.7955720160000004E-2</v>
      </c>
      <c r="H73" s="691">
        <f>SUBTOTAL(9,H74)</f>
        <v>1</v>
      </c>
      <c r="I73" s="626"/>
      <c r="J73" s="752"/>
      <c r="K73" s="416"/>
      <c r="L73" s="684"/>
      <c r="M73" s="684"/>
      <c r="N73" s="684"/>
      <c r="O73" s="684"/>
      <c r="P73" s="684"/>
      <c r="Q73" s="684"/>
      <c r="R73" s="684"/>
      <c r="S73" s="416"/>
      <c r="T73" s="752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502</v>
      </c>
      <c r="C74" s="376" t="s">
        <v>502</v>
      </c>
      <c r="D74" s="376" t="s">
        <v>441</v>
      </c>
      <c r="E74" s="376" t="s">
        <v>437</v>
      </c>
      <c r="F74" s="608" t="s">
        <v>36</v>
      </c>
      <c r="G74" s="609">
        <v>1.7955720160000004E-2</v>
      </c>
      <c r="H74" s="692">
        <v>1</v>
      </c>
      <c r="I74" s="626"/>
      <c r="J74" s="752"/>
      <c r="K74" s="416"/>
      <c r="L74" s="376" t="s">
        <v>437</v>
      </c>
      <c r="M74" s="376" t="s">
        <v>1234</v>
      </c>
      <c r="N74" s="376"/>
      <c r="O74" s="376"/>
      <c r="P74" s="376"/>
      <c r="Q74" s="376"/>
      <c r="R74" s="376"/>
      <c r="S74" s="416"/>
      <c r="T74" s="752"/>
      <c r="U74" s="416"/>
      <c r="V74" s="609">
        <f>IF(W74=1,G74,0)</f>
        <v>0</v>
      </c>
      <c r="W74" s="692"/>
    </row>
    <row r="75" spans="2:23" outlineLevel="2">
      <c r="B75" s="684" t="s">
        <v>502</v>
      </c>
      <c r="C75" s="684" t="s">
        <v>502</v>
      </c>
      <c r="D75" s="684" t="s">
        <v>860</v>
      </c>
      <c r="E75" s="684"/>
      <c r="F75" s="685" t="s">
        <v>1230</v>
      </c>
      <c r="G75" s="686">
        <f>SUBTOTAL(9,G76)</f>
        <v>1.5064544879999999E-2</v>
      </c>
      <c r="H75" s="691">
        <f>SUBTOTAL(9,H76)</f>
        <v>1</v>
      </c>
      <c r="I75" s="626"/>
      <c r="J75" s="752"/>
      <c r="K75" s="416"/>
      <c r="L75" s="684"/>
      <c r="M75" s="684"/>
      <c r="N75" s="684"/>
      <c r="O75" s="684"/>
      <c r="P75" s="684"/>
      <c r="Q75" s="684"/>
      <c r="R75" s="684"/>
      <c r="S75" s="416"/>
      <c r="T75" s="752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502</v>
      </c>
      <c r="C76" s="376" t="s">
        <v>502</v>
      </c>
      <c r="D76" s="376" t="s">
        <v>860</v>
      </c>
      <c r="E76" s="376" t="s">
        <v>437</v>
      </c>
      <c r="F76" s="608" t="s">
        <v>36</v>
      </c>
      <c r="G76" s="609">
        <v>1.5064544879999999E-2</v>
      </c>
      <c r="H76" s="692">
        <v>1</v>
      </c>
      <c r="I76" s="626"/>
      <c r="J76" s="752"/>
      <c r="K76" s="416"/>
      <c r="L76" s="376" t="s">
        <v>437</v>
      </c>
      <c r="M76" s="376" t="s">
        <v>1234</v>
      </c>
      <c r="N76" s="376"/>
      <c r="O76" s="376"/>
      <c r="P76" s="376"/>
      <c r="Q76" s="376"/>
      <c r="R76" s="376"/>
      <c r="S76" s="416"/>
      <c r="T76" s="752"/>
      <c r="U76" s="416"/>
      <c r="V76" s="609">
        <f>IF(W76=1,G76,0)</f>
        <v>0</v>
      </c>
      <c r="W76" s="692"/>
    </row>
    <row r="77" spans="2:23" outlineLevel="1">
      <c r="B77" s="665" t="s">
        <v>225</v>
      </c>
      <c r="C77" s="665" t="s">
        <v>1241</v>
      </c>
      <c r="D77" s="665"/>
      <c r="E77" s="665"/>
      <c r="F77" s="681" t="s">
        <v>947</v>
      </c>
      <c r="G77" s="822">
        <f>SUBTOTAL(9,G78:G84)</f>
        <v>4.1700000000000001E-2</v>
      </c>
      <c r="H77" s="823">
        <f>SUBTOTAL(9,H78:H84)</f>
        <v>5</v>
      </c>
      <c r="I77" s="626"/>
      <c r="J77" s="752"/>
      <c r="K77" s="416"/>
      <c r="L77" s="665"/>
      <c r="M77" s="665"/>
      <c r="N77" s="665"/>
      <c r="O77" s="665"/>
      <c r="P77" s="665"/>
      <c r="Q77" s="665"/>
      <c r="R77" s="665"/>
      <c r="S77" s="416"/>
      <c r="T77" s="752"/>
      <c r="U77" s="416"/>
      <c r="V77" s="822">
        <f>SUBTOTAL(9,V78:V84)</f>
        <v>0</v>
      </c>
      <c r="W77" s="823">
        <f>SUBTOTAL(9,W78:W84)</f>
        <v>0</v>
      </c>
    </row>
    <row r="78" spans="2:23" outlineLevel="2">
      <c r="B78" s="684" t="s">
        <v>225</v>
      </c>
      <c r="C78" s="684" t="s">
        <v>1241</v>
      </c>
      <c r="D78" s="684" t="s">
        <v>441</v>
      </c>
      <c r="E78" s="684"/>
      <c r="F78" s="685" t="s">
        <v>1870</v>
      </c>
      <c r="G78" s="686">
        <f>SUBTOTAL(9,G79:G81)</f>
        <v>2.9700000000000001E-2</v>
      </c>
      <c r="H78" s="691">
        <f>SUBTOTAL(9,H79:H80)</f>
        <v>2</v>
      </c>
      <c r="I78" s="626"/>
      <c r="J78" s="752"/>
      <c r="K78" s="416"/>
      <c r="L78" s="684"/>
      <c r="M78" s="684"/>
      <c r="N78" s="684"/>
      <c r="O78" s="684"/>
      <c r="P78" s="684"/>
      <c r="Q78" s="684"/>
      <c r="R78" s="684"/>
      <c r="S78" s="416"/>
      <c r="T78" s="752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225</v>
      </c>
      <c r="C79" s="376" t="s">
        <v>1241</v>
      </c>
      <c r="D79" s="376" t="s">
        <v>441</v>
      </c>
      <c r="E79" s="376" t="s">
        <v>437</v>
      </c>
      <c r="F79" s="608" t="s">
        <v>36</v>
      </c>
      <c r="G79" s="609">
        <v>5.4000000000000003E-3</v>
      </c>
      <c r="H79" s="692">
        <v>1</v>
      </c>
      <c r="I79" s="626"/>
      <c r="J79" s="752"/>
      <c r="K79" s="416"/>
      <c r="L79" s="376" t="s">
        <v>437</v>
      </c>
      <c r="M79" s="376" t="s">
        <v>966</v>
      </c>
      <c r="N79" s="376" t="s">
        <v>967</v>
      </c>
      <c r="O79" s="376" t="s">
        <v>1243</v>
      </c>
      <c r="P79" s="376"/>
      <c r="Q79" s="376"/>
      <c r="R79" s="376"/>
      <c r="S79" s="416"/>
      <c r="T79" s="752"/>
      <c r="U79" s="416"/>
      <c r="V79" s="609">
        <f>IF(W79=1,G79,0)</f>
        <v>0</v>
      </c>
      <c r="W79" s="692"/>
    </row>
    <row r="80" spans="2:23" outlineLevel="3">
      <c r="B80" s="376" t="s">
        <v>225</v>
      </c>
      <c r="C80" s="376" t="s">
        <v>1241</v>
      </c>
      <c r="D80" s="376" t="s">
        <v>441</v>
      </c>
      <c r="E80" s="376" t="s">
        <v>437</v>
      </c>
      <c r="F80" s="608" t="s">
        <v>1238</v>
      </c>
      <c r="G80" s="609">
        <v>5.4000000000000003E-3</v>
      </c>
      <c r="H80" s="692">
        <v>1</v>
      </c>
      <c r="I80" s="626"/>
      <c r="J80" s="752"/>
      <c r="K80" s="416"/>
      <c r="L80" s="376" t="s">
        <v>437</v>
      </c>
      <c r="M80" s="376" t="s">
        <v>966</v>
      </c>
      <c r="N80" s="376" t="s">
        <v>967</v>
      </c>
      <c r="O80" s="376" t="s">
        <v>1243</v>
      </c>
      <c r="P80" s="376"/>
      <c r="Q80" s="376"/>
      <c r="R80" s="376"/>
      <c r="S80" s="416"/>
      <c r="T80" s="752"/>
      <c r="U80" s="416"/>
      <c r="V80" s="609">
        <f>IF(W80=1,G80,0)</f>
        <v>0</v>
      </c>
      <c r="W80" s="692"/>
    </row>
    <row r="81" spans="2:23" outlineLevel="3">
      <c r="B81" s="376" t="s">
        <v>225</v>
      </c>
      <c r="C81" s="376" t="s">
        <v>1241</v>
      </c>
      <c r="D81" s="376" t="s">
        <v>441</v>
      </c>
      <c r="E81" s="376" t="s">
        <v>437</v>
      </c>
      <c r="F81" s="608" t="s">
        <v>1239</v>
      </c>
      <c r="G81" s="609">
        <v>1.89E-2</v>
      </c>
      <c r="H81" s="692">
        <v>1</v>
      </c>
      <c r="I81" s="626"/>
      <c r="J81" s="752"/>
      <c r="K81" s="416"/>
      <c r="L81" s="376" t="s">
        <v>437</v>
      </c>
      <c r="M81" s="376" t="s">
        <v>966</v>
      </c>
      <c r="N81" s="376" t="s">
        <v>967</v>
      </c>
      <c r="O81" s="376" t="s">
        <v>1243</v>
      </c>
      <c r="P81" s="376"/>
      <c r="Q81" s="376"/>
      <c r="R81" s="376"/>
      <c r="S81" s="416"/>
      <c r="T81" s="752"/>
      <c r="U81" s="416"/>
      <c r="V81" s="609">
        <f>IF(W81=1,G81,0)</f>
        <v>0</v>
      </c>
      <c r="W81" s="692"/>
    </row>
    <row r="82" spans="2:23" outlineLevel="2">
      <c r="B82" s="684" t="s">
        <v>225</v>
      </c>
      <c r="C82" s="684" t="s">
        <v>1241</v>
      </c>
      <c r="D82" s="684" t="s">
        <v>860</v>
      </c>
      <c r="E82" s="684"/>
      <c r="F82" s="685" t="s">
        <v>1901</v>
      </c>
      <c r="G82" s="686">
        <f>SUBTOTAL(9,G83:G84)</f>
        <v>1.2E-2</v>
      </c>
      <c r="H82" s="691">
        <f>SUBTOTAL(9,H83:H84)</f>
        <v>2</v>
      </c>
      <c r="I82" s="626"/>
      <c r="J82" s="752"/>
      <c r="K82" s="416"/>
      <c r="L82" s="684"/>
      <c r="M82" s="684"/>
      <c r="N82" s="684"/>
      <c r="O82" s="684"/>
      <c r="P82" s="684"/>
      <c r="Q82" s="684"/>
      <c r="R82" s="684"/>
      <c r="S82" s="416"/>
      <c r="T82" s="752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225</v>
      </c>
      <c r="C83" s="376" t="s">
        <v>1241</v>
      </c>
      <c r="D83" s="376" t="s">
        <v>860</v>
      </c>
      <c r="E83" s="376" t="s">
        <v>437</v>
      </c>
      <c r="F83" s="608" t="s">
        <v>36</v>
      </c>
      <c r="G83" s="609">
        <v>6.0000000000000001E-3</v>
      </c>
      <c r="H83" s="692">
        <v>1</v>
      </c>
      <c r="I83" s="626"/>
      <c r="J83" s="752"/>
      <c r="K83" s="416"/>
      <c r="L83" s="376" t="s">
        <v>437</v>
      </c>
      <c r="M83" s="376" t="s">
        <v>996</v>
      </c>
      <c r="N83" s="376" t="s">
        <v>1244</v>
      </c>
      <c r="O83" s="376"/>
      <c r="P83" s="376"/>
      <c r="Q83" s="376"/>
      <c r="R83" s="376"/>
      <c r="S83" s="416"/>
      <c r="T83" s="752"/>
      <c r="U83" s="416"/>
      <c r="V83" s="609">
        <f>IF(W83=1,G83,0)</f>
        <v>0</v>
      </c>
      <c r="W83" s="692"/>
    </row>
    <row r="84" spans="2:23" outlineLevel="3">
      <c r="B84" s="376" t="s">
        <v>225</v>
      </c>
      <c r="C84" s="376" t="s">
        <v>1241</v>
      </c>
      <c r="D84" s="376" t="s">
        <v>860</v>
      </c>
      <c r="E84" s="376" t="s">
        <v>437</v>
      </c>
      <c r="F84" s="608" t="s">
        <v>1238</v>
      </c>
      <c r="G84" s="609">
        <v>6.0000000000000001E-3</v>
      </c>
      <c r="H84" s="692">
        <v>1</v>
      </c>
      <c r="I84" s="626"/>
      <c r="J84" s="752"/>
      <c r="K84" s="416"/>
      <c r="L84" s="376" t="s">
        <v>437</v>
      </c>
      <c r="M84" s="376" t="s">
        <v>996</v>
      </c>
      <c r="N84" s="376" t="s">
        <v>1244</v>
      </c>
      <c r="O84" s="376"/>
      <c r="P84" s="376"/>
      <c r="Q84" s="376"/>
      <c r="R84" s="376"/>
      <c r="S84" s="416"/>
      <c r="T84" s="752"/>
      <c r="U84" s="416"/>
      <c r="V84" s="609">
        <f>IF(W84=1,G84,0)</f>
        <v>0</v>
      </c>
      <c r="W84" s="692"/>
    </row>
    <row r="85" spans="2:23" outlineLevel="1">
      <c r="B85" s="665" t="s">
        <v>229</v>
      </c>
      <c r="C85" s="665" t="s">
        <v>1245</v>
      </c>
      <c r="D85" s="665"/>
      <c r="E85" s="665"/>
      <c r="F85" s="681" t="s">
        <v>947</v>
      </c>
      <c r="G85" s="822">
        <f>SUBTOTAL(9,G86:G93)</f>
        <v>0.19498500000000002</v>
      </c>
      <c r="H85" s="823">
        <f>SUBTOTAL(9,H86:H93)</f>
        <v>6</v>
      </c>
      <c r="I85" s="626"/>
      <c r="J85" s="752"/>
      <c r="K85" s="416"/>
      <c r="L85" s="665"/>
      <c r="M85" s="665"/>
      <c r="N85" s="665"/>
      <c r="O85" s="665"/>
      <c r="P85" s="665"/>
      <c r="Q85" s="665"/>
      <c r="R85" s="665"/>
      <c r="S85" s="416"/>
      <c r="T85" s="752"/>
      <c r="U85" s="416"/>
      <c r="V85" s="822">
        <f>SUBTOTAL(9,V86:V93)</f>
        <v>0</v>
      </c>
      <c r="W85" s="823">
        <f>SUBTOTAL(9,W86:W93)</f>
        <v>0</v>
      </c>
    </row>
    <row r="86" spans="2:23" outlineLevel="2">
      <c r="B86" s="684" t="s">
        <v>229</v>
      </c>
      <c r="C86" s="684" t="s">
        <v>1245</v>
      </c>
      <c r="D86" s="684" t="s">
        <v>441</v>
      </c>
      <c r="E86" s="684"/>
      <c r="F86" s="685" t="s">
        <v>1022</v>
      </c>
      <c r="G86" s="686">
        <f>SUBTOTAL(9,G87:G90)</f>
        <v>0.1253475</v>
      </c>
      <c r="H86" s="691">
        <f>SUBTOTAL(9,H87:H90)</f>
        <v>4</v>
      </c>
      <c r="I86" s="626"/>
      <c r="J86" s="752"/>
      <c r="K86" s="416"/>
      <c r="L86" s="684"/>
      <c r="M86" s="684"/>
      <c r="N86" s="684"/>
      <c r="O86" s="684"/>
      <c r="P86" s="684"/>
      <c r="Q86" s="684"/>
      <c r="R86" s="684"/>
      <c r="S86" s="416"/>
      <c r="T86" s="752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229</v>
      </c>
      <c r="C87" s="376" t="s">
        <v>1245</v>
      </c>
      <c r="D87" s="376" t="s">
        <v>441</v>
      </c>
      <c r="E87" s="376" t="s">
        <v>437</v>
      </c>
      <c r="F87" s="608" t="s">
        <v>1238</v>
      </c>
      <c r="G87" s="609">
        <v>1.6713000000000002E-2</v>
      </c>
      <c r="H87" s="692">
        <v>1</v>
      </c>
      <c r="I87" s="626"/>
      <c r="J87" s="752"/>
      <c r="K87" s="416"/>
      <c r="L87" s="376" t="s">
        <v>437</v>
      </c>
      <c r="M87" s="376" t="s">
        <v>966</v>
      </c>
      <c r="N87" s="376" t="s">
        <v>1173</v>
      </c>
      <c r="O87" s="376" t="s">
        <v>1248</v>
      </c>
      <c r="P87" s="376"/>
      <c r="Q87" s="376"/>
      <c r="R87" s="376"/>
      <c r="S87" s="416"/>
      <c r="T87" s="752"/>
      <c r="U87" s="416"/>
      <c r="V87" s="609">
        <f>IF(W87=1,G87,0)</f>
        <v>0</v>
      </c>
      <c r="W87" s="692"/>
    </row>
    <row r="88" spans="2:23" outlineLevel="3">
      <c r="B88" s="376" t="s">
        <v>229</v>
      </c>
      <c r="C88" s="376" t="s">
        <v>1245</v>
      </c>
      <c r="D88" s="376" t="s">
        <v>441</v>
      </c>
      <c r="E88" s="376" t="s">
        <v>437</v>
      </c>
      <c r="F88" s="608" t="s">
        <v>1239</v>
      </c>
      <c r="G88" s="609">
        <v>5.8495499999999999E-2</v>
      </c>
      <c r="H88" s="692">
        <v>1</v>
      </c>
      <c r="I88" s="626"/>
      <c r="J88" s="752"/>
      <c r="K88" s="416"/>
      <c r="L88" s="376" t="s">
        <v>437</v>
      </c>
      <c r="M88" s="376" t="s">
        <v>966</v>
      </c>
      <c r="N88" s="376" t="s">
        <v>1173</v>
      </c>
      <c r="O88" s="376" t="s">
        <v>1248</v>
      </c>
      <c r="P88" s="376"/>
      <c r="Q88" s="376"/>
      <c r="R88" s="376"/>
      <c r="S88" s="416"/>
      <c r="T88" s="752"/>
      <c r="U88" s="416"/>
      <c r="V88" s="609">
        <f>IF(W88=1,G88,0)</f>
        <v>0</v>
      </c>
      <c r="W88" s="692"/>
    </row>
    <row r="89" spans="2:23" outlineLevel="3">
      <c r="B89" s="376" t="s">
        <v>229</v>
      </c>
      <c r="C89" s="376" t="s">
        <v>1245</v>
      </c>
      <c r="D89" s="376" t="s">
        <v>441</v>
      </c>
      <c r="E89" s="376" t="s">
        <v>437</v>
      </c>
      <c r="F89" s="608" t="s">
        <v>1246</v>
      </c>
      <c r="G89" s="609">
        <v>2.5069499999999998E-2</v>
      </c>
      <c r="H89" s="692">
        <v>1</v>
      </c>
      <c r="I89" s="626"/>
      <c r="J89" s="752"/>
      <c r="K89" s="416"/>
      <c r="L89" s="376" t="s">
        <v>437</v>
      </c>
      <c r="M89" s="376" t="s">
        <v>966</v>
      </c>
      <c r="N89" s="376" t="s">
        <v>1173</v>
      </c>
      <c r="O89" s="376" t="s">
        <v>1248</v>
      </c>
      <c r="P89" s="376"/>
      <c r="Q89" s="376"/>
      <c r="R89" s="376"/>
      <c r="S89" s="416"/>
      <c r="T89" s="752"/>
      <c r="U89" s="416"/>
      <c r="V89" s="609">
        <f>IF(W89=1,G89,0)</f>
        <v>0</v>
      </c>
      <c r="W89" s="692"/>
    </row>
    <row r="90" spans="2:23" outlineLevel="3">
      <c r="B90" s="376" t="s">
        <v>229</v>
      </c>
      <c r="C90" s="376" t="s">
        <v>1245</v>
      </c>
      <c r="D90" s="376" t="s">
        <v>441</v>
      </c>
      <c r="E90" s="376" t="s">
        <v>437</v>
      </c>
      <c r="F90" s="608" t="s">
        <v>1247</v>
      </c>
      <c r="G90" s="609">
        <v>2.5069499999999998E-2</v>
      </c>
      <c r="H90" s="692">
        <v>1</v>
      </c>
      <c r="I90" s="626"/>
      <c r="J90" s="752"/>
      <c r="K90" s="416"/>
      <c r="L90" s="376" t="s">
        <v>437</v>
      </c>
      <c r="M90" s="376" t="s">
        <v>966</v>
      </c>
      <c r="N90" s="376" t="s">
        <v>1173</v>
      </c>
      <c r="O90" s="376" t="s">
        <v>1248</v>
      </c>
      <c r="P90" s="376"/>
      <c r="Q90" s="376"/>
      <c r="R90" s="376"/>
      <c r="S90" s="416"/>
      <c r="T90" s="752"/>
      <c r="U90" s="416"/>
      <c r="V90" s="609">
        <f>IF(W90=1,G90,0)</f>
        <v>0</v>
      </c>
      <c r="W90" s="692"/>
    </row>
    <row r="91" spans="2:23" outlineLevel="2">
      <c r="B91" s="684" t="s">
        <v>229</v>
      </c>
      <c r="C91" s="684" t="s">
        <v>1245</v>
      </c>
      <c r="D91" s="684" t="s">
        <v>860</v>
      </c>
      <c r="E91" s="684"/>
      <c r="F91" s="685" t="s">
        <v>1022</v>
      </c>
      <c r="G91" s="686">
        <f>SUBTOTAL(9,G92:G93)</f>
        <v>6.9637500000000005E-2</v>
      </c>
      <c r="H91" s="691">
        <f>SUBTOTAL(9,H92:H93)</f>
        <v>2</v>
      </c>
      <c r="I91" s="626"/>
      <c r="J91" s="752"/>
      <c r="K91" s="416"/>
      <c r="L91" s="684"/>
      <c r="M91" s="684"/>
      <c r="N91" s="684"/>
      <c r="O91" s="684"/>
      <c r="P91" s="684"/>
      <c r="Q91" s="684"/>
      <c r="R91" s="684"/>
      <c r="S91" s="416"/>
      <c r="T91" s="752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229</v>
      </c>
      <c r="C92" s="376" t="s">
        <v>1245</v>
      </c>
      <c r="D92" s="376" t="s">
        <v>860</v>
      </c>
      <c r="E92" s="376" t="s">
        <v>437</v>
      </c>
      <c r="F92" s="608" t="s">
        <v>1238</v>
      </c>
      <c r="G92" s="609">
        <v>1.857E-2</v>
      </c>
      <c r="H92" s="692">
        <v>1</v>
      </c>
      <c r="I92" s="626"/>
      <c r="J92" s="752"/>
      <c r="K92" s="416"/>
      <c r="L92" s="376" t="s">
        <v>437</v>
      </c>
      <c r="M92" s="376" t="s">
        <v>996</v>
      </c>
      <c r="N92" s="376" t="s">
        <v>1244</v>
      </c>
      <c r="O92" s="376" t="s">
        <v>1249</v>
      </c>
      <c r="P92" s="376"/>
      <c r="Q92" s="376"/>
      <c r="R92" s="376"/>
      <c r="S92" s="416"/>
      <c r="T92" s="752"/>
      <c r="U92" s="416"/>
      <c r="V92" s="609">
        <f>IF(W92=1,G92,0)</f>
        <v>0</v>
      </c>
      <c r="W92" s="692"/>
    </row>
    <row r="93" spans="2:23" outlineLevel="3">
      <c r="B93" s="376" t="s">
        <v>229</v>
      </c>
      <c r="C93" s="376" t="s">
        <v>1245</v>
      </c>
      <c r="D93" s="376" t="s">
        <v>860</v>
      </c>
      <c r="E93" s="376" t="s">
        <v>437</v>
      </c>
      <c r="F93" s="608" t="s">
        <v>1246</v>
      </c>
      <c r="G93" s="609">
        <v>5.1067500000000002E-2</v>
      </c>
      <c r="H93" s="692">
        <v>1</v>
      </c>
      <c r="I93" s="626"/>
      <c r="J93" s="752"/>
      <c r="K93" s="416"/>
      <c r="L93" s="376" t="s">
        <v>437</v>
      </c>
      <c r="M93" s="376" t="s">
        <v>996</v>
      </c>
      <c r="N93" s="376" t="s">
        <v>1244</v>
      </c>
      <c r="O93" s="376" t="s">
        <v>1249</v>
      </c>
      <c r="P93" s="376"/>
      <c r="Q93" s="376"/>
      <c r="R93" s="376"/>
      <c r="S93" s="416"/>
      <c r="T93" s="752"/>
      <c r="U93" s="416"/>
      <c r="V93" s="609">
        <f>IF(W93=1,G93,0)</f>
        <v>0</v>
      </c>
      <c r="W93" s="692"/>
    </row>
    <row r="94" spans="2:23" outlineLevel="1">
      <c r="B94" s="665" t="s">
        <v>918</v>
      </c>
      <c r="C94" s="665" t="s">
        <v>1250</v>
      </c>
      <c r="D94" s="665"/>
      <c r="E94" s="665"/>
      <c r="F94" s="681" t="s">
        <v>947</v>
      </c>
      <c r="G94" s="822">
        <f>SUBTOTAL(9,G95:G96)</f>
        <v>1.13E-4</v>
      </c>
      <c r="H94" s="823">
        <f>SUBTOTAL(9,H95:H96)</f>
        <v>1</v>
      </c>
      <c r="I94" s="626"/>
      <c r="J94" s="752"/>
      <c r="K94" s="416"/>
      <c r="L94" s="665"/>
      <c r="M94" s="665"/>
      <c r="N94" s="665"/>
      <c r="O94" s="665"/>
      <c r="P94" s="665"/>
      <c r="Q94" s="665"/>
      <c r="R94" s="665"/>
      <c r="S94" s="416"/>
      <c r="T94" s="752"/>
      <c r="U94" s="416"/>
      <c r="V94" s="822">
        <f>SUBTOTAL(9,V95:V96)</f>
        <v>0</v>
      </c>
      <c r="W94" s="823">
        <f>SUBTOTAL(9,W95:W96)</f>
        <v>0</v>
      </c>
    </row>
    <row r="95" spans="2:23" outlineLevel="2">
      <c r="B95" s="684" t="s">
        <v>918</v>
      </c>
      <c r="C95" s="684" t="s">
        <v>1250</v>
      </c>
      <c r="D95" s="684" t="s">
        <v>860</v>
      </c>
      <c r="E95" s="684"/>
      <c r="F95" s="685" t="s">
        <v>1251</v>
      </c>
      <c r="G95" s="686">
        <f>SUBTOTAL(9,G96)</f>
        <v>1.13E-4</v>
      </c>
      <c r="H95" s="691">
        <f>SUBTOTAL(9,H96)</f>
        <v>1</v>
      </c>
      <c r="I95" s="626"/>
      <c r="J95" s="752"/>
      <c r="K95" s="416"/>
      <c r="L95" s="684"/>
      <c r="M95" s="684"/>
      <c r="N95" s="684"/>
      <c r="O95" s="684"/>
      <c r="P95" s="684"/>
      <c r="Q95" s="684"/>
      <c r="R95" s="684"/>
      <c r="S95" s="416"/>
      <c r="T95" s="752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918</v>
      </c>
      <c r="C96" s="376" t="s">
        <v>1250</v>
      </c>
      <c r="D96" s="376" t="s">
        <v>860</v>
      </c>
      <c r="E96" s="376" t="s">
        <v>437</v>
      </c>
      <c r="F96" s="608" t="s">
        <v>1256</v>
      </c>
      <c r="G96" s="609">
        <v>1.13E-4</v>
      </c>
      <c r="H96" s="692">
        <v>1</v>
      </c>
      <c r="I96" s="626"/>
      <c r="J96" s="752"/>
      <c r="K96" s="416"/>
      <c r="L96" s="376" t="s">
        <v>437</v>
      </c>
      <c r="M96" s="376" t="s">
        <v>996</v>
      </c>
      <c r="N96" s="376" t="s">
        <v>1249</v>
      </c>
      <c r="O96" s="376"/>
      <c r="P96" s="376"/>
      <c r="Q96" s="376"/>
      <c r="R96" s="376"/>
      <c r="S96" s="416"/>
      <c r="T96" s="752"/>
      <c r="U96" s="416"/>
      <c r="V96" s="609">
        <f>IF(W96=1,G96,0)</f>
        <v>0</v>
      </c>
      <c r="W96" s="692"/>
    </row>
    <row r="97" spans="1:23" outlineLevel="1">
      <c r="A97" s="376"/>
      <c r="B97" s="665" t="s">
        <v>498</v>
      </c>
      <c r="C97" s="665" t="s">
        <v>1258</v>
      </c>
      <c r="D97" s="665"/>
      <c r="E97" s="665"/>
      <c r="F97" s="681" t="s">
        <v>947</v>
      </c>
      <c r="G97" s="822">
        <f>SUBTOTAL(9,G98:G101)</f>
        <v>4.1481945120000002E-2</v>
      </c>
      <c r="H97" s="823">
        <f>SUBTOTAL(9,H98:H101)</f>
        <v>2</v>
      </c>
      <c r="I97" s="626"/>
      <c r="J97" s="752"/>
      <c r="K97" s="416"/>
      <c r="L97" s="665"/>
      <c r="M97" s="665"/>
      <c r="N97" s="665"/>
      <c r="O97" s="665"/>
      <c r="P97" s="665"/>
      <c r="Q97" s="665"/>
      <c r="R97" s="665"/>
      <c r="S97" s="416"/>
      <c r="T97" s="752"/>
      <c r="U97" s="416"/>
      <c r="V97" s="822">
        <f>SUBTOTAL(9,V98:V101)</f>
        <v>0</v>
      </c>
      <c r="W97" s="823">
        <f>SUBTOTAL(9,W98:W101)</f>
        <v>0</v>
      </c>
    </row>
    <row r="98" spans="1:23" outlineLevel="2">
      <c r="A98" s="376"/>
      <c r="B98" s="684" t="s">
        <v>498</v>
      </c>
      <c r="C98" s="684" t="s">
        <v>1258</v>
      </c>
      <c r="D98" s="684" t="s">
        <v>441</v>
      </c>
      <c r="E98" s="684"/>
      <c r="F98" s="685" t="s">
        <v>1259</v>
      </c>
      <c r="G98" s="686">
        <f>SUBTOTAL(9,G99)</f>
        <v>2.2626515519999998E-2</v>
      </c>
      <c r="H98" s="691">
        <f>SUBTOTAL(9,H99)</f>
        <v>1</v>
      </c>
      <c r="I98" s="626"/>
      <c r="J98" s="752"/>
      <c r="K98" s="416"/>
      <c r="L98" s="684"/>
      <c r="M98" s="684"/>
      <c r="N98" s="684"/>
      <c r="O98" s="684"/>
      <c r="P98" s="684"/>
      <c r="Q98" s="684"/>
      <c r="R98" s="684"/>
      <c r="S98" s="416"/>
      <c r="T98" s="752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498</v>
      </c>
      <c r="C99" s="376" t="s">
        <v>1258</v>
      </c>
      <c r="D99" s="376" t="s">
        <v>441</v>
      </c>
      <c r="E99" s="376" t="s">
        <v>437</v>
      </c>
      <c r="F99" s="608" t="s">
        <v>36</v>
      </c>
      <c r="G99" s="609">
        <v>2.2626515519999998E-2</v>
      </c>
      <c r="H99" s="692">
        <v>1</v>
      </c>
      <c r="I99" s="626"/>
      <c r="J99" s="752"/>
      <c r="K99" s="416"/>
      <c r="L99" s="376" t="s">
        <v>437</v>
      </c>
      <c r="M99" s="376" t="s">
        <v>1234</v>
      </c>
      <c r="N99" s="376"/>
      <c r="O99" s="376"/>
      <c r="P99" s="376"/>
      <c r="Q99" s="376"/>
      <c r="R99" s="376"/>
      <c r="S99" s="416"/>
      <c r="T99" s="752"/>
      <c r="U99" s="416"/>
      <c r="V99" s="609">
        <f>IF(W99=1,G99,0)</f>
        <v>0</v>
      </c>
      <c r="W99" s="692"/>
    </row>
    <row r="100" spans="1:23" outlineLevel="2">
      <c r="A100" s="376"/>
      <c r="B100" s="684" t="s">
        <v>498</v>
      </c>
      <c r="C100" s="684" t="s">
        <v>1258</v>
      </c>
      <c r="D100" s="684" t="s">
        <v>860</v>
      </c>
      <c r="E100" s="684"/>
      <c r="F100" s="685" t="s">
        <v>1259</v>
      </c>
      <c r="G100" s="686">
        <f>SUBTOTAL(9,G101)</f>
        <v>1.8855429600000001E-2</v>
      </c>
      <c r="H100" s="691">
        <f>SUBTOTAL(9,H101)</f>
        <v>1</v>
      </c>
      <c r="I100" s="626"/>
      <c r="J100" s="752"/>
      <c r="K100" s="416"/>
      <c r="L100" s="684"/>
      <c r="M100" s="684"/>
      <c r="N100" s="684"/>
      <c r="O100" s="684"/>
      <c r="P100" s="684"/>
      <c r="Q100" s="684"/>
      <c r="R100" s="684"/>
      <c r="S100" s="416"/>
      <c r="T100" s="752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498</v>
      </c>
      <c r="C101" s="376" t="s">
        <v>1258</v>
      </c>
      <c r="D101" s="376" t="s">
        <v>860</v>
      </c>
      <c r="E101" s="376" t="s">
        <v>437</v>
      </c>
      <c r="F101" s="608" t="s">
        <v>36</v>
      </c>
      <c r="G101" s="609">
        <v>1.8855429600000001E-2</v>
      </c>
      <c r="H101" s="692">
        <v>1</v>
      </c>
      <c r="I101" s="626"/>
      <c r="J101" s="752"/>
      <c r="K101" s="416"/>
      <c r="L101" s="376" t="s">
        <v>437</v>
      </c>
      <c r="M101" s="376" t="s">
        <v>1234</v>
      </c>
      <c r="N101" s="376"/>
      <c r="O101" s="376"/>
      <c r="P101" s="376"/>
      <c r="Q101" s="376"/>
      <c r="R101" s="376"/>
      <c r="S101" s="416"/>
      <c r="T101" s="752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2"/>
      <c r="K102" s="416"/>
      <c r="L102" s="392"/>
      <c r="M102" s="392"/>
      <c r="N102" s="392"/>
      <c r="O102" s="392"/>
      <c r="P102" s="392"/>
      <c r="Q102" s="392"/>
      <c r="R102" s="392"/>
      <c r="S102" s="416"/>
      <c r="T102" s="752"/>
      <c r="U102" s="416"/>
      <c r="V102" s="609"/>
      <c r="W102" s="692"/>
    </row>
    <row r="103" spans="1:23" ht="15">
      <c r="A103" s="376"/>
      <c r="B103" s="430" t="s">
        <v>1285</v>
      </c>
      <c r="C103" s="430"/>
      <c r="D103" s="430"/>
      <c r="E103" s="430"/>
      <c r="F103" s="697"/>
      <c r="G103" s="739">
        <f>SUBTOTAL(9,G114:G262)</f>
        <v>21.398604354045709</v>
      </c>
      <c r="H103" s="740">
        <f>SUBTOTAL(9,H114:H262)</f>
        <v>97</v>
      </c>
      <c r="I103" s="626"/>
      <c r="J103" s="752"/>
      <c r="K103" s="416"/>
      <c r="L103" s="430"/>
      <c r="M103" s="430"/>
      <c r="N103" s="430"/>
      <c r="O103" s="430"/>
      <c r="P103" s="430"/>
      <c r="Q103" s="430"/>
      <c r="R103" s="430"/>
      <c r="S103" s="416"/>
      <c r="T103" s="752"/>
      <c r="U103" s="416"/>
      <c r="V103" s="739">
        <f>SUBTOTAL(9,V114:V262)</f>
        <v>0</v>
      </c>
      <c r="W103" s="740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2"/>
      <c r="K104" s="416"/>
      <c r="L104" s="376"/>
      <c r="M104" s="376"/>
      <c r="N104" s="376"/>
      <c r="O104" s="376"/>
      <c r="P104" s="376"/>
      <c r="Q104" s="376"/>
      <c r="R104" s="376"/>
      <c r="S104" s="416"/>
      <c r="T104" s="752"/>
      <c r="U104" s="416"/>
      <c r="V104" s="609"/>
      <c r="W104" s="692"/>
    </row>
    <row r="105" spans="1:23" outlineLevel="1">
      <c r="A105" s="376"/>
      <c r="B105" s="666" t="s">
        <v>1446</v>
      </c>
      <c r="C105" s="666" t="s">
        <v>1446</v>
      </c>
      <c r="D105" s="667"/>
      <c r="E105" s="665"/>
      <c r="F105" s="681" t="s">
        <v>947</v>
      </c>
      <c r="G105" s="708">
        <f>SUBTOTAL(9,G106:G111)</f>
        <v>0</v>
      </c>
      <c r="H105" s="709">
        <f>SUBTOTAL(9,H106:H111)</f>
        <v>3</v>
      </c>
      <c r="I105" s="626"/>
      <c r="J105" s="752"/>
      <c r="K105" s="416"/>
      <c r="L105" s="665"/>
      <c r="M105" s="665"/>
      <c r="N105" s="665"/>
      <c r="O105" s="665"/>
      <c r="P105" s="665"/>
      <c r="Q105" s="665"/>
      <c r="R105" s="665"/>
      <c r="S105" s="416"/>
      <c r="T105" s="752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1446</v>
      </c>
      <c r="C106" s="687" t="s">
        <v>1446</v>
      </c>
      <c r="D106" s="684" t="s">
        <v>441</v>
      </c>
      <c r="E106" s="684"/>
      <c r="F106" s="685" t="s">
        <v>1871</v>
      </c>
      <c r="G106" s="686">
        <f>SUBTOTAL(9,G107)</f>
        <v>0</v>
      </c>
      <c r="H106" s="691">
        <f>SUBTOTAL(9,H107:H109)</f>
        <v>2</v>
      </c>
      <c r="I106" s="626"/>
      <c r="J106" s="752"/>
      <c r="K106" s="416"/>
      <c r="L106" s="684"/>
      <c r="M106" s="684"/>
      <c r="N106" s="684"/>
      <c r="O106" s="684"/>
      <c r="P106" s="684"/>
      <c r="Q106" s="684"/>
      <c r="R106" s="684"/>
      <c r="S106" s="416"/>
      <c r="T106" s="752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1446</v>
      </c>
      <c r="C107" s="387" t="s">
        <v>1446</v>
      </c>
      <c r="D107" s="376" t="s">
        <v>441</v>
      </c>
      <c r="E107" s="376" t="s">
        <v>437</v>
      </c>
      <c r="F107" s="608" t="s">
        <v>36</v>
      </c>
      <c r="G107" s="609"/>
      <c r="H107" s="692">
        <v>1</v>
      </c>
      <c r="I107" s="626"/>
      <c r="J107" s="752"/>
      <c r="K107" s="416"/>
      <c r="L107" s="376" t="s">
        <v>437</v>
      </c>
      <c r="M107" s="376" t="s">
        <v>966</v>
      </c>
      <c r="N107" s="376"/>
      <c r="O107" s="376"/>
      <c r="P107" s="376"/>
      <c r="Q107" s="376"/>
      <c r="R107" s="376"/>
      <c r="S107" s="416"/>
      <c r="T107" s="752"/>
      <c r="U107" s="416"/>
      <c r="V107" s="609">
        <f>IF(W107=1,G107,0)</f>
        <v>0</v>
      </c>
      <c r="W107" s="692"/>
    </row>
    <row r="108" spans="1:23" outlineLevel="3">
      <c r="A108" s="376"/>
      <c r="B108" s="376" t="s">
        <v>1446</v>
      </c>
      <c r="C108" s="387" t="s">
        <v>1446</v>
      </c>
      <c r="D108" s="376" t="s">
        <v>441</v>
      </c>
      <c r="E108" s="376" t="s">
        <v>437</v>
      </c>
      <c r="F108" s="608" t="s">
        <v>1885</v>
      </c>
      <c r="G108" s="609"/>
      <c r="H108" s="692"/>
      <c r="I108" s="626"/>
      <c r="J108" s="752"/>
      <c r="K108" s="416"/>
      <c r="L108" s="376" t="s">
        <v>437</v>
      </c>
      <c r="M108" s="376" t="s">
        <v>966</v>
      </c>
      <c r="N108" s="376"/>
      <c r="O108" s="376"/>
      <c r="P108" s="376"/>
      <c r="Q108" s="376"/>
      <c r="R108" s="376"/>
      <c r="S108" s="416"/>
      <c r="T108" s="752"/>
      <c r="U108" s="416"/>
      <c r="V108" s="609"/>
      <c r="W108" s="692"/>
    </row>
    <row r="109" spans="1:23" outlineLevel="3">
      <c r="A109" s="376"/>
      <c r="B109" s="376" t="s">
        <v>1446</v>
      </c>
      <c r="C109" s="387" t="s">
        <v>1446</v>
      </c>
      <c r="D109" s="376" t="s">
        <v>441</v>
      </c>
      <c r="E109" s="376" t="s">
        <v>437</v>
      </c>
      <c r="F109" s="608" t="s">
        <v>208</v>
      </c>
      <c r="G109" s="609"/>
      <c r="H109" s="692">
        <v>1</v>
      </c>
      <c r="I109" s="626"/>
      <c r="J109" s="752"/>
      <c r="K109" s="416"/>
      <c r="L109" s="376" t="s">
        <v>437</v>
      </c>
      <c r="M109" s="376" t="s">
        <v>966</v>
      </c>
      <c r="N109" s="376"/>
      <c r="O109" s="376"/>
      <c r="P109" s="376"/>
      <c r="Q109" s="376"/>
      <c r="R109" s="376"/>
      <c r="S109" s="416"/>
      <c r="T109" s="752"/>
      <c r="U109" s="416"/>
      <c r="V109" s="609">
        <f>IF(W109=1,G109,0)</f>
        <v>0</v>
      </c>
      <c r="W109" s="692"/>
    </row>
    <row r="110" spans="1:23" outlineLevel="2">
      <c r="A110" s="376"/>
      <c r="B110" s="684" t="s">
        <v>1446</v>
      </c>
      <c r="C110" s="687" t="s">
        <v>1446</v>
      </c>
      <c r="D110" s="684" t="s">
        <v>860</v>
      </c>
      <c r="E110" s="684"/>
      <c r="F110" s="685" t="s">
        <v>1871</v>
      </c>
      <c r="G110" s="686">
        <f>SUBTOTAL(9,G111)</f>
        <v>0</v>
      </c>
      <c r="H110" s="691">
        <f>SUBTOTAL(9,H111:H113)</f>
        <v>2</v>
      </c>
      <c r="I110" s="626"/>
      <c r="J110" s="752"/>
      <c r="K110" s="416"/>
      <c r="L110" s="684"/>
      <c r="M110" s="684"/>
      <c r="N110" s="684"/>
      <c r="O110" s="684"/>
      <c r="P110" s="684"/>
      <c r="Q110" s="684"/>
      <c r="R110" s="684"/>
      <c r="S110" s="416"/>
      <c r="T110" s="752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1446</v>
      </c>
      <c r="C111" s="387" t="s">
        <v>1446</v>
      </c>
      <c r="D111" s="376" t="s">
        <v>860</v>
      </c>
      <c r="E111" s="376" t="s">
        <v>437</v>
      </c>
      <c r="F111" s="608" t="s">
        <v>36</v>
      </c>
      <c r="G111" s="609"/>
      <c r="H111" s="770">
        <v>1</v>
      </c>
      <c r="I111" s="626"/>
      <c r="J111" s="752"/>
      <c r="K111" s="416"/>
      <c r="L111" s="376" t="s">
        <v>437</v>
      </c>
      <c r="M111" s="376" t="s">
        <v>996</v>
      </c>
      <c r="N111" s="376"/>
      <c r="O111" s="376"/>
      <c r="P111" s="376"/>
      <c r="Q111" s="376"/>
      <c r="R111" s="376"/>
      <c r="S111" s="416"/>
      <c r="T111" s="752"/>
      <c r="U111" s="416"/>
      <c r="V111" s="609">
        <f>IF(W111=1,G111,0)</f>
        <v>0</v>
      </c>
      <c r="W111" s="609"/>
    </row>
    <row r="112" spans="1:23" outlineLevel="3">
      <c r="A112" s="376"/>
      <c r="B112" s="376" t="s">
        <v>1446</v>
      </c>
      <c r="C112" s="387" t="s">
        <v>1446</v>
      </c>
      <c r="D112" s="376" t="s">
        <v>860</v>
      </c>
      <c r="E112" s="376" t="s">
        <v>437</v>
      </c>
      <c r="F112" s="608" t="s">
        <v>1885</v>
      </c>
      <c r="G112" s="609"/>
      <c r="H112" s="770"/>
      <c r="I112" s="626"/>
      <c r="J112" s="752"/>
      <c r="K112" s="416"/>
      <c r="L112" s="376" t="s">
        <v>437</v>
      </c>
      <c r="M112" s="376" t="s">
        <v>996</v>
      </c>
      <c r="N112" s="376"/>
      <c r="O112" s="376"/>
      <c r="P112" s="376"/>
      <c r="Q112" s="376"/>
      <c r="R112" s="376"/>
      <c r="S112" s="416"/>
      <c r="T112" s="752"/>
      <c r="U112" s="416"/>
      <c r="V112" s="609"/>
      <c r="W112" s="609"/>
    </row>
    <row r="113" spans="1:23" outlineLevel="3">
      <c r="A113" s="376"/>
      <c r="B113" s="376" t="s">
        <v>1446</v>
      </c>
      <c r="C113" s="387" t="s">
        <v>1446</v>
      </c>
      <c r="D113" s="376" t="s">
        <v>860</v>
      </c>
      <c r="E113" s="376" t="s">
        <v>437</v>
      </c>
      <c r="F113" s="608" t="s">
        <v>208</v>
      </c>
      <c r="G113" s="609"/>
      <c r="H113" s="692">
        <v>1</v>
      </c>
      <c r="I113" s="626"/>
      <c r="J113" s="752"/>
      <c r="K113" s="416"/>
      <c r="L113" s="376" t="s">
        <v>437</v>
      </c>
      <c r="M113" s="376" t="s">
        <v>996</v>
      </c>
      <c r="N113" s="376"/>
      <c r="O113" s="376"/>
      <c r="P113" s="376"/>
      <c r="Q113" s="376"/>
      <c r="R113" s="376"/>
      <c r="S113" s="416"/>
      <c r="T113" s="752"/>
      <c r="U113" s="416"/>
      <c r="V113" s="609">
        <f>IF(W113=1,G113,0)</f>
        <v>0</v>
      </c>
      <c r="W113" s="692"/>
    </row>
    <row r="114" spans="1:23" outlineLevel="1">
      <c r="A114" s="376"/>
      <c r="B114" s="665" t="s">
        <v>902</v>
      </c>
      <c r="C114" s="665" t="s">
        <v>1018</v>
      </c>
      <c r="D114" s="665"/>
      <c r="E114" s="665"/>
      <c r="F114" s="681" t="s">
        <v>947</v>
      </c>
      <c r="G114" s="708">
        <f>SUBTOTAL(9,G115:G120)</f>
        <v>0.16686000000000001</v>
      </c>
      <c r="H114" s="709">
        <f>SUBTOTAL(9,H115:H120)</f>
        <v>4</v>
      </c>
      <c r="I114" s="626"/>
      <c r="J114" s="752"/>
      <c r="K114" s="416"/>
      <c r="L114" s="665"/>
      <c r="M114" s="665"/>
      <c r="N114" s="665"/>
      <c r="O114" s="665"/>
      <c r="P114" s="665"/>
      <c r="Q114" s="665"/>
      <c r="R114" s="665"/>
      <c r="S114" s="416"/>
      <c r="T114" s="752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902</v>
      </c>
      <c r="C115" s="684" t="s">
        <v>1018</v>
      </c>
      <c r="D115" s="684" t="s">
        <v>441</v>
      </c>
      <c r="E115" s="684"/>
      <c r="F115" s="685" t="s">
        <v>1871</v>
      </c>
      <c r="G115" s="686">
        <f>SUBTOTAL(9,G116:G117)</f>
        <v>9.5579999999999998E-2</v>
      </c>
      <c r="H115" s="691">
        <f>SUBTOTAL(9,H116:H117)</f>
        <v>2</v>
      </c>
      <c r="I115" s="626"/>
      <c r="J115" s="752"/>
      <c r="K115" s="416"/>
      <c r="L115" s="684"/>
      <c r="M115" s="684"/>
      <c r="N115" s="684"/>
      <c r="O115" s="684"/>
      <c r="P115" s="684"/>
      <c r="Q115" s="684"/>
      <c r="R115" s="684"/>
      <c r="S115" s="416"/>
      <c r="T115" s="752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902</v>
      </c>
      <c r="C116" s="376" t="s">
        <v>1018</v>
      </c>
      <c r="D116" s="376" t="s">
        <v>441</v>
      </c>
      <c r="E116" s="376" t="s">
        <v>437</v>
      </c>
      <c r="F116" s="608" t="s">
        <v>36</v>
      </c>
      <c r="G116" s="609">
        <v>6.3719999999999999E-2</v>
      </c>
      <c r="H116" s="692">
        <v>1</v>
      </c>
      <c r="I116" s="626"/>
      <c r="J116" s="752"/>
      <c r="K116" s="416"/>
      <c r="L116" s="376" t="s">
        <v>437</v>
      </c>
      <c r="M116" s="376" t="s">
        <v>966</v>
      </c>
      <c r="N116" s="376" t="s">
        <v>967</v>
      </c>
      <c r="O116" s="376" t="s">
        <v>1289</v>
      </c>
      <c r="P116" s="376"/>
      <c r="Q116" s="376"/>
      <c r="R116" s="376"/>
      <c r="S116" s="416"/>
      <c r="T116" s="752"/>
      <c r="U116" s="416"/>
      <c r="V116" s="609">
        <f>IF(W116=1,G116,0)</f>
        <v>0</v>
      </c>
      <c r="W116" s="692"/>
    </row>
    <row r="117" spans="1:23" outlineLevel="4">
      <c r="A117" s="376"/>
      <c r="B117" s="376" t="s">
        <v>902</v>
      </c>
      <c r="C117" s="376" t="s">
        <v>1018</v>
      </c>
      <c r="D117" s="376" t="s">
        <v>441</v>
      </c>
      <c r="E117" s="376" t="s">
        <v>437</v>
      </c>
      <c r="F117" s="608" t="s">
        <v>208</v>
      </c>
      <c r="G117" s="609">
        <v>3.1859999999999999E-2</v>
      </c>
      <c r="H117" s="692">
        <v>1</v>
      </c>
      <c r="I117" s="626"/>
      <c r="J117" s="752"/>
      <c r="K117" s="416"/>
      <c r="L117" s="376" t="s">
        <v>437</v>
      </c>
      <c r="M117" s="376" t="s">
        <v>966</v>
      </c>
      <c r="N117" s="376" t="s">
        <v>967</v>
      </c>
      <c r="O117" s="376" t="s">
        <v>1289</v>
      </c>
      <c r="P117" s="376"/>
      <c r="Q117" s="376"/>
      <c r="R117" s="376"/>
      <c r="S117" s="416"/>
      <c r="T117" s="752"/>
      <c r="U117" s="416"/>
      <c r="V117" s="609">
        <f>IF(W117=1,G117,0)</f>
        <v>0</v>
      </c>
      <c r="W117" s="692"/>
    </row>
    <row r="118" spans="1:23" outlineLevel="2">
      <c r="A118" s="376"/>
      <c r="B118" s="684" t="s">
        <v>902</v>
      </c>
      <c r="C118" s="684" t="s">
        <v>1018</v>
      </c>
      <c r="D118" s="684" t="s">
        <v>860</v>
      </c>
      <c r="E118" s="684"/>
      <c r="F118" s="685" t="s">
        <v>1871</v>
      </c>
      <c r="G118" s="686">
        <f>SUBTOTAL(9,G119:G120)</f>
        <v>7.1279999999999996E-2</v>
      </c>
      <c r="H118" s="691">
        <f>SUBTOTAL(9,H119:H120)</f>
        <v>2</v>
      </c>
      <c r="I118" s="626"/>
      <c r="J118" s="752"/>
      <c r="K118" s="416"/>
      <c r="L118" s="684"/>
      <c r="M118" s="684"/>
      <c r="N118" s="684"/>
      <c r="O118" s="684"/>
      <c r="P118" s="684"/>
      <c r="Q118" s="684"/>
      <c r="R118" s="684"/>
      <c r="S118" s="416"/>
      <c r="T118" s="752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902</v>
      </c>
      <c r="C119" s="376" t="s">
        <v>1018</v>
      </c>
      <c r="D119" s="376" t="s">
        <v>860</v>
      </c>
      <c r="E119" s="376" t="s">
        <v>437</v>
      </c>
      <c r="F119" s="608" t="s">
        <v>36</v>
      </c>
      <c r="G119" s="609">
        <v>5.3460000000000001E-2</v>
      </c>
      <c r="H119" s="692">
        <v>1</v>
      </c>
      <c r="I119" s="626"/>
      <c r="J119" s="752"/>
      <c r="K119" s="416"/>
      <c r="L119" s="376" t="s">
        <v>437</v>
      </c>
      <c r="M119" s="376" t="s">
        <v>996</v>
      </c>
      <c r="N119" s="376" t="s">
        <v>1048</v>
      </c>
      <c r="O119" s="376"/>
      <c r="P119" s="376"/>
      <c r="Q119" s="376"/>
      <c r="R119" s="376"/>
      <c r="S119" s="416"/>
      <c r="T119" s="752"/>
      <c r="U119" s="416"/>
      <c r="V119" s="609">
        <f>IF(W119=1,G119,0)</f>
        <v>0</v>
      </c>
      <c r="W119" s="692"/>
    </row>
    <row r="120" spans="1:23" outlineLevel="4">
      <c r="A120" s="376"/>
      <c r="B120" s="376" t="s">
        <v>902</v>
      </c>
      <c r="C120" s="376" t="s">
        <v>1018</v>
      </c>
      <c r="D120" s="376" t="s">
        <v>860</v>
      </c>
      <c r="E120" s="376" t="s">
        <v>437</v>
      </c>
      <c r="F120" s="608" t="s">
        <v>208</v>
      </c>
      <c r="G120" s="609">
        <v>1.7819999999999999E-2</v>
      </c>
      <c r="H120" s="692">
        <v>1</v>
      </c>
      <c r="I120" s="626"/>
      <c r="J120" s="752"/>
      <c r="K120" s="416"/>
      <c r="L120" s="376" t="s">
        <v>437</v>
      </c>
      <c r="M120" s="376" t="s">
        <v>996</v>
      </c>
      <c r="N120" s="376" t="s">
        <v>1048</v>
      </c>
      <c r="O120" s="376"/>
      <c r="P120" s="376"/>
      <c r="Q120" s="376"/>
      <c r="R120" s="376"/>
      <c r="S120" s="416"/>
      <c r="T120" s="752"/>
      <c r="U120" s="416"/>
      <c r="V120" s="609">
        <f>IF(W120=1,G120,0)</f>
        <v>0</v>
      </c>
      <c r="W120" s="692"/>
    </row>
    <row r="121" spans="1:23" outlineLevel="1">
      <c r="A121" s="376"/>
      <c r="B121" s="665" t="s">
        <v>1290</v>
      </c>
      <c r="C121" s="665" t="s">
        <v>969</v>
      </c>
      <c r="D121" s="665"/>
      <c r="E121" s="665"/>
      <c r="F121" s="681" t="s">
        <v>947</v>
      </c>
      <c r="G121" s="708">
        <f>SUBTOTAL(9,G122:G127)</f>
        <v>7.3659760000000005E-2</v>
      </c>
      <c r="H121" s="709">
        <f>SUBTOTAL(9,H122:H127)</f>
        <v>4</v>
      </c>
      <c r="I121" s="626"/>
      <c r="J121" s="752"/>
      <c r="K121" s="416"/>
      <c r="L121" s="665"/>
      <c r="M121" s="665"/>
      <c r="N121" s="665"/>
      <c r="O121" s="665"/>
      <c r="P121" s="665"/>
      <c r="Q121" s="665"/>
      <c r="R121" s="665"/>
      <c r="S121" s="416"/>
      <c r="T121" s="752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1290</v>
      </c>
      <c r="C122" s="684" t="s">
        <v>969</v>
      </c>
      <c r="D122" s="684" t="s">
        <v>441</v>
      </c>
      <c r="E122" s="684"/>
      <c r="F122" s="685" t="s">
        <v>1886</v>
      </c>
      <c r="G122" s="686">
        <f>SUBTOTAL(9,G123:G124)</f>
        <v>3.9179040000000005E-2</v>
      </c>
      <c r="H122" s="691">
        <f>SUBTOTAL(9,H123:H124)</f>
        <v>2</v>
      </c>
      <c r="I122" s="626"/>
      <c r="J122" s="752"/>
      <c r="K122" s="416"/>
      <c r="L122" s="684"/>
      <c r="M122" s="684"/>
      <c r="N122" s="684"/>
      <c r="O122" s="684"/>
      <c r="P122" s="684"/>
      <c r="Q122" s="684"/>
      <c r="R122" s="684"/>
      <c r="S122" s="416"/>
      <c r="T122" s="752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1290</v>
      </c>
      <c r="C123" s="376" t="s">
        <v>969</v>
      </c>
      <c r="D123" s="376" t="s">
        <v>441</v>
      </c>
      <c r="E123" s="376" t="s">
        <v>437</v>
      </c>
      <c r="F123" s="608" t="s">
        <v>36</v>
      </c>
      <c r="G123" s="609">
        <v>2.9179040000000003E-2</v>
      </c>
      <c r="H123" s="692">
        <v>1</v>
      </c>
      <c r="I123" s="626"/>
      <c r="J123" s="752"/>
      <c r="K123" s="416"/>
      <c r="L123" s="376" t="s">
        <v>437</v>
      </c>
      <c r="M123" s="376" t="s">
        <v>966</v>
      </c>
      <c r="N123" s="376" t="s">
        <v>1173</v>
      </c>
      <c r="O123" s="376" t="s">
        <v>1297</v>
      </c>
      <c r="P123" s="376"/>
      <c r="Q123" s="376"/>
      <c r="R123" s="376"/>
      <c r="S123" s="416"/>
      <c r="T123" s="752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1290</v>
      </c>
      <c r="C124" s="376" t="s">
        <v>969</v>
      </c>
      <c r="D124" s="376" t="s">
        <v>441</v>
      </c>
      <c r="E124" s="376" t="s">
        <v>437</v>
      </c>
      <c r="F124" s="608" t="s">
        <v>1339</v>
      </c>
      <c r="G124" s="609">
        <v>0.01</v>
      </c>
      <c r="H124" s="692">
        <v>1</v>
      </c>
      <c r="I124" s="626"/>
      <c r="J124" s="752"/>
      <c r="K124" s="416"/>
      <c r="L124" s="376" t="s">
        <v>437</v>
      </c>
      <c r="M124" s="376" t="s">
        <v>966</v>
      </c>
      <c r="N124" s="376" t="s">
        <v>1173</v>
      </c>
      <c r="O124" s="376" t="s">
        <v>1297</v>
      </c>
      <c r="P124" s="376"/>
      <c r="Q124" s="376"/>
      <c r="R124" s="376"/>
      <c r="S124" s="416"/>
      <c r="T124" s="752"/>
      <c r="U124" s="416"/>
      <c r="V124" s="609">
        <f>IF(W124=1,G124,0)</f>
        <v>0</v>
      </c>
      <c r="W124" s="692"/>
    </row>
    <row r="125" spans="1:23" outlineLevel="2">
      <c r="A125" s="376"/>
      <c r="B125" s="684" t="s">
        <v>1290</v>
      </c>
      <c r="C125" s="684" t="s">
        <v>969</v>
      </c>
      <c r="D125" s="684" t="s">
        <v>860</v>
      </c>
      <c r="E125" s="684"/>
      <c r="F125" s="685" t="s">
        <v>1886</v>
      </c>
      <c r="G125" s="686">
        <f>SUBTOTAL(9,G126:G127)</f>
        <v>3.4480719999999999E-2</v>
      </c>
      <c r="H125" s="691">
        <f>SUBTOTAL(9,H126:H127)</f>
        <v>2</v>
      </c>
      <c r="I125" s="626"/>
      <c r="J125" s="752"/>
      <c r="K125" s="416"/>
      <c r="L125" s="684"/>
      <c r="M125" s="684"/>
      <c r="N125" s="684"/>
      <c r="O125" s="684"/>
      <c r="P125" s="684"/>
      <c r="Q125" s="684"/>
      <c r="R125" s="684"/>
      <c r="S125" s="416"/>
      <c r="T125" s="752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1290</v>
      </c>
      <c r="C126" s="376" t="s">
        <v>969</v>
      </c>
      <c r="D126" s="376" t="s">
        <v>860</v>
      </c>
      <c r="E126" s="376" t="s">
        <v>437</v>
      </c>
      <c r="F126" s="608" t="s">
        <v>36</v>
      </c>
      <c r="G126" s="609">
        <v>2.4480720000000001E-2</v>
      </c>
      <c r="H126" s="692">
        <v>1</v>
      </c>
      <c r="I126" s="626"/>
      <c r="J126" s="752"/>
      <c r="K126" s="416"/>
      <c r="L126" s="376" t="s">
        <v>437</v>
      </c>
      <c r="M126" s="376" t="s">
        <v>996</v>
      </c>
      <c r="N126" s="376" t="s">
        <v>1249</v>
      </c>
      <c r="O126" s="376"/>
      <c r="P126" s="376"/>
      <c r="Q126" s="376"/>
      <c r="R126" s="376"/>
      <c r="S126" s="416"/>
      <c r="T126" s="752"/>
      <c r="U126" s="416"/>
      <c r="V126" s="609">
        <f>IF(W126=1,G126,0)</f>
        <v>0</v>
      </c>
      <c r="W126" s="692"/>
    </row>
    <row r="127" spans="1:23" outlineLevel="3">
      <c r="A127" s="376"/>
      <c r="B127" s="376" t="s">
        <v>1290</v>
      </c>
      <c r="C127" s="376" t="s">
        <v>969</v>
      </c>
      <c r="D127" s="376" t="s">
        <v>860</v>
      </c>
      <c r="E127" s="376" t="s">
        <v>437</v>
      </c>
      <c r="F127" s="608" t="s">
        <v>1339</v>
      </c>
      <c r="G127" s="609">
        <v>0.01</v>
      </c>
      <c r="H127" s="692">
        <v>1</v>
      </c>
      <c r="I127" s="626"/>
      <c r="J127" s="752"/>
      <c r="K127" s="416"/>
      <c r="L127" s="376" t="s">
        <v>437</v>
      </c>
      <c r="M127" s="376" t="s">
        <v>996</v>
      </c>
      <c r="N127" s="376" t="s">
        <v>1249</v>
      </c>
      <c r="O127" s="376"/>
      <c r="P127" s="376"/>
      <c r="Q127" s="376"/>
      <c r="R127" s="376"/>
      <c r="S127" s="416"/>
      <c r="T127" s="752"/>
      <c r="U127" s="416"/>
      <c r="V127" s="609">
        <f>IF(W127=1,G127,0)</f>
        <v>0</v>
      </c>
      <c r="W127" s="692"/>
    </row>
    <row r="128" spans="1:23" s="818" customFormat="1" outlineLevel="1">
      <c r="A128" s="380"/>
      <c r="B128" s="666" t="s">
        <v>1299</v>
      </c>
      <c r="C128" s="666" t="s">
        <v>1300</v>
      </c>
      <c r="D128" s="666"/>
      <c r="E128" s="666"/>
      <c r="F128" s="681" t="s">
        <v>947</v>
      </c>
      <c r="G128" s="708">
        <f>SUBTOTAL(9,G129:G132)</f>
        <v>1.2952557286377333</v>
      </c>
      <c r="H128" s="709">
        <f>SUBTOTAL(9,H129:H132)</f>
        <v>3</v>
      </c>
      <c r="I128" s="627"/>
      <c r="J128" s="754"/>
      <c r="K128" s="612"/>
      <c r="L128" s="666"/>
      <c r="M128" s="666"/>
      <c r="N128" s="666"/>
      <c r="O128" s="666"/>
      <c r="P128" s="666"/>
      <c r="Q128" s="666"/>
      <c r="R128" s="666"/>
      <c r="S128" s="612"/>
      <c r="T128" s="754"/>
      <c r="U128" s="612"/>
      <c r="V128" s="708">
        <f>SUBTOTAL(9,V129:V132)</f>
        <v>0</v>
      </c>
      <c r="W128" s="709">
        <f>SUBTOTAL(9,W129:W132)</f>
        <v>0</v>
      </c>
    </row>
    <row r="129" spans="1:23" ht="39.6" outlineLevel="2">
      <c r="A129" s="376"/>
      <c r="B129" s="684" t="s">
        <v>1299</v>
      </c>
      <c r="C129" s="684" t="s">
        <v>1300</v>
      </c>
      <c r="D129" s="684" t="s">
        <v>441</v>
      </c>
      <c r="E129" s="684"/>
      <c r="F129" s="685" t="s">
        <v>1307</v>
      </c>
      <c r="G129" s="686">
        <f>SUBTOTAL(9,G130:G132)</f>
        <v>1.2952557286377333</v>
      </c>
      <c r="H129" s="691">
        <f>SUBTOTAL(9,H130:H132)</f>
        <v>3</v>
      </c>
      <c r="I129" s="626"/>
      <c r="J129" s="752"/>
      <c r="K129" s="416"/>
      <c r="L129" s="684"/>
      <c r="M129" s="684"/>
      <c r="N129" s="684"/>
      <c r="O129" s="684"/>
      <c r="P129" s="684"/>
      <c r="Q129" s="684"/>
      <c r="R129" s="684"/>
      <c r="S129" s="416"/>
      <c r="T129" s="752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1299</v>
      </c>
      <c r="C130" s="376" t="s">
        <v>1300</v>
      </c>
      <c r="D130" s="376" t="s">
        <v>441</v>
      </c>
      <c r="E130" s="376" t="s">
        <v>437</v>
      </c>
      <c r="F130" s="608" t="s">
        <v>36</v>
      </c>
      <c r="G130" s="609">
        <v>0.51810229145509312</v>
      </c>
      <c r="H130" s="692">
        <v>1</v>
      </c>
      <c r="I130" s="626"/>
      <c r="J130" s="752"/>
      <c r="K130" s="416"/>
      <c r="L130" s="376" t="s">
        <v>437</v>
      </c>
      <c r="M130" s="376" t="s">
        <v>966</v>
      </c>
      <c r="N130" s="376" t="s">
        <v>1209</v>
      </c>
      <c r="O130" s="376" t="s">
        <v>1308</v>
      </c>
      <c r="P130" s="376"/>
      <c r="Q130" s="376"/>
      <c r="R130" s="376"/>
      <c r="S130" s="416"/>
      <c r="T130" s="752"/>
      <c r="U130" s="416"/>
      <c r="V130" s="609">
        <f>IF(W130=1,G130,0)</f>
        <v>0</v>
      </c>
      <c r="W130" s="692"/>
    </row>
    <row r="131" spans="1:23" outlineLevel="3">
      <c r="A131" s="376"/>
      <c r="B131" s="376" t="s">
        <v>1299</v>
      </c>
      <c r="C131" s="376" t="s">
        <v>1300</v>
      </c>
      <c r="D131" s="376" t="s">
        <v>441</v>
      </c>
      <c r="E131" s="376" t="s">
        <v>437</v>
      </c>
      <c r="F131" s="608" t="s">
        <v>971</v>
      </c>
      <c r="G131" s="609">
        <v>0.51810229145509312</v>
      </c>
      <c r="H131" s="692">
        <v>1</v>
      </c>
      <c r="I131" s="626"/>
      <c r="J131" s="752"/>
      <c r="K131" s="416"/>
      <c r="L131" s="376" t="s">
        <v>437</v>
      </c>
      <c r="M131" s="376" t="s">
        <v>966</v>
      </c>
      <c r="N131" s="376" t="s">
        <v>1209</v>
      </c>
      <c r="O131" s="376" t="s">
        <v>1308</v>
      </c>
      <c r="P131" s="376"/>
      <c r="Q131" s="376"/>
      <c r="R131" s="376"/>
      <c r="S131" s="416"/>
      <c r="T131" s="752"/>
      <c r="U131" s="416"/>
      <c r="V131" s="609">
        <f>IF(W131=1,G131,0)</f>
        <v>0</v>
      </c>
      <c r="W131" s="692"/>
    </row>
    <row r="132" spans="1:23" outlineLevel="3">
      <c r="A132" s="376"/>
      <c r="B132" s="376" t="s">
        <v>1299</v>
      </c>
      <c r="C132" s="376" t="s">
        <v>1300</v>
      </c>
      <c r="D132" s="376" t="s">
        <v>441</v>
      </c>
      <c r="E132" s="376" t="s">
        <v>437</v>
      </c>
      <c r="F132" s="608" t="s">
        <v>1303</v>
      </c>
      <c r="G132" s="609">
        <v>0.25905114572754701</v>
      </c>
      <c r="H132" s="692">
        <v>1</v>
      </c>
      <c r="I132" s="626"/>
      <c r="J132" s="752"/>
      <c r="K132" s="416"/>
      <c r="L132" s="376" t="s">
        <v>437</v>
      </c>
      <c r="M132" s="376" t="s">
        <v>966</v>
      </c>
      <c r="N132" s="376" t="s">
        <v>1209</v>
      </c>
      <c r="O132" s="376" t="s">
        <v>1308</v>
      </c>
      <c r="P132" s="376"/>
      <c r="Q132" s="376"/>
      <c r="R132" s="376"/>
      <c r="S132" s="416"/>
      <c r="T132" s="752"/>
      <c r="U132" s="416"/>
      <c r="V132" s="609">
        <f>IF(W132=1,G132,0)</f>
        <v>0</v>
      </c>
      <c r="W132" s="692"/>
    </row>
    <row r="133" spans="1:23" s="815" customFormat="1" outlineLevel="1">
      <c r="A133" s="392"/>
      <c r="B133" s="666" t="s">
        <v>1309</v>
      </c>
      <c r="C133" s="666" t="s">
        <v>1310</v>
      </c>
      <c r="D133" s="666"/>
      <c r="E133" s="666"/>
      <c r="F133" s="681" t="s">
        <v>947</v>
      </c>
      <c r="G133" s="708">
        <f>SUBTOTAL(9,G134:G141)</f>
        <v>2.3204556000000003</v>
      </c>
      <c r="H133" s="709">
        <f>SUBTOTAL(9,H134:H141)</f>
        <v>6</v>
      </c>
      <c r="I133" s="741"/>
      <c r="J133" s="758"/>
      <c r="K133" s="749"/>
      <c r="L133" s="666"/>
      <c r="M133" s="666"/>
      <c r="N133" s="666"/>
      <c r="O133" s="666"/>
      <c r="P133" s="666"/>
      <c r="Q133" s="666"/>
      <c r="R133" s="666"/>
      <c r="S133" s="749"/>
      <c r="T133" s="758"/>
      <c r="U133" s="749"/>
      <c r="V133" s="708">
        <f>SUBTOTAL(9,V134:V141)</f>
        <v>0</v>
      </c>
      <c r="W133" s="709">
        <f>SUBTOTAL(9,W134:W141)</f>
        <v>0</v>
      </c>
    </row>
    <row r="134" spans="1:23" s="815" customFormat="1" outlineLevel="2">
      <c r="A134" s="392"/>
      <c r="B134" s="687" t="s">
        <v>1310</v>
      </c>
      <c r="C134" s="687" t="s">
        <v>1310</v>
      </c>
      <c r="D134" s="687" t="s">
        <v>441</v>
      </c>
      <c r="E134" s="687"/>
      <c r="F134" s="717" t="s">
        <v>1872</v>
      </c>
      <c r="G134" s="743">
        <f>SUBTOTAL(9,G135:G138)</f>
        <v>1.6902084000000004</v>
      </c>
      <c r="H134" s="744">
        <f>SUBTOTAL(9,H135:H138)</f>
        <v>4</v>
      </c>
      <c r="I134" s="741"/>
      <c r="J134" s="758"/>
      <c r="K134" s="749"/>
      <c r="L134" s="687"/>
      <c r="M134" s="687"/>
      <c r="N134" s="687"/>
      <c r="O134" s="687"/>
      <c r="P134" s="687"/>
      <c r="Q134" s="687"/>
      <c r="R134" s="687"/>
      <c r="S134" s="749"/>
      <c r="T134" s="758"/>
      <c r="U134" s="749"/>
      <c r="V134" s="743">
        <f>SUBTOTAL(9,V135:V137)</f>
        <v>0</v>
      </c>
      <c r="W134" s="744">
        <f>SUBTOTAL(9,W135:W137)</f>
        <v>0</v>
      </c>
    </row>
    <row r="135" spans="1:23" s="815" customFormat="1" outlineLevel="3">
      <c r="A135" s="392"/>
      <c r="B135" s="387" t="s">
        <v>1310</v>
      </c>
      <c r="C135" s="387" t="s">
        <v>1310</v>
      </c>
      <c r="D135" s="387" t="s">
        <v>441</v>
      </c>
      <c r="E135" s="387" t="s">
        <v>437</v>
      </c>
      <c r="F135" s="705" t="s">
        <v>36</v>
      </c>
      <c r="G135" s="706">
        <v>0.56340280000000009</v>
      </c>
      <c r="H135" s="707">
        <v>1</v>
      </c>
      <c r="I135" s="741"/>
      <c r="J135" s="758"/>
      <c r="K135" s="749"/>
      <c r="L135" s="387" t="s">
        <v>437</v>
      </c>
      <c r="M135" s="387" t="s">
        <v>966</v>
      </c>
      <c r="N135" s="387" t="s">
        <v>1318</v>
      </c>
      <c r="O135" s="387" t="s">
        <v>1319</v>
      </c>
      <c r="P135" s="387"/>
      <c r="Q135" s="387"/>
      <c r="R135" s="387"/>
      <c r="S135" s="749"/>
      <c r="T135" s="758"/>
      <c r="U135" s="749"/>
      <c r="V135" s="609">
        <f>IF(W135=1,G135,0)</f>
        <v>0</v>
      </c>
      <c r="W135" s="707"/>
    </row>
    <row r="136" spans="1:23" s="815" customFormat="1" outlineLevel="3">
      <c r="A136" s="392"/>
      <c r="B136" s="387" t="s">
        <v>1310</v>
      </c>
      <c r="C136" s="387" t="s">
        <v>1310</v>
      </c>
      <c r="D136" s="387" t="s">
        <v>441</v>
      </c>
      <c r="E136" s="387" t="s">
        <v>437</v>
      </c>
      <c r="F136" s="705" t="s">
        <v>1237</v>
      </c>
      <c r="G136" s="706">
        <v>0.28170140000000005</v>
      </c>
      <c r="H136" s="707">
        <v>1</v>
      </c>
      <c r="I136" s="741"/>
      <c r="J136" s="758"/>
      <c r="K136" s="749"/>
      <c r="L136" s="387" t="s">
        <v>437</v>
      </c>
      <c r="M136" s="387" t="s">
        <v>966</v>
      </c>
      <c r="N136" s="387" t="s">
        <v>1318</v>
      </c>
      <c r="O136" s="387" t="s">
        <v>1319</v>
      </c>
      <c r="P136" s="387"/>
      <c r="Q136" s="387"/>
      <c r="R136" s="387"/>
      <c r="S136" s="749"/>
      <c r="T136" s="758"/>
      <c r="U136" s="749"/>
      <c r="V136" s="609">
        <f>IF(W136=1,G136,0)</f>
        <v>0</v>
      </c>
      <c r="W136" s="707"/>
    </row>
    <row r="137" spans="1:23" s="815" customFormat="1" outlineLevel="3">
      <c r="A137" s="392"/>
      <c r="B137" s="387" t="s">
        <v>1310</v>
      </c>
      <c r="C137" s="387" t="s">
        <v>1310</v>
      </c>
      <c r="D137" s="387" t="s">
        <v>441</v>
      </c>
      <c r="E137" s="387" t="s">
        <v>437</v>
      </c>
      <c r="F137" s="705" t="s">
        <v>1303</v>
      </c>
      <c r="G137" s="706">
        <v>0.28170140000000005</v>
      </c>
      <c r="H137" s="707">
        <v>1</v>
      </c>
      <c r="I137" s="741"/>
      <c r="J137" s="758"/>
      <c r="K137" s="749"/>
      <c r="L137" s="387" t="s">
        <v>437</v>
      </c>
      <c r="M137" s="387" t="s">
        <v>966</v>
      </c>
      <c r="N137" s="387" t="s">
        <v>1318</v>
      </c>
      <c r="O137" s="387" t="s">
        <v>1319</v>
      </c>
      <c r="P137" s="387"/>
      <c r="Q137" s="387"/>
      <c r="R137" s="387"/>
      <c r="S137" s="749"/>
      <c r="T137" s="758"/>
      <c r="U137" s="749"/>
      <c r="V137" s="609">
        <f>IF(W137=1,G137,0)</f>
        <v>0</v>
      </c>
      <c r="W137" s="707"/>
    </row>
    <row r="138" spans="1:23" s="815" customFormat="1" outlineLevel="3">
      <c r="A138" s="392"/>
      <c r="B138" s="387" t="s">
        <v>1310</v>
      </c>
      <c r="C138" s="387" t="s">
        <v>1310</v>
      </c>
      <c r="D138" s="387" t="s">
        <v>441</v>
      </c>
      <c r="E138" s="387" t="s">
        <v>437</v>
      </c>
      <c r="F138" s="705" t="s">
        <v>1873</v>
      </c>
      <c r="G138" s="706">
        <v>0.56340280000000009</v>
      </c>
      <c r="H138" s="707">
        <v>1</v>
      </c>
      <c r="I138" s="741"/>
      <c r="J138" s="758"/>
      <c r="K138" s="749"/>
      <c r="L138" s="387" t="s">
        <v>437</v>
      </c>
      <c r="M138" s="387" t="s">
        <v>966</v>
      </c>
      <c r="N138" s="387" t="s">
        <v>1318</v>
      </c>
      <c r="O138" s="387" t="s">
        <v>1319</v>
      </c>
      <c r="P138" s="387"/>
      <c r="Q138" s="387"/>
      <c r="R138" s="387"/>
      <c r="S138" s="749"/>
      <c r="T138" s="758"/>
      <c r="U138" s="749"/>
      <c r="V138" s="609">
        <f>IF(W138=1,G138,0)</f>
        <v>0</v>
      </c>
      <c r="W138" s="707"/>
    </row>
    <row r="139" spans="1:23" s="815" customFormat="1" outlineLevel="2">
      <c r="A139" s="392">
        <v>2</v>
      </c>
      <c r="B139" s="687" t="s">
        <v>1310</v>
      </c>
      <c r="C139" s="687" t="s">
        <v>1310</v>
      </c>
      <c r="D139" s="687" t="s">
        <v>860</v>
      </c>
      <c r="E139" s="687"/>
      <c r="F139" s="717" t="s">
        <v>1902</v>
      </c>
      <c r="G139" s="743">
        <f>SUBTOTAL(9,G140:G142)</f>
        <v>1.1029326000000002</v>
      </c>
      <c r="H139" s="744">
        <f>SUBTOTAL(9,H140:H142)</f>
        <v>3</v>
      </c>
      <c r="I139" s="741"/>
      <c r="J139" s="758"/>
      <c r="K139" s="749"/>
      <c r="L139" s="687"/>
      <c r="M139" s="687"/>
      <c r="N139" s="687"/>
      <c r="O139" s="687"/>
      <c r="P139" s="687"/>
      <c r="Q139" s="687"/>
      <c r="R139" s="687"/>
      <c r="S139" s="749"/>
      <c r="T139" s="758"/>
      <c r="U139" s="749"/>
      <c r="V139" s="743">
        <f>SUBTOTAL(9,V140:V141)</f>
        <v>0</v>
      </c>
      <c r="W139" s="744">
        <f>SUBTOTAL(9,W140:W141)</f>
        <v>0</v>
      </c>
    </row>
    <row r="140" spans="1:23" s="815" customFormat="1" outlineLevel="3">
      <c r="A140" s="392"/>
      <c r="B140" s="387" t="s">
        <v>1310</v>
      </c>
      <c r="C140" s="387" t="s">
        <v>1310</v>
      </c>
      <c r="D140" s="387" t="s">
        <v>860</v>
      </c>
      <c r="E140" s="387" t="s">
        <v>437</v>
      </c>
      <c r="F140" s="705" t="s">
        <v>36</v>
      </c>
      <c r="G140" s="706">
        <v>0.47268540000000003</v>
      </c>
      <c r="H140" s="707">
        <v>1</v>
      </c>
      <c r="I140" s="741"/>
      <c r="J140" s="758"/>
      <c r="K140" s="749"/>
      <c r="L140" s="387" t="s">
        <v>437</v>
      </c>
      <c r="M140" s="387" t="s">
        <v>996</v>
      </c>
      <c r="N140" s="387" t="s">
        <v>1048</v>
      </c>
      <c r="O140" s="387" t="s">
        <v>1249</v>
      </c>
      <c r="P140" s="387"/>
      <c r="Q140" s="387"/>
      <c r="R140" s="387"/>
      <c r="S140" s="749"/>
      <c r="T140" s="758"/>
      <c r="U140" s="749"/>
      <c r="V140" s="609">
        <f>IF(W140=1,G140,0)</f>
        <v>0</v>
      </c>
      <c r="W140" s="707"/>
    </row>
    <row r="141" spans="1:23" s="815" customFormat="1" outlineLevel="3">
      <c r="A141" s="392"/>
      <c r="B141" s="387" t="s">
        <v>1310</v>
      </c>
      <c r="C141" s="387" t="s">
        <v>1310</v>
      </c>
      <c r="D141" s="387" t="s">
        <v>860</v>
      </c>
      <c r="E141" s="387" t="s">
        <v>437</v>
      </c>
      <c r="F141" s="705" t="s">
        <v>1303</v>
      </c>
      <c r="G141" s="706">
        <v>0.15756180000000003</v>
      </c>
      <c r="H141" s="707">
        <v>1</v>
      </c>
      <c r="I141" s="741"/>
      <c r="J141" s="758"/>
      <c r="K141" s="749"/>
      <c r="L141" s="387" t="s">
        <v>437</v>
      </c>
      <c r="M141" s="387" t="s">
        <v>996</v>
      </c>
      <c r="N141" s="387" t="s">
        <v>1048</v>
      </c>
      <c r="O141" s="387" t="s">
        <v>1249</v>
      </c>
      <c r="P141" s="387"/>
      <c r="Q141" s="387"/>
      <c r="R141" s="387"/>
      <c r="S141" s="749"/>
      <c r="T141" s="758"/>
      <c r="U141" s="749"/>
      <c r="V141" s="609">
        <f>IF(W141=1,G141,0)</f>
        <v>0</v>
      </c>
      <c r="W141" s="707"/>
    </row>
    <row r="142" spans="1:23" s="815" customFormat="1" outlineLevel="3">
      <c r="A142" s="392"/>
      <c r="B142" s="387" t="s">
        <v>1310</v>
      </c>
      <c r="C142" s="387" t="s">
        <v>1310</v>
      </c>
      <c r="D142" s="387" t="s">
        <v>860</v>
      </c>
      <c r="E142" s="387" t="s">
        <v>437</v>
      </c>
      <c r="F142" s="705" t="s">
        <v>1873</v>
      </c>
      <c r="G142" s="706">
        <v>0.47268540000000003</v>
      </c>
      <c r="H142" s="707">
        <v>1</v>
      </c>
      <c r="I142" s="741"/>
      <c r="J142" s="758"/>
      <c r="K142" s="749"/>
      <c r="L142" s="387" t="s">
        <v>437</v>
      </c>
      <c r="M142" s="387" t="s">
        <v>996</v>
      </c>
      <c r="N142" s="387" t="s">
        <v>1048</v>
      </c>
      <c r="O142" s="387" t="s">
        <v>1249</v>
      </c>
      <c r="P142" s="387"/>
      <c r="Q142" s="387"/>
      <c r="R142" s="387"/>
      <c r="S142" s="749"/>
      <c r="T142" s="758"/>
      <c r="U142" s="749"/>
      <c r="V142" s="609">
        <f>IF(W142=1,G142,0)</f>
        <v>0</v>
      </c>
      <c r="W142" s="707"/>
    </row>
    <row r="143" spans="1:23" s="815" customFormat="1" outlineLevel="1">
      <c r="A143" s="392"/>
      <c r="B143" s="666" t="s">
        <v>1320</v>
      </c>
      <c r="C143" s="666" t="s">
        <v>1321</v>
      </c>
      <c r="D143" s="666"/>
      <c r="E143" s="666"/>
      <c r="F143" s="681" t="s">
        <v>947</v>
      </c>
      <c r="G143" s="708">
        <f>SUBTOTAL(9,G144:G150)</f>
        <v>2.033775828</v>
      </c>
      <c r="H143" s="709">
        <f>SUBTOTAL(9,H144:H150)</f>
        <v>5</v>
      </c>
      <c r="I143" s="741"/>
      <c r="J143" s="758"/>
      <c r="K143" s="749"/>
      <c r="L143" s="666"/>
      <c r="M143" s="666"/>
      <c r="N143" s="666"/>
      <c r="O143" s="666"/>
      <c r="P143" s="666"/>
      <c r="Q143" s="666"/>
      <c r="R143" s="666"/>
      <c r="S143" s="749"/>
      <c r="T143" s="758"/>
      <c r="U143" s="749"/>
      <c r="V143" s="708">
        <f>SUBTOTAL(9,V144:V150)</f>
        <v>0</v>
      </c>
      <c r="W143" s="709">
        <f>SUBTOTAL(9,W144:W150)</f>
        <v>0</v>
      </c>
    </row>
    <row r="144" spans="1:23" s="815" customFormat="1" outlineLevel="2">
      <c r="A144" s="392"/>
      <c r="B144" s="687" t="s">
        <v>1321</v>
      </c>
      <c r="C144" s="687" t="s">
        <v>1321</v>
      </c>
      <c r="D144" s="687" t="s">
        <v>441</v>
      </c>
      <c r="E144" s="687"/>
      <c r="F144" s="717" t="s">
        <v>1903</v>
      </c>
      <c r="G144" s="743">
        <f>SUBTOTAL(9,G145:G147)</f>
        <v>1.3042692810000003</v>
      </c>
      <c r="H144" s="744">
        <f>SUBTOTAL(9,H145:H147)</f>
        <v>3</v>
      </c>
      <c r="I144" s="741"/>
      <c r="J144" s="758"/>
      <c r="K144" s="749"/>
      <c r="L144" s="687"/>
      <c r="M144" s="687"/>
      <c r="N144" s="687"/>
      <c r="O144" s="687"/>
      <c r="P144" s="687"/>
      <c r="Q144" s="687"/>
      <c r="R144" s="687"/>
      <c r="S144" s="749"/>
      <c r="T144" s="758"/>
      <c r="U144" s="749"/>
      <c r="V144" s="743">
        <f>SUBTOTAL(9,V145:V146)</f>
        <v>0</v>
      </c>
      <c r="W144" s="744">
        <f>SUBTOTAL(9,W145:W146)</f>
        <v>0</v>
      </c>
    </row>
    <row r="145" spans="1:23" s="815" customFormat="1" outlineLevel="3">
      <c r="A145" s="392"/>
      <c r="B145" s="387" t="s">
        <v>1321</v>
      </c>
      <c r="C145" s="387" t="s">
        <v>1321</v>
      </c>
      <c r="D145" s="387" t="s">
        <v>441</v>
      </c>
      <c r="E145" s="387" t="s">
        <v>437</v>
      </c>
      <c r="F145" s="705" t="s">
        <v>36</v>
      </c>
      <c r="G145" s="706">
        <v>0.43475642700000006</v>
      </c>
      <c r="H145" s="707">
        <v>1</v>
      </c>
      <c r="I145" s="741"/>
      <c r="J145" s="758"/>
      <c r="K145" s="749"/>
      <c r="L145" s="387" t="s">
        <v>437</v>
      </c>
      <c r="M145" s="387" t="s">
        <v>966</v>
      </c>
      <c r="N145" s="387" t="s">
        <v>1318</v>
      </c>
      <c r="O145" s="387" t="s">
        <v>1328</v>
      </c>
      <c r="P145" s="387"/>
      <c r="Q145" s="387"/>
      <c r="R145" s="387"/>
      <c r="S145" s="749"/>
      <c r="T145" s="758"/>
      <c r="U145" s="749"/>
      <c r="V145" s="609">
        <f>IF(W145=1,G145,0)</f>
        <v>0</v>
      </c>
      <c r="W145" s="707"/>
    </row>
    <row r="146" spans="1:23" s="815" customFormat="1" outlineLevel="3">
      <c r="A146" s="392"/>
      <c r="B146" s="387" t="s">
        <v>1321</v>
      </c>
      <c r="C146" s="387" t="s">
        <v>1321</v>
      </c>
      <c r="D146" s="387" t="s">
        <v>441</v>
      </c>
      <c r="E146" s="387" t="s">
        <v>437</v>
      </c>
      <c r="F146" s="705" t="s">
        <v>1237</v>
      </c>
      <c r="G146" s="706">
        <v>0.43475642700000006</v>
      </c>
      <c r="H146" s="707">
        <v>1</v>
      </c>
      <c r="I146" s="741"/>
      <c r="J146" s="758"/>
      <c r="K146" s="749"/>
      <c r="L146" s="387" t="s">
        <v>437</v>
      </c>
      <c r="M146" s="387" t="s">
        <v>966</v>
      </c>
      <c r="N146" s="387" t="s">
        <v>1318</v>
      </c>
      <c r="O146" s="387" t="s">
        <v>1328</v>
      </c>
      <c r="P146" s="387"/>
      <c r="Q146" s="387"/>
      <c r="R146" s="387"/>
      <c r="S146" s="749"/>
      <c r="T146" s="758"/>
      <c r="U146" s="749"/>
      <c r="V146" s="609">
        <f>IF(W146=1,G146,0)</f>
        <v>0</v>
      </c>
      <c r="W146" s="707"/>
    </row>
    <row r="147" spans="1:23" s="815" customFormat="1" outlineLevel="3">
      <c r="A147" s="392"/>
      <c r="B147" s="387" t="s">
        <v>1321</v>
      </c>
      <c r="C147" s="387" t="s">
        <v>1321</v>
      </c>
      <c r="D147" s="387" t="s">
        <v>441</v>
      </c>
      <c r="E147" s="387" t="s">
        <v>437</v>
      </c>
      <c r="F147" s="705" t="s">
        <v>1873</v>
      </c>
      <c r="G147" s="706">
        <v>0.43475642700000006</v>
      </c>
      <c r="H147" s="707">
        <v>1</v>
      </c>
      <c r="I147" s="741"/>
      <c r="J147" s="758"/>
      <c r="K147" s="749"/>
      <c r="L147" s="387" t="s">
        <v>437</v>
      </c>
      <c r="M147" s="387" t="s">
        <v>966</v>
      </c>
      <c r="N147" s="387" t="s">
        <v>1318</v>
      </c>
      <c r="O147" s="387" t="s">
        <v>1328</v>
      </c>
      <c r="P147" s="387"/>
      <c r="Q147" s="387"/>
      <c r="R147" s="387"/>
      <c r="S147" s="749"/>
      <c r="T147" s="758"/>
      <c r="U147" s="749"/>
      <c r="V147" s="609">
        <f>IF(W147=1,G147,0)</f>
        <v>0</v>
      </c>
      <c r="W147" s="707"/>
    </row>
    <row r="148" spans="1:23" s="815" customFormat="1" outlineLevel="2">
      <c r="A148" s="392"/>
      <c r="B148" s="687" t="s">
        <v>1321</v>
      </c>
      <c r="C148" s="687" t="s">
        <v>1321</v>
      </c>
      <c r="D148" s="687" t="s">
        <v>860</v>
      </c>
      <c r="E148" s="687"/>
      <c r="F148" s="717" t="s">
        <v>1904</v>
      </c>
      <c r="G148" s="743">
        <f>SUBTOTAL(9,G149:G150)</f>
        <v>0.72950654699999995</v>
      </c>
      <c r="H148" s="744">
        <f>SUBTOTAL(9,H149:H150)</f>
        <v>2</v>
      </c>
      <c r="I148" s="741"/>
      <c r="J148" s="758"/>
      <c r="K148" s="749"/>
      <c r="L148" s="687"/>
      <c r="M148" s="687"/>
      <c r="N148" s="687"/>
      <c r="O148" s="687"/>
      <c r="P148" s="687"/>
      <c r="Q148" s="687"/>
      <c r="R148" s="687"/>
      <c r="S148" s="749"/>
      <c r="T148" s="758"/>
      <c r="U148" s="749"/>
      <c r="V148" s="743">
        <f>SUBTOTAL(9,V150)</f>
        <v>0</v>
      </c>
      <c r="W148" s="744">
        <f>SUBTOTAL(9,W150)</f>
        <v>0</v>
      </c>
    </row>
    <row r="149" spans="1:23" s="815" customFormat="1" outlineLevel="3">
      <c r="A149" s="392"/>
      <c r="B149" s="387" t="s">
        <v>1321</v>
      </c>
      <c r="C149" s="387" t="s">
        <v>1321</v>
      </c>
      <c r="D149" s="387" t="s">
        <v>860</v>
      </c>
      <c r="E149" s="387" t="s">
        <v>437</v>
      </c>
      <c r="F149" s="705" t="s">
        <v>36</v>
      </c>
      <c r="G149" s="706">
        <v>0.36475327349999997</v>
      </c>
      <c r="H149" s="707">
        <v>1</v>
      </c>
      <c r="I149" s="741"/>
      <c r="J149" s="758"/>
      <c r="K149" s="749"/>
      <c r="L149" s="387" t="s">
        <v>437</v>
      </c>
      <c r="M149" s="387"/>
      <c r="N149" s="387"/>
      <c r="O149" s="387"/>
      <c r="P149" s="387"/>
      <c r="Q149" s="387"/>
      <c r="R149" s="387"/>
      <c r="S149" s="749"/>
      <c r="T149" s="758"/>
      <c r="U149" s="749"/>
      <c r="V149" s="609">
        <f>IF(W149=1,G149,0)</f>
        <v>0</v>
      </c>
      <c r="W149" s="707"/>
    </row>
    <row r="150" spans="1:23" s="815" customFormat="1" outlineLevel="3">
      <c r="A150" s="392"/>
      <c r="B150" s="387" t="s">
        <v>1321</v>
      </c>
      <c r="C150" s="387" t="s">
        <v>1321</v>
      </c>
      <c r="D150" s="387" t="s">
        <v>860</v>
      </c>
      <c r="E150" s="387" t="s">
        <v>437</v>
      </c>
      <c r="F150" s="705" t="s">
        <v>1873</v>
      </c>
      <c r="G150" s="706">
        <v>0.36475327349999997</v>
      </c>
      <c r="H150" s="707">
        <v>1</v>
      </c>
      <c r="I150" s="741"/>
      <c r="J150" s="758"/>
      <c r="K150" s="749"/>
      <c r="L150" s="387" t="s">
        <v>437</v>
      </c>
      <c r="M150" s="387"/>
      <c r="N150" s="387"/>
      <c r="O150" s="387"/>
      <c r="P150" s="387"/>
      <c r="Q150" s="387"/>
      <c r="R150" s="387"/>
      <c r="S150" s="749"/>
      <c r="T150" s="758"/>
      <c r="U150" s="749"/>
      <c r="V150" s="609">
        <f>IF(W150=1,G150,0)</f>
        <v>0</v>
      </c>
      <c r="W150" s="707"/>
    </row>
    <row r="151" spans="1:23" s="815" customFormat="1" outlineLevel="1">
      <c r="A151" s="392"/>
      <c r="B151" s="666" t="s">
        <v>1329</v>
      </c>
      <c r="C151" s="666" t="s">
        <v>1330</v>
      </c>
      <c r="D151" s="666"/>
      <c r="E151" s="666"/>
      <c r="F151" s="681" t="s">
        <v>947</v>
      </c>
      <c r="G151" s="708">
        <f>SUBTOTAL(9,G152:G158)</f>
        <v>0.67792527599999997</v>
      </c>
      <c r="H151" s="709">
        <f>SUBTOTAL(9,H152:H158)</f>
        <v>5</v>
      </c>
      <c r="I151" s="741"/>
      <c r="J151" s="758"/>
      <c r="K151" s="749"/>
      <c r="L151" s="666"/>
      <c r="M151" s="666"/>
      <c r="N151" s="666"/>
      <c r="O151" s="666"/>
      <c r="P151" s="666"/>
      <c r="Q151" s="666"/>
      <c r="R151" s="666"/>
      <c r="S151" s="749"/>
      <c r="T151" s="758"/>
      <c r="U151" s="749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1330</v>
      </c>
      <c r="C152" s="687" t="s">
        <v>1330</v>
      </c>
      <c r="D152" s="684" t="s">
        <v>441</v>
      </c>
      <c r="E152" s="684"/>
      <c r="F152" s="717" t="s">
        <v>1905</v>
      </c>
      <c r="G152" s="743">
        <f>SUBTOTAL(9,G153:G155)</f>
        <v>0.43475642700000006</v>
      </c>
      <c r="H152" s="744">
        <f>SUBTOTAL(9,H153:H155)</f>
        <v>3</v>
      </c>
      <c r="I152" s="626"/>
      <c r="J152" s="752"/>
      <c r="K152" s="416"/>
      <c r="L152" s="684"/>
      <c r="M152" s="684"/>
      <c r="N152" s="684"/>
      <c r="O152" s="684"/>
      <c r="P152" s="684"/>
      <c r="Q152" s="684"/>
      <c r="R152" s="684"/>
      <c r="S152" s="416"/>
      <c r="T152" s="752"/>
      <c r="U152" s="416"/>
      <c r="V152" s="743">
        <f>SUBTOTAL(9,V153:V154)</f>
        <v>0</v>
      </c>
      <c r="W152" s="744">
        <f>SUBTOTAL(9,W153:W154)</f>
        <v>0</v>
      </c>
    </row>
    <row r="153" spans="1:23" outlineLevel="3">
      <c r="A153" s="376"/>
      <c r="B153" s="387" t="s">
        <v>1330</v>
      </c>
      <c r="C153" s="387" t="s">
        <v>1330</v>
      </c>
      <c r="D153" s="376" t="s">
        <v>441</v>
      </c>
      <c r="E153" s="376" t="s">
        <v>437</v>
      </c>
      <c r="F153" s="705" t="s">
        <v>36</v>
      </c>
      <c r="G153" s="706">
        <v>0.14491880900000001</v>
      </c>
      <c r="H153" s="707">
        <v>1</v>
      </c>
      <c r="I153" s="626"/>
      <c r="J153" s="752"/>
      <c r="K153" s="416"/>
      <c r="L153" s="376" t="s">
        <v>437</v>
      </c>
      <c r="M153" s="376" t="s">
        <v>966</v>
      </c>
      <c r="N153" s="376" t="s">
        <v>1318</v>
      </c>
      <c r="O153" s="376" t="s">
        <v>1334</v>
      </c>
      <c r="P153" s="376"/>
      <c r="Q153" s="376"/>
      <c r="R153" s="376"/>
      <c r="S153" s="416"/>
      <c r="T153" s="752"/>
      <c r="U153" s="416"/>
      <c r="V153" s="609">
        <f>IF(W153=1,G153,0)</f>
        <v>0</v>
      </c>
      <c r="W153" s="707"/>
    </row>
    <row r="154" spans="1:23" outlineLevel="3">
      <c r="A154" s="376"/>
      <c r="B154" s="387" t="s">
        <v>1330</v>
      </c>
      <c r="C154" s="387" t="s">
        <v>1330</v>
      </c>
      <c r="D154" s="376" t="s">
        <v>441</v>
      </c>
      <c r="E154" s="376" t="s">
        <v>437</v>
      </c>
      <c r="F154" s="705" t="s">
        <v>1237</v>
      </c>
      <c r="G154" s="706">
        <v>0.14491880900000001</v>
      </c>
      <c r="H154" s="707">
        <v>1</v>
      </c>
      <c r="I154" s="626"/>
      <c r="J154" s="752"/>
      <c r="K154" s="416"/>
      <c r="L154" s="376" t="s">
        <v>437</v>
      </c>
      <c r="M154" s="376" t="s">
        <v>966</v>
      </c>
      <c r="N154" s="376" t="s">
        <v>1318</v>
      </c>
      <c r="O154" s="376" t="s">
        <v>1334</v>
      </c>
      <c r="P154" s="376"/>
      <c r="Q154" s="376"/>
      <c r="R154" s="376"/>
      <c r="S154" s="416"/>
      <c r="T154" s="752"/>
      <c r="U154" s="416"/>
      <c r="V154" s="609">
        <f>IF(W154=1,G154,0)</f>
        <v>0</v>
      </c>
      <c r="W154" s="707"/>
    </row>
    <row r="155" spans="1:23" outlineLevel="3">
      <c r="A155" s="376"/>
      <c r="B155" s="387" t="s">
        <v>1330</v>
      </c>
      <c r="C155" s="387" t="s">
        <v>1330</v>
      </c>
      <c r="D155" s="376" t="s">
        <v>441</v>
      </c>
      <c r="E155" s="376" t="s">
        <v>437</v>
      </c>
      <c r="F155" s="705" t="s">
        <v>1873</v>
      </c>
      <c r="G155" s="706">
        <v>0.14491880900000001</v>
      </c>
      <c r="H155" s="707">
        <v>1</v>
      </c>
      <c r="I155" s="626"/>
      <c r="J155" s="752"/>
      <c r="K155" s="416"/>
      <c r="L155" s="376" t="s">
        <v>437</v>
      </c>
      <c r="M155" s="376" t="s">
        <v>966</v>
      </c>
      <c r="N155" s="376" t="s">
        <v>1318</v>
      </c>
      <c r="O155" s="376" t="s">
        <v>1334</v>
      </c>
      <c r="P155" s="376"/>
      <c r="Q155" s="376"/>
      <c r="R155" s="376"/>
      <c r="S155" s="416"/>
      <c r="T155" s="752"/>
      <c r="U155" s="416"/>
      <c r="V155" s="609">
        <f>IF(W155=1,G155,0)</f>
        <v>0</v>
      </c>
      <c r="W155" s="707"/>
    </row>
    <row r="156" spans="1:23" outlineLevel="2">
      <c r="A156" s="376"/>
      <c r="B156" s="687" t="s">
        <v>1330</v>
      </c>
      <c r="C156" s="687" t="s">
        <v>1330</v>
      </c>
      <c r="D156" s="684" t="s">
        <v>860</v>
      </c>
      <c r="E156" s="684"/>
      <c r="F156" s="717" t="s">
        <v>1901</v>
      </c>
      <c r="G156" s="743">
        <f>SUBTOTAL(9,G157:G158)</f>
        <v>0.24316884899999996</v>
      </c>
      <c r="H156" s="744">
        <f>SUBTOTAL(9,H157:H158)</f>
        <v>2</v>
      </c>
      <c r="I156" s="626"/>
      <c r="J156" s="752"/>
      <c r="K156" s="416"/>
      <c r="L156" s="684"/>
      <c r="M156" s="684"/>
      <c r="N156" s="684"/>
      <c r="O156" s="684"/>
      <c r="P156" s="684"/>
      <c r="Q156" s="684"/>
      <c r="R156" s="684"/>
      <c r="S156" s="416"/>
      <c r="T156" s="752"/>
      <c r="U156" s="416"/>
      <c r="V156" s="743">
        <f>SUBTOTAL(9,V158)</f>
        <v>0</v>
      </c>
      <c r="W156" s="744">
        <f>SUBTOTAL(9,W158)</f>
        <v>0</v>
      </c>
    </row>
    <row r="157" spans="1:23" outlineLevel="3">
      <c r="A157" s="376"/>
      <c r="B157" s="387" t="s">
        <v>1330</v>
      </c>
      <c r="C157" s="387" t="s">
        <v>1330</v>
      </c>
      <c r="D157" s="376" t="s">
        <v>860</v>
      </c>
      <c r="E157" s="376" t="s">
        <v>437</v>
      </c>
      <c r="F157" s="705" t="s">
        <v>36</v>
      </c>
      <c r="G157" s="706">
        <v>0.12158442449999998</v>
      </c>
      <c r="H157" s="707">
        <v>1</v>
      </c>
      <c r="I157" s="626"/>
      <c r="J157" s="752"/>
      <c r="K157" s="416"/>
      <c r="L157" s="376" t="s">
        <v>437</v>
      </c>
      <c r="M157" s="376"/>
      <c r="N157" s="376"/>
      <c r="O157" s="376"/>
      <c r="P157" s="376"/>
      <c r="Q157" s="376"/>
      <c r="R157" s="376"/>
      <c r="S157" s="416"/>
      <c r="T157" s="752"/>
      <c r="U157" s="416"/>
      <c r="V157" s="609">
        <f>IF(W157=1,G157,0)</f>
        <v>0</v>
      </c>
      <c r="W157" s="707"/>
    </row>
    <row r="158" spans="1:23" outlineLevel="3">
      <c r="A158" s="376"/>
      <c r="B158" s="387" t="s">
        <v>1330</v>
      </c>
      <c r="C158" s="387" t="s">
        <v>1330</v>
      </c>
      <c r="D158" s="376" t="s">
        <v>860</v>
      </c>
      <c r="E158" s="376" t="s">
        <v>437</v>
      </c>
      <c r="F158" s="705" t="s">
        <v>1873</v>
      </c>
      <c r="G158" s="706">
        <v>0.12158442449999998</v>
      </c>
      <c r="H158" s="707">
        <v>1</v>
      </c>
      <c r="I158" s="626"/>
      <c r="J158" s="752"/>
      <c r="K158" s="416"/>
      <c r="L158" s="376" t="s">
        <v>437</v>
      </c>
      <c r="M158" s="376"/>
      <c r="N158" s="376"/>
      <c r="O158" s="376"/>
      <c r="P158" s="376"/>
      <c r="Q158" s="376"/>
      <c r="R158" s="376"/>
      <c r="S158" s="416"/>
      <c r="T158" s="752"/>
      <c r="U158" s="416"/>
      <c r="V158" s="609">
        <f>IF(W158=1,G158,0)</f>
        <v>0</v>
      </c>
      <c r="W158" s="707"/>
    </row>
    <row r="159" spans="1:23" outlineLevel="1">
      <c r="A159" s="376"/>
      <c r="B159" s="665" t="s">
        <v>1273</v>
      </c>
      <c r="C159" s="665" t="s">
        <v>1273</v>
      </c>
      <c r="D159" s="665"/>
      <c r="E159" s="665"/>
      <c r="F159" s="681" t="s">
        <v>947</v>
      </c>
      <c r="G159" s="708">
        <f>SUBTOTAL(9,G160:G167)</f>
        <v>0.24840000000000001</v>
      </c>
      <c r="H159" s="709">
        <f>SUBTOTAL(9,H160:H167)</f>
        <v>6</v>
      </c>
      <c r="I159" s="626"/>
      <c r="J159" s="752"/>
      <c r="K159" s="416"/>
      <c r="L159" s="665"/>
      <c r="M159" s="665"/>
      <c r="N159" s="665"/>
      <c r="O159" s="665"/>
      <c r="P159" s="665"/>
      <c r="Q159" s="665"/>
      <c r="R159" s="665"/>
      <c r="S159" s="416"/>
      <c r="T159" s="752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1273</v>
      </c>
      <c r="C160" s="684" t="s">
        <v>1273</v>
      </c>
      <c r="D160" s="684" t="s">
        <v>441</v>
      </c>
      <c r="E160" s="684"/>
      <c r="F160" s="685" t="s">
        <v>1342</v>
      </c>
      <c r="G160" s="686">
        <f>SUBTOTAL(9,G161:G163)</f>
        <v>0.1593</v>
      </c>
      <c r="H160" s="691">
        <f>SUBTOTAL(9,H161:H163)</f>
        <v>3</v>
      </c>
      <c r="I160" s="626"/>
      <c r="J160" s="752"/>
      <c r="K160" s="416"/>
      <c r="L160" s="684"/>
      <c r="M160" s="684"/>
      <c r="N160" s="684"/>
      <c r="O160" s="684"/>
      <c r="P160" s="684"/>
      <c r="Q160" s="684"/>
      <c r="R160" s="684"/>
      <c r="S160" s="416"/>
      <c r="T160" s="752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1273</v>
      </c>
      <c r="C161" s="376" t="s">
        <v>1273</v>
      </c>
      <c r="D161" s="376" t="s">
        <v>441</v>
      </c>
      <c r="E161" s="376" t="s">
        <v>437</v>
      </c>
      <c r="F161" s="608" t="s">
        <v>36</v>
      </c>
      <c r="G161" s="609">
        <v>3.9824999999999999E-2</v>
      </c>
      <c r="H161" s="692">
        <v>1</v>
      </c>
      <c r="I161" s="626"/>
      <c r="J161" s="752"/>
      <c r="K161" s="416"/>
      <c r="L161" s="376" t="s">
        <v>437</v>
      </c>
      <c r="M161" s="376" t="s">
        <v>966</v>
      </c>
      <c r="N161" s="376" t="s">
        <v>1173</v>
      </c>
      <c r="O161" s="376" t="s">
        <v>1345</v>
      </c>
      <c r="P161" s="376"/>
      <c r="Q161" s="376"/>
      <c r="R161" s="376"/>
      <c r="S161" s="416"/>
      <c r="T161" s="752"/>
      <c r="U161" s="416"/>
      <c r="V161" s="609">
        <f>IF(W161=1,G161,0)</f>
        <v>0</v>
      </c>
      <c r="W161" s="692"/>
    </row>
    <row r="162" spans="1:23" outlineLevel="3">
      <c r="A162" s="376"/>
      <c r="B162" s="376" t="s">
        <v>1273</v>
      </c>
      <c r="C162" s="376" t="s">
        <v>1273</v>
      </c>
      <c r="D162" s="376" t="s">
        <v>441</v>
      </c>
      <c r="E162" s="376" t="s">
        <v>437</v>
      </c>
      <c r="F162" s="608" t="s">
        <v>971</v>
      </c>
      <c r="G162" s="609">
        <v>7.9649999999999999E-2</v>
      </c>
      <c r="H162" s="692">
        <v>1</v>
      </c>
      <c r="I162" s="626"/>
      <c r="J162" s="752"/>
      <c r="K162" s="416"/>
      <c r="L162" s="376" t="s">
        <v>437</v>
      </c>
      <c r="M162" s="376" t="s">
        <v>966</v>
      </c>
      <c r="N162" s="376" t="s">
        <v>1173</v>
      </c>
      <c r="O162" s="376" t="s">
        <v>1345</v>
      </c>
      <c r="P162" s="376"/>
      <c r="Q162" s="376"/>
      <c r="R162" s="376"/>
      <c r="S162" s="416"/>
      <c r="T162" s="752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1273</v>
      </c>
      <c r="C163" s="376" t="s">
        <v>1273</v>
      </c>
      <c r="D163" s="376" t="s">
        <v>441</v>
      </c>
      <c r="E163" s="376" t="s">
        <v>437</v>
      </c>
      <c r="F163" s="608" t="s">
        <v>1342</v>
      </c>
      <c r="G163" s="609">
        <v>3.9824999999999999E-2</v>
      </c>
      <c r="H163" s="692">
        <v>1</v>
      </c>
      <c r="I163" s="626"/>
      <c r="J163" s="752"/>
      <c r="K163" s="416"/>
      <c r="L163" s="376" t="s">
        <v>437</v>
      </c>
      <c r="M163" s="376" t="s">
        <v>966</v>
      </c>
      <c r="N163" s="376" t="s">
        <v>1173</v>
      </c>
      <c r="O163" s="376" t="s">
        <v>1345</v>
      </c>
      <c r="P163" s="376"/>
      <c r="Q163" s="376"/>
      <c r="R163" s="376"/>
      <c r="S163" s="416"/>
      <c r="T163" s="752"/>
      <c r="U163" s="416"/>
      <c r="V163" s="609">
        <f>IF(W163=1,G163,0)</f>
        <v>0</v>
      </c>
      <c r="W163" s="692"/>
    </row>
    <row r="164" spans="1:23" outlineLevel="2">
      <c r="A164" s="376"/>
      <c r="B164" s="684" t="s">
        <v>1273</v>
      </c>
      <c r="C164" s="684" t="s">
        <v>1273</v>
      </c>
      <c r="D164" s="684" t="s">
        <v>860</v>
      </c>
      <c r="E164" s="684"/>
      <c r="F164" s="685" t="s">
        <v>1342</v>
      </c>
      <c r="G164" s="686">
        <f>SUBTOTAL(9,G165:G167)</f>
        <v>8.9100000000000013E-2</v>
      </c>
      <c r="H164" s="691">
        <f>SUBTOTAL(9,H165:H167)</f>
        <v>3</v>
      </c>
      <c r="I164" s="626"/>
      <c r="J164" s="752"/>
      <c r="K164" s="416"/>
      <c r="L164" s="684"/>
      <c r="M164" s="684"/>
      <c r="N164" s="684"/>
      <c r="O164" s="684"/>
      <c r="P164" s="684"/>
      <c r="Q164" s="684"/>
      <c r="R164" s="684"/>
      <c r="S164" s="416"/>
      <c r="T164" s="752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1273</v>
      </c>
      <c r="C165" s="376" t="s">
        <v>1273</v>
      </c>
      <c r="D165" s="376" t="s">
        <v>860</v>
      </c>
      <c r="E165" s="376" t="s">
        <v>437</v>
      </c>
      <c r="F165" s="629" t="s">
        <v>36</v>
      </c>
      <c r="G165" s="609">
        <v>4.4550000000000006E-2</v>
      </c>
      <c r="H165" s="692">
        <v>1</v>
      </c>
      <c r="I165" s="626"/>
      <c r="J165" s="752"/>
      <c r="K165" s="416"/>
      <c r="L165" s="376" t="s">
        <v>437</v>
      </c>
      <c r="M165" s="376" t="s">
        <v>996</v>
      </c>
      <c r="N165" s="376" t="s">
        <v>1346</v>
      </c>
      <c r="O165" s="376" t="s">
        <v>1249</v>
      </c>
      <c r="P165" s="376"/>
      <c r="Q165" s="376"/>
      <c r="R165" s="376"/>
      <c r="S165" s="416"/>
      <c r="T165" s="752"/>
      <c r="U165" s="416"/>
      <c r="V165" s="609">
        <f>IF(W165=1,G165,0)</f>
        <v>0</v>
      </c>
      <c r="W165" s="692"/>
    </row>
    <row r="166" spans="1:23" outlineLevel="3">
      <c r="A166" s="376"/>
      <c r="B166" s="376" t="s">
        <v>1273</v>
      </c>
      <c r="C166" s="376" t="s">
        <v>1273</v>
      </c>
      <c r="D166" s="376" t="s">
        <v>860</v>
      </c>
      <c r="E166" s="376" t="s">
        <v>437</v>
      </c>
      <c r="F166" s="608" t="s">
        <v>971</v>
      </c>
      <c r="G166" s="609">
        <v>2.2275000000000003E-2</v>
      </c>
      <c r="H166" s="692">
        <v>1</v>
      </c>
      <c r="I166" s="626"/>
      <c r="J166" s="752"/>
      <c r="K166" s="416"/>
      <c r="L166" s="376" t="s">
        <v>437</v>
      </c>
      <c r="M166" s="376" t="s">
        <v>996</v>
      </c>
      <c r="N166" s="376" t="s">
        <v>1346</v>
      </c>
      <c r="O166" s="376" t="s">
        <v>1249</v>
      </c>
      <c r="P166" s="376"/>
      <c r="Q166" s="376"/>
      <c r="R166" s="376"/>
      <c r="S166" s="416"/>
      <c r="T166" s="752"/>
      <c r="U166" s="416"/>
      <c r="V166" s="609">
        <f>IF(W166=1,G166,0)</f>
        <v>0</v>
      </c>
      <c r="W166" s="692"/>
    </row>
    <row r="167" spans="1:23" outlineLevel="3">
      <c r="A167" s="376"/>
      <c r="B167" s="376" t="s">
        <v>1273</v>
      </c>
      <c r="C167" s="376" t="s">
        <v>1273</v>
      </c>
      <c r="D167" s="376" t="s">
        <v>860</v>
      </c>
      <c r="E167" s="376" t="s">
        <v>437</v>
      </c>
      <c r="F167" s="608" t="s">
        <v>1342</v>
      </c>
      <c r="G167" s="609">
        <v>2.2275000000000003E-2</v>
      </c>
      <c r="H167" s="692">
        <v>1</v>
      </c>
      <c r="I167" s="626"/>
      <c r="J167" s="752"/>
      <c r="K167" s="416"/>
      <c r="L167" s="376" t="s">
        <v>437</v>
      </c>
      <c r="M167" s="376" t="s">
        <v>996</v>
      </c>
      <c r="N167" s="376" t="s">
        <v>1346</v>
      </c>
      <c r="O167" s="376" t="s">
        <v>1249</v>
      </c>
      <c r="P167" s="376"/>
      <c r="Q167" s="376"/>
      <c r="R167" s="376"/>
      <c r="S167" s="416"/>
      <c r="T167" s="752"/>
      <c r="U167" s="416"/>
      <c r="V167" s="609">
        <f>IF(W167=1,G167,0)</f>
        <v>0</v>
      </c>
      <c r="W167" s="692"/>
    </row>
    <row r="168" spans="1:23" outlineLevel="1">
      <c r="A168" s="376"/>
      <c r="B168" s="665" t="s">
        <v>1347</v>
      </c>
      <c r="C168" s="665" t="s">
        <v>163</v>
      </c>
      <c r="D168" s="665"/>
      <c r="E168" s="665"/>
      <c r="F168" s="681" t="s">
        <v>947</v>
      </c>
      <c r="G168" s="708">
        <f>SUBTOTAL(9,G169:G178)</f>
        <v>4.2498200000000006</v>
      </c>
      <c r="H168" s="709">
        <f>SUBTOTAL(9,H169:H178)</f>
        <v>7</v>
      </c>
      <c r="I168" s="626"/>
      <c r="J168" s="752"/>
      <c r="K168" s="416"/>
      <c r="L168" s="665"/>
      <c r="M168" s="665"/>
      <c r="N168" s="665"/>
      <c r="O168" s="665"/>
      <c r="P168" s="665"/>
      <c r="Q168" s="665"/>
      <c r="R168" s="665"/>
      <c r="S168" s="416"/>
      <c r="T168" s="752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1347</v>
      </c>
      <c r="C169" s="684" t="s">
        <v>1089</v>
      </c>
      <c r="D169" s="684" t="s">
        <v>1335</v>
      </c>
      <c r="E169" s="684"/>
      <c r="F169" s="685" t="s">
        <v>1906</v>
      </c>
      <c r="G169" s="686">
        <f>SUBTOTAL(9,G170:G172)</f>
        <v>3.6650000000000005</v>
      </c>
      <c r="H169" s="691">
        <f>SUBTOTAL(9,H170:H172)</f>
        <v>3</v>
      </c>
      <c r="I169" s="626"/>
      <c r="J169" s="752"/>
      <c r="K169" s="416"/>
      <c r="L169" s="684"/>
      <c r="M169" s="684"/>
      <c r="N169" s="684"/>
      <c r="O169" s="684"/>
      <c r="P169" s="684"/>
      <c r="Q169" s="684"/>
      <c r="R169" s="684"/>
      <c r="S169" s="416"/>
      <c r="T169" s="752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1347</v>
      </c>
      <c r="C170" s="376" t="s">
        <v>1089</v>
      </c>
      <c r="D170" s="376" t="s">
        <v>1335</v>
      </c>
      <c r="E170" s="376" t="s">
        <v>437</v>
      </c>
      <c r="F170" s="608" t="s">
        <v>17</v>
      </c>
      <c r="G170" s="609">
        <v>0.85500000000000009</v>
      </c>
      <c r="H170" s="692">
        <v>1</v>
      </c>
      <c r="I170" s="626"/>
      <c r="J170" s="752"/>
      <c r="K170" s="416"/>
      <c r="L170" s="376" t="s">
        <v>437</v>
      </c>
      <c r="M170" s="376" t="s">
        <v>1349</v>
      </c>
      <c r="N170" s="376" t="s">
        <v>1350</v>
      </c>
      <c r="O170" s="376"/>
      <c r="P170" s="376"/>
      <c r="Q170" s="376"/>
      <c r="R170" s="376"/>
      <c r="S170" s="416"/>
      <c r="T170" s="752"/>
      <c r="U170" s="416"/>
      <c r="V170" s="609">
        <f>IF(W170=1,G170,0)</f>
        <v>0</v>
      </c>
      <c r="W170" s="692"/>
    </row>
    <row r="171" spans="1:23" outlineLevel="3">
      <c r="A171" s="376"/>
      <c r="B171" s="376" t="s">
        <v>1347</v>
      </c>
      <c r="C171" s="376" t="s">
        <v>1089</v>
      </c>
      <c r="D171" s="376" t="s">
        <v>1335</v>
      </c>
      <c r="E171" s="376" t="s">
        <v>437</v>
      </c>
      <c r="F171" s="608" t="s">
        <v>36</v>
      </c>
      <c r="G171" s="609">
        <v>1.4050000000000002</v>
      </c>
      <c r="H171" s="692">
        <v>1</v>
      </c>
      <c r="I171" s="626"/>
      <c r="J171" s="752"/>
      <c r="K171" s="416"/>
      <c r="L171" s="376" t="s">
        <v>437</v>
      </c>
      <c r="M171" s="376" t="s">
        <v>1349</v>
      </c>
      <c r="N171" s="376" t="s">
        <v>1350</v>
      </c>
      <c r="O171" s="376"/>
      <c r="P171" s="376"/>
      <c r="Q171" s="376"/>
      <c r="R171" s="376"/>
      <c r="S171" s="416"/>
      <c r="T171" s="752"/>
      <c r="U171" s="416"/>
      <c r="V171" s="609">
        <f>IF(W171=1,G171,0)</f>
        <v>0</v>
      </c>
      <c r="W171" s="692"/>
    </row>
    <row r="172" spans="1:23" outlineLevel="3">
      <c r="A172" s="376"/>
      <c r="B172" s="376" t="s">
        <v>1347</v>
      </c>
      <c r="C172" s="376" t="s">
        <v>1089</v>
      </c>
      <c r="D172" s="376" t="s">
        <v>1335</v>
      </c>
      <c r="E172" s="376" t="s">
        <v>437</v>
      </c>
      <c r="F172" s="608" t="s">
        <v>208</v>
      </c>
      <c r="G172" s="609">
        <v>1.4050000000000002</v>
      </c>
      <c r="H172" s="692">
        <v>1</v>
      </c>
      <c r="I172" s="626"/>
      <c r="J172" s="752"/>
      <c r="K172" s="416"/>
      <c r="L172" s="376" t="s">
        <v>437</v>
      </c>
      <c r="M172" s="376" t="s">
        <v>1349</v>
      </c>
      <c r="N172" s="376" t="s">
        <v>1350</v>
      </c>
      <c r="O172" s="376"/>
      <c r="P172" s="376"/>
      <c r="Q172" s="376"/>
      <c r="R172" s="376"/>
      <c r="S172" s="416"/>
      <c r="T172" s="752"/>
      <c r="U172" s="416"/>
      <c r="V172" s="609">
        <f>IF(W172=1,G172,0)</f>
        <v>0</v>
      </c>
      <c r="W172" s="692"/>
    </row>
    <row r="173" spans="1:23" outlineLevel="2">
      <c r="A173" s="376"/>
      <c r="B173" s="684" t="s">
        <v>1347</v>
      </c>
      <c r="C173" s="684" t="s">
        <v>1089</v>
      </c>
      <c r="D173" s="684" t="s">
        <v>441</v>
      </c>
      <c r="E173" s="684"/>
      <c r="F173" s="685" t="s">
        <v>1907</v>
      </c>
      <c r="G173" s="686">
        <f>SUBTOTAL(9,G174:G175)</f>
        <v>0.30266999999999999</v>
      </c>
      <c r="H173" s="691">
        <f>SUBTOTAL(9,H174:H175)</f>
        <v>2</v>
      </c>
      <c r="I173" s="626"/>
      <c r="J173" s="752"/>
      <c r="K173" s="416"/>
      <c r="L173" s="684"/>
      <c r="M173" s="684"/>
      <c r="N173" s="684"/>
      <c r="O173" s="684"/>
      <c r="P173" s="684"/>
      <c r="Q173" s="684"/>
      <c r="R173" s="684"/>
      <c r="S173" s="416"/>
      <c r="T173" s="752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1347</v>
      </c>
      <c r="C174" s="376" t="s">
        <v>1089</v>
      </c>
      <c r="D174" s="376" t="s">
        <v>441</v>
      </c>
      <c r="E174" s="376" t="s">
        <v>437</v>
      </c>
      <c r="F174" s="608" t="s">
        <v>36</v>
      </c>
      <c r="G174" s="609">
        <v>0.10088999999999999</v>
      </c>
      <c r="H174" s="692">
        <v>1</v>
      </c>
      <c r="I174" s="626"/>
      <c r="J174" s="752"/>
      <c r="K174" s="416"/>
      <c r="L174" s="376" t="s">
        <v>437</v>
      </c>
      <c r="M174" s="376" t="s">
        <v>966</v>
      </c>
      <c r="N174" s="376" t="s">
        <v>1356</v>
      </c>
      <c r="O174" s="376" t="s">
        <v>1357</v>
      </c>
      <c r="P174" s="376"/>
      <c r="Q174" s="376"/>
      <c r="R174" s="376"/>
      <c r="S174" s="416"/>
      <c r="T174" s="752"/>
      <c r="U174" s="416"/>
      <c r="V174" s="609">
        <f>IF(W174=1,G174,0)</f>
        <v>0</v>
      </c>
      <c r="W174" s="692"/>
    </row>
    <row r="175" spans="1:23" outlineLevel="3">
      <c r="A175" s="376"/>
      <c r="B175" s="376" t="s">
        <v>1347</v>
      </c>
      <c r="C175" s="376" t="s">
        <v>1089</v>
      </c>
      <c r="D175" s="376" t="s">
        <v>441</v>
      </c>
      <c r="E175" s="376" t="s">
        <v>437</v>
      </c>
      <c r="F175" s="608" t="s">
        <v>208</v>
      </c>
      <c r="G175" s="609">
        <v>0.20177999999999999</v>
      </c>
      <c r="H175" s="692">
        <v>1</v>
      </c>
      <c r="I175" s="626"/>
      <c r="J175" s="752"/>
      <c r="K175" s="416"/>
      <c r="L175" s="376" t="s">
        <v>437</v>
      </c>
      <c r="M175" s="376" t="s">
        <v>966</v>
      </c>
      <c r="N175" s="376" t="s">
        <v>1356</v>
      </c>
      <c r="O175" s="376" t="s">
        <v>1357</v>
      </c>
      <c r="P175" s="376"/>
      <c r="Q175" s="376"/>
      <c r="R175" s="376"/>
      <c r="S175" s="416"/>
      <c r="T175" s="752"/>
      <c r="U175" s="416"/>
      <c r="V175" s="609">
        <f>IF(W175=1,G175,0)</f>
        <v>0</v>
      </c>
      <c r="W175" s="692"/>
    </row>
    <row r="176" spans="1:23" outlineLevel="2">
      <c r="A176" s="376"/>
      <c r="B176" s="684" t="s">
        <v>1347</v>
      </c>
      <c r="C176" s="684" t="s">
        <v>1089</v>
      </c>
      <c r="D176" s="684" t="s">
        <v>860</v>
      </c>
      <c r="E176" s="684"/>
      <c r="F176" s="685" t="s">
        <v>1907</v>
      </c>
      <c r="G176" s="686">
        <f>SUBTOTAL(9,G177:G178)</f>
        <v>0.28215000000000001</v>
      </c>
      <c r="H176" s="691">
        <f>SUBTOTAL(9,H177:H178)</f>
        <v>2</v>
      </c>
      <c r="I176" s="626"/>
      <c r="J176" s="752"/>
      <c r="K176" s="416"/>
      <c r="L176" s="684"/>
      <c r="M176" s="684"/>
      <c r="N176" s="684"/>
      <c r="O176" s="684"/>
      <c r="P176" s="684"/>
      <c r="Q176" s="684"/>
      <c r="R176" s="684"/>
      <c r="S176" s="416"/>
      <c r="T176" s="752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1347</v>
      </c>
      <c r="C177" s="376" t="s">
        <v>1089</v>
      </c>
      <c r="D177" s="376" t="s">
        <v>860</v>
      </c>
      <c r="E177" s="376" t="s">
        <v>437</v>
      </c>
      <c r="F177" s="608" t="s">
        <v>36</v>
      </c>
      <c r="G177" s="609">
        <v>0.11286000000000002</v>
      </c>
      <c r="H177" s="692">
        <v>1</v>
      </c>
      <c r="I177" s="626"/>
      <c r="J177" s="752"/>
      <c r="K177" s="416"/>
      <c r="L177" s="376" t="s">
        <v>437</v>
      </c>
      <c r="M177" s="376" t="s">
        <v>996</v>
      </c>
      <c r="N177" s="376" t="s">
        <v>1244</v>
      </c>
      <c r="O177" s="376"/>
      <c r="P177" s="376"/>
      <c r="Q177" s="376"/>
      <c r="R177" s="376"/>
      <c r="S177" s="416"/>
      <c r="T177" s="752"/>
      <c r="U177" s="416"/>
      <c r="V177" s="609">
        <f>IF(W177=1,G177,0)</f>
        <v>0</v>
      </c>
      <c r="W177" s="692"/>
    </row>
    <row r="178" spans="1:23" outlineLevel="3">
      <c r="A178" s="376"/>
      <c r="B178" s="376" t="s">
        <v>1347</v>
      </c>
      <c r="C178" s="376" t="s">
        <v>1089</v>
      </c>
      <c r="D178" s="376" t="s">
        <v>860</v>
      </c>
      <c r="E178" s="376" t="s">
        <v>437</v>
      </c>
      <c r="F178" s="608" t="s">
        <v>208</v>
      </c>
      <c r="G178" s="609">
        <v>0.16929</v>
      </c>
      <c r="H178" s="692">
        <v>1</v>
      </c>
      <c r="I178" s="626"/>
      <c r="J178" s="752"/>
      <c r="K178" s="416"/>
      <c r="L178" s="376" t="s">
        <v>437</v>
      </c>
      <c r="M178" s="376" t="s">
        <v>996</v>
      </c>
      <c r="N178" s="376" t="s">
        <v>1244</v>
      </c>
      <c r="O178" s="376"/>
      <c r="P178" s="376"/>
      <c r="Q178" s="376"/>
      <c r="R178" s="376"/>
      <c r="S178" s="416"/>
      <c r="T178" s="752"/>
      <c r="U178" s="416"/>
      <c r="V178" s="609">
        <f>IF(W178=1,G178,0)</f>
        <v>0</v>
      </c>
      <c r="W178" s="692"/>
    </row>
    <row r="179" spans="1:23" outlineLevel="1">
      <c r="A179" s="376"/>
      <c r="B179" s="666" t="s">
        <v>1358</v>
      </c>
      <c r="C179" s="666" t="s">
        <v>1089</v>
      </c>
      <c r="D179" s="667"/>
      <c r="E179" s="665"/>
      <c r="F179" s="681" t="s">
        <v>947</v>
      </c>
      <c r="G179" s="708">
        <f>SUBTOTAL(9,G180:G194)</f>
        <v>2.768234101299047</v>
      </c>
      <c r="H179" s="709">
        <f>SUBTOTAL(9,H180:H194)</f>
        <v>12</v>
      </c>
      <c r="I179" s="626"/>
      <c r="J179" s="752"/>
      <c r="K179" s="416"/>
      <c r="L179" s="665"/>
      <c r="M179" s="665"/>
      <c r="N179" s="665"/>
      <c r="O179" s="665"/>
      <c r="P179" s="665"/>
      <c r="Q179" s="665"/>
      <c r="R179" s="665"/>
      <c r="S179" s="416"/>
      <c r="T179" s="752"/>
      <c r="U179" s="416"/>
      <c r="V179" s="708">
        <f>SUBTOTAL(9,V180:V192)</f>
        <v>0</v>
      </c>
      <c r="W179" s="709">
        <f>SUBTOTAL(9,W180:W192)</f>
        <v>0</v>
      </c>
    </row>
    <row r="180" spans="1:23" ht="26.45" outlineLevel="2">
      <c r="A180" s="376"/>
      <c r="B180" s="684" t="s">
        <v>1358</v>
      </c>
      <c r="C180" s="687" t="s">
        <v>1089</v>
      </c>
      <c r="D180" s="684" t="s">
        <v>1335</v>
      </c>
      <c r="E180" s="684"/>
      <c r="F180" s="685" t="s">
        <v>1908</v>
      </c>
      <c r="G180" s="686">
        <f>SUBTOTAL(9,G181:G183)</f>
        <v>2.184224765452226</v>
      </c>
      <c r="H180" s="691">
        <f>SUBTOTAL(9,H181:H183)</f>
        <v>3</v>
      </c>
      <c r="I180" s="626"/>
      <c r="J180" s="752"/>
      <c r="K180" s="416"/>
      <c r="L180" s="684"/>
      <c r="M180" s="684"/>
      <c r="N180" s="684"/>
      <c r="O180" s="684"/>
      <c r="P180" s="684"/>
      <c r="Q180" s="684"/>
      <c r="R180" s="684"/>
      <c r="S180" s="416"/>
      <c r="T180" s="752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1358</v>
      </c>
      <c r="C181" s="387" t="s">
        <v>1089</v>
      </c>
      <c r="D181" s="376" t="s">
        <v>1335</v>
      </c>
      <c r="E181" s="376" t="s">
        <v>437</v>
      </c>
      <c r="F181" s="608" t="s">
        <v>17</v>
      </c>
      <c r="G181" s="609">
        <v>0.4724994626592407</v>
      </c>
      <c r="H181" s="692">
        <v>1</v>
      </c>
      <c r="I181" s="626"/>
      <c r="J181" s="752"/>
      <c r="K181" s="416"/>
      <c r="L181" s="376" t="s">
        <v>437</v>
      </c>
      <c r="M181" s="376" t="s">
        <v>1349</v>
      </c>
      <c r="N181" s="376" t="s">
        <v>1360</v>
      </c>
      <c r="O181" s="376"/>
      <c r="P181" s="376"/>
      <c r="Q181" s="376"/>
      <c r="R181" s="376"/>
      <c r="S181" s="416"/>
      <c r="T181" s="752"/>
      <c r="U181" s="416"/>
      <c r="V181" s="609">
        <f>IF(W181=1,G181,0)</f>
        <v>0</v>
      </c>
      <c r="W181" s="692"/>
    </row>
    <row r="182" spans="1:23" outlineLevel="3">
      <c r="A182" s="376"/>
      <c r="B182" s="376" t="s">
        <v>1358</v>
      </c>
      <c r="C182" s="387" t="s">
        <v>1089</v>
      </c>
      <c r="D182" s="376" t="s">
        <v>1335</v>
      </c>
      <c r="E182" s="376" t="s">
        <v>437</v>
      </c>
      <c r="F182" s="608" t="s">
        <v>36</v>
      </c>
      <c r="G182" s="609">
        <v>0.85586265139649265</v>
      </c>
      <c r="H182" s="692">
        <v>1</v>
      </c>
      <c r="I182" s="626"/>
      <c r="J182" s="752"/>
      <c r="K182" s="416"/>
      <c r="L182" s="376" t="s">
        <v>437</v>
      </c>
      <c r="M182" s="376" t="s">
        <v>1349</v>
      </c>
      <c r="N182" s="376" t="s">
        <v>1360</v>
      </c>
      <c r="O182" s="376"/>
      <c r="P182" s="376"/>
      <c r="Q182" s="376"/>
      <c r="R182" s="376"/>
      <c r="S182" s="416"/>
      <c r="T182" s="752"/>
      <c r="U182" s="416"/>
      <c r="V182" s="609">
        <f>IF(W182=1,G182,0)</f>
        <v>0</v>
      </c>
      <c r="W182" s="692"/>
    </row>
    <row r="183" spans="1:23" outlineLevel="3">
      <c r="A183" s="376"/>
      <c r="B183" s="376" t="s">
        <v>1358</v>
      </c>
      <c r="C183" s="387" t="s">
        <v>1089</v>
      </c>
      <c r="D183" s="376" t="s">
        <v>1335</v>
      </c>
      <c r="E183" s="376" t="s">
        <v>437</v>
      </c>
      <c r="F183" s="608" t="s">
        <v>1909</v>
      </c>
      <c r="G183" s="609">
        <v>0.85586265139649265</v>
      </c>
      <c r="H183" s="692">
        <v>1</v>
      </c>
      <c r="I183" s="626"/>
      <c r="J183" s="752"/>
      <c r="K183" s="416"/>
      <c r="L183" s="376" t="s">
        <v>437</v>
      </c>
      <c r="M183" s="376" t="s">
        <v>1349</v>
      </c>
      <c r="N183" s="376" t="s">
        <v>1360</v>
      </c>
      <c r="O183" s="376"/>
      <c r="P183" s="376"/>
      <c r="Q183" s="376"/>
      <c r="R183" s="376"/>
      <c r="S183" s="416"/>
      <c r="T183" s="752"/>
      <c r="U183" s="416"/>
      <c r="V183" s="609">
        <f>IF(W183=1,G183,0)</f>
        <v>0</v>
      </c>
      <c r="W183" s="692"/>
    </row>
    <row r="184" spans="1:23" outlineLevel="2">
      <c r="A184" s="376"/>
      <c r="B184" s="684" t="s">
        <v>1358</v>
      </c>
      <c r="C184" s="687" t="s">
        <v>1089</v>
      </c>
      <c r="D184" s="684" t="s">
        <v>441</v>
      </c>
      <c r="E184" s="684"/>
      <c r="F184" s="685" t="s">
        <v>1381</v>
      </c>
      <c r="G184" s="686">
        <f>SUBTOTAL(9,G185:G188)</f>
        <v>0.33452961956274241</v>
      </c>
      <c r="H184" s="691">
        <f>SUBTOTAL(9,H185:H188)</f>
        <v>4</v>
      </c>
      <c r="I184" s="626"/>
      <c r="J184" s="752"/>
      <c r="K184" s="416"/>
      <c r="L184" s="684"/>
      <c r="M184" s="684"/>
      <c r="N184" s="684"/>
      <c r="O184" s="684"/>
      <c r="P184" s="684"/>
      <c r="Q184" s="684"/>
      <c r="R184" s="684"/>
      <c r="S184" s="416"/>
      <c r="T184" s="752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1358</v>
      </c>
      <c r="C185" s="387" t="s">
        <v>1089</v>
      </c>
      <c r="D185" s="376" t="s">
        <v>441</v>
      </c>
      <c r="E185" s="376" t="s">
        <v>437</v>
      </c>
      <c r="F185" s="608" t="s">
        <v>36</v>
      </c>
      <c r="G185" s="609">
        <v>5.5754936593790397E-2</v>
      </c>
      <c r="H185" s="692">
        <v>1</v>
      </c>
      <c r="I185" s="626"/>
      <c r="J185" s="752"/>
      <c r="K185" s="416"/>
      <c r="L185" s="376" t="s">
        <v>437</v>
      </c>
      <c r="M185" s="376" t="s">
        <v>966</v>
      </c>
      <c r="N185" s="376" t="s">
        <v>1362</v>
      </c>
      <c r="O185" s="376"/>
      <c r="P185" s="376"/>
      <c r="Q185" s="376"/>
      <c r="R185" s="376"/>
      <c r="S185" s="416"/>
      <c r="T185" s="752"/>
      <c r="U185" s="416"/>
      <c r="V185" s="609">
        <f>IF(W185=1,G185,0)</f>
        <v>0</v>
      </c>
      <c r="W185" s="692"/>
    </row>
    <row r="186" spans="1:23" outlineLevel="3">
      <c r="A186" s="376"/>
      <c r="B186" s="376" t="s">
        <v>1358</v>
      </c>
      <c r="C186" s="387" t="s">
        <v>1089</v>
      </c>
      <c r="D186" s="376" t="s">
        <v>441</v>
      </c>
      <c r="E186" s="376" t="s">
        <v>437</v>
      </c>
      <c r="F186" s="608" t="s">
        <v>1237</v>
      </c>
      <c r="G186" s="609">
        <v>0.11150987318758079</v>
      </c>
      <c r="H186" s="692">
        <v>1</v>
      </c>
      <c r="I186" s="626"/>
      <c r="J186" s="752"/>
      <c r="K186" s="416"/>
      <c r="L186" s="376" t="s">
        <v>437</v>
      </c>
      <c r="M186" s="376" t="s">
        <v>966</v>
      </c>
      <c r="N186" s="376" t="s">
        <v>1362</v>
      </c>
      <c r="O186" s="376"/>
      <c r="P186" s="376"/>
      <c r="Q186" s="376"/>
      <c r="R186" s="376"/>
      <c r="S186" s="416"/>
      <c r="T186" s="752"/>
      <c r="U186" s="416"/>
      <c r="V186" s="609">
        <f>IF(W186=1,G186,0)</f>
        <v>0</v>
      </c>
      <c r="W186" s="692"/>
    </row>
    <row r="187" spans="1:23" outlineLevel="3">
      <c r="A187" s="376"/>
      <c r="B187" s="376" t="s">
        <v>1358</v>
      </c>
      <c r="C187" s="387" t="s">
        <v>1089</v>
      </c>
      <c r="D187" s="376" t="s">
        <v>441</v>
      </c>
      <c r="E187" s="376" t="s">
        <v>437</v>
      </c>
      <c r="F187" s="608" t="s">
        <v>971</v>
      </c>
      <c r="G187" s="609">
        <v>0.11150987318758079</v>
      </c>
      <c r="H187" s="692">
        <v>1</v>
      </c>
      <c r="I187" s="626"/>
      <c r="J187" s="752"/>
      <c r="K187" s="416"/>
      <c r="L187" s="376" t="s">
        <v>437</v>
      </c>
      <c r="M187" s="376" t="s">
        <v>966</v>
      </c>
      <c r="N187" s="376" t="s">
        <v>1362</v>
      </c>
      <c r="O187" s="376"/>
      <c r="P187" s="376"/>
      <c r="Q187" s="376"/>
      <c r="R187" s="376"/>
      <c r="S187" s="416"/>
      <c r="T187" s="752"/>
      <c r="U187" s="416"/>
      <c r="V187" s="609">
        <f>IF(W187=1,G187,0)</f>
        <v>0</v>
      </c>
      <c r="W187" s="692"/>
    </row>
    <row r="188" spans="1:23" outlineLevel="3">
      <c r="A188" s="376"/>
      <c r="B188" s="376" t="s">
        <v>1358</v>
      </c>
      <c r="C188" s="387" t="s">
        <v>1089</v>
      </c>
      <c r="D188" s="376" t="s">
        <v>441</v>
      </c>
      <c r="E188" s="376" t="s">
        <v>437</v>
      </c>
      <c r="F188" s="789" t="s">
        <v>608</v>
      </c>
      <c r="G188" s="609">
        <v>5.5754936593790397E-2</v>
      </c>
      <c r="H188" s="692">
        <v>1</v>
      </c>
      <c r="I188" s="626"/>
      <c r="J188" s="752"/>
      <c r="K188" s="416"/>
      <c r="L188" s="376" t="s">
        <v>437</v>
      </c>
      <c r="M188" s="376" t="s">
        <v>966</v>
      </c>
      <c r="N188" s="376" t="s">
        <v>1362</v>
      </c>
      <c r="O188" s="376"/>
      <c r="P188" s="376"/>
      <c r="Q188" s="376"/>
      <c r="R188" s="376"/>
      <c r="S188" s="416"/>
      <c r="T188" s="752"/>
      <c r="U188" s="416"/>
      <c r="V188" s="609">
        <f>IF(W188=1,G188,0)</f>
        <v>0</v>
      </c>
      <c r="W188" s="692"/>
    </row>
    <row r="189" spans="1:23" outlineLevel="2">
      <c r="A189" s="376"/>
      <c r="B189" s="684" t="s">
        <v>1358</v>
      </c>
      <c r="C189" s="687" t="s">
        <v>1089</v>
      </c>
      <c r="D189" s="684" t="s">
        <v>860</v>
      </c>
      <c r="E189" s="684"/>
      <c r="F189" s="685" t="s">
        <v>1381</v>
      </c>
      <c r="G189" s="686">
        <f>SUBTOTAL(9,G190:G194)</f>
        <v>0.24947971628407911</v>
      </c>
      <c r="H189" s="691">
        <f>SUBTOTAL(9,H190:H194)</f>
        <v>5</v>
      </c>
      <c r="I189" s="626"/>
      <c r="J189" s="752"/>
      <c r="K189" s="416"/>
      <c r="L189" s="684"/>
      <c r="M189" s="684"/>
      <c r="N189" s="684"/>
      <c r="O189" s="684"/>
      <c r="P189" s="684"/>
      <c r="Q189" s="684"/>
      <c r="R189" s="684"/>
      <c r="S189" s="416"/>
      <c r="T189" s="752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1358</v>
      </c>
      <c r="C190" s="387" t="s">
        <v>1089</v>
      </c>
      <c r="D190" s="376" t="s">
        <v>860</v>
      </c>
      <c r="E190" s="376" t="s">
        <v>437</v>
      </c>
      <c r="F190" s="608" t="s">
        <v>36</v>
      </c>
      <c r="G190" s="609">
        <v>6.2369929071019771E-2</v>
      </c>
      <c r="H190" s="692">
        <v>1</v>
      </c>
      <c r="I190" s="626"/>
      <c r="J190" s="752"/>
      <c r="K190" s="416"/>
      <c r="L190" s="376" t="s">
        <v>437</v>
      </c>
      <c r="M190" s="376" t="s">
        <v>996</v>
      </c>
      <c r="N190" s="376" t="s">
        <v>1244</v>
      </c>
      <c r="O190" s="376"/>
      <c r="P190" s="376"/>
      <c r="Q190" s="376"/>
      <c r="R190" s="376"/>
      <c r="S190" s="416"/>
      <c r="T190" s="752"/>
      <c r="U190" s="416"/>
      <c r="V190" s="609">
        <f>IF(W190=1,G190,0)</f>
        <v>0</v>
      </c>
      <c r="W190" s="692"/>
    </row>
    <row r="191" spans="1:23" outlineLevel="4">
      <c r="A191" s="376"/>
      <c r="B191" s="376" t="s">
        <v>1358</v>
      </c>
      <c r="C191" s="387" t="s">
        <v>1089</v>
      </c>
      <c r="D191" s="376" t="s">
        <v>860</v>
      </c>
      <c r="E191" s="376" t="s">
        <v>437</v>
      </c>
      <c r="F191" s="608" t="s">
        <v>1237</v>
      </c>
      <c r="G191" s="609">
        <v>9.3554893606529646E-2</v>
      </c>
      <c r="H191" s="692">
        <v>1</v>
      </c>
      <c r="I191" s="626"/>
      <c r="J191" s="752"/>
      <c r="K191" s="416"/>
      <c r="L191" s="376" t="s">
        <v>437</v>
      </c>
      <c r="M191" s="376" t="s">
        <v>996</v>
      </c>
      <c r="N191" s="376" t="s">
        <v>1244</v>
      </c>
      <c r="O191" s="376"/>
      <c r="P191" s="376"/>
      <c r="Q191" s="376"/>
      <c r="R191" s="376"/>
      <c r="S191" s="416"/>
      <c r="T191" s="752"/>
      <c r="U191" s="416"/>
      <c r="V191" s="609">
        <f>IF(W191=1,G191,0)</f>
        <v>0</v>
      </c>
      <c r="W191" s="692"/>
    </row>
    <row r="192" spans="1:23" outlineLevel="4">
      <c r="A192" s="376"/>
      <c r="B192" s="376" t="s">
        <v>1358</v>
      </c>
      <c r="C192" s="387" t="s">
        <v>1089</v>
      </c>
      <c r="D192" s="376" t="s">
        <v>860</v>
      </c>
      <c r="E192" s="376" t="s">
        <v>437</v>
      </c>
      <c r="F192" s="608" t="s">
        <v>971</v>
      </c>
      <c r="G192" s="609">
        <v>3.1184964535509885E-2</v>
      </c>
      <c r="H192" s="692">
        <v>1</v>
      </c>
      <c r="I192" s="626"/>
      <c r="J192" s="752"/>
      <c r="K192" s="416"/>
      <c r="L192" s="376" t="s">
        <v>437</v>
      </c>
      <c r="M192" s="376" t="s">
        <v>996</v>
      </c>
      <c r="N192" s="376" t="s">
        <v>1244</v>
      </c>
      <c r="O192" s="376"/>
      <c r="P192" s="376"/>
      <c r="Q192" s="376"/>
      <c r="R192" s="376"/>
      <c r="S192" s="416"/>
      <c r="T192" s="752"/>
      <c r="U192" s="416"/>
      <c r="V192" s="609">
        <f>IF(W192=1,G192,0)</f>
        <v>0</v>
      </c>
      <c r="W192" s="692"/>
    </row>
    <row r="193" spans="1:23" outlineLevel="3">
      <c r="A193" s="376"/>
      <c r="B193" s="376" t="s">
        <v>1358</v>
      </c>
      <c r="C193" s="387" t="s">
        <v>1089</v>
      </c>
      <c r="D193" s="376" t="s">
        <v>860</v>
      </c>
      <c r="E193" s="376" t="s">
        <v>437</v>
      </c>
      <c r="F193" s="789" t="s">
        <v>198</v>
      </c>
      <c r="G193" s="609">
        <v>3.1184964535509885E-2</v>
      </c>
      <c r="H193" s="692">
        <v>1</v>
      </c>
      <c r="I193" s="626"/>
      <c r="J193" s="752"/>
      <c r="K193" s="416"/>
      <c r="L193" s="376" t="s">
        <v>437</v>
      </c>
      <c r="M193" s="376" t="s">
        <v>996</v>
      </c>
      <c r="N193" s="376" t="s">
        <v>1244</v>
      </c>
      <c r="O193" s="376"/>
      <c r="P193" s="376"/>
      <c r="Q193" s="376"/>
      <c r="R193" s="376">
        <v>0</v>
      </c>
      <c r="S193" s="416"/>
      <c r="T193" s="752"/>
      <c r="U193" s="416"/>
      <c r="V193" s="609">
        <f>IF(W193=1,G193,0)</f>
        <v>0</v>
      </c>
      <c r="W193" s="692"/>
    </row>
    <row r="194" spans="1:23" outlineLevel="3">
      <c r="A194" s="376"/>
      <c r="B194" s="376" t="s">
        <v>1358</v>
      </c>
      <c r="C194" s="387" t="s">
        <v>1089</v>
      </c>
      <c r="D194" s="376" t="s">
        <v>860</v>
      </c>
      <c r="E194" s="376" t="s">
        <v>437</v>
      </c>
      <c r="F194" s="789" t="s">
        <v>608</v>
      </c>
      <c r="G194" s="609">
        <v>3.1184964535509885E-2</v>
      </c>
      <c r="H194" s="692">
        <v>1</v>
      </c>
      <c r="I194" s="626"/>
      <c r="J194" s="752"/>
      <c r="K194" s="416"/>
      <c r="L194" s="376" t="s">
        <v>437</v>
      </c>
      <c r="M194" s="376" t="s">
        <v>996</v>
      </c>
      <c r="N194" s="376" t="s">
        <v>1244</v>
      </c>
      <c r="O194" s="376"/>
      <c r="P194" s="376"/>
      <c r="Q194" s="376"/>
      <c r="R194" s="376">
        <v>0</v>
      </c>
      <c r="S194" s="416"/>
      <c r="T194" s="752"/>
      <c r="U194" s="416"/>
      <c r="V194" s="609">
        <f>IF(W194=1,G194,0)</f>
        <v>0</v>
      </c>
      <c r="W194" s="692"/>
    </row>
    <row r="195" spans="1:23" outlineLevel="1">
      <c r="A195" s="376"/>
      <c r="B195" s="666" t="s">
        <v>1363</v>
      </c>
      <c r="C195" s="666" t="s">
        <v>1089</v>
      </c>
      <c r="D195" s="667" t="s">
        <v>1364</v>
      </c>
      <c r="E195" s="665"/>
      <c r="F195" s="681" t="s">
        <v>947</v>
      </c>
      <c r="G195" s="708">
        <f>SUBTOTAL(9,G196:G212)</f>
        <v>0.64899608532455322</v>
      </c>
      <c r="H195" s="709">
        <f>SUBTOTAL(9,H196:H212)</f>
        <v>14</v>
      </c>
      <c r="I195" s="626"/>
      <c r="J195" s="752"/>
      <c r="K195" s="416"/>
      <c r="L195" s="665"/>
      <c r="M195" s="665"/>
      <c r="N195" s="665"/>
      <c r="O195" s="665"/>
      <c r="P195" s="665"/>
      <c r="Q195" s="665"/>
      <c r="R195" s="665"/>
      <c r="S195" s="416"/>
      <c r="T195" s="752"/>
      <c r="U195" s="416"/>
      <c r="V195" s="708">
        <f>SUBTOTAL(9,V196:V212)</f>
        <v>0</v>
      </c>
      <c r="W195" s="709">
        <f>SUBTOTAL(9,W196:W212)</f>
        <v>0</v>
      </c>
    </row>
    <row r="196" spans="1:23" ht="26.45" outlineLevel="2">
      <c r="A196" s="376"/>
      <c r="B196" s="684" t="s">
        <v>1363</v>
      </c>
      <c r="C196" s="687" t="s">
        <v>1089</v>
      </c>
      <c r="D196" s="684" t="s">
        <v>1335</v>
      </c>
      <c r="E196" s="684"/>
      <c r="F196" s="685" t="s">
        <v>1910</v>
      </c>
      <c r="G196" s="686">
        <f>SUBTOTAL(9,G197:G200)</f>
        <v>0.52044099788952725</v>
      </c>
      <c r="H196" s="691">
        <f>SUBTOTAL(9,H197:H200)</f>
        <v>4</v>
      </c>
      <c r="I196" s="626"/>
      <c r="J196" s="752"/>
      <c r="K196" s="416"/>
      <c r="L196" s="684"/>
      <c r="M196" s="684"/>
      <c r="N196" s="684"/>
      <c r="O196" s="684"/>
      <c r="P196" s="684"/>
      <c r="Q196" s="684"/>
      <c r="R196" s="684"/>
      <c r="S196" s="416"/>
      <c r="T196" s="752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1363</v>
      </c>
      <c r="C197" s="387" t="s">
        <v>1089</v>
      </c>
      <c r="D197" s="376" t="s">
        <v>1335</v>
      </c>
      <c r="E197" s="376" t="s">
        <v>437</v>
      </c>
      <c r="F197" s="608" t="s">
        <v>1366</v>
      </c>
      <c r="G197" s="609">
        <v>0.13427418761072726</v>
      </c>
      <c r="H197" s="692">
        <v>1</v>
      </c>
      <c r="I197" s="626"/>
      <c r="J197" s="752"/>
      <c r="K197" s="416"/>
      <c r="L197" s="376" t="s">
        <v>437</v>
      </c>
      <c r="M197" s="376" t="s">
        <v>1349</v>
      </c>
      <c r="N197" s="376" t="s">
        <v>1360</v>
      </c>
      <c r="O197" s="376"/>
      <c r="P197" s="376"/>
      <c r="Q197" s="376"/>
      <c r="R197" s="376"/>
      <c r="S197" s="416"/>
      <c r="T197" s="752"/>
      <c r="U197" s="416"/>
      <c r="V197" s="609">
        <f>IF(W197=1,G197,0)</f>
        <v>0</v>
      </c>
      <c r="W197" s="692"/>
    </row>
    <row r="198" spans="1:23" outlineLevel="3">
      <c r="A198" s="376"/>
      <c r="B198" s="376" t="s">
        <v>1363</v>
      </c>
      <c r="C198" s="387" t="s">
        <v>1089</v>
      </c>
      <c r="D198" s="376" t="s">
        <v>1335</v>
      </c>
      <c r="E198" s="376" t="s">
        <v>437</v>
      </c>
      <c r="F198" s="608" t="s">
        <v>1376</v>
      </c>
      <c r="G198" s="609">
        <v>0.24320523867600002</v>
      </c>
      <c r="H198" s="692">
        <v>1</v>
      </c>
      <c r="I198" s="626"/>
      <c r="J198" s="752"/>
      <c r="K198" s="416"/>
      <c r="L198" s="376" t="s">
        <v>437</v>
      </c>
      <c r="M198" s="376" t="s">
        <v>1349</v>
      </c>
      <c r="N198" s="376" t="s">
        <v>1360</v>
      </c>
      <c r="O198" s="376"/>
      <c r="P198" s="376"/>
      <c r="Q198" s="376"/>
      <c r="R198" s="376"/>
      <c r="S198" s="416"/>
      <c r="T198" s="752"/>
      <c r="U198" s="416"/>
      <c r="V198" s="609">
        <f>IF(W198=1,G198,0)</f>
        <v>0</v>
      </c>
      <c r="W198" s="692"/>
    </row>
    <row r="199" spans="1:23" outlineLevel="3">
      <c r="A199" s="376"/>
      <c r="B199" s="376" t="s">
        <v>1363</v>
      </c>
      <c r="C199" s="387" t="s">
        <v>1089</v>
      </c>
      <c r="D199" s="376" t="s">
        <v>1335</v>
      </c>
      <c r="E199" s="376" t="s">
        <v>437</v>
      </c>
      <c r="F199" s="608" t="s">
        <v>1374</v>
      </c>
      <c r="G199" s="609">
        <v>7.2961571602800007E-2</v>
      </c>
      <c r="H199" s="692">
        <v>1</v>
      </c>
      <c r="I199" s="626"/>
      <c r="J199" s="752"/>
      <c r="K199" s="416"/>
      <c r="L199" s="376" t="s">
        <v>437</v>
      </c>
      <c r="M199" s="376" t="s">
        <v>1349</v>
      </c>
      <c r="N199" s="376" t="s">
        <v>1360</v>
      </c>
      <c r="O199" s="376"/>
      <c r="P199" s="376"/>
      <c r="Q199" s="376"/>
      <c r="R199" s="376"/>
      <c r="S199" s="416"/>
      <c r="T199" s="752"/>
      <c r="U199" s="416"/>
      <c r="V199" s="609">
        <f>IF(W199=1,G199,0)</f>
        <v>0</v>
      </c>
      <c r="W199" s="692"/>
    </row>
    <row r="200" spans="1:23" outlineLevel="3">
      <c r="A200" s="376"/>
      <c r="B200" s="376" t="s">
        <v>1363</v>
      </c>
      <c r="C200" s="387" t="s">
        <v>1089</v>
      </c>
      <c r="D200" s="376" t="s">
        <v>1335</v>
      </c>
      <c r="E200" s="376" t="s">
        <v>437</v>
      </c>
      <c r="F200" s="608" t="s">
        <v>1911</v>
      </c>
      <c r="G200" s="609">
        <v>7.0000000000000007E-2</v>
      </c>
      <c r="H200" s="692">
        <v>1</v>
      </c>
      <c r="I200" s="626"/>
      <c r="J200" s="752"/>
      <c r="K200" s="416"/>
      <c r="L200" s="376" t="s">
        <v>437</v>
      </c>
      <c r="M200" s="376" t="s">
        <v>1349</v>
      </c>
      <c r="N200" s="376" t="s">
        <v>1360</v>
      </c>
      <c r="O200" s="376"/>
      <c r="P200" s="376"/>
      <c r="Q200" s="376"/>
      <c r="R200" s="376"/>
      <c r="S200" s="416"/>
      <c r="T200" s="752"/>
      <c r="U200" s="416"/>
      <c r="V200" s="609">
        <f>IF(W200=1,G200,0)</f>
        <v>0</v>
      </c>
      <c r="W200" s="692"/>
    </row>
    <row r="201" spans="1:23" ht="26.45" outlineLevel="2">
      <c r="A201" s="376"/>
      <c r="B201" s="684" t="s">
        <v>1363</v>
      </c>
      <c r="C201" s="687" t="s">
        <v>1089</v>
      </c>
      <c r="D201" s="684" t="s">
        <v>441</v>
      </c>
      <c r="E201" s="684"/>
      <c r="F201" s="685" t="s">
        <v>1910</v>
      </c>
      <c r="G201" s="686">
        <f>SUBTOTAL(9,G202:G206)</f>
        <v>8.7589899547485806E-2</v>
      </c>
      <c r="H201" s="691">
        <f>SUBTOTAL(9,H202:H206)</f>
        <v>5</v>
      </c>
      <c r="I201" s="626"/>
      <c r="J201" s="752"/>
      <c r="K201" s="416"/>
      <c r="L201" s="684"/>
      <c r="M201" s="684"/>
      <c r="N201" s="684"/>
      <c r="O201" s="684"/>
      <c r="P201" s="684"/>
      <c r="Q201" s="684"/>
      <c r="R201" s="684"/>
      <c r="S201" s="416"/>
      <c r="T201" s="752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1363</v>
      </c>
      <c r="C202" s="387" t="s">
        <v>1089</v>
      </c>
      <c r="D202" s="376" t="s">
        <v>441</v>
      </c>
      <c r="E202" s="376" t="s">
        <v>437</v>
      </c>
      <c r="F202" s="608" t="s">
        <v>1366</v>
      </c>
      <c r="G202" s="609">
        <v>1.5844354138065817E-2</v>
      </c>
      <c r="H202" s="692">
        <v>1</v>
      </c>
      <c r="I202" s="626"/>
      <c r="J202" s="752"/>
      <c r="K202" s="416"/>
      <c r="L202" s="376" t="s">
        <v>437</v>
      </c>
      <c r="M202" s="376" t="s">
        <v>966</v>
      </c>
      <c r="N202" s="376" t="s">
        <v>1362</v>
      </c>
      <c r="O202" s="376"/>
      <c r="P202" s="376"/>
      <c r="Q202" s="376"/>
      <c r="R202" s="376"/>
      <c r="S202" s="416"/>
      <c r="T202" s="752"/>
      <c r="U202" s="416"/>
      <c r="V202" s="609">
        <f>IF(W202=1,G202,0)</f>
        <v>0</v>
      </c>
      <c r="W202" s="692"/>
    </row>
    <row r="203" spans="1:23" outlineLevel="3">
      <c r="A203" s="376"/>
      <c r="B203" s="376" t="s">
        <v>1363</v>
      </c>
      <c r="C203" s="387" t="s">
        <v>1089</v>
      </c>
      <c r="D203" s="376" t="s">
        <v>441</v>
      </c>
      <c r="E203" s="376" t="s">
        <v>437</v>
      </c>
      <c r="F203" s="608" t="s">
        <v>1376</v>
      </c>
      <c r="G203" s="609">
        <v>1.4349109081883998E-2</v>
      </c>
      <c r="H203" s="692">
        <v>1</v>
      </c>
      <c r="I203" s="626"/>
      <c r="J203" s="752"/>
      <c r="K203" s="416"/>
      <c r="L203" s="376" t="s">
        <v>437</v>
      </c>
      <c r="M203" s="376" t="s">
        <v>966</v>
      </c>
      <c r="N203" s="376" t="s">
        <v>1362</v>
      </c>
      <c r="O203" s="376"/>
      <c r="P203" s="376"/>
      <c r="Q203" s="376"/>
      <c r="R203" s="376"/>
      <c r="S203" s="416"/>
      <c r="T203" s="752"/>
      <c r="U203" s="416"/>
      <c r="V203" s="609">
        <f>IF(W203=1,G203,0)</f>
        <v>0</v>
      </c>
      <c r="W203" s="692"/>
    </row>
    <row r="204" spans="1:23" outlineLevel="3">
      <c r="A204" s="376"/>
      <c r="B204" s="376" t="s">
        <v>1363</v>
      </c>
      <c r="C204" s="387" t="s">
        <v>1089</v>
      </c>
      <c r="D204" s="376" t="s">
        <v>441</v>
      </c>
      <c r="E204" s="376" t="s">
        <v>437</v>
      </c>
      <c r="F204" s="608" t="s">
        <v>1377</v>
      </c>
      <c r="G204" s="609">
        <v>2.8698218163767997E-2</v>
      </c>
      <c r="H204" s="692">
        <v>1</v>
      </c>
      <c r="I204" s="626"/>
      <c r="J204" s="752"/>
      <c r="K204" s="416"/>
      <c r="L204" s="376" t="s">
        <v>437</v>
      </c>
      <c r="M204" s="376" t="s">
        <v>966</v>
      </c>
      <c r="N204" s="376" t="s">
        <v>1362</v>
      </c>
      <c r="O204" s="376"/>
      <c r="P204" s="376"/>
      <c r="Q204" s="376"/>
      <c r="R204" s="376"/>
      <c r="S204" s="416"/>
      <c r="T204" s="752"/>
      <c r="U204" s="416"/>
      <c r="V204" s="609">
        <f>IF(W204=1,G204,0)</f>
        <v>0</v>
      </c>
      <c r="W204" s="692"/>
    </row>
    <row r="205" spans="1:23" outlineLevel="3">
      <c r="A205" s="376"/>
      <c r="B205" s="376" t="s">
        <v>1363</v>
      </c>
      <c r="C205" s="387" t="s">
        <v>1089</v>
      </c>
      <c r="D205" s="376" t="s">
        <v>441</v>
      </c>
      <c r="E205" s="376" t="s">
        <v>437</v>
      </c>
      <c r="F205" s="608" t="s">
        <v>1374</v>
      </c>
      <c r="G205" s="609">
        <v>1.4349109081883998E-2</v>
      </c>
      <c r="H205" s="692">
        <v>1</v>
      </c>
      <c r="I205" s="626"/>
      <c r="J205" s="752"/>
      <c r="K205" s="416"/>
      <c r="L205" s="376" t="s">
        <v>437</v>
      </c>
      <c r="M205" s="376" t="s">
        <v>966</v>
      </c>
      <c r="N205" s="376" t="s">
        <v>1362</v>
      </c>
      <c r="O205" s="376"/>
      <c r="P205" s="376"/>
      <c r="Q205" s="376"/>
      <c r="R205" s="376"/>
      <c r="S205" s="416"/>
      <c r="T205" s="752"/>
      <c r="U205" s="416"/>
      <c r="V205" s="609">
        <f>IF(W205=1,G205,0)</f>
        <v>0</v>
      </c>
      <c r="W205" s="692"/>
    </row>
    <row r="206" spans="1:23" outlineLevel="3">
      <c r="A206" s="376"/>
      <c r="B206" s="376" t="s">
        <v>1363</v>
      </c>
      <c r="C206" s="387" t="s">
        <v>1089</v>
      </c>
      <c r="D206" s="376" t="s">
        <v>441</v>
      </c>
      <c r="E206" s="376" t="s">
        <v>437</v>
      </c>
      <c r="F206" s="608" t="s">
        <v>1911</v>
      </c>
      <c r="G206" s="609">
        <v>1.4349109081883998E-2</v>
      </c>
      <c r="H206" s="692">
        <v>1</v>
      </c>
      <c r="I206" s="626"/>
      <c r="J206" s="752"/>
      <c r="K206" s="416"/>
      <c r="L206" s="376" t="s">
        <v>437</v>
      </c>
      <c r="M206" s="376" t="s">
        <v>966</v>
      </c>
      <c r="N206" s="376"/>
      <c r="O206" s="376"/>
      <c r="P206" s="376"/>
      <c r="Q206" s="376"/>
      <c r="R206" s="376"/>
      <c r="S206" s="416"/>
      <c r="T206" s="752"/>
      <c r="U206" s="416"/>
      <c r="V206" s="609">
        <f>IF(W206=1,G206,0)</f>
        <v>0</v>
      </c>
      <c r="W206" s="692"/>
    </row>
    <row r="207" spans="1:23" ht="26.45" outlineLevel="2">
      <c r="A207" s="376"/>
      <c r="B207" s="684" t="s">
        <v>1363</v>
      </c>
      <c r="C207" s="687" t="s">
        <v>1089</v>
      </c>
      <c r="D207" s="684" t="s">
        <v>860</v>
      </c>
      <c r="E207" s="684"/>
      <c r="F207" s="685" t="s">
        <v>1910</v>
      </c>
      <c r="G207" s="686">
        <f>SUBTOTAL(9,G208:G214)</f>
        <v>5.7016733640155991E-2</v>
      </c>
      <c r="H207" s="691">
        <f>SUBTOTAL(9,H208:H214)</f>
        <v>7</v>
      </c>
      <c r="I207" s="626"/>
      <c r="J207" s="752"/>
      <c r="K207" s="416"/>
      <c r="L207" s="684"/>
      <c r="M207" s="684"/>
      <c r="N207" s="684"/>
      <c r="O207" s="684"/>
      <c r="P207" s="684"/>
      <c r="Q207" s="684"/>
      <c r="R207" s="684"/>
      <c r="S207" s="416"/>
      <c r="T207" s="752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1363</v>
      </c>
      <c r="C208" s="387" t="s">
        <v>1089</v>
      </c>
      <c r="D208" s="376" t="s">
        <v>860</v>
      </c>
      <c r="E208" s="376" t="s">
        <v>437</v>
      </c>
      <c r="F208" s="608" t="s">
        <v>1366</v>
      </c>
      <c r="G208" s="609">
        <v>8.8620963823079994E-3</v>
      </c>
      <c r="H208" s="692">
        <v>1</v>
      </c>
      <c r="I208" s="626"/>
      <c r="J208" s="752"/>
      <c r="K208" s="416"/>
      <c r="L208" s="376" t="s">
        <v>437</v>
      </c>
      <c r="M208" s="376" t="s">
        <v>996</v>
      </c>
      <c r="N208" s="376" t="s">
        <v>1378</v>
      </c>
      <c r="O208" s="376"/>
      <c r="P208" s="376"/>
      <c r="Q208" s="376"/>
      <c r="R208" s="376"/>
      <c r="S208" s="416"/>
      <c r="T208" s="752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1363</v>
      </c>
      <c r="C209" s="387" t="s">
        <v>1089</v>
      </c>
      <c r="D209" s="376" t="s">
        <v>860</v>
      </c>
      <c r="E209" s="376" t="s">
        <v>437</v>
      </c>
      <c r="F209" s="608" t="s">
        <v>1368</v>
      </c>
      <c r="G209" s="609">
        <v>8.0257728763079988E-3</v>
      </c>
      <c r="H209" s="692">
        <v>1</v>
      </c>
      <c r="I209" s="626"/>
      <c r="J209" s="752"/>
      <c r="K209" s="416"/>
      <c r="L209" s="376" t="s">
        <v>437</v>
      </c>
      <c r="M209" s="376" t="s">
        <v>996</v>
      </c>
      <c r="N209" s="376" t="s">
        <v>1378</v>
      </c>
      <c r="O209" s="376"/>
      <c r="P209" s="376"/>
      <c r="Q209" s="376"/>
      <c r="R209" s="376"/>
      <c r="S209" s="416"/>
      <c r="T209" s="752"/>
      <c r="U209" s="416"/>
      <c r="V209" s="609">
        <f t="shared" si="2"/>
        <v>0</v>
      </c>
      <c r="W209" s="692"/>
    </row>
    <row r="210" spans="1:23" outlineLevel="4">
      <c r="A210" s="376"/>
      <c r="B210" s="376" t="s">
        <v>1363</v>
      </c>
      <c r="C210" s="387" t="s">
        <v>1089</v>
      </c>
      <c r="D210" s="376" t="s">
        <v>860</v>
      </c>
      <c r="E210" s="376" t="s">
        <v>437</v>
      </c>
      <c r="F210" s="608" t="s">
        <v>1376</v>
      </c>
      <c r="G210" s="609">
        <v>8.0257728763080006E-3</v>
      </c>
      <c r="H210" s="692">
        <v>1</v>
      </c>
      <c r="I210" s="626"/>
      <c r="J210" s="752"/>
      <c r="K210" s="416"/>
      <c r="L210" s="376" t="s">
        <v>437</v>
      </c>
      <c r="M210" s="376" t="s">
        <v>996</v>
      </c>
      <c r="N210" s="376" t="s">
        <v>1378</v>
      </c>
      <c r="O210" s="376"/>
      <c r="P210" s="376"/>
      <c r="Q210" s="376"/>
      <c r="R210" s="376"/>
      <c r="S210" s="416"/>
      <c r="T210" s="752"/>
      <c r="U210" s="416"/>
      <c r="V210" s="609">
        <f t="shared" si="2"/>
        <v>0</v>
      </c>
      <c r="W210" s="692"/>
    </row>
    <row r="211" spans="1:23" outlineLevel="4">
      <c r="A211" s="376"/>
      <c r="B211" s="376" t="s">
        <v>1363</v>
      </c>
      <c r="C211" s="387" t="s">
        <v>1089</v>
      </c>
      <c r="D211" s="376" t="s">
        <v>860</v>
      </c>
      <c r="E211" s="376" t="s">
        <v>437</v>
      </c>
      <c r="F211" s="608" t="s">
        <v>1377</v>
      </c>
      <c r="G211" s="609">
        <v>8.0257728763079988E-3</v>
      </c>
      <c r="H211" s="692">
        <v>1</v>
      </c>
      <c r="I211" s="626"/>
      <c r="J211" s="752"/>
      <c r="K211" s="416"/>
      <c r="L211" s="376" t="s">
        <v>437</v>
      </c>
      <c r="M211" s="376" t="s">
        <v>996</v>
      </c>
      <c r="N211" s="376" t="s">
        <v>1378</v>
      </c>
      <c r="O211" s="376"/>
      <c r="P211" s="376"/>
      <c r="Q211" s="376"/>
      <c r="R211" s="376"/>
      <c r="S211" s="416"/>
      <c r="T211" s="752"/>
      <c r="U211" s="416"/>
      <c r="V211" s="609">
        <f t="shared" si="2"/>
        <v>0</v>
      </c>
      <c r="W211" s="692"/>
    </row>
    <row r="212" spans="1:23" outlineLevel="4">
      <c r="A212" s="376"/>
      <c r="B212" s="376" t="s">
        <v>1363</v>
      </c>
      <c r="C212" s="387" t="s">
        <v>1089</v>
      </c>
      <c r="D212" s="376" t="s">
        <v>860</v>
      </c>
      <c r="E212" s="376" t="s">
        <v>437</v>
      </c>
      <c r="F212" s="608" t="s">
        <v>1379</v>
      </c>
      <c r="G212" s="609">
        <v>8.0257728763079988E-3</v>
      </c>
      <c r="H212" s="692">
        <v>1</v>
      </c>
      <c r="I212" s="626"/>
      <c r="J212" s="752"/>
      <c r="K212" s="416"/>
      <c r="L212" s="376" t="s">
        <v>437</v>
      </c>
      <c r="M212" s="376" t="s">
        <v>996</v>
      </c>
      <c r="N212" s="376" t="s">
        <v>1378</v>
      </c>
      <c r="O212" s="376"/>
      <c r="P212" s="376"/>
      <c r="Q212" s="376"/>
      <c r="R212" s="376"/>
      <c r="S212" s="416"/>
      <c r="T212" s="752"/>
      <c r="U212" s="416"/>
      <c r="V212" s="609">
        <f t="shared" si="2"/>
        <v>0</v>
      </c>
      <c r="W212" s="692"/>
    </row>
    <row r="213" spans="1:23" outlineLevel="3">
      <c r="A213" s="376"/>
      <c r="B213" s="376" t="s">
        <v>1363</v>
      </c>
      <c r="C213" s="387" t="s">
        <v>1089</v>
      </c>
      <c r="D213" s="376" t="s">
        <v>860</v>
      </c>
      <c r="E213" s="376" t="s">
        <v>437</v>
      </c>
      <c r="F213" s="608" t="s">
        <v>1911</v>
      </c>
      <c r="G213" s="609">
        <v>8.0257728763080006E-3</v>
      </c>
      <c r="H213" s="692">
        <v>1</v>
      </c>
      <c r="I213" s="626"/>
      <c r="J213" s="752"/>
      <c r="K213" s="416"/>
      <c r="L213" s="376" t="s">
        <v>437</v>
      </c>
      <c r="M213" s="376" t="s">
        <v>996</v>
      </c>
      <c r="N213" s="376"/>
      <c r="O213" s="376"/>
      <c r="P213" s="376"/>
      <c r="Q213" s="376"/>
      <c r="R213" s="376"/>
      <c r="S213" s="416"/>
      <c r="T213" s="752"/>
      <c r="U213" s="416"/>
      <c r="V213" s="609">
        <f t="shared" si="2"/>
        <v>0</v>
      </c>
      <c r="W213" s="692"/>
    </row>
    <row r="214" spans="1:23" outlineLevel="3">
      <c r="A214" s="376"/>
      <c r="B214" s="376" t="s">
        <v>1363</v>
      </c>
      <c r="C214" s="387" t="s">
        <v>1089</v>
      </c>
      <c r="D214" s="376" t="s">
        <v>860</v>
      </c>
      <c r="E214" s="376" t="s">
        <v>437</v>
      </c>
      <c r="F214" s="608" t="s">
        <v>1374</v>
      </c>
      <c r="G214" s="609">
        <v>8.0257728763080006E-3</v>
      </c>
      <c r="H214" s="692">
        <v>1</v>
      </c>
      <c r="I214" s="626"/>
      <c r="J214" s="752"/>
      <c r="K214" s="416"/>
      <c r="L214" s="376" t="s">
        <v>437</v>
      </c>
      <c r="M214" s="376" t="s">
        <v>996</v>
      </c>
      <c r="N214" s="376" t="s">
        <v>1360</v>
      </c>
      <c r="O214" s="376"/>
      <c r="P214" s="376"/>
      <c r="Q214" s="376"/>
      <c r="R214" s="376"/>
      <c r="S214" s="416"/>
      <c r="T214" s="752"/>
      <c r="U214" s="416"/>
      <c r="V214" s="609">
        <f t="shared" si="2"/>
        <v>0</v>
      </c>
      <c r="W214" s="692"/>
    </row>
    <row r="215" spans="1:23" outlineLevel="1">
      <c r="A215" s="376"/>
      <c r="B215" s="666" t="s">
        <v>1380</v>
      </c>
      <c r="C215" s="666" t="s">
        <v>1018</v>
      </c>
      <c r="D215" s="667" t="s">
        <v>1364</v>
      </c>
      <c r="E215" s="665"/>
      <c r="F215" s="681" t="s">
        <v>947</v>
      </c>
      <c r="G215" s="708">
        <f>SUBTOTAL(9,G216:G222)</f>
        <v>0.54681723246149994</v>
      </c>
      <c r="H215" s="709">
        <f>SUBTOTAL(9,H216:H222)</f>
        <v>4</v>
      </c>
      <c r="I215" s="626"/>
      <c r="J215" s="752"/>
      <c r="K215" s="416"/>
      <c r="L215" s="665"/>
      <c r="M215" s="665"/>
      <c r="N215" s="665"/>
      <c r="O215" s="665"/>
      <c r="P215" s="665"/>
      <c r="Q215" s="665"/>
      <c r="R215" s="665"/>
      <c r="S215" s="416"/>
      <c r="T215" s="752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1380</v>
      </c>
      <c r="C216" s="687" t="s">
        <v>1018</v>
      </c>
      <c r="D216" s="684" t="s">
        <v>1335</v>
      </c>
      <c r="E216" s="684"/>
      <c r="F216" s="685" t="s">
        <v>1381</v>
      </c>
      <c r="G216" s="686">
        <f>SUBTOTAL(9,G217:G218)</f>
        <v>0.50475436842599997</v>
      </c>
      <c r="H216" s="691">
        <f>SUBTOTAL(9,H217:H218)</f>
        <v>2</v>
      </c>
      <c r="I216" s="626"/>
      <c r="J216" s="752"/>
      <c r="K216" s="416"/>
      <c r="L216" s="684"/>
      <c r="M216" s="684"/>
      <c r="N216" s="684"/>
      <c r="O216" s="684"/>
      <c r="P216" s="684"/>
      <c r="Q216" s="684"/>
      <c r="R216" s="684"/>
      <c r="S216" s="416"/>
      <c r="T216" s="752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1380</v>
      </c>
      <c r="C217" s="387" t="s">
        <v>1018</v>
      </c>
      <c r="D217" s="376" t="s">
        <v>1335</v>
      </c>
      <c r="E217" s="376" t="s">
        <v>437</v>
      </c>
      <c r="F217" s="608" t="s">
        <v>17</v>
      </c>
      <c r="G217" s="609">
        <v>0.16825145614199999</v>
      </c>
      <c r="H217" s="692">
        <v>1</v>
      </c>
      <c r="I217" s="626"/>
      <c r="J217" s="752"/>
      <c r="K217" s="416"/>
      <c r="L217" s="376" t="s">
        <v>437</v>
      </c>
      <c r="M217" s="376" t="s">
        <v>1349</v>
      </c>
      <c r="N217" s="376" t="s">
        <v>1360</v>
      </c>
      <c r="O217" s="376"/>
      <c r="P217" s="376"/>
      <c r="Q217" s="376"/>
      <c r="R217" s="376"/>
      <c r="S217" s="416"/>
      <c r="T217" s="752"/>
      <c r="U217" s="416"/>
      <c r="V217" s="609">
        <f>IF(W217=1,G217,0)</f>
        <v>0</v>
      </c>
      <c r="W217" s="692"/>
    </row>
    <row r="218" spans="1:23" outlineLevel="3">
      <c r="A218" s="376"/>
      <c r="B218" s="376" t="s">
        <v>1380</v>
      </c>
      <c r="C218" s="387" t="s">
        <v>1018</v>
      </c>
      <c r="D218" s="376" t="s">
        <v>1335</v>
      </c>
      <c r="E218" s="376" t="s">
        <v>437</v>
      </c>
      <c r="F218" s="608" t="s">
        <v>36</v>
      </c>
      <c r="G218" s="609">
        <v>0.33650291228399998</v>
      </c>
      <c r="H218" s="692">
        <v>1</v>
      </c>
      <c r="I218" s="626"/>
      <c r="J218" s="752"/>
      <c r="K218" s="416"/>
      <c r="L218" s="376" t="s">
        <v>437</v>
      </c>
      <c r="M218" s="376" t="s">
        <v>1349</v>
      </c>
      <c r="N218" s="376" t="s">
        <v>1360</v>
      </c>
      <c r="O218" s="376"/>
      <c r="P218" s="376"/>
      <c r="Q218" s="376"/>
      <c r="R218" s="376"/>
      <c r="S218" s="416"/>
      <c r="T218" s="752"/>
      <c r="U218" s="416"/>
      <c r="V218" s="609">
        <f>IF(W218=1,G218,0)</f>
        <v>0</v>
      </c>
      <c r="W218" s="692"/>
    </row>
    <row r="219" spans="1:23" outlineLevel="2">
      <c r="A219" s="376"/>
      <c r="B219" s="684" t="s">
        <v>1380</v>
      </c>
      <c r="C219" s="687" t="s">
        <v>1018</v>
      </c>
      <c r="D219" s="684" t="s">
        <v>441</v>
      </c>
      <c r="E219" s="684"/>
      <c r="F219" s="685" t="s">
        <v>1381</v>
      </c>
      <c r="G219" s="686">
        <f>SUBTOTAL(9,G220)</f>
        <v>1.9853671824755996E-2</v>
      </c>
      <c r="H219" s="691">
        <f>SUBTOTAL(9,H220)</f>
        <v>1</v>
      </c>
      <c r="I219" s="626"/>
      <c r="J219" s="752"/>
      <c r="K219" s="416"/>
      <c r="L219" s="684"/>
      <c r="M219" s="684"/>
      <c r="N219" s="684"/>
      <c r="O219" s="684"/>
      <c r="P219" s="684"/>
      <c r="Q219" s="684"/>
      <c r="R219" s="684"/>
      <c r="S219" s="416"/>
      <c r="T219" s="752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1380</v>
      </c>
      <c r="C220" s="387" t="s">
        <v>1018</v>
      </c>
      <c r="D220" s="376" t="s">
        <v>441</v>
      </c>
      <c r="E220" s="376" t="s">
        <v>437</v>
      </c>
      <c r="F220" s="608" t="s">
        <v>36</v>
      </c>
      <c r="G220" s="609">
        <v>1.9853671824755996E-2</v>
      </c>
      <c r="H220" s="692">
        <v>1</v>
      </c>
      <c r="I220" s="626"/>
      <c r="J220" s="752"/>
      <c r="K220" s="416"/>
      <c r="L220" s="376" t="s">
        <v>437</v>
      </c>
      <c r="M220" s="376"/>
      <c r="N220" s="376"/>
      <c r="O220" s="376"/>
      <c r="P220" s="376"/>
      <c r="Q220" s="376"/>
      <c r="R220" s="376"/>
      <c r="S220" s="416"/>
      <c r="T220" s="752"/>
      <c r="U220" s="416"/>
      <c r="V220" s="609">
        <f>IF(W220=1,G220,0)</f>
        <v>0</v>
      </c>
      <c r="W220" s="692"/>
    </row>
    <row r="221" spans="1:23" outlineLevel="2">
      <c r="A221" s="376"/>
      <c r="B221" s="684" t="s">
        <v>1380</v>
      </c>
      <c r="C221" s="687" t="s">
        <v>1018</v>
      </c>
      <c r="D221" s="684" t="s">
        <v>860</v>
      </c>
      <c r="E221" s="684"/>
      <c r="F221" s="685" t="s">
        <v>1381</v>
      </c>
      <c r="G221" s="686">
        <f>SUBTOTAL(9,G222)</f>
        <v>2.2209192210743994E-2</v>
      </c>
      <c r="H221" s="691">
        <f>SUBTOTAL(9,H222)</f>
        <v>1</v>
      </c>
      <c r="I221" s="626"/>
      <c r="J221" s="752"/>
      <c r="K221" s="416"/>
      <c r="L221" s="684"/>
      <c r="M221" s="684"/>
      <c r="N221" s="684"/>
      <c r="O221" s="684"/>
      <c r="P221" s="684"/>
      <c r="Q221" s="684"/>
      <c r="R221" s="684"/>
      <c r="S221" s="416"/>
      <c r="T221" s="752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1380</v>
      </c>
      <c r="C222" s="387" t="s">
        <v>1018</v>
      </c>
      <c r="D222" s="376" t="s">
        <v>860</v>
      </c>
      <c r="E222" s="376" t="s">
        <v>437</v>
      </c>
      <c r="F222" s="608" t="s">
        <v>36</v>
      </c>
      <c r="G222" s="609">
        <v>2.2209192210743994E-2</v>
      </c>
      <c r="H222" s="692">
        <v>1</v>
      </c>
      <c r="I222" s="626"/>
      <c r="J222" s="752"/>
      <c r="K222" s="416"/>
      <c r="L222" s="376" t="s">
        <v>437</v>
      </c>
      <c r="M222" s="376"/>
      <c r="N222" s="376"/>
      <c r="O222" s="376"/>
      <c r="P222" s="376"/>
      <c r="Q222" s="376"/>
      <c r="R222" s="376"/>
      <c r="S222" s="416"/>
      <c r="T222" s="752"/>
      <c r="U222" s="416"/>
      <c r="V222" s="609">
        <f>IF(W222=1,G222,0)</f>
        <v>0</v>
      </c>
      <c r="W222" s="692"/>
    </row>
    <row r="223" spans="1:23" outlineLevel="1">
      <c r="A223" s="376"/>
      <c r="B223" s="665" t="s">
        <v>1392</v>
      </c>
      <c r="C223" s="665" t="s">
        <v>1392</v>
      </c>
      <c r="D223" s="665"/>
      <c r="E223" s="665"/>
      <c r="F223" s="681" t="s">
        <v>947</v>
      </c>
      <c r="G223" s="708">
        <f>SUBTOTAL(9,G224:G233)</f>
        <v>0</v>
      </c>
      <c r="H223" s="709">
        <f>SUBTOTAL(9,H224:H233)</f>
        <v>7</v>
      </c>
      <c r="I223" s="626"/>
      <c r="J223" s="752"/>
      <c r="K223" s="416"/>
      <c r="L223" s="665"/>
      <c r="M223" s="665"/>
      <c r="N223" s="665"/>
      <c r="O223" s="665"/>
      <c r="P223" s="665"/>
      <c r="Q223" s="665"/>
      <c r="R223" s="665"/>
      <c r="S223" s="416"/>
      <c r="T223" s="752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1392</v>
      </c>
      <c r="C224" s="684" t="s">
        <v>1392</v>
      </c>
      <c r="D224" s="684" t="s">
        <v>1335</v>
      </c>
      <c r="E224" s="684"/>
      <c r="F224" s="685" t="s">
        <v>1393</v>
      </c>
      <c r="G224" s="686">
        <f>SUBTOTAL(9,G225:G227)</f>
        <v>0</v>
      </c>
      <c r="H224" s="691">
        <f>SUBTOTAL(9,H225:H227)</f>
        <v>3</v>
      </c>
      <c r="I224" s="626"/>
      <c r="J224" s="752"/>
      <c r="K224" s="416"/>
      <c r="L224" s="684"/>
      <c r="M224" s="684"/>
      <c r="N224" s="684"/>
      <c r="O224" s="684"/>
      <c r="P224" s="684"/>
      <c r="Q224" s="684"/>
      <c r="R224" s="684"/>
      <c r="S224" s="416"/>
      <c r="T224" s="752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1392</v>
      </c>
      <c r="C225" s="376" t="s">
        <v>1392</v>
      </c>
      <c r="D225" s="376" t="s">
        <v>1335</v>
      </c>
      <c r="E225" s="376" t="s">
        <v>437</v>
      </c>
      <c r="F225" s="608" t="s">
        <v>17</v>
      </c>
      <c r="G225" s="609"/>
      <c r="H225" s="692">
        <v>1</v>
      </c>
      <c r="I225" s="626"/>
      <c r="J225" s="752"/>
      <c r="K225" s="416"/>
      <c r="L225" s="376" t="s">
        <v>437</v>
      </c>
      <c r="M225" s="376" t="s">
        <v>1349</v>
      </c>
      <c r="N225" s="376" t="s">
        <v>1360</v>
      </c>
      <c r="O225" s="376"/>
      <c r="P225" s="376"/>
      <c r="Q225" s="376"/>
      <c r="R225" s="376"/>
      <c r="S225" s="416"/>
      <c r="T225" s="752"/>
      <c r="U225" s="416"/>
      <c r="V225" s="609"/>
      <c r="W225" s="692"/>
    </row>
    <row r="226" spans="1:23" outlineLevel="3">
      <c r="A226" s="376"/>
      <c r="B226" s="376" t="s">
        <v>1392</v>
      </c>
      <c r="C226" s="376" t="s">
        <v>1392</v>
      </c>
      <c r="D226" s="376" t="s">
        <v>1335</v>
      </c>
      <c r="E226" s="376" t="s">
        <v>437</v>
      </c>
      <c r="F226" s="608" t="s">
        <v>36</v>
      </c>
      <c r="G226" s="609"/>
      <c r="H226" s="692">
        <v>1</v>
      </c>
      <c r="I226" s="626"/>
      <c r="J226" s="752"/>
      <c r="K226" s="416"/>
      <c r="L226" s="376" t="s">
        <v>437</v>
      </c>
      <c r="M226" s="376" t="s">
        <v>1349</v>
      </c>
      <c r="N226" s="376" t="s">
        <v>1360</v>
      </c>
      <c r="O226" s="376"/>
      <c r="P226" s="376"/>
      <c r="Q226" s="376"/>
      <c r="R226" s="376"/>
      <c r="S226" s="416"/>
      <c r="T226" s="752"/>
      <c r="U226" s="416"/>
      <c r="V226" s="609"/>
      <c r="W226" s="692"/>
    </row>
    <row r="227" spans="1:23" outlineLevel="3">
      <c r="A227" s="376"/>
      <c r="B227" s="376" t="s">
        <v>1392</v>
      </c>
      <c r="C227" s="376" t="s">
        <v>1392</v>
      </c>
      <c r="D227" s="376" t="s">
        <v>1335</v>
      </c>
      <c r="E227" s="376" t="s">
        <v>437</v>
      </c>
      <c r="F227" s="608" t="s">
        <v>208</v>
      </c>
      <c r="G227" s="609"/>
      <c r="H227" s="692">
        <v>1</v>
      </c>
      <c r="I227" s="626"/>
      <c r="J227" s="752"/>
      <c r="K227" s="416"/>
      <c r="L227" s="376" t="s">
        <v>437</v>
      </c>
      <c r="M227" s="376" t="s">
        <v>1349</v>
      </c>
      <c r="N227" s="376" t="s">
        <v>1360</v>
      </c>
      <c r="O227" s="376"/>
      <c r="P227" s="376"/>
      <c r="Q227" s="376"/>
      <c r="R227" s="376"/>
      <c r="S227" s="416"/>
      <c r="T227" s="752"/>
      <c r="U227" s="416"/>
      <c r="V227" s="609"/>
      <c r="W227" s="692"/>
    </row>
    <row r="228" spans="1:23" outlineLevel="2">
      <c r="A228" s="376"/>
      <c r="B228" s="684" t="s">
        <v>1392</v>
      </c>
      <c r="C228" s="684" t="s">
        <v>1392</v>
      </c>
      <c r="D228" s="684" t="s">
        <v>441</v>
      </c>
      <c r="E228" s="684"/>
      <c r="F228" s="685" t="s">
        <v>1393</v>
      </c>
      <c r="G228" s="686">
        <f>SUBTOTAL(9,G229:G230)</f>
        <v>0</v>
      </c>
      <c r="H228" s="691">
        <f>SUBTOTAL(9,H229:H230)</f>
        <v>2</v>
      </c>
      <c r="I228" s="626"/>
      <c r="J228" s="752"/>
      <c r="K228" s="416"/>
      <c r="L228" s="684"/>
      <c r="M228" s="684"/>
      <c r="N228" s="684"/>
      <c r="O228" s="684"/>
      <c r="P228" s="684"/>
      <c r="Q228" s="684"/>
      <c r="R228" s="684"/>
      <c r="S228" s="416"/>
      <c r="T228" s="752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1392</v>
      </c>
      <c r="C229" s="376" t="s">
        <v>1392</v>
      </c>
      <c r="D229" s="376" t="s">
        <v>441</v>
      </c>
      <c r="E229" s="376" t="s">
        <v>437</v>
      </c>
      <c r="F229" s="608" t="s">
        <v>36</v>
      </c>
      <c r="G229" s="609"/>
      <c r="H229" s="692">
        <v>1</v>
      </c>
      <c r="I229" s="626"/>
      <c r="J229" s="752"/>
      <c r="K229" s="416"/>
      <c r="L229" s="376" t="s">
        <v>437</v>
      </c>
      <c r="M229" s="376" t="s">
        <v>966</v>
      </c>
      <c r="N229" s="376" t="s">
        <v>1356</v>
      </c>
      <c r="O229" s="376"/>
      <c r="P229" s="376"/>
      <c r="Q229" s="376"/>
      <c r="R229" s="376"/>
      <c r="S229" s="416"/>
      <c r="T229" s="752"/>
      <c r="U229" s="416"/>
      <c r="V229" s="609"/>
      <c r="W229" s="692"/>
    </row>
    <row r="230" spans="1:23" outlineLevel="3">
      <c r="A230" s="376"/>
      <c r="B230" s="376" t="s">
        <v>1392</v>
      </c>
      <c r="C230" s="376" t="s">
        <v>1392</v>
      </c>
      <c r="D230" s="376" t="s">
        <v>441</v>
      </c>
      <c r="E230" s="376" t="s">
        <v>437</v>
      </c>
      <c r="F230" s="608" t="s">
        <v>208</v>
      </c>
      <c r="G230" s="609"/>
      <c r="H230" s="692">
        <v>1</v>
      </c>
      <c r="I230" s="626"/>
      <c r="J230" s="752"/>
      <c r="K230" s="416"/>
      <c r="L230" s="376" t="s">
        <v>437</v>
      </c>
      <c r="M230" s="376" t="s">
        <v>966</v>
      </c>
      <c r="N230" s="376" t="s">
        <v>1356</v>
      </c>
      <c r="O230" s="376"/>
      <c r="P230" s="376"/>
      <c r="Q230" s="376"/>
      <c r="R230" s="376"/>
      <c r="S230" s="416"/>
      <c r="T230" s="752"/>
      <c r="U230" s="416"/>
      <c r="V230" s="609"/>
      <c r="W230" s="692"/>
    </row>
    <row r="231" spans="1:23" outlineLevel="2">
      <c r="A231" s="376"/>
      <c r="B231" s="684" t="s">
        <v>1392</v>
      </c>
      <c r="C231" s="684" t="s">
        <v>1392</v>
      </c>
      <c r="D231" s="684" t="s">
        <v>860</v>
      </c>
      <c r="E231" s="684"/>
      <c r="F231" s="685" t="s">
        <v>1393</v>
      </c>
      <c r="G231" s="686">
        <f>SUBTOTAL(9,G232:G233)</f>
        <v>0</v>
      </c>
      <c r="H231" s="691">
        <f>SUBTOTAL(9,H232:H233)</f>
        <v>2</v>
      </c>
      <c r="I231" s="626"/>
      <c r="J231" s="752"/>
      <c r="K231" s="416"/>
      <c r="L231" s="684"/>
      <c r="M231" s="684"/>
      <c r="N231" s="684"/>
      <c r="O231" s="684"/>
      <c r="P231" s="684"/>
      <c r="Q231" s="684"/>
      <c r="R231" s="684"/>
      <c r="S231" s="416"/>
      <c r="T231" s="752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1392</v>
      </c>
      <c r="C232" s="376" t="s">
        <v>1392</v>
      </c>
      <c r="D232" s="376" t="s">
        <v>860</v>
      </c>
      <c r="E232" s="376" t="s">
        <v>437</v>
      </c>
      <c r="F232" s="608" t="s">
        <v>36</v>
      </c>
      <c r="G232" s="609"/>
      <c r="H232" s="692">
        <v>1</v>
      </c>
      <c r="I232" s="626"/>
      <c r="J232" s="752"/>
      <c r="K232" s="416"/>
      <c r="L232" s="376" t="s">
        <v>437</v>
      </c>
      <c r="M232" s="376" t="s">
        <v>996</v>
      </c>
      <c r="N232" s="376" t="s">
        <v>1244</v>
      </c>
      <c r="O232" s="376"/>
      <c r="P232" s="376"/>
      <c r="Q232" s="376"/>
      <c r="R232" s="376"/>
      <c r="S232" s="416"/>
      <c r="T232" s="752"/>
      <c r="U232" s="416"/>
      <c r="V232" s="609"/>
      <c r="W232" s="692"/>
    </row>
    <row r="233" spans="1:23" outlineLevel="3">
      <c r="A233" s="376"/>
      <c r="B233" s="376" t="s">
        <v>1392</v>
      </c>
      <c r="C233" s="376" t="s">
        <v>1392</v>
      </c>
      <c r="D233" s="376" t="s">
        <v>860</v>
      </c>
      <c r="E233" s="376" t="s">
        <v>437</v>
      </c>
      <c r="F233" s="608" t="s">
        <v>208</v>
      </c>
      <c r="G233" s="609"/>
      <c r="H233" s="692">
        <v>1</v>
      </c>
      <c r="I233" s="626"/>
      <c r="J233" s="752"/>
      <c r="K233" s="416"/>
      <c r="L233" s="376" t="s">
        <v>437</v>
      </c>
      <c r="M233" s="376" t="s">
        <v>996</v>
      </c>
      <c r="N233" s="376" t="s">
        <v>1244</v>
      </c>
      <c r="O233" s="376"/>
      <c r="P233" s="376"/>
      <c r="Q233" s="376"/>
      <c r="R233" s="376"/>
      <c r="S233" s="416"/>
      <c r="T233" s="752"/>
      <c r="U233" s="416"/>
      <c r="V233" s="609"/>
      <c r="W233" s="692"/>
    </row>
    <row r="234" spans="1:23" outlineLevel="1">
      <c r="A234" s="376"/>
      <c r="B234" s="665" t="s">
        <v>497</v>
      </c>
      <c r="C234" s="665" t="s">
        <v>1394</v>
      </c>
      <c r="D234" s="665"/>
      <c r="E234" s="665"/>
      <c r="F234" s="681" t="s">
        <v>947</v>
      </c>
      <c r="G234" s="708">
        <f>SUBTOTAL(9,G235:G239)</f>
        <v>0.15000000000000002</v>
      </c>
      <c r="H234" s="709">
        <f>SUBTOTAL(9,H235:H239)</f>
        <v>3</v>
      </c>
      <c r="I234" s="626"/>
      <c r="J234" s="752"/>
      <c r="K234" s="416"/>
      <c r="L234" s="665"/>
      <c r="M234" s="665"/>
      <c r="N234" s="665"/>
      <c r="O234" s="665"/>
      <c r="P234" s="665"/>
      <c r="Q234" s="665"/>
      <c r="R234" s="665"/>
      <c r="S234" s="416"/>
      <c r="T234" s="752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497</v>
      </c>
      <c r="C235" s="684" t="s">
        <v>1394</v>
      </c>
      <c r="D235" s="684" t="s">
        <v>441</v>
      </c>
      <c r="E235" s="684"/>
      <c r="F235" s="685" t="s">
        <v>1396</v>
      </c>
      <c r="G235" s="686">
        <f>SUBTOTAL(9,G236:G237)</f>
        <v>0.1</v>
      </c>
      <c r="H235" s="691">
        <f>SUBTOTAL(9,H236:H237)</f>
        <v>2</v>
      </c>
      <c r="I235" s="703"/>
      <c r="J235" s="755"/>
      <c r="K235" s="751"/>
      <c r="L235" s="684"/>
      <c r="M235" s="684"/>
      <c r="N235" s="684"/>
      <c r="O235" s="684"/>
      <c r="P235" s="684"/>
      <c r="Q235" s="684"/>
      <c r="R235" s="684"/>
      <c r="S235" s="751"/>
      <c r="T235" s="755"/>
      <c r="U235" s="751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497</v>
      </c>
      <c r="C236" s="376" t="s">
        <v>1394</v>
      </c>
      <c r="D236" s="376" t="s">
        <v>441</v>
      </c>
      <c r="E236" s="376" t="s">
        <v>437</v>
      </c>
      <c r="F236" s="608" t="s">
        <v>36</v>
      </c>
      <c r="G236" s="609">
        <v>0.05</v>
      </c>
      <c r="H236" s="692">
        <v>1</v>
      </c>
      <c r="I236" s="626"/>
      <c r="J236" s="752"/>
      <c r="K236" s="416"/>
      <c r="L236" s="376" t="s">
        <v>437</v>
      </c>
      <c r="M236" s="376" t="s">
        <v>966</v>
      </c>
      <c r="N236" s="376" t="s">
        <v>1397</v>
      </c>
      <c r="O236" s="376" t="s">
        <v>1398</v>
      </c>
      <c r="P236" s="376"/>
      <c r="Q236" s="376"/>
      <c r="R236" s="376"/>
      <c r="S236" s="416"/>
      <c r="T236" s="752"/>
      <c r="U236" s="416"/>
      <c r="V236" s="609">
        <f>IF(W236=1,G236,0)</f>
        <v>0</v>
      </c>
      <c r="W236" s="692"/>
    </row>
    <row r="237" spans="1:23" outlineLevel="3">
      <c r="A237" s="376"/>
      <c r="B237" s="376" t="s">
        <v>497</v>
      </c>
      <c r="C237" s="376" t="s">
        <v>1394</v>
      </c>
      <c r="D237" s="376" t="s">
        <v>441</v>
      </c>
      <c r="E237" s="376" t="s">
        <v>437</v>
      </c>
      <c r="F237" s="608" t="s">
        <v>208</v>
      </c>
      <c r="G237" s="609">
        <v>0.05</v>
      </c>
      <c r="H237" s="692">
        <v>1</v>
      </c>
      <c r="I237" s="626"/>
      <c r="J237" s="752"/>
      <c r="K237" s="416"/>
      <c r="L237" s="376" t="s">
        <v>437</v>
      </c>
      <c r="M237" s="376" t="s">
        <v>966</v>
      </c>
      <c r="N237" s="376" t="s">
        <v>1397</v>
      </c>
      <c r="O237" s="376" t="s">
        <v>1398</v>
      </c>
      <c r="P237" s="376"/>
      <c r="Q237" s="376"/>
      <c r="R237" s="376"/>
      <c r="S237" s="416"/>
      <c r="T237" s="752"/>
      <c r="U237" s="416"/>
      <c r="V237" s="609">
        <f>IF(W237=1,G237,0)</f>
        <v>0</v>
      </c>
      <c r="W237" s="692"/>
    </row>
    <row r="238" spans="1:23" outlineLevel="2">
      <c r="A238" s="376"/>
      <c r="B238" s="684" t="s">
        <v>497</v>
      </c>
      <c r="C238" s="684" t="s">
        <v>1394</v>
      </c>
      <c r="D238" s="684" t="s">
        <v>860</v>
      </c>
      <c r="E238" s="684"/>
      <c r="F238" s="685" t="s">
        <v>1396</v>
      </c>
      <c r="G238" s="686">
        <f>SUBTOTAL(9,G239)</f>
        <v>0.05</v>
      </c>
      <c r="H238" s="691">
        <f>SUBTOTAL(9,H239)</f>
        <v>1</v>
      </c>
      <c r="I238" s="626"/>
      <c r="J238" s="752"/>
      <c r="K238" s="416"/>
      <c r="L238" s="684"/>
      <c r="M238" s="684"/>
      <c r="N238" s="684"/>
      <c r="O238" s="684"/>
      <c r="P238" s="684"/>
      <c r="Q238" s="684"/>
      <c r="R238" s="684"/>
      <c r="S238" s="416"/>
      <c r="T238" s="752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497</v>
      </c>
      <c r="C239" s="376" t="s">
        <v>1394</v>
      </c>
      <c r="D239" s="376" t="s">
        <v>860</v>
      </c>
      <c r="E239" s="376" t="s">
        <v>437</v>
      </c>
      <c r="F239" s="608" t="s">
        <v>208</v>
      </c>
      <c r="G239" s="609">
        <v>0.05</v>
      </c>
      <c r="H239" s="692">
        <v>1</v>
      </c>
      <c r="I239" s="626"/>
      <c r="J239" s="752"/>
      <c r="K239" s="416"/>
      <c r="L239" s="376" t="s">
        <v>437</v>
      </c>
      <c r="M239" s="376" t="s">
        <v>996</v>
      </c>
      <c r="N239" s="376" t="s">
        <v>1346</v>
      </c>
      <c r="O239" s="376"/>
      <c r="P239" s="376"/>
      <c r="Q239" s="376"/>
      <c r="R239" s="376"/>
      <c r="S239" s="416"/>
      <c r="T239" s="752"/>
      <c r="U239" s="416"/>
      <c r="V239" s="609">
        <f>IF(W239=1,G239,0)</f>
        <v>0</v>
      </c>
      <c r="W239" s="692"/>
    </row>
    <row r="240" spans="1:23" outlineLevel="1">
      <c r="A240" s="376"/>
      <c r="B240" s="682" t="s">
        <v>1399</v>
      </c>
      <c r="C240" s="682" t="s">
        <v>1400</v>
      </c>
      <c r="D240" s="682"/>
      <c r="E240" s="682"/>
      <c r="F240" s="681" t="s">
        <v>947</v>
      </c>
      <c r="G240" s="708">
        <f>SUBTOTAL(9,G241:G246)</f>
        <v>2.0669932799999999E-2</v>
      </c>
      <c r="H240" s="709">
        <f>SUBTOTAL(9,H241:H246)</f>
        <v>4</v>
      </c>
      <c r="I240" s="626"/>
      <c r="J240" s="752"/>
      <c r="K240" s="416"/>
      <c r="L240" s="682"/>
      <c r="M240" s="682"/>
      <c r="N240" s="682"/>
      <c r="O240" s="682"/>
      <c r="P240" s="682"/>
      <c r="Q240" s="682"/>
      <c r="R240" s="682"/>
      <c r="S240" s="416"/>
      <c r="T240" s="752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1400</v>
      </c>
      <c r="C241" s="688" t="s">
        <v>1400</v>
      </c>
      <c r="D241" s="688" t="s">
        <v>441</v>
      </c>
      <c r="E241" s="688"/>
      <c r="F241" s="712" t="s">
        <v>1286</v>
      </c>
      <c r="G241" s="686">
        <f>SUBTOTAL(9,G242:G243)</f>
        <v>1.1274508799999999E-2</v>
      </c>
      <c r="H241" s="691">
        <f>SUBTOTAL(9,H242:H243)</f>
        <v>2</v>
      </c>
      <c r="I241" s="626"/>
      <c r="J241" s="752"/>
      <c r="K241" s="416"/>
      <c r="L241" s="688"/>
      <c r="M241" s="688"/>
      <c r="N241" s="688"/>
      <c r="O241" s="688"/>
      <c r="P241" s="688"/>
      <c r="Q241" s="688"/>
      <c r="R241" s="688"/>
      <c r="S241" s="416"/>
      <c r="T241" s="752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1400</v>
      </c>
      <c r="C242" s="456" t="s">
        <v>1400</v>
      </c>
      <c r="D242" s="456" t="s">
        <v>441</v>
      </c>
      <c r="E242" s="456" t="s">
        <v>437</v>
      </c>
      <c r="F242" s="623" t="s">
        <v>36</v>
      </c>
      <c r="G242" s="745">
        <v>5.6372543999999997E-3</v>
      </c>
      <c r="H242" s="746">
        <v>1</v>
      </c>
      <c r="I242" s="626"/>
      <c r="J242" s="752"/>
      <c r="K242" s="416"/>
      <c r="L242" s="456" t="s">
        <v>437</v>
      </c>
      <c r="M242" s="456" t="s">
        <v>966</v>
      </c>
      <c r="N242" s="456" t="s">
        <v>967</v>
      </c>
      <c r="O242" s="456" t="s">
        <v>995</v>
      </c>
      <c r="P242" s="456"/>
      <c r="Q242" s="456"/>
      <c r="R242" s="456"/>
      <c r="S242" s="416"/>
      <c r="T242" s="752"/>
      <c r="U242" s="416"/>
      <c r="V242" s="609">
        <f>IF(W242=1,G242,0)</f>
        <v>0</v>
      </c>
      <c r="W242" s="746"/>
    </row>
    <row r="243" spans="1:23" outlineLevel="3">
      <c r="A243" s="376"/>
      <c r="B243" s="456" t="s">
        <v>1400</v>
      </c>
      <c r="C243" s="456" t="s">
        <v>1400</v>
      </c>
      <c r="D243" s="456" t="s">
        <v>441</v>
      </c>
      <c r="E243" s="456" t="s">
        <v>437</v>
      </c>
      <c r="F243" s="623" t="s">
        <v>208</v>
      </c>
      <c r="G243" s="745">
        <v>5.6372543999999997E-3</v>
      </c>
      <c r="H243" s="746">
        <v>1</v>
      </c>
      <c r="I243" s="626"/>
      <c r="J243" s="752"/>
      <c r="K243" s="416"/>
      <c r="L243" s="456" t="s">
        <v>437</v>
      </c>
      <c r="M243" s="456" t="s">
        <v>966</v>
      </c>
      <c r="N243" s="456" t="s">
        <v>967</v>
      </c>
      <c r="O243" s="456" t="s">
        <v>995</v>
      </c>
      <c r="P243" s="456"/>
      <c r="Q243" s="456"/>
      <c r="R243" s="456"/>
      <c r="S243" s="416"/>
      <c r="T243" s="752"/>
      <c r="U243" s="416"/>
      <c r="V243" s="609">
        <f>IF(W243=1,G243,0)</f>
        <v>0</v>
      </c>
      <c r="W243" s="746"/>
    </row>
    <row r="244" spans="1:23" outlineLevel="2">
      <c r="A244" s="376"/>
      <c r="B244" s="688" t="s">
        <v>1400</v>
      </c>
      <c r="C244" s="688" t="s">
        <v>1400</v>
      </c>
      <c r="D244" s="688" t="s">
        <v>860</v>
      </c>
      <c r="E244" s="688"/>
      <c r="F244" s="712" t="s">
        <v>1286</v>
      </c>
      <c r="G244" s="686">
        <f>SUBTOTAL(9,G245:G246)</f>
        <v>9.3954239999999994E-3</v>
      </c>
      <c r="H244" s="691">
        <f>SUBTOTAL(9,H245:H246)</f>
        <v>2</v>
      </c>
      <c r="I244" s="626"/>
      <c r="J244" s="752"/>
      <c r="K244" s="416"/>
      <c r="L244" s="688"/>
      <c r="M244" s="688"/>
      <c r="N244" s="688"/>
      <c r="O244" s="688"/>
      <c r="P244" s="688"/>
      <c r="Q244" s="688"/>
      <c r="R244" s="688"/>
      <c r="S244" s="416"/>
      <c r="T244" s="752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1400</v>
      </c>
      <c r="C245" s="456" t="s">
        <v>1400</v>
      </c>
      <c r="D245" s="456" t="s">
        <v>860</v>
      </c>
      <c r="E245" s="456" t="s">
        <v>437</v>
      </c>
      <c r="F245" s="623" t="s">
        <v>36</v>
      </c>
      <c r="G245" s="745">
        <v>4.6977119999999997E-3</v>
      </c>
      <c r="H245" s="746">
        <v>1</v>
      </c>
      <c r="I245" s="626"/>
      <c r="J245" s="752"/>
      <c r="K245" s="416"/>
      <c r="L245" s="456" t="s">
        <v>437</v>
      </c>
      <c r="M245" s="456" t="s">
        <v>996</v>
      </c>
      <c r="N245" s="456" t="s">
        <v>1244</v>
      </c>
      <c r="O245" s="456"/>
      <c r="P245" s="456"/>
      <c r="Q245" s="456"/>
      <c r="R245" s="456"/>
      <c r="S245" s="416"/>
      <c r="T245" s="752"/>
      <c r="U245" s="416"/>
      <c r="V245" s="609">
        <f>IF(W245=1,G245,0)</f>
        <v>0</v>
      </c>
      <c r="W245" s="746"/>
    </row>
    <row r="246" spans="1:23" outlineLevel="3">
      <c r="A246" s="376"/>
      <c r="B246" s="456" t="s">
        <v>1400</v>
      </c>
      <c r="C246" s="456" t="s">
        <v>1400</v>
      </c>
      <c r="D246" s="456" t="s">
        <v>860</v>
      </c>
      <c r="E246" s="456" t="s">
        <v>437</v>
      </c>
      <c r="F246" s="623" t="s">
        <v>208</v>
      </c>
      <c r="G246" s="745">
        <v>4.6977119999999997E-3</v>
      </c>
      <c r="H246" s="746">
        <v>1</v>
      </c>
      <c r="I246" s="626"/>
      <c r="J246" s="752"/>
      <c r="K246" s="416"/>
      <c r="L246" s="456" t="s">
        <v>437</v>
      </c>
      <c r="M246" s="456" t="s">
        <v>996</v>
      </c>
      <c r="N246" s="456" t="s">
        <v>1244</v>
      </c>
      <c r="O246" s="456"/>
      <c r="P246" s="456"/>
      <c r="Q246" s="456"/>
      <c r="R246" s="456"/>
      <c r="S246" s="416"/>
      <c r="T246" s="752"/>
      <c r="U246" s="416"/>
      <c r="V246" s="609">
        <f>IF(W246=1,G246,0)</f>
        <v>0</v>
      </c>
      <c r="W246" s="746"/>
    </row>
    <row r="247" spans="1:23" s="820" customFormat="1" outlineLevel="1">
      <c r="A247" s="456"/>
      <c r="B247" s="682" t="s">
        <v>1402</v>
      </c>
      <c r="C247" s="682" t="s">
        <v>1403</v>
      </c>
      <c r="D247" s="682"/>
      <c r="E247" s="682"/>
      <c r="F247" s="681" t="s">
        <v>947</v>
      </c>
      <c r="G247" s="708">
        <f>SUBTOTAL(9,G248:G255)</f>
        <v>1.7956676</v>
      </c>
      <c r="H247" s="709">
        <f>SUBTOTAL(9,H248:H255)</f>
        <v>6</v>
      </c>
      <c r="I247" s="747"/>
      <c r="J247" s="759"/>
      <c r="K247" s="748"/>
      <c r="L247" s="682"/>
      <c r="M247" s="682"/>
      <c r="N247" s="682"/>
      <c r="O247" s="682"/>
      <c r="P247" s="682"/>
      <c r="Q247" s="682"/>
      <c r="R247" s="682"/>
      <c r="S247" s="748"/>
      <c r="T247" s="759"/>
      <c r="U247" s="748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1402</v>
      </c>
      <c r="C248" s="684" t="s">
        <v>1403</v>
      </c>
      <c r="D248" s="684" t="s">
        <v>441</v>
      </c>
      <c r="E248" s="684"/>
      <c r="F248" s="685" t="s">
        <v>971</v>
      </c>
      <c r="G248" s="686">
        <f>SUBTOTAL(9,G249:G251)</f>
        <v>1.0047028</v>
      </c>
      <c r="H248" s="691">
        <f>SUBTOTAL(9,H249:H251)</f>
        <v>3</v>
      </c>
      <c r="I248" s="626"/>
      <c r="J248" s="752"/>
      <c r="K248" s="416"/>
      <c r="L248" s="684"/>
      <c r="M248" s="684"/>
      <c r="N248" s="684"/>
      <c r="O248" s="684"/>
      <c r="P248" s="684"/>
      <c r="Q248" s="684"/>
      <c r="R248" s="684"/>
      <c r="S248" s="416"/>
      <c r="T248" s="752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1402</v>
      </c>
      <c r="C249" s="376" t="s">
        <v>1403</v>
      </c>
      <c r="D249" s="376" t="s">
        <v>441</v>
      </c>
      <c r="E249" s="376" t="s">
        <v>437</v>
      </c>
      <c r="F249" s="608" t="s">
        <v>36</v>
      </c>
      <c r="G249" s="609">
        <v>0.40313520000000003</v>
      </c>
      <c r="H249" s="692">
        <v>1</v>
      </c>
      <c r="I249" s="626"/>
      <c r="J249" s="752"/>
      <c r="K249" s="416"/>
      <c r="L249" s="376" t="s">
        <v>437</v>
      </c>
      <c r="M249" s="376"/>
      <c r="N249" s="376"/>
      <c r="O249" s="376"/>
      <c r="P249" s="376"/>
      <c r="Q249" s="376"/>
      <c r="R249" s="376"/>
      <c r="S249" s="416"/>
      <c r="T249" s="752"/>
      <c r="U249" s="416"/>
      <c r="V249" s="609">
        <f>IF(W249=1,G249,0)</f>
        <v>0</v>
      </c>
      <c r="W249" s="692"/>
    </row>
    <row r="250" spans="1:23" outlineLevel="3">
      <c r="A250" s="376"/>
      <c r="B250" s="376" t="s">
        <v>1402</v>
      </c>
      <c r="C250" s="376" t="s">
        <v>1403</v>
      </c>
      <c r="D250" s="376" t="s">
        <v>441</v>
      </c>
      <c r="E250" s="376" t="s">
        <v>437</v>
      </c>
      <c r="F250" s="608" t="s">
        <v>208</v>
      </c>
      <c r="G250" s="609">
        <v>0.20156760000000001</v>
      </c>
      <c r="H250" s="692">
        <v>1</v>
      </c>
      <c r="I250" s="626"/>
      <c r="J250" s="752"/>
      <c r="K250" s="416"/>
      <c r="L250" s="376" t="s">
        <v>437</v>
      </c>
      <c r="M250" s="376"/>
      <c r="N250" s="376"/>
      <c r="O250" s="376"/>
      <c r="P250" s="376"/>
      <c r="Q250" s="376"/>
      <c r="R250" s="376"/>
      <c r="S250" s="416"/>
      <c r="T250" s="752"/>
      <c r="U250" s="416"/>
      <c r="V250" s="609">
        <f>IF(W250=1,G250,0)</f>
        <v>0</v>
      </c>
      <c r="W250" s="692"/>
    </row>
    <row r="251" spans="1:23" outlineLevel="3">
      <c r="A251" s="376"/>
      <c r="B251" s="376" t="s">
        <v>1402</v>
      </c>
      <c r="C251" s="376" t="s">
        <v>1403</v>
      </c>
      <c r="D251" s="376" t="s">
        <v>441</v>
      </c>
      <c r="E251" s="376" t="s">
        <v>437</v>
      </c>
      <c r="F251" s="608" t="s">
        <v>1341</v>
      </c>
      <c r="G251" s="609">
        <v>0.4</v>
      </c>
      <c r="H251" s="692">
        <v>1</v>
      </c>
      <c r="I251" s="626"/>
      <c r="J251" s="752"/>
      <c r="K251" s="416"/>
      <c r="L251" s="376" t="s">
        <v>437</v>
      </c>
      <c r="M251" s="376"/>
      <c r="N251" s="376"/>
      <c r="O251" s="376"/>
      <c r="P251" s="376"/>
      <c r="Q251" s="376"/>
      <c r="R251" s="376"/>
      <c r="S251" s="416"/>
      <c r="T251" s="752"/>
      <c r="U251" s="416"/>
      <c r="V251" s="609">
        <f>IF(W251=1,G251,0)</f>
        <v>0</v>
      </c>
      <c r="W251" s="692"/>
    </row>
    <row r="252" spans="1:23" outlineLevel="2">
      <c r="A252" s="376"/>
      <c r="B252" s="684" t="s">
        <v>1402</v>
      </c>
      <c r="C252" s="684" t="s">
        <v>1403</v>
      </c>
      <c r="D252" s="684" t="s">
        <v>860</v>
      </c>
      <c r="E252" s="684"/>
      <c r="F252" s="685" t="s">
        <v>1912</v>
      </c>
      <c r="G252" s="686">
        <f>SUBTOTAL(9,G253:G255)</f>
        <v>0.79096480000000002</v>
      </c>
      <c r="H252" s="691">
        <f>SUBTOTAL(9,H253:H255)</f>
        <v>3</v>
      </c>
      <c r="I252" s="626"/>
      <c r="J252" s="752"/>
      <c r="K252" s="416"/>
      <c r="L252" s="684"/>
      <c r="M252" s="684"/>
      <c r="N252" s="684"/>
      <c r="O252" s="684"/>
      <c r="P252" s="684"/>
      <c r="Q252" s="684"/>
      <c r="R252" s="684"/>
      <c r="S252" s="416"/>
      <c r="T252" s="752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1402</v>
      </c>
      <c r="C253" s="376" t="s">
        <v>1403</v>
      </c>
      <c r="D253" s="376" t="s">
        <v>860</v>
      </c>
      <c r="E253" s="376" t="s">
        <v>437</v>
      </c>
      <c r="F253" s="608" t="s">
        <v>36</v>
      </c>
      <c r="G253" s="609">
        <v>0.33822359999999996</v>
      </c>
      <c r="H253" s="692">
        <v>1</v>
      </c>
      <c r="I253" s="626"/>
      <c r="J253" s="752"/>
      <c r="K253" s="416"/>
      <c r="L253" s="376" t="s">
        <v>437</v>
      </c>
      <c r="M253" s="376"/>
      <c r="N253" s="376"/>
      <c r="O253" s="376"/>
      <c r="P253" s="376"/>
      <c r="Q253" s="376"/>
      <c r="R253" s="376"/>
      <c r="S253" s="416"/>
      <c r="T253" s="752"/>
      <c r="U253" s="416"/>
      <c r="V253" s="609">
        <f>IF(W253=1,G253,0)</f>
        <v>0</v>
      </c>
      <c r="W253" s="692"/>
    </row>
    <row r="254" spans="1:23" outlineLevel="3">
      <c r="A254" s="376"/>
      <c r="B254" s="376" t="s">
        <v>1402</v>
      </c>
      <c r="C254" s="376" t="s">
        <v>1403</v>
      </c>
      <c r="D254" s="376" t="s">
        <v>860</v>
      </c>
      <c r="E254" s="376" t="s">
        <v>437</v>
      </c>
      <c r="F254" s="608" t="s">
        <v>208</v>
      </c>
      <c r="G254" s="609">
        <v>0.11274119999999999</v>
      </c>
      <c r="H254" s="692">
        <v>1</v>
      </c>
      <c r="I254" s="626"/>
      <c r="J254" s="752"/>
      <c r="K254" s="416"/>
      <c r="L254" s="376" t="s">
        <v>437</v>
      </c>
      <c r="M254" s="376"/>
      <c r="N254" s="376"/>
      <c r="O254" s="376"/>
      <c r="P254" s="376"/>
      <c r="Q254" s="376"/>
      <c r="R254" s="376"/>
      <c r="S254" s="416"/>
      <c r="T254" s="752"/>
      <c r="U254" s="416"/>
      <c r="V254" s="609">
        <f>IF(W254=1,G254,0)</f>
        <v>0</v>
      </c>
      <c r="W254" s="692"/>
    </row>
    <row r="255" spans="1:23" outlineLevel="3">
      <c r="A255" s="376"/>
      <c r="B255" s="376" t="s">
        <v>1402</v>
      </c>
      <c r="C255" s="376" t="s">
        <v>1403</v>
      </c>
      <c r="D255" s="376" t="s">
        <v>860</v>
      </c>
      <c r="E255" s="376" t="s">
        <v>437</v>
      </c>
      <c r="F255" s="608" t="s">
        <v>1341</v>
      </c>
      <c r="G255" s="609">
        <v>0.34</v>
      </c>
      <c r="H255" s="692">
        <v>1</v>
      </c>
      <c r="I255" s="626"/>
      <c r="J255" s="752"/>
      <c r="K255" s="416"/>
      <c r="L255" s="376" t="s">
        <v>437</v>
      </c>
      <c r="M255" s="376"/>
      <c r="N255" s="376"/>
      <c r="O255" s="376"/>
      <c r="P255" s="376"/>
      <c r="Q255" s="376"/>
      <c r="R255" s="376"/>
      <c r="S255" s="416"/>
      <c r="T255" s="752"/>
      <c r="U255" s="416"/>
      <c r="V255" s="609">
        <f>IF(W255=1,G255,0)</f>
        <v>0</v>
      </c>
      <c r="W255" s="692"/>
    </row>
    <row r="256" spans="1:23" outlineLevel="1">
      <c r="A256" s="376"/>
      <c r="B256" s="666" t="s">
        <v>236</v>
      </c>
      <c r="C256" s="666" t="s">
        <v>1406</v>
      </c>
      <c r="D256" s="667"/>
      <c r="E256" s="665"/>
      <c r="F256" s="681" t="s">
        <v>947</v>
      </c>
      <c r="G256" s="708">
        <f>SUBTOTAL(9,G257:G262)</f>
        <v>3.9133302637702503</v>
      </c>
      <c r="H256" s="709">
        <f>SUBTOTAL(9,H257:H262)</f>
        <v>4</v>
      </c>
      <c r="I256" s="626"/>
      <c r="J256" s="752"/>
      <c r="K256" s="416"/>
      <c r="L256" s="665"/>
      <c r="M256" s="665"/>
      <c r="N256" s="665"/>
      <c r="O256" s="665"/>
      <c r="P256" s="665"/>
      <c r="Q256" s="665"/>
      <c r="R256" s="665"/>
      <c r="S256" s="416"/>
      <c r="T256" s="752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236</v>
      </c>
      <c r="C257" s="687" t="s">
        <v>1406</v>
      </c>
      <c r="D257" s="684" t="s">
        <v>441</v>
      </c>
      <c r="E257" s="684"/>
      <c r="F257" s="685" t="s">
        <v>36</v>
      </c>
      <c r="G257" s="686">
        <f>SUBTOTAL(9,G258:G259)</f>
        <v>2.2417648438935003</v>
      </c>
      <c r="H257" s="691">
        <f>SUBTOTAL(9,H258:H259)</f>
        <v>2</v>
      </c>
      <c r="I257" s="626"/>
      <c r="J257" s="752"/>
      <c r="K257" s="416"/>
      <c r="L257" s="684"/>
      <c r="M257" s="684"/>
      <c r="N257" s="684"/>
      <c r="O257" s="684"/>
      <c r="P257" s="684"/>
      <c r="Q257" s="684"/>
      <c r="R257" s="684"/>
      <c r="S257" s="416"/>
      <c r="T257" s="752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236</v>
      </c>
      <c r="C258" s="387" t="s">
        <v>1406</v>
      </c>
      <c r="D258" s="376" t="s">
        <v>441</v>
      </c>
      <c r="E258" s="376" t="s">
        <v>437</v>
      </c>
      <c r="F258" s="608" t="s">
        <v>36</v>
      </c>
      <c r="G258" s="609">
        <v>1.4917648438935003</v>
      </c>
      <c r="H258" s="692">
        <v>1</v>
      </c>
      <c r="I258" s="626"/>
      <c r="J258" s="752"/>
      <c r="K258" s="416"/>
      <c r="L258" s="376" t="s">
        <v>437</v>
      </c>
      <c r="M258" s="376"/>
      <c r="N258" s="376"/>
      <c r="O258" s="376"/>
      <c r="P258" s="376"/>
      <c r="Q258" s="376"/>
      <c r="R258" s="376"/>
      <c r="S258" s="416"/>
      <c r="T258" s="752"/>
      <c r="U258" s="416"/>
      <c r="V258" s="609">
        <f>IF(W258=1,G258,0)</f>
        <v>0</v>
      </c>
      <c r="W258" s="692"/>
    </row>
    <row r="259" spans="1:23" outlineLevel="3">
      <c r="A259" s="376"/>
      <c r="B259" s="376" t="s">
        <v>236</v>
      </c>
      <c r="C259" s="387" t="s">
        <v>1406</v>
      </c>
      <c r="D259" s="376" t="s">
        <v>441</v>
      </c>
      <c r="E259" s="376" t="s">
        <v>437</v>
      </c>
      <c r="F259" s="608" t="s">
        <v>208</v>
      </c>
      <c r="G259" s="609">
        <v>0.75</v>
      </c>
      <c r="H259" s="692">
        <v>1</v>
      </c>
      <c r="I259" s="626"/>
      <c r="J259" s="752"/>
      <c r="K259" s="416"/>
      <c r="L259" s="376" t="s">
        <v>437</v>
      </c>
      <c r="M259" s="376"/>
      <c r="N259" s="376"/>
      <c r="O259" s="376"/>
      <c r="P259" s="376"/>
      <c r="Q259" s="376"/>
      <c r="R259" s="376"/>
      <c r="S259" s="416"/>
      <c r="T259" s="752"/>
      <c r="U259" s="416"/>
      <c r="V259" s="609">
        <f>IF(W259=1,G259,0)</f>
        <v>0</v>
      </c>
      <c r="W259" s="692"/>
    </row>
    <row r="260" spans="1:23" outlineLevel="2">
      <c r="A260" s="376"/>
      <c r="B260" s="684" t="s">
        <v>236</v>
      </c>
      <c r="C260" s="687" t="s">
        <v>1406</v>
      </c>
      <c r="D260" s="684" t="s">
        <v>860</v>
      </c>
      <c r="E260" s="684"/>
      <c r="F260" s="685" t="s">
        <v>36</v>
      </c>
      <c r="G260" s="686">
        <f>SUBTOTAL(9,G261:G262)</f>
        <v>1.6715654198767502</v>
      </c>
      <c r="H260" s="691">
        <f>SUBTOTAL(9,H261:H262)</f>
        <v>2</v>
      </c>
      <c r="I260" s="626"/>
      <c r="J260" s="752"/>
      <c r="K260" s="416"/>
      <c r="L260" s="684"/>
      <c r="M260" s="684"/>
      <c r="N260" s="684"/>
      <c r="O260" s="684"/>
      <c r="P260" s="684"/>
      <c r="Q260" s="684"/>
      <c r="R260" s="684"/>
      <c r="S260" s="416"/>
      <c r="T260" s="752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236</v>
      </c>
      <c r="C261" s="387" t="s">
        <v>1406</v>
      </c>
      <c r="D261" s="376" t="s">
        <v>860</v>
      </c>
      <c r="E261" s="376" t="s">
        <v>437</v>
      </c>
      <c r="F261" s="608" t="s">
        <v>36</v>
      </c>
      <c r="G261" s="609">
        <v>1.2515654198767503</v>
      </c>
      <c r="H261" s="770">
        <v>1</v>
      </c>
      <c r="I261" s="626"/>
      <c r="J261" s="752"/>
      <c r="K261" s="416"/>
      <c r="L261" s="376" t="s">
        <v>437</v>
      </c>
      <c r="M261" s="376"/>
      <c r="N261" s="376"/>
      <c r="O261" s="376"/>
      <c r="P261" s="376"/>
      <c r="Q261" s="376"/>
      <c r="R261" s="376"/>
      <c r="S261" s="416"/>
      <c r="T261" s="752"/>
      <c r="U261" s="416"/>
      <c r="V261" s="609">
        <f>IF(W261=1,G261,0)</f>
        <v>0</v>
      </c>
      <c r="W261" s="609"/>
    </row>
    <row r="262" spans="1:23" outlineLevel="3">
      <c r="A262" s="376"/>
      <c r="B262" s="376" t="s">
        <v>236</v>
      </c>
      <c r="C262" s="387" t="s">
        <v>1406</v>
      </c>
      <c r="D262" s="376" t="s">
        <v>860</v>
      </c>
      <c r="E262" s="376" t="s">
        <v>437</v>
      </c>
      <c r="F262" s="608" t="s">
        <v>208</v>
      </c>
      <c r="G262" s="609">
        <v>0.42</v>
      </c>
      <c r="H262" s="770">
        <v>1</v>
      </c>
      <c r="I262" s="626"/>
      <c r="J262" s="752"/>
      <c r="K262" s="416"/>
      <c r="L262" s="376" t="s">
        <v>437</v>
      </c>
      <c r="M262" s="376"/>
      <c r="N262" s="376"/>
      <c r="O262" s="376"/>
      <c r="P262" s="376"/>
      <c r="Q262" s="376"/>
      <c r="R262" s="376"/>
      <c r="S262" s="416"/>
      <c r="T262" s="752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50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50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812" customWidth="1"/>
    <col min="2" max="2" width="22.7109375" style="812" customWidth="1"/>
    <col min="3" max="3" width="17.7109375" style="812" bestFit="1" customWidth="1"/>
    <col min="4" max="4" width="16.28515625" style="812" customWidth="1"/>
    <col min="5" max="5" width="14.42578125" style="812" customWidth="1"/>
    <col min="6" max="6" width="53.7109375" style="816" customWidth="1"/>
    <col min="7" max="7" width="13.28515625" style="812" bestFit="1" customWidth="1"/>
    <col min="8" max="8" width="9.5703125" style="812" customWidth="1" outlineLevel="1"/>
    <col min="9" max="11" width="0.5703125" style="812" customWidth="1"/>
    <col min="12" max="12" width="14.42578125" style="812" customWidth="1"/>
    <col min="13" max="13" width="14.42578125" style="812" customWidth="1" collapsed="1"/>
    <col min="14" max="18" width="14.42578125" style="812" hidden="1" customWidth="1" outlineLevel="1"/>
    <col min="19" max="21" width="0.5703125" style="812" customWidth="1"/>
    <col min="22" max="22" width="16.28515625" style="812" customWidth="1" collapsed="1"/>
    <col min="23" max="23" width="14.28515625" style="812" hidden="1" customWidth="1" outlineLevel="1"/>
    <col min="24" max="26" width="9.42578125" style="812" bestFit="1"/>
    <col min="27" max="27" width="9.42578125" style="812" bestFit="1" customWidth="1"/>
    <col min="28" max="16384" width="9.42578125" style="812"/>
  </cols>
  <sheetData>
    <row r="2" spans="1:27" ht="17.45">
      <c r="A2" s="376"/>
      <c r="B2" s="418" t="s">
        <v>1913</v>
      </c>
      <c r="C2" s="418"/>
      <c r="D2" s="418"/>
      <c r="E2" s="418"/>
      <c r="F2" s="423"/>
      <c r="G2" s="826">
        <f>SUBTOTAL(9,G6:G19)</f>
        <v>1.093072</v>
      </c>
      <c r="H2" s="690">
        <f>SUBTOTAL(9,H6:H19)</f>
        <v>107</v>
      </c>
      <c r="I2" s="626"/>
      <c r="J2" s="752"/>
      <c r="K2" s="416"/>
      <c r="L2" s="418"/>
      <c r="M2" s="418"/>
      <c r="N2" s="418"/>
      <c r="O2" s="418"/>
      <c r="P2" s="418"/>
      <c r="Q2" s="418"/>
      <c r="R2" s="418"/>
      <c r="S2" s="416"/>
      <c r="T2" s="752"/>
      <c r="U2" s="416"/>
      <c r="V2" s="826">
        <f>SUBTOTAL(9,V6:V19)</f>
        <v>0</v>
      </c>
      <c r="W2" s="826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K3" s="416"/>
      <c r="L3" s="376"/>
      <c r="M3" s="376"/>
      <c r="N3" s="376"/>
      <c r="O3" s="376"/>
      <c r="P3" s="376"/>
      <c r="Q3" s="376"/>
      <c r="R3" s="376"/>
      <c r="S3" s="416"/>
      <c r="T3" s="752"/>
      <c r="U3" s="416"/>
      <c r="V3" s="376"/>
      <c r="W3" s="376"/>
      <c r="X3" s="416"/>
      <c r="Y3" s="416"/>
      <c r="Z3" s="416"/>
      <c r="AA3" s="416"/>
    </row>
    <row r="4" spans="1:27" s="817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K4" s="442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S4" s="442"/>
      <c r="T4" s="753"/>
      <c r="U4" s="442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7"/>
      <c r="I5" s="626"/>
      <c r="J5" s="752"/>
      <c r="K5" s="416"/>
      <c r="L5" s="376"/>
      <c r="M5" s="376"/>
      <c r="N5" s="376"/>
      <c r="O5" s="376"/>
      <c r="P5" s="376"/>
      <c r="Q5" s="376"/>
      <c r="R5" s="376"/>
      <c r="S5" s="416"/>
      <c r="T5" s="752"/>
      <c r="U5" s="416"/>
      <c r="V5" s="609"/>
      <c r="W5" s="727"/>
      <c r="X5" s="610"/>
      <c r="Y5" s="610"/>
      <c r="Z5" s="610"/>
      <c r="AA5" s="610"/>
    </row>
    <row r="6" spans="1:27" ht="15">
      <c r="A6" s="376"/>
      <c r="B6" s="430" t="s">
        <v>1879</v>
      </c>
      <c r="C6" s="430"/>
      <c r="D6" s="430"/>
      <c r="E6" s="430"/>
      <c r="F6" s="697"/>
      <c r="G6" s="739">
        <f>SUBTOTAL(9,G8:G286)</f>
        <v>1.093072</v>
      </c>
      <c r="H6" s="740">
        <f>SUBTOTAL(9,H8:H286)</f>
        <v>107</v>
      </c>
      <c r="I6" s="626"/>
      <c r="J6" s="752"/>
      <c r="K6" s="416"/>
      <c r="L6" s="430"/>
      <c r="M6" s="430"/>
      <c r="N6" s="430"/>
      <c r="O6" s="430"/>
      <c r="P6" s="430"/>
      <c r="Q6" s="430"/>
      <c r="R6" s="430"/>
      <c r="S6" s="416"/>
      <c r="T6" s="752"/>
      <c r="U6" s="416"/>
      <c r="V6" s="739">
        <f>SUBTOTAL(9,V8:V286)</f>
        <v>0</v>
      </c>
      <c r="W6" s="740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2"/>
      <c r="K7" s="416"/>
      <c r="L7" s="376"/>
      <c r="M7" s="376"/>
      <c r="N7" s="376"/>
      <c r="O7" s="376"/>
      <c r="P7" s="376"/>
      <c r="Q7" s="376"/>
      <c r="R7" s="376"/>
      <c r="S7" s="416"/>
      <c r="T7" s="752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617</v>
      </c>
      <c r="C8" s="666" t="s">
        <v>1880</v>
      </c>
      <c r="D8" s="667"/>
      <c r="E8" s="665"/>
      <c r="F8" s="681" t="s">
        <v>947</v>
      </c>
      <c r="G8" s="709">
        <f>SUBTOTAL(9,G14:G19)</f>
        <v>1.093072</v>
      </c>
      <c r="H8" s="709">
        <f>SUBTOTAL(9,H9:H19)</f>
        <v>107</v>
      </c>
      <c r="I8" s="626"/>
      <c r="J8" s="752"/>
      <c r="K8" s="416"/>
      <c r="L8" s="665"/>
      <c r="M8" s="665"/>
      <c r="N8" s="665"/>
      <c r="O8" s="665"/>
      <c r="P8" s="665"/>
      <c r="Q8" s="665"/>
      <c r="R8" s="665"/>
      <c r="S8" s="416"/>
      <c r="T8" s="752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510</v>
      </c>
      <c r="C9" s="687" t="s">
        <v>1914</v>
      </c>
      <c r="D9" s="684" t="s">
        <v>617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2"/>
      <c r="K9" s="416"/>
      <c r="L9" s="684"/>
      <c r="M9" s="684"/>
      <c r="N9" s="684"/>
      <c r="O9" s="684"/>
      <c r="P9" s="684"/>
      <c r="Q9" s="684"/>
      <c r="R9" s="684"/>
      <c r="S9" s="416"/>
      <c r="T9" s="752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outlineLevel="3">
      <c r="A10" s="376"/>
      <c r="B10" s="376" t="s">
        <v>510</v>
      </c>
      <c r="C10" s="828" t="s">
        <v>1914</v>
      </c>
      <c r="D10" s="376" t="s">
        <v>617</v>
      </c>
      <c r="E10" s="376" t="s">
        <v>144</v>
      </c>
      <c r="F10" s="608" t="s">
        <v>1915</v>
      </c>
      <c r="G10" s="706"/>
      <c r="H10" s="692">
        <v>1</v>
      </c>
      <c r="I10" s="626"/>
      <c r="J10" s="752"/>
      <c r="K10" s="416"/>
      <c r="L10" s="376"/>
      <c r="M10" s="376"/>
      <c r="N10" s="376"/>
      <c r="O10" s="376"/>
      <c r="P10" s="376"/>
      <c r="Q10" s="376"/>
      <c r="R10" s="376"/>
      <c r="S10" s="416"/>
      <c r="T10" s="752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outlineLevel="3">
      <c r="A11" s="376"/>
      <c r="B11" s="376" t="s">
        <v>510</v>
      </c>
      <c r="C11" s="828" t="s">
        <v>1914</v>
      </c>
      <c r="D11" s="376" t="s">
        <v>617</v>
      </c>
      <c r="E11" s="376" t="s">
        <v>144</v>
      </c>
      <c r="F11" s="608" t="s">
        <v>1916</v>
      </c>
      <c r="G11" s="706"/>
      <c r="H11" s="692">
        <v>1</v>
      </c>
      <c r="I11" s="626"/>
      <c r="J11" s="752"/>
      <c r="K11" s="416"/>
      <c r="L11" s="376"/>
      <c r="M11" s="376"/>
      <c r="N11" s="376"/>
      <c r="O11" s="376"/>
      <c r="P11" s="376"/>
      <c r="Q11" s="376"/>
      <c r="R11" s="376"/>
      <c r="S11" s="416"/>
      <c r="T11" s="752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outlineLevel="3">
      <c r="A12" s="376"/>
      <c r="B12" s="376" t="s">
        <v>510</v>
      </c>
      <c r="C12" s="828" t="s">
        <v>1914</v>
      </c>
      <c r="D12" s="376" t="s">
        <v>617</v>
      </c>
      <c r="E12" s="376" t="s">
        <v>144</v>
      </c>
      <c r="F12" s="608" t="s">
        <v>1917</v>
      </c>
      <c r="G12" s="706"/>
      <c r="H12" s="692">
        <v>3</v>
      </c>
      <c r="I12" s="626"/>
      <c r="J12" s="752"/>
      <c r="K12" s="416"/>
      <c r="L12" s="376"/>
      <c r="M12" s="376"/>
      <c r="N12" s="376"/>
      <c r="O12" s="376"/>
      <c r="P12" s="376"/>
      <c r="Q12" s="376"/>
      <c r="R12" s="376"/>
      <c r="S12" s="416"/>
      <c r="T12" s="752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outlineLevel="3">
      <c r="A13" s="376"/>
      <c r="B13" s="376" t="s">
        <v>510</v>
      </c>
      <c r="C13" s="828" t="s">
        <v>1914</v>
      </c>
      <c r="D13" s="376" t="s">
        <v>617</v>
      </c>
      <c r="E13" s="376" t="s">
        <v>144</v>
      </c>
      <c r="F13" s="608" t="s">
        <v>1918</v>
      </c>
      <c r="G13" s="706"/>
      <c r="H13" s="692">
        <v>3</v>
      </c>
      <c r="I13" s="626"/>
      <c r="J13" s="752"/>
      <c r="K13" s="416"/>
      <c r="L13" s="376"/>
      <c r="M13" s="376"/>
      <c r="N13" s="376"/>
      <c r="O13" s="376"/>
      <c r="P13" s="376"/>
      <c r="Q13" s="376"/>
      <c r="R13" s="376"/>
      <c r="S13" s="416"/>
      <c r="T13" s="752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1862</v>
      </c>
      <c r="C14" s="687" t="s">
        <v>1881</v>
      </c>
      <c r="D14" s="684" t="s">
        <v>617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2"/>
      <c r="K14" s="416"/>
      <c r="L14" s="684"/>
      <c r="M14" s="684"/>
      <c r="N14" s="684"/>
      <c r="O14" s="684"/>
      <c r="P14" s="684"/>
      <c r="Q14" s="684"/>
      <c r="R14" s="684"/>
      <c r="S14" s="416"/>
      <c r="T14" s="752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outlineLevel="3">
      <c r="A15" s="376"/>
      <c r="B15" s="376" t="s">
        <v>1862</v>
      </c>
      <c r="C15" s="828" t="s">
        <v>1881</v>
      </c>
      <c r="D15" s="376" t="s">
        <v>617</v>
      </c>
      <c r="E15" s="376" t="s">
        <v>144</v>
      </c>
      <c r="F15" s="608" t="s">
        <v>1919</v>
      </c>
      <c r="G15" s="706">
        <v>0.53307199999999999</v>
      </c>
      <c r="H15" s="692">
        <v>7</v>
      </c>
      <c r="I15" s="626"/>
      <c r="J15" s="752"/>
      <c r="K15" s="416"/>
      <c r="L15" s="376"/>
      <c r="M15" s="376"/>
      <c r="N15" s="376"/>
      <c r="O15" s="376"/>
      <c r="P15" s="376"/>
      <c r="Q15" s="376"/>
      <c r="R15" s="376"/>
      <c r="S15" s="416"/>
      <c r="T15" s="752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1866</v>
      </c>
      <c r="C16" s="687" t="s">
        <v>1881</v>
      </c>
      <c r="D16" s="684" t="s">
        <v>617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2"/>
      <c r="K16" s="416"/>
      <c r="L16" s="684"/>
      <c r="M16" s="684"/>
      <c r="N16" s="684"/>
      <c r="O16" s="684"/>
      <c r="P16" s="684"/>
      <c r="Q16" s="684"/>
      <c r="R16" s="684"/>
      <c r="S16" s="416"/>
      <c r="T16" s="752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1866</v>
      </c>
      <c r="C17" s="387" t="s">
        <v>1881</v>
      </c>
      <c r="D17" s="376" t="s">
        <v>617</v>
      </c>
      <c r="E17" s="376" t="s">
        <v>144</v>
      </c>
      <c r="F17" s="608" t="s">
        <v>1920</v>
      </c>
      <c r="G17" s="609">
        <v>0.56000000000000005</v>
      </c>
      <c r="H17" s="770">
        <v>86</v>
      </c>
      <c r="I17" s="626"/>
      <c r="J17" s="752"/>
      <c r="K17" s="416"/>
      <c r="L17" s="376"/>
      <c r="M17" s="376"/>
      <c r="N17" s="376"/>
      <c r="O17" s="376"/>
      <c r="P17" s="376"/>
      <c r="Q17" s="376"/>
      <c r="R17" s="376"/>
      <c r="S17" s="416"/>
      <c r="T17" s="752"/>
      <c r="U17" s="416"/>
      <c r="V17" s="609">
        <f>IF(W17=1,G17,0)</f>
        <v>0</v>
      </c>
      <c r="W17" s="609"/>
    </row>
    <row r="18" spans="2:23" outlineLevel="2">
      <c r="B18" s="684" t="s">
        <v>1834</v>
      </c>
      <c r="C18" s="687" t="s">
        <v>1881</v>
      </c>
      <c r="D18" s="684" t="s">
        <v>617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2"/>
      <c r="K18" s="416"/>
      <c r="L18" s="684"/>
      <c r="M18" s="684"/>
      <c r="N18" s="684"/>
      <c r="O18" s="684"/>
      <c r="P18" s="684"/>
      <c r="Q18" s="684"/>
      <c r="R18" s="684"/>
      <c r="S18" s="416"/>
      <c r="T18" s="752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1834</v>
      </c>
      <c r="C19" s="387" t="s">
        <v>1881</v>
      </c>
      <c r="D19" s="376" t="s">
        <v>617</v>
      </c>
      <c r="E19" s="376" t="s">
        <v>144</v>
      </c>
      <c r="F19" s="608" t="s">
        <v>241</v>
      </c>
      <c r="G19" s="609">
        <v>0</v>
      </c>
      <c r="H19" s="770">
        <v>6</v>
      </c>
      <c r="I19" s="626"/>
      <c r="J19" s="752"/>
      <c r="K19" s="416"/>
      <c r="L19" s="376"/>
      <c r="M19" s="376"/>
      <c r="N19" s="376"/>
      <c r="O19" s="376"/>
      <c r="P19" s="376"/>
      <c r="Q19" s="376"/>
      <c r="R19" s="376"/>
      <c r="S19" s="416"/>
      <c r="T19" s="752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50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50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1921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2"/>
      <c r="L2" s="418"/>
      <c r="M2" s="418"/>
      <c r="N2" s="418"/>
      <c r="O2" s="418"/>
      <c r="P2" s="418"/>
      <c r="Q2" s="418"/>
      <c r="R2" s="418"/>
      <c r="T2" s="752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L3" s="376"/>
      <c r="M3" s="376"/>
      <c r="N3" s="376"/>
      <c r="O3" s="376"/>
      <c r="P3" s="376"/>
      <c r="Q3" s="376"/>
      <c r="R3" s="376"/>
      <c r="T3" s="752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T4" s="753"/>
      <c r="V4" s="621" t="s">
        <v>943</v>
      </c>
      <c r="W4" s="693" t="s">
        <v>944</v>
      </c>
      <c r="X4" s="764" t="e">
        <f>V2/G2</f>
        <v>#DIV/0!</v>
      </c>
      <c r="Y4" s="764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2"/>
      <c r="L5" s="376"/>
      <c r="M5" s="376"/>
      <c r="N5" s="376"/>
      <c r="O5" s="376"/>
      <c r="P5" s="376"/>
      <c r="Q5" s="376"/>
      <c r="R5" s="376"/>
      <c r="T5" s="752"/>
      <c r="V5" s="695"/>
      <c r="W5" s="696"/>
      <c r="X5" s="610"/>
      <c r="Y5" s="610"/>
      <c r="Z5" s="610"/>
      <c r="AA5" s="610"/>
    </row>
    <row r="6" spans="1:27" ht="15">
      <c r="A6" s="376"/>
      <c r="B6" s="430" t="s">
        <v>1879</v>
      </c>
      <c r="C6" s="430"/>
      <c r="D6" s="430"/>
      <c r="E6" s="430"/>
      <c r="F6" s="697"/>
      <c r="G6" s="739">
        <f>SUBTOTAL(9,G8:G291)</f>
        <v>0</v>
      </c>
      <c r="H6" s="740">
        <f>SUBTOTAL(9,H8:H291)</f>
        <v>12</v>
      </c>
      <c r="I6" s="626"/>
      <c r="J6" s="752"/>
      <c r="L6" s="430"/>
      <c r="M6" s="430"/>
      <c r="N6" s="430"/>
      <c r="O6" s="430"/>
      <c r="P6" s="430"/>
      <c r="Q6" s="430"/>
      <c r="R6" s="430"/>
      <c r="T6" s="752"/>
      <c r="V6" s="739">
        <f>SUBTOTAL(9,V8:V291)</f>
        <v>0</v>
      </c>
      <c r="W6" s="740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2"/>
      <c r="L7" s="376"/>
      <c r="M7" s="376"/>
      <c r="N7" s="376"/>
      <c r="O7" s="376"/>
      <c r="P7" s="376"/>
      <c r="Q7" s="376"/>
      <c r="R7" s="376"/>
      <c r="T7" s="752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1922</v>
      </c>
      <c r="C8" s="665" t="s">
        <v>1922</v>
      </c>
      <c r="D8" s="665" t="s">
        <v>617</v>
      </c>
      <c r="E8" s="665"/>
      <c r="F8" s="681" t="s">
        <v>947</v>
      </c>
      <c r="G8" s="724">
        <f>SUBTOTAL(9,G13:G26)</f>
        <v>0</v>
      </c>
      <c r="H8" s="725">
        <f>SUBTOTAL(9,H9:H24)</f>
        <v>12</v>
      </c>
      <c r="I8" s="626"/>
      <c r="J8" s="752"/>
      <c r="L8" s="665"/>
      <c r="M8" s="665"/>
      <c r="N8" s="665"/>
      <c r="O8" s="665"/>
      <c r="P8" s="665"/>
      <c r="Q8" s="665"/>
      <c r="R8" s="665"/>
      <c r="T8" s="752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627</v>
      </c>
      <c r="C9" s="687" t="s">
        <v>1923</v>
      </c>
      <c r="D9" s="684" t="s">
        <v>617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2"/>
      <c r="L9" s="684"/>
      <c r="M9" s="684"/>
      <c r="N9" s="684"/>
      <c r="O9" s="684"/>
      <c r="P9" s="684"/>
      <c r="Q9" s="684"/>
      <c r="R9" s="684"/>
      <c r="T9" s="752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627</v>
      </c>
      <c r="C10" s="387" t="s">
        <v>1924</v>
      </c>
      <c r="D10" s="376" t="s">
        <v>617</v>
      </c>
      <c r="E10" s="376" t="s">
        <v>1863</v>
      </c>
      <c r="F10" s="608" t="s">
        <v>1925</v>
      </c>
      <c r="G10" s="609"/>
      <c r="H10" s="692">
        <v>1</v>
      </c>
      <c r="I10" s="626"/>
      <c r="J10" s="752"/>
      <c r="L10" s="376"/>
      <c r="M10" s="376"/>
      <c r="N10" s="376"/>
      <c r="O10" s="376"/>
      <c r="P10" s="376"/>
      <c r="Q10" s="376"/>
      <c r="R10" s="376"/>
      <c r="T10" s="752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627</v>
      </c>
      <c r="C11" s="387" t="s">
        <v>1924</v>
      </c>
      <c r="D11" s="376" t="s">
        <v>617</v>
      </c>
      <c r="E11" s="376" t="s">
        <v>1863</v>
      </c>
      <c r="F11" s="608" t="s">
        <v>1926</v>
      </c>
      <c r="G11" s="609"/>
      <c r="H11" s="692">
        <v>1</v>
      </c>
      <c r="I11" s="626"/>
      <c r="J11" s="752"/>
      <c r="L11" s="376"/>
      <c r="M11" s="376"/>
      <c r="N11" s="376"/>
      <c r="O11" s="376"/>
      <c r="P11" s="376"/>
      <c r="Q11" s="376"/>
      <c r="R11" s="376"/>
      <c r="T11" s="752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627</v>
      </c>
      <c r="C12" s="387" t="s">
        <v>633</v>
      </c>
      <c r="D12" s="376" t="s">
        <v>617</v>
      </c>
      <c r="E12" s="376" t="s">
        <v>1863</v>
      </c>
      <c r="F12" s="608" t="s">
        <v>1927</v>
      </c>
      <c r="G12" s="609"/>
      <c r="H12" s="692">
        <v>1</v>
      </c>
      <c r="I12" s="626"/>
      <c r="J12" s="752"/>
      <c r="L12" s="376"/>
      <c r="M12" s="376"/>
      <c r="N12" s="376"/>
      <c r="O12" s="376"/>
      <c r="P12" s="376"/>
      <c r="Q12" s="376"/>
      <c r="R12" s="376"/>
      <c r="T12" s="752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627</v>
      </c>
      <c r="C13" s="387" t="s">
        <v>1928</v>
      </c>
      <c r="D13" s="376" t="s">
        <v>617</v>
      </c>
      <c r="E13" s="376" t="s">
        <v>1863</v>
      </c>
      <c r="F13" s="608" t="s">
        <v>1929</v>
      </c>
      <c r="G13" s="609"/>
      <c r="H13" s="692">
        <v>1</v>
      </c>
      <c r="I13" s="626"/>
      <c r="J13" s="752"/>
      <c r="L13" s="376"/>
      <c r="M13" s="376"/>
      <c r="N13" s="376"/>
      <c r="O13" s="376"/>
      <c r="P13" s="376"/>
      <c r="Q13" s="376"/>
      <c r="R13" s="376"/>
      <c r="T13" s="752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627</v>
      </c>
      <c r="C14" s="387" t="s">
        <v>1928</v>
      </c>
      <c r="D14" s="376" t="s">
        <v>617</v>
      </c>
      <c r="E14" s="376" t="s">
        <v>1863</v>
      </c>
      <c r="F14" s="608" t="s">
        <v>1930</v>
      </c>
      <c r="G14" s="609"/>
      <c r="H14" s="692">
        <v>1</v>
      </c>
      <c r="I14" s="626"/>
      <c r="J14" s="752"/>
      <c r="L14" s="376"/>
      <c r="M14" s="376"/>
      <c r="N14" s="376"/>
      <c r="O14" s="376"/>
      <c r="P14" s="376"/>
      <c r="Q14" s="376"/>
      <c r="R14" s="376"/>
      <c r="T14" s="752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627</v>
      </c>
      <c r="C15" s="387" t="s">
        <v>1928</v>
      </c>
      <c r="D15" s="376" t="s">
        <v>617</v>
      </c>
      <c r="E15" s="376" t="s">
        <v>1863</v>
      </c>
      <c r="F15" s="608" t="s">
        <v>1931</v>
      </c>
      <c r="G15" s="609"/>
      <c r="H15" s="692">
        <v>1</v>
      </c>
      <c r="I15" s="626"/>
      <c r="J15" s="752"/>
      <c r="L15" s="376"/>
      <c r="M15" s="376"/>
      <c r="N15" s="376"/>
      <c r="O15" s="376"/>
      <c r="P15" s="376"/>
      <c r="Q15" s="376"/>
      <c r="R15" s="376"/>
      <c r="T15" s="752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627</v>
      </c>
      <c r="C16" s="387" t="s">
        <v>1928</v>
      </c>
      <c r="D16" s="376" t="s">
        <v>617</v>
      </c>
      <c r="E16" s="376" t="s">
        <v>1863</v>
      </c>
      <c r="F16" s="608" t="s">
        <v>1932</v>
      </c>
      <c r="G16" s="609"/>
      <c r="H16" s="692">
        <v>1</v>
      </c>
      <c r="I16" s="626"/>
      <c r="J16" s="752"/>
      <c r="L16" s="376"/>
      <c r="M16" s="376"/>
      <c r="N16" s="376"/>
      <c r="O16" s="376"/>
      <c r="P16" s="376"/>
      <c r="Q16" s="376"/>
      <c r="R16" s="376"/>
      <c r="T16" s="752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1864</v>
      </c>
      <c r="C17" s="687" t="s">
        <v>1933</v>
      </c>
      <c r="D17" s="687" t="s">
        <v>617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2"/>
      <c r="L17" s="684"/>
      <c r="M17" s="684"/>
      <c r="N17" s="684"/>
      <c r="O17" s="684"/>
      <c r="P17" s="684"/>
      <c r="Q17" s="684"/>
      <c r="R17" s="684"/>
      <c r="T17" s="752"/>
      <c r="V17" s="686">
        <f>SUBTOTAL(9,V18:V19)</f>
        <v>0</v>
      </c>
      <c r="W17" s="691">
        <f>SUBTOTAL(9,W18:W19)</f>
        <v>0</v>
      </c>
    </row>
    <row r="18" spans="2:23" ht="26.45" outlineLevel="3">
      <c r="B18" s="376" t="s">
        <v>1864</v>
      </c>
      <c r="C18" s="387" t="s">
        <v>1933</v>
      </c>
      <c r="D18" s="376" t="s">
        <v>617</v>
      </c>
      <c r="E18" s="376" t="s">
        <v>1863</v>
      </c>
      <c r="F18" s="608" t="s">
        <v>1934</v>
      </c>
      <c r="G18" s="609"/>
      <c r="H18" s="692">
        <v>1</v>
      </c>
      <c r="I18" s="626"/>
      <c r="J18" s="752"/>
      <c r="L18" s="376"/>
      <c r="M18" s="376"/>
      <c r="N18" s="376"/>
      <c r="O18" s="376"/>
      <c r="P18" s="376"/>
      <c r="Q18" s="376"/>
      <c r="R18" s="376"/>
      <c r="T18" s="752"/>
      <c r="V18" s="609">
        <f t="shared" ref="V18:V20" si="2">IF(W18=1,G18,0)</f>
        <v>0</v>
      </c>
      <c r="W18" s="692"/>
    </row>
    <row r="19" spans="2:23" ht="26.45" outlineLevel="3">
      <c r="B19" s="376" t="s">
        <v>1864</v>
      </c>
      <c r="C19" s="387" t="s">
        <v>1933</v>
      </c>
      <c r="D19" s="376" t="s">
        <v>617</v>
      </c>
      <c r="E19" s="376" t="s">
        <v>1863</v>
      </c>
      <c r="F19" s="608" t="s">
        <v>1935</v>
      </c>
      <c r="G19" s="609"/>
      <c r="H19" s="692">
        <v>1</v>
      </c>
      <c r="I19" s="626"/>
      <c r="J19" s="752"/>
      <c r="L19" s="376"/>
      <c r="M19" s="376"/>
      <c r="N19" s="376"/>
      <c r="O19" s="376"/>
      <c r="P19" s="376"/>
      <c r="Q19" s="376"/>
      <c r="R19" s="376"/>
      <c r="T19" s="752"/>
      <c r="V19" s="609">
        <f t="shared" si="2"/>
        <v>0</v>
      </c>
      <c r="W19" s="692"/>
    </row>
    <row r="20" spans="2:23" outlineLevel="3">
      <c r="B20" s="376" t="s">
        <v>1864</v>
      </c>
      <c r="C20" s="387" t="s">
        <v>1933</v>
      </c>
      <c r="D20" s="376" t="s">
        <v>617</v>
      </c>
      <c r="E20" s="376" t="s">
        <v>1863</v>
      </c>
      <c r="F20" s="608" t="s">
        <v>1936</v>
      </c>
      <c r="G20" s="609"/>
      <c r="H20" s="692">
        <v>1</v>
      </c>
      <c r="I20" s="626"/>
      <c r="J20" s="752"/>
      <c r="L20" s="376"/>
      <c r="M20" s="376"/>
      <c r="N20" s="376"/>
      <c r="O20" s="376"/>
      <c r="P20" s="376"/>
      <c r="Q20" s="376"/>
      <c r="R20" s="376"/>
      <c r="T20" s="752"/>
      <c r="V20" s="609">
        <f t="shared" si="2"/>
        <v>0</v>
      </c>
      <c r="W20" s="692"/>
    </row>
    <row r="21" spans="2:23" outlineLevel="2">
      <c r="B21" s="684" t="s">
        <v>1865</v>
      </c>
      <c r="C21" s="687" t="s">
        <v>1933</v>
      </c>
      <c r="D21" s="687" t="s">
        <v>617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2"/>
      <c r="L21" s="684"/>
      <c r="M21" s="684"/>
      <c r="N21" s="684"/>
      <c r="O21" s="684"/>
      <c r="P21" s="684"/>
      <c r="Q21" s="684"/>
      <c r="R21" s="684"/>
      <c r="T21" s="752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1865</v>
      </c>
      <c r="C22" s="387" t="s">
        <v>1933</v>
      </c>
      <c r="D22" s="376" t="s">
        <v>617</v>
      </c>
      <c r="E22" s="376" t="s">
        <v>1863</v>
      </c>
      <c r="F22" s="608" t="s">
        <v>1937</v>
      </c>
      <c r="G22" s="609"/>
      <c r="H22" s="692">
        <v>1</v>
      </c>
      <c r="I22" s="626"/>
      <c r="J22" s="752"/>
      <c r="L22" s="376"/>
      <c r="M22" s="376"/>
      <c r="N22" s="376"/>
      <c r="O22" s="376"/>
      <c r="P22" s="376"/>
      <c r="Q22" s="376"/>
      <c r="R22" s="376"/>
      <c r="T22" s="752"/>
      <c r="V22" s="609">
        <f t="shared" ref="V22" si="3">IF(W22=1,G22,0)</f>
        <v>0</v>
      </c>
      <c r="W22" s="692"/>
    </row>
    <row r="23" spans="2:23" outlineLevel="2">
      <c r="B23" s="684" t="s">
        <v>1862</v>
      </c>
      <c r="C23" s="687" t="s">
        <v>1881</v>
      </c>
      <c r="D23" s="687" t="s">
        <v>617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2"/>
      <c r="L23" s="684"/>
      <c r="M23" s="684"/>
      <c r="N23" s="684"/>
      <c r="O23" s="684"/>
      <c r="P23" s="684"/>
      <c r="Q23" s="684"/>
      <c r="R23" s="684"/>
      <c r="T23" s="752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1862</v>
      </c>
      <c r="C24" s="387" t="s">
        <v>331</v>
      </c>
      <c r="D24" s="376" t="s">
        <v>617</v>
      </c>
      <c r="E24" s="376" t="s">
        <v>1863</v>
      </c>
      <c r="F24" s="608" t="s">
        <v>1938</v>
      </c>
      <c r="G24" s="609"/>
      <c r="H24" s="692">
        <v>1</v>
      </c>
      <c r="I24" s="626"/>
      <c r="J24" s="752"/>
      <c r="L24" s="376"/>
      <c r="M24" s="376"/>
      <c r="N24" s="376"/>
      <c r="O24" s="376"/>
      <c r="P24" s="376"/>
      <c r="Q24" s="376"/>
      <c r="R24" s="376"/>
      <c r="T24" s="752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4" outlineLevelCol="1"/>
  <cols>
    <col min="1" max="1" width="0.5703125" style="812" customWidth="1"/>
    <col min="2" max="2" width="22.7109375" style="812" customWidth="1"/>
    <col min="3" max="3" width="17.7109375" style="812" bestFit="1" customWidth="1"/>
    <col min="4" max="4" width="16.28515625" style="812" customWidth="1"/>
    <col min="5" max="5" width="14.42578125" style="812" customWidth="1"/>
    <col min="6" max="6" width="53.7109375" style="816" customWidth="1"/>
    <col min="7" max="7" width="13.28515625" style="812" bestFit="1" customWidth="1"/>
    <col min="8" max="8" width="9.5703125" style="812" customWidth="1" outlineLevel="1"/>
    <col min="9" max="11" width="0.5703125" style="812" customWidth="1"/>
    <col min="12" max="12" width="14.42578125" style="812" customWidth="1"/>
    <col min="13" max="13" width="14.42578125" style="812" customWidth="1" collapsed="1"/>
    <col min="14" max="18" width="14.42578125" style="812" hidden="1" customWidth="1" outlineLevel="1"/>
    <col min="19" max="21" width="0.5703125" style="812" customWidth="1"/>
    <col min="22" max="22" width="16.28515625" style="812" customWidth="1" collapsed="1"/>
    <col min="23" max="23" width="14.28515625" style="812" hidden="1" customWidth="1" outlineLevel="1"/>
    <col min="24" max="26" width="9.42578125" style="812" bestFit="1"/>
    <col min="27" max="27" width="9.42578125" style="812" bestFit="1" customWidth="1"/>
    <col min="28" max="16384" width="9.42578125" style="812"/>
  </cols>
  <sheetData>
    <row r="2" spans="1:31" ht="17.45">
      <c r="A2" s="376"/>
      <c r="B2" s="418" t="s">
        <v>1939</v>
      </c>
      <c r="C2" s="418"/>
      <c r="D2" s="418"/>
      <c r="E2" s="418"/>
      <c r="F2" s="423"/>
      <c r="G2" s="821">
        <f>SUBTOTAL(9,G6:G205)</f>
        <v>29.565205943261784</v>
      </c>
      <c r="H2" s="690">
        <f>SUBTOTAL(9,H6:H205)</f>
        <v>125</v>
      </c>
      <c r="I2" s="626"/>
      <c r="J2" s="752"/>
      <c r="K2" s="416"/>
      <c r="L2" s="418"/>
      <c r="M2" s="418"/>
      <c r="N2" s="418"/>
      <c r="O2" s="418"/>
      <c r="P2" s="418"/>
      <c r="Q2" s="418"/>
      <c r="R2" s="418"/>
      <c r="S2" s="416"/>
      <c r="T2" s="752"/>
      <c r="U2" s="416"/>
      <c r="V2" s="821">
        <f>SUBTOTAL(9,V6:V205)</f>
        <v>0</v>
      </c>
      <c r="W2" s="765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K3" s="416"/>
      <c r="L3" s="376"/>
      <c r="M3" s="376"/>
      <c r="N3" s="376"/>
      <c r="O3" s="376"/>
      <c r="P3" s="376"/>
      <c r="Q3" s="376"/>
      <c r="R3" s="376"/>
      <c r="S3" s="416"/>
      <c r="T3" s="752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817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K4" s="442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S4" s="442"/>
      <c r="T4" s="753"/>
      <c r="U4" s="442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7"/>
      <c r="I5" s="626"/>
      <c r="J5" s="752"/>
      <c r="K5" s="416"/>
      <c r="L5" s="376"/>
      <c r="M5" s="376"/>
      <c r="N5" s="376"/>
      <c r="O5" s="376"/>
      <c r="P5" s="376"/>
      <c r="Q5" s="376"/>
      <c r="R5" s="376"/>
      <c r="S5" s="416"/>
      <c r="T5" s="752"/>
      <c r="U5" s="416"/>
      <c r="V5" s="609"/>
      <c r="W5" s="727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945</v>
      </c>
      <c r="C6" s="430"/>
      <c r="D6" s="430"/>
      <c r="E6" s="430"/>
      <c r="F6" s="697"/>
      <c r="G6" s="739">
        <f>SUBTOTAL(9,G8:G134)</f>
        <v>8.9083390934770925</v>
      </c>
      <c r="H6" s="740">
        <f>SUBTOTAL(9,H8:H134)</f>
        <v>92</v>
      </c>
      <c r="I6" s="626"/>
      <c r="J6" s="752"/>
      <c r="K6" s="416"/>
      <c r="L6" s="430"/>
      <c r="M6" s="430"/>
      <c r="N6" s="430"/>
      <c r="O6" s="430"/>
      <c r="P6" s="430"/>
      <c r="Q6" s="430"/>
      <c r="R6" s="430"/>
      <c r="S6" s="416"/>
      <c r="T6" s="752"/>
      <c r="U6" s="416"/>
      <c r="V6" s="739">
        <f>SUBTOTAL(9,V8:V134)</f>
        <v>0</v>
      </c>
      <c r="W6" s="740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2"/>
      <c r="K7" s="416"/>
      <c r="L7" s="376"/>
      <c r="M7" s="376"/>
      <c r="N7" s="376"/>
      <c r="O7" s="376"/>
      <c r="P7" s="376"/>
      <c r="Q7" s="376"/>
      <c r="R7" s="376"/>
      <c r="S7" s="416"/>
      <c r="T7" s="752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946</v>
      </c>
      <c r="D8" s="665"/>
      <c r="E8" s="665"/>
      <c r="F8" s="681" t="s">
        <v>947</v>
      </c>
      <c r="G8" s="822">
        <f>SUBTOTAL(9,G9:G12)</f>
        <v>2.1350947217956596E-2</v>
      </c>
      <c r="H8" s="823">
        <f>SUBTOTAL(9,H9:H12)</f>
        <v>3</v>
      </c>
      <c r="I8" s="626"/>
      <c r="J8" s="752"/>
      <c r="K8" s="416"/>
      <c r="L8" s="665"/>
      <c r="M8" s="665"/>
      <c r="N8" s="665"/>
      <c r="O8" s="665"/>
      <c r="P8" s="665"/>
      <c r="Q8" s="665"/>
      <c r="R8" s="665"/>
      <c r="S8" s="416"/>
      <c r="T8" s="752"/>
      <c r="U8" s="416"/>
      <c r="V8" s="822">
        <f>SUBTOTAL(9,V9:V12)</f>
        <v>0</v>
      </c>
      <c r="W8" s="823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946</v>
      </c>
      <c r="D9" s="684" t="s">
        <v>518</v>
      </c>
      <c r="E9" s="684"/>
      <c r="F9" s="685" t="s">
        <v>948</v>
      </c>
      <c r="G9" s="686">
        <f>SUBTOTAL(9,G10:G12)</f>
        <v>2.1350947217956596E-2</v>
      </c>
      <c r="H9" s="691">
        <f>SUBTOTAL(9,H10:H12)</f>
        <v>3</v>
      </c>
      <c r="I9" s="626"/>
      <c r="J9" s="752"/>
      <c r="K9" s="416"/>
      <c r="L9" s="684"/>
      <c r="M9" s="684"/>
      <c r="N9" s="684"/>
      <c r="O9" s="684"/>
      <c r="P9" s="684"/>
      <c r="Q9" s="684"/>
      <c r="R9" s="684"/>
      <c r="S9" s="416"/>
      <c r="T9" s="752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6.45" outlineLevel="3">
      <c r="A10" s="376"/>
      <c r="B10" s="376" t="s">
        <v>891</v>
      </c>
      <c r="C10" s="376" t="s">
        <v>949</v>
      </c>
      <c r="D10" s="376" t="s">
        <v>518</v>
      </c>
      <c r="E10" s="376" t="s">
        <v>56</v>
      </c>
      <c r="F10" s="608" t="s">
        <v>953</v>
      </c>
      <c r="G10" s="609">
        <v>5.2867302539999998E-3</v>
      </c>
      <c r="H10" s="692">
        <v>1</v>
      </c>
      <c r="I10" s="626"/>
      <c r="J10" s="752"/>
      <c r="K10" s="416"/>
      <c r="L10" s="376" t="s">
        <v>56</v>
      </c>
      <c r="M10" s="376" t="s">
        <v>959</v>
      </c>
      <c r="N10" s="376" t="s">
        <v>960</v>
      </c>
      <c r="O10" s="376" t="s">
        <v>961</v>
      </c>
      <c r="P10" s="376" t="s">
        <v>962</v>
      </c>
      <c r="Q10" s="416"/>
      <c r="R10" s="376"/>
      <c r="S10" s="416"/>
      <c r="T10" s="752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891</v>
      </c>
      <c r="C11" s="376" t="s">
        <v>956</v>
      </c>
      <c r="D11" s="376" t="s">
        <v>518</v>
      </c>
      <c r="E11" s="376" t="s">
        <v>56</v>
      </c>
      <c r="F11" s="608" t="s">
        <v>957</v>
      </c>
      <c r="G11" s="609">
        <v>1.0861267500000001E-2</v>
      </c>
      <c r="H11" s="692">
        <v>1</v>
      </c>
      <c r="I11" s="626"/>
      <c r="J11" s="752"/>
      <c r="K11" s="416"/>
      <c r="L11" s="376" t="s">
        <v>56</v>
      </c>
      <c r="M11" s="376" t="s">
        <v>959</v>
      </c>
      <c r="N11" s="376" t="s">
        <v>963</v>
      </c>
      <c r="O11" s="376" t="s">
        <v>964</v>
      </c>
      <c r="P11" s="376" t="s">
        <v>965</v>
      </c>
      <c r="Q11" s="416"/>
      <c r="R11" s="376"/>
      <c r="S11" s="416"/>
      <c r="T11" s="752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3.9" customHeight="1" outlineLevel="3">
      <c r="A12" s="376"/>
      <c r="B12" s="376" t="s">
        <v>891</v>
      </c>
      <c r="C12" s="376" t="s">
        <v>956</v>
      </c>
      <c r="D12" s="376" t="s">
        <v>518</v>
      </c>
      <c r="E12" s="376" t="s">
        <v>56</v>
      </c>
      <c r="F12" s="608" t="s">
        <v>958</v>
      </c>
      <c r="G12" s="609">
        <v>5.2029494639565963E-3</v>
      </c>
      <c r="H12" s="692">
        <v>1</v>
      </c>
      <c r="I12" s="626"/>
      <c r="J12" s="752"/>
      <c r="K12" s="416"/>
      <c r="L12" s="376" t="s">
        <v>56</v>
      </c>
      <c r="M12" s="376" t="s">
        <v>959</v>
      </c>
      <c r="N12" s="376" t="s">
        <v>960</v>
      </c>
      <c r="O12" s="376" t="s">
        <v>961</v>
      </c>
      <c r="P12" s="376" t="s">
        <v>965</v>
      </c>
      <c r="Q12" s="416"/>
      <c r="R12" s="376"/>
      <c r="S12" s="416"/>
      <c r="T12" s="752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818" customFormat="1" outlineLevel="1">
      <c r="A13" s="380"/>
      <c r="B13" s="665" t="s">
        <v>891</v>
      </c>
      <c r="C13" s="665" t="s">
        <v>969</v>
      </c>
      <c r="D13" s="665"/>
      <c r="E13" s="665"/>
      <c r="F13" s="681" t="s">
        <v>947</v>
      </c>
      <c r="G13" s="822">
        <f>SUBTOTAL(9,G14:G30)</f>
        <v>0.33962724008299344</v>
      </c>
      <c r="H13" s="823">
        <f>SUBTOTAL(9,H14:H30)</f>
        <v>16</v>
      </c>
      <c r="I13" s="627"/>
      <c r="J13" s="754"/>
      <c r="K13" s="612"/>
      <c r="L13" s="665"/>
      <c r="M13" s="665"/>
      <c r="N13" s="665"/>
      <c r="O13" s="665"/>
      <c r="P13" s="665"/>
      <c r="Q13" s="665"/>
      <c r="R13" s="665"/>
      <c r="S13" s="612"/>
      <c r="T13" s="754"/>
      <c r="U13" s="612"/>
      <c r="V13" s="822">
        <f>SUBTOTAL(9,V14:V30)</f>
        <v>0</v>
      </c>
      <c r="W13" s="823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891</v>
      </c>
      <c r="C14" s="684" t="s">
        <v>969</v>
      </c>
      <c r="D14" s="684" t="s">
        <v>518</v>
      </c>
      <c r="E14" s="684"/>
      <c r="F14" s="685" t="s">
        <v>1897</v>
      </c>
      <c r="G14" s="686">
        <f>SUBTOTAL(9,G15:G30)</f>
        <v>0.33962724008299344</v>
      </c>
      <c r="H14" s="691">
        <f>SUBTOTAL(9,H15:H30)</f>
        <v>16</v>
      </c>
      <c r="I14" s="626"/>
      <c r="J14" s="752"/>
      <c r="K14" s="416"/>
      <c r="L14" s="684"/>
      <c r="M14" s="684"/>
      <c r="N14" s="684"/>
      <c r="O14" s="684"/>
      <c r="P14" s="684"/>
      <c r="Q14" s="684"/>
      <c r="R14" s="684"/>
      <c r="S14" s="416"/>
      <c r="T14" s="752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891</v>
      </c>
      <c r="C15" s="376" t="s">
        <v>969</v>
      </c>
      <c r="D15" s="376" t="s">
        <v>518</v>
      </c>
      <c r="E15" s="376" t="s">
        <v>56</v>
      </c>
      <c r="F15" s="608" t="s">
        <v>987</v>
      </c>
      <c r="G15" s="609">
        <v>9.3421603890201377E-2</v>
      </c>
      <c r="H15" s="692">
        <v>1</v>
      </c>
      <c r="I15" s="626"/>
      <c r="J15" s="752"/>
      <c r="K15" s="416"/>
      <c r="L15" s="376" t="s">
        <v>56</v>
      </c>
      <c r="M15" s="376" t="s">
        <v>959</v>
      </c>
      <c r="N15" s="376" t="s">
        <v>988</v>
      </c>
      <c r="O15" s="376"/>
      <c r="P15" s="376" t="s">
        <v>965</v>
      </c>
      <c r="Q15" s="376"/>
      <c r="R15" s="376"/>
      <c r="S15" s="416"/>
      <c r="T15" s="752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6.45" outlineLevel="3">
      <c r="A16" s="376"/>
      <c r="B16" s="376" t="s">
        <v>891</v>
      </c>
      <c r="C16" s="376" t="s">
        <v>969</v>
      </c>
      <c r="D16" s="376" t="s">
        <v>518</v>
      </c>
      <c r="E16" s="376" t="s">
        <v>56</v>
      </c>
      <c r="F16" s="608" t="s">
        <v>989</v>
      </c>
      <c r="G16" s="609">
        <v>2.1106865436972901E-2</v>
      </c>
      <c r="H16" s="692">
        <v>1</v>
      </c>
      <c r="I16" s="626"/>
      <c r="J16" s="752"/>
      <c r="K16" s="416"/>
      <c r="L16" s="376" t="s">
        <v>56</v>
      </c>
      <c r="M16" s="376" t="s">
        <v>959</v>
      </c>
      <c r="N16" s="376" t="s">
        <v>988</v>
      </c>
      <c r="O16" s="376"/>
      <c r="P16" s="376" t="s">
        <v>965</v>
      </c>
      <c r="Q16" s="376"/>
      <c r="R16" s="376"/>
      <c r="S16" s="416"/>
      <c r="T16" s="752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891</v>
      </c>
      <c r="C17" s="376" t="s">
        <v>969</v>
      </c>
      <c r="D17" s="376" t="s">
        <v>518</v>
      </c>
      <c r="E17" s="376" t="s">
        <v>56</v>
      </c>
      <c r="F17" s="608" t="s">
        <v>990</v>
      </c>
      <c r="G17" s="609">
        <v>3.166029815545935E-2</v>
      </c>
      <c r="H17" s="692">
        <v>1</v>
      </c>
      <c r="I17" s="626"/>
      <c r="J17" s="752"/>
      <c r="K17" s="416"/>
      <c r="L17" s="376" t="s">
        <v>56</v>
      </c>
      <c r="M17" s="376" t="s">
        <v>959</v>
      </c>
      <c r="N17" s="376" t="s">
        <v>988</v>
      </c>
      <c r="O17" s="376"/>
      <c r="P17" s="376" t="s">
        <v>965</v>
      </c>
      <c r="Q17" s="376"/>
      <c r="R17" s="376"/>
      <c r="S17" s="416"/>
      <c r="T17" s="752"/>
      <c r="U17" s="416"/>
      <c r="V17" s="609">
        <f t="shared" si="0"/>
        <v>0</v>
      </c>
      <c r="W17" s="692"/>
    </row>
    <row r="18" spans="1:23" ht="26.45" outlineLevel="3">
      <c r="A18" s="376"/>
      <c r="B18" s="376" t="s">
        <v>891</v>
      </c>
      <c r="C18" s="376" t="s">
        <v>969</v>
      </c>
      <c r="D18" s="376" t="s">
        <v>518</v>
      </c>
      <c r="E18" s="376" t="s">
        <v>56</v>
      </c>
      <c r="F18" s="608" t="s">
        <v>978</v>
      </c>
      <c r="G18" s="609">
        <v>5.2767163592432253E-3</v>
      </c>
      <c r="H18" s="692">
        <v>1</v>
      </c>
      <c r="I18" s="626"/>
      <c r="J18" s="752"/>
      <c r="K18" s="416"/>
      <c r="L18" s="376" t="s">
        <v>56</v>
      </c>
      <c r="M18" s="376" t="s">
        <v>959</v>
      </c>
      <c r="N18" s="376" t="s">
        <v>988</v>
      </c>
      <c r="O18" s="376"/>
      <c r="P18" s="376" t="s">
        <v>965</v>
      </c>
      <c r="Q18" s="376"/>
      <c r="R18" s="376"/>
      <c r="S18" s="416"/>
      <c r="T18" s="752"/>
      <c r="U18" s="416"/>
      <c r="V18" s="609">
        <f t="shared" si="0"/>
        <v>0</v>
      </c>
      <c r="W18" s="692"/>
    </row>
    <row r="19" spans="1:23" ht="26.45" outlineLevel="3">
      <c r="A19" s="376"/>
      <c r="B19" s="376" t="s">
        <v>891</v>
      </c>
      <c r="C19" s="376" t="s">
        <v>969</v>
      </c>
      <c r="D19" s="376" t="s">
        <v>518</v>
      </c>
      <c r="E19" s="376" t="s">
        <v>56</v>
      </c>
      <c r="F19" s="608" t="s">
        <v>991</v>
      </c>
      <c r="G19" s="609">
        <v>2.1106865436972901E-2</v>
      </c>
      <c r="H19" s="692">
        <v>1</v>
      </c>
      <c r="I19" s="626"/>
      <c r="J19" s="752"/>
      <c r="K19" s="416"/>
      <c r="L19" s="376" t="s">
        <v>56</v>
      </c>
      <c r="M19" s="376" t="s">
        <v>959</v>
      </c>
      <c r="N19" s="376" t="s">
        <v>988</v>
      </c>
      <c r="O19" s="376"/>
      <c r="P19" s="376" t="s">
        <v>965</v>
      </c>
      <c r="Q19" s="376"/>
      <c r="R19" s="376"/>
      <c r="S19" s="416"/>
      <c r="T19" s="752"/>
      <c r="U19" s="416"/>
      <c r="V19" s="609">
        <f t="shared" si="0"/>
        <v>0</v>
      </c>
      <c r="W19" s="692"/>
    </row>
    <row r="20" spans="1:23" outlineLevel="3">
      <c r="A20" s="376"/>
      <c r="B20" s="376" t="s">
        <v>891</v>
      </c>
      <c r="C20" s="376" t="s">
        <v>969</v>
      </c>
      <c r="D20" s="376" t="s">
        <v>518</v>
      </c>
      <c r="E20" s="376" t="s">
        <v>56</v>
      </c>
      <c r="F20" s="608" t="s">
        <v>992</v>
      </c>
      <c r="G20" s="609">
        <v>3.166029815545935E-2</v>
      </c>
      <c r="H20" s="692">
        <v>1</v>
      </c>
      <c r="I20" s="626"/>
      <c r="J20" s="752"/>
      <c r="K20" s="416"/>
      <c r="L20" s="376" t="s">
        <v>56</v>
      </c>
      <c r="M20" s="376" t="s">
        <v>959</v>
      </c>
      <c r="N20" s="376" t="s">
        <v>988</v>
      </c>
      <c r="O20" s="376"/>
      <c r="P20" s="376" t="s">
        <v>965</v>
      </c>
      <c r="Q20" s="376"/>
      <c r="R20" s="376"/>
      <c r="S20" s="416"/>
      <c r="T20" s="752"/>
      <c r="U20" s="416"/>
      <c r="V20" s="609">
        <f t="shared" si="0"/>
        <v>0</v>
      </c>
      <c r="W20" s="692"/>
    </row>
    <row r="21" spans="1:23" ht="26.45" outlineLevel="3">
      <c r="A21" s="376"/>
      <c r="B21" s="376" t="s">
        <v>891</v>
      </c>
      <c r="C21" s="376" t="s">
        <v>969</v>
      </c>
      <c r="D21" s="376" t="s">
        <v>518</v>
      </c>
      <c r="E21" s="376" t="s">
        <v>56</v>
      </c>
      <c r="F21" s="608" t="s">
        <v>980</v>
      </c>
      <c r="G21" s="609">
        <v>5.2767163592432253E-3</v>
      </c>
      <c r="H21" s="692">
        <v>1</v>
      </c>
      <c r="I21" s="626"/>
      <c r="J21" s="752"/>
      <c r="K21" s="416"/>
      <c r="L21" s="376" t="s">
        <v>56</v>
      </c>
      <c r="M21" s="376" t="s">
        <v>959</v>
      </c>
      <c r="N21" s="376" t="s">
        <v>988</v>
      </c>
      <c r="O21" s="376"/>
      <c r="P21" s="376" t="s">
        <v>965</v>
      </c>
      <c r="Q21" s="376"/>
      <c r="R21" s="376"/>
      <c r="S21" s="416"/>
      <c r="T21" s="752"/>
      <c r="U21" s="416"/>
      <c r="V21" s="609">
        <f t="shared" si="0"/>
        <v>0</v>
      </c>
      <c r="W21" s="692"/>
    </row>
    <row r="22" spans="1:23" ht="26.45" outlineLevel="3">
      <c r="A22" s="376"/>
      <c r="B22" s="376" t="s">
        <v>891</v>
      </c>
      <c r="C22" s="376" t="s">
        <v>969</v>
      </c>
      <c r="D22" s="376" t="s">
        <v>518</v>
      </c>
      <c r="E22" s="376" t="s">
        <v>56</v>
      </c>
      <c r="F22" s="608" t="s">
        <v>981</v>
      </c>
      <c r="G22" s="609">
        <v>1E-3</v>
      </c>
      <c r="H22" s="692">
        <v>1</v>
      </c>
      <c r="I22" s="626"/>
      <c r="J22" s="752"/>
      <c r="K22" s="416"/>
      <c r="L22" s="376" t="s">
        <v>56</v>
      </c>
      <c r="M22" s="376" t="s">
        <v>959</v>
      </c>
      <c r="N22" s="376" t="s">
        <v>988</v>
      </c>
      <c r="O22" s="376"/>
      <c r="P22" s="376" t="s">
        <v>965</v>
      </c>
      <c r="Q22" s="376"/>
      <c r="R22" s="376"/>
      <c r="S22" s="416"/>
      <c r="T22" s="752"/>
      <c r="U22" s="416"/>
      <c r="V22" s="609">
        <f t="shared" si="0"/>
        <v>0</v>
      </c>
      <c r="W22" s="692"/>
    </row>
    <row r="23" spans="1:23" ht="26.45" outlineLevel="3">
      <c r="A23" s="376"/>
      <c r="B23" s="376" t="s">
        <v>891</v>
      </c>
      <c r="C23" s="376" t="s">
        <v>969</v>
      </c>
      <c r="D23" s="376" t="s">
        <v>518</v>
      </c>
      <c r="E23" s="376" t="s">
        <v>56</v>
      </c>
      <c r="F23" s="608" t="s">
        <v>982</v>
      </c>
      <c r="G23" s="609">
        <v>2.3452072707747665E-3</v>
      </c>
      <c r="H23" s="692">
        <v>1</v>
      </c>
      <c r="I23" s="626"/>
      <c r="J23" s="752"/>
      <c r="K23" s="416"/>
      <c r="L23" s="376" t="s">
        <v>56</v>
      </c>
      <c r="M23" s="376" t="s">
        <v>959</v>
      </c>
      <c r="N23" s="376" t="s">
        <v>988</v>
      </c>
      <c r="O23" s="376"/>
      <c r="P23" s="376" t="s">
        <v>965</v>
      </c>
      <c r="Q23" s="376"/>
      <c r="R23" s="376"/>
      <c r="S23" s="416"/>
      <c r="T23" s="752"/>
      <c r="U23" s="416"/>
      <c r="V23" s="609">
        <f t="shared" si="0"/>
        <v>0</v>
      </c>
      <c r="W23" s="692"/>
    </row>
    <row r="24" spans="1:23" ht="26.45" outlineLevel="3">
      <c r="A24" s="376"/>
      <c r="B24" s="376" t="s">
        <v>891</v>
      </c>
      <c r="C24" s="376" t="s">
        <v>969</v>
      </c>
      <c r="D24" s="376" t="s">
        <v>518</v>
      </c>
      <c r="E24" s="376" t="s">
        <v>56</v>
      </c>
      <c r="F24" s="608" t="s">
        <v>1940</v>
      </c>
      <c r="G24" s="609">
        <v>1.4071243624648597E-2</v>
      </c>
      <c r="H24" s="692">
        <v>1</v>
      </c>
      <c r="I24" s="626"/>
      <c r="J24" s="752"/>
      <c r="K24" s="416"/>
      <c r="L24" s="376" t="s">
        <v>56</v>
      </c>
      <c r="M24" s="376" t="s">
        <v>959</v>
      </c>
      <c r="N24" s="376" t="s">
        <v>988</v>
      </c>
      <c r="O24" s="376"/>
      <c r="P24" s="376" t="s">
        <v>965</v>
      </c>
      <c r="Q24" s="376"/>
      <c r="R24" s="376"/>
      <c r="S24" s="416"/>
      <c r="T24" s="752"/>
      <c r="U24" s="416"/>
      <c r="V24" s="609">
        <f t="shared" si="0"/>
        <v>0</v>
      </c>
      <c r="W24" s="692"/>
    </row>
    <row r="25" spans="1:23" outlineLevel="3">
      <c r="A25" s="376"/>
      <c r="B25" s="376" t="s">
        <v>891</v>
      </c>
      <c r="C25" s="376" t="s">
        <v>969</v>
      </c>
      <c r="D25" s="376" t="s">
        <v>518</v>
      </c>
      <c r="E25" s="376" t="s">
        <v>56</v>
      </c>
      <c r="F25" s="608" t="s">
        <v>1941</v>
      </c>
      <c r="G25" s="609">
        <v>3.166029815545935E-2</v>
      </c>
      <c r="H25" s="692">
        <v>1</v>
      </c>
      <c r="I25" s="626"/>
      <c r="J25" s="752"/>
      <c r="K25" s="416"/>
      <c r="L25" s="376" t="s">
        <v>56</v>
      </c>
      <c r="M25" s="376" t="s">
        <v>959</v>
      </c>
      <c r="N25" s="376" t="s">
        <v>988</v>
      </c>
      <c r="O25" s="376"/>
      <c r="P25" s="376" t="s">
        <v>965</v>
      </c>
      <c r="Q25" s="376"/>
      <c r="R25" s="376"/>
      <c r="S25" s="416"/>
      <c r="T25" s="752"/>
      <c r="U25" s="416"/>
      <c r="V25" s="609">
        <f t="shared" si="0"/>
        <v>0</v>
      </c>
      <c r="W25" s="692"/>
    </row>
    <row r="26" spans="1:23" ht="26.45" outlineLevel="3">
      <c r="A26" s="376"/>
      <c r="B26" s="376" t="s">
        <v>891</v>
      </c>
      <c r="C26" s="376" t="s">
        <v>969</v>
      </c>
      <c r="D26" s="376" t="s">
        <v>518</v>
      </c>
      <c r="E26" s="376" t="s">
        <v>56</v>
      </c>
      <c r="F26" s="608" t="s">
        <v>1876</v>
      </c>
      <c r="G26" s="609">
        <v>2.3452072707747665E-3</v>
      </c>
      <c r="H26" s="692">
        <v>1</v>
      </c>
      <c r="I26" s="626"/>
      <c r="J26" s="752"/>
      <c r="K26" s="416"/>
      <c r="L26" s="376" t="s">
        <v>56</v>
      </c>
      <c r="M26" s="376" t="s">
        <v>959</v>
      </c>
      <c r="N26" s="376" t="s">
        <v>988</v>
      </c>
      <c r="O26" s="376"/>
      <c r="P26" s="376" t="s">
        <v>965</v>
      </c>
      <c r="Q26" s="376"/>
      <c r="R26" s="376"/>
      <c r="S26" s="416"/>
      <c r="T26" s="752"/>
      <c r="U26" s="416"/>
      <c r="V26" s="609">
        <f t="shared" si="0"/>
        <v>0</v>
      </c>
      <c r="W26" s="692"/>
    </row>
    <row r="27" spans="1:23" ht="26.45" outlineLevel="3">
      <c r="A27" s="376"/>
      <c r="B27" s="376" t="s">
        <v>891</v>
      </c>
      <c r="C27" s="376" t="s">
        <v>969</v>
      </c>
      <c r="D27" s="376" t="s">
        <v>518</v>
      </c>
      <c r="E27" s="376" t="s">
        <v>56</v>
      </c>
      <c r="F27" s="608" t="s">
        <v>993</v>
      </c>
      <c r="G27" s="609">
        <v>1.4071243624648597E-2</v>
      </c>
      <c r="H27" s="692">
        <v>1</v>
      </c>
      <c r="I27" s="626"/>
      <c r="J27" s="752"/>
      <c r="K27" s="416"/>
      <c r="L27" s="376" t="s">
        <v>56</v>
      </c>
      <c r="M27" s="376" t="s">
        <v>959</v>
      </c>
      <c r="N27" s="376" t="s">
        <v>988</v>
      </c>
      <c r="O27" s="376"/>
      <c r="P27" s="376" t="s">
        <v>965</v>
      </c>
      <c r="Q27" s="376"/>
      <c r="R27" s="376"/>
      <c r="S27" s="416"/>
      <c r="T27" s="752"/>
      <c r="U27" s="416"/>
      <c r="V27" s="609">
        <f t="shared" si="0"/>
        <v>0</v>
      </c>
      <c r="W27" s="692"/>
    </row>
    <row r="28" spans="1:23" outlineLevel="3">
      <c r="A28" s="376"/>
      <c r="B28" s="376" t="s">
        <v>891</v>
      </c>
      <c r="C28" s="376" t="s">
        <v>969</v>
      </c>
      <c r="D28" s="376" t="s">
        <v>518</v>
      </c>
      <c r="E28" s="376" t="s">
        <v>56</v>
      </c>
      <c r="F28" s="608" t="s">
        <v>994</v>
      </c>
      <c r="G28" s="609">
        <v>2.1106865436972894E-2</v>
      </c>
      <c r="H28" s="692">
        <v>1</v>
      </c>
      <c r="I28" s="626"/>
      <c r="J28" s="752"/>
      <c r="K28" s="416"/>
      <c r="L28" s="376" t="s">
        <v>56</v>
      </c>
      <c r="M28" s="376" t="s">
        <v>959</v>
      </c>
      <c r="N28" s="376" t="s">
        <v>988</v>
      </c>
      <c r="O28" s="376"/>
      <c r="P28" s="376" t="s">
        <v>965</v>
      </c>
      <c r="Q28" s="376"/>
      <c r="R28" s="376"/>
      <c r="S28" s="416"/>
      <c r="T28" s="752"/>
      <c r="U28" s="416"/>
      <c r="V28" s="609">
        <f t="shared" si="0"/>
        <v>0</v>
      </c>
      <c r="W28" s="692"/>
    </row>
    <row r="29" spans="1:23" ht="26.45" outlineLevel="3">
      <c r="A29" s="376"/>
      <c r="B29" s="376" t="s">
        <v>891</v>
      </c>
      <c r="C29" s="376" t="s">
        <v>969</v>
      </c>
      <c r="D29" s="376" t="s">
        <v>518</v>
      </c>
      <c r="E29" s="376" t="s">
        <v>56</v>
      </c>
      <c r="F29" s="608" t="s">
        <v>983</v>
      </c>
      <c r="G29" s="609">
        <v>3.5178109061621493E-3</v>
      </c>
      <c r="H29" s="692">
        <v>1</v>
      </c>
      <c r="I29" s="626"/>
      <c r="J29" s="752"/>
      <c r="K29" s="416"/>
      <c r="L29" s="376" t="s">
        <v>56</v>
      </c>
      <c r="M29" s="376" t="s">
        <v>959</v>
      </c>
      <c r="N29" s="376" t="s">
        <v>988</v>
      </c>
      <c r="O29" s="376"/>
      <c r="P29" s="376" t="s">
        <v>965</v>
      </c>
      <c r="Q29" s="376"/>
      <c r="R29" s="376"/>
      <c r="S29" s="416"/>
      <c r="T29" s="752"/>
      <c r="U29" s="416"/>
      <c r="V29" s="609">
        <f t="shared" si="0"/>
        <v>0</v>
      </c>
      <c r="W29" s="692"/>
    </row>
    <row r="30" spans="1:23" outlineLevel="3">
      <c r="A30" s="376"/>
      <c r="B30" s="376" t="s">
        <v>891</v>
      </c>
      <c r="C30" s="376" t="s">
        <v>969</v>
      </c>
      <c r="D30" s="376" t="s">
        <v>518</v>
      </c>
      <c r="E30" s="376" t="s">
        <v>56</v>
      </c>
      <c r="F30" s="608" t="s">
        <v>985</v>
      </c>
      <c r="G30" s="609">
        <v>0.04</v>
      </c>
      <c r="H30" s="692">
        <v>1</v>
      </c>
      <c r="I30" s="626"/>
      <c r="J30" s="752"/>
      <c r="K30" s="416"/>
      <c r="L30" s="376" t="s">
        <v>56</v>
      </c>
      <c r="M30" s="376" t="s">
        <v>959</v>
      </c>
      <c r="N30" s="376" t="s">
        <v>988</v>
      </c>
      <c r="O30" s="376"/>
      <c r="P30" s="376" t="s">
        <v>965</v>
      </c>
      <c r="Q30" s="376"/>
      <c r="R30" s="376"/>
      <c r="S30" s="416"/>
      <c r="T30" s="752"/>
      <c r="U30" s="416"/>
      <c r="V30" s="609">
        <f t="shared" si="0"/>
        <v>0</v>
      </c>
      <c r="W30" s="692"/>
    </row>
    <row r="31" spans="1:23" s="819" customFormat="1" outlineLevel="1">
      <c r="A31" s="386"/>
      <c r="B31" s="666" t="s">
        <v>893</v>
      </c>
      <c r="C31" s="666" t="s">
        <v>1000</v>
      </c>
      <c r="D31" s="666"/>
      <c r="E31" s="666"/>
      <c r="F31" s="681" t="s">
        <v>947</v>
      </c>
      <c r="G31" s="708">
        <f>SUBTOTAL(9,G32:G37)</f>
        <v>0.8012391689004752</v>
      </c>
      <c r="H31" s="709">
        <f>SUBTOTAL(9,H32:H37)</f>
        <v>5</v>
      </c>
      <c r="I31" s="710"/>
      <c r="J31" s="756"/>
      <c r="K31" s="711"/>
      <c r="L31" s="666"/>
      <c r="M31" s="666"/>
      <c r="N31" s="666"/>
      <c r="O31" s="666"/>
      <c r="P31" s="666"/>
      <c r="Q31" s="666"/>
      <c r="R31" s="666"/>
      <c r="S31" s="711"/>
      <c r="T31" s="756"/>
      <c r="U31" s="711"/>
      <c r="V31" s="708">
        <f>SUBTOTAL(9,V32:V37)</f>
        <v>0</v>
      </c>
      <c r="W31" s="709">
        <f>SUBTOTAL(9,W32:W37)</f>
        <v>0</v>
      </c>
    </row>
    <row r="32" spans="1:23" ht="26.45" outlineLevel="2">
      <c r="A32" s="376"/>
      <c r="B32" s="684" t="s">
        <v>893</v>
      </c>
      <c r="C32" s="684" t="s">
        <v>1000</v>
      </c>
      <c r="D32" s="684" t="s">
        <v>518</v>
      </c>
      <c r="E32" s="684"/>
      <c r="F32" s="685" t="s">
        <v>1006</v>
      </c>
      <c r="G32" s="686">
        <f>SUBTOTAL(9,G33:G37)</f>
        <v>0.8012391689004752</v>
      </c>
      <c r="H32" s="691">
        <f>SUBTOTAL(9,H33:H37)</f>
        <v>5</v>
      </c>
      <c r="I32" s="626"/>
      <c r="J32" s="752"/>
      <c r="K32" s="416"/>
      <c r="L32" s="684"/>
      <c r="M32" s="684"/>
      <c r="N32" s="684"/>
      <c r="O32" s="684"/>
      <c r="P32" s="684"/>
      <c r="Q32" s="684"/>
      <c r="R32" s="684"/>
      <c r="S32" s="416"/>
      <c r="T32" s="752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893</v>
      </c>
      <c r="C33" s="376" t="s">
        <v>1000</v>
      </c>
      <c r="D33" s="376" t="s">
        <v>518</v>
      </c>
      <c r="E33" s="376" t="s">
        <v>56</v>
      </c>
      <c r="F33" s="608" t="s">
        <v>1007</v>
      </c>
      <c r="G33" s="609">
        <v>0.25822711064277509</v>
      </c>
      <c r="H33" s="692">
        <v>1</v>
      </c>
      <c r="I33" s="626"/>
      <c r="J33" s="752"/>
      <c r="K33" s="416"/>
      <c r="L33" s="376" t="s">
        <v>56</v>
      </c>
      <c r="M33" s="376" t="s">
        <v>1008</v>
      </c>
      <c r="N33" s="376" t="s">
        <v>1009</v>
      </c>
      <c r="O33" s="376" t="s">
        <v>1010</v>
      </c>
      <c r="P33" s="376"/>
      <c r="Q33" s="376"/>
      <c r="R33" s="376"/>
      <c r="S33" s="416"/>
      <c r="T33" s="752"/>
      <c r="U33" s="416"/>
      <c r="V33" s="609">
        <f>IF(W33=1,G33,0)</f>
        <v>0</v>
      </c>
      <c r="W33" s="692"/>
    </row>
    <row r="34" spans="1:23" outlineLevel="3">
      <c r="A34" s="376"/>
      <c r="B34" s="376" t="s">
        <v>893</v>
      </c>
      <c r="C34" s="376" t="s">
        <v>1000</v>
      </c>
      <c r="D34" s="376" t="s">
        <v>518</v>
      </c>
      <c r="E34" s="376" t="s">
        <v>56</v>
      </c>
      <c r="F34" s="608" t="s">
        <v>1942</v>
      </c>
      <c r="G34" s="609">
        <v>0.25822711064277509</v>
      </c>
      <c r="H34" s="692">
        <v>1</v>
      </c>
      <c r="I34" s="626"/>
      <c r="J34" s="752"/>
      <c r="K34" s="416"/>
      <c r="L34" s="376" t="s">
        <v>56</v>
      </c>
      <c r="M34" s="376" t="s">
        <v>1008</v>
      </c>
      <c r="N34" s="376" t="s">
        <v>1009</v>
      </c>
      <c r="O34" s="376" t="s">
        <v>1010</v>
      </c>
      <c r="P34" s="376"/>
      <c r="Q34" s="376"/>
      <c r="R34" s="376"/>
      <c r="S34" s="416"/>
      <c r="T34" s="752"/>
      <c r="U34" s="416"/>
      <c r="V34" s="609">
        <f>IF(W34=1,G34,0)</f>
        <v>0</v>
      </c>
      <c r="W34" s="692"/>
    </row>
    <row r="35" spans="1:23" outlineLevel="3">
      <c r="A35" s="376"/>
      <c r="B35" s="376" t="s">
        <v>893</v>
      </c>
      <c r="C35" s="376" t="s">
        <v>1000</v>
      </c>
      <c r="D35" s="376" t="s">
        <v>518</v>
      </c>
      <c r="E35" s="376" t="s">
        <v>56</v>
      </c>
      <c r="F35" s="608" t="s">
        <v>1943</v>
      </c>
      <c r="G35" s="609">
        <v>0.25822711064277509</v>
      </c>
      <c r="H35" s="692">
        <v>1</v>
      </c>
      <c r="I35" s="626"/>
      <c r="J35" s="752"/>
      <c r="K35" s="416"/>
      <c r="L35" s="376" t="s">
        <v>56</v>
      </c>
      <c r="M35" s="376" t="s">
        <v>1008</v>
      </c>
      <c r="N35" s="376" t="s">
        <v>1009</v>
      </c>
      <c r="O35" s="376" t="s">
        <v>1010</v>
      </c>
      <c r="P35" s="376"/>
      <c r="Q35" s="376"/>
      <c r="R35" s="376"/>
      <c r="S35" s="416"/>
      <c r="T35" s="752"/>
      <c r="U35" s="416"/>
      <c r="V35" s="609">
        <f>IF(W35=1,G35,0)</f>
        <v>0</v>
      </c>
      <c r="W35" s="692"/>
    </row>
    <row r="36" spans="1:23" outlineLevel="3">
      <c r="A36" s="376"/>
      <c r="B36" s="376" t="s">
        <v>893</v>
      </c>
      <c r="C36" s="376" t="s">
        <v>1000</v>
      </c>
      <c r="D36" s="376" t="s">
        <v>518</v>
      </c>
      <c r="E36" s="376" t="s">
        <v>56</v>
      </c>
      <c r="F36" s="608" t="s">
        <v>75</v>
      </c>
      <c r="G36" s="609">
        <v>1.4486092893899998E-2</v>
      </c>
      <c r="H36" s="692">
        <v>1</v>
      </c>
      <c r="I36" s="626"/>
      <c r="J36" s="752"/>
      <c r="K36" s="416"/>
      <c r="L36" s="376" t="s">
        <v>56</v>
      </c>
      <c r="M36" s="376" t="s">
        <v>1008</v>
      </c>
      <c r="N36" s="376" t="s">
        <v>1011</v>
      </c>
      <c r="O36" s="376" t="s">
        <v>1012</v>
      </c>
      <c r="P36" s="376"/>
      <c r="Q36" s="376"/>
      <c r="R36" s="376"/>
      <c r="S36" s="416"/>
      <c r="T36" s="752"/>
      <c r="U36" s="416"/>
      <c r="V36" s="609">
        <f>IF(W36=1,G36,0)</f>
        <v>0</v>
      </c>
      <c r="W36" s="692"/>
    </row>
    <row r="37" spans="1:23" outlineLevel="3">
      <c r="A37" s="376"/>
      <c r="B37" s="376" t="s">
        <v>893</v>
      </c>
      <c r="C37" s="376" t="s">
        <v>1000</v>
      </c>
      <c r="D37" s="376" t="s">
        <v>518</v>
      </c>
      <c r="E37" s="376" t="s">
        <v>56</v>
      </c>
      <c r="F37" s="608" t="s">
        <v>957</v>
      </c>
      <c r="G37" s="609">
        <v>1.2071744078249999E-2</v>
      </c>
      <c r="H37" s="692">
        <v>1</v>
      </c>
      <c r="I37" s="626"/>
      <c r="J37" s="752"/>
      <c r="K37" s="416"/>
      <c r="L37" s="376" t="s">
        <v>56</v>
      </c>
      <c r="M37" s="376" t="s">
        <v>1008</v>
      </c>
      <c r="N37" s="376" t="s">
        <v>1013</v>
      </c>
      <c r="O37" s="376" t="s">
        <v>1014</v>
      </c>
      <c r="P37" s="376"/>
      <c r="Q37" s="376"/>
      <c r="R37" s="376"/>
      <c r="S37" s="416"/>
      <c r="T37" s="752"/>
      <c r="U37" s="416"/>
      <c r="V37" s="609">
        <f>IF(W37=1,G37,0)</f>
        <v>0</v>
      </c>
      <c r="W37" s="692"/>
    </row>
    <row r="38" spans="1:23" s="819" customFormat="1" outlineLevel="1">
      <c r="A38" s="386"/>
      <c r="B38" s="666" t="s">
        <v>894</v>
      </c>
      <c r="C38" s="666" t="s">
        <v>1021</v>
      </c>
      <c r="D38" s="666"/>
      <c r="E38" s="666"/>
      <c r="F38" s="681" t="s">
        <v>947</v>
      </c>
      <c r="G38" s="708">
        <f>SUBTOTAL(9,G39:G42)</f>
        <v>0.36</v>
      </c>
      <c r="H38" s="709">
        <f>SUBTOTAL(9,H39:H42)</f>
        <v>3</v>
      </c>
      <c r="I38" s="710"/>
      <c r="J38" s="756"/>
      <c r="K38" s="711"/>
      <c r="L38" s="666"/>
      <c r="M38" s="666"/>
      <c r="N38" s="666"/>
      <c r="O38" s="666"/>
      <c r="P38" s="666"/>
      <c r="Q38" s="666"/>
      <c r="R38" s="666"/>
      <c r="S38" s="711"/>
      <c r="T38" s="756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894</v>
      </c>
      <c r="C39" s="684" t="s">
        <v>1021</v>
      </c>
      <c r="D39" s="684" t="s">
        <v>518</v>
      </c>
      <c r="E39" s="684"/>
      <c r="F39" s="712" t="s">
        <v>1022</v>
      </c>
      <c r="G39" s="686">
        <f>SUBTOTAL(9,G40:G42)</f>
        <v>0.36</v>
      </c>
      <c r="H39" s="691">
        <f>SUBTOTAL(9,H40:H42)</f>
        <v>3</v>
      </c>
      <c r="I39" s="626"/>
      <c r="J39" s="752"/>
      <c r="K39" s="416"/>
      <c r="L39" s="684"/>
      <c r="M39" s="684"/>
      <c r="N39" s="684"/>
      <c r="O39" s="684"/>
      <c r="P39" s="684"/>
      <c r="Q39" s="684"/>
      <c r="R39" s="684"/>
      <c r="S39" s="416"/>
      <c r="T39" s="752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894</v>
      </c>
      <c r="C40" s="376" t="s">
        <v>1021</v>
      </c>
      <c r="D40" s="376" t="s">
        <v>518</v>
      </c>
      <c r="E40" s="376" t="s">
        <v>56</v>
      </c>
      <c r="F40" s="623" t="s">
        <v>1037</v>
      </c>
      <c r="G40" s="723">
        <v>0.19</v>
      </c>
      <c r="H40" s="692">
        <v>1</v>
      </c>
      <c r="I40" s="626"/>
      <c r="J40" s="752"/>
      <c r="K40" s="416"/>
      <c r="L40" s="376" t="s">
        <v>56</v>
      </c>
      <c r="M40" s="376" t="s">
        <v>1038</v>
      </c>
      <c r="N40" s="376" t="s">
        <v>1039</v>
      </c>
      <c r="O40" s="376"/>
      <c r="P40" s="376" t="s">
        <v>1040</v>
      </c>
      <c r="Q40" s="376"/>
      <c r="R40" s="376"/>
      <c r="S40" s="416"/>
      <c r="T40" s="752"/>
      <c r="U40" s="416"/>
      <c r="V40" s="609">
        <f>IF(W40=1,G40,0)</f>
        <v>0</v>
      </c>
      <c r="W40" s="692"/>
    </row>
    <row r="41" spans="1:23" outlineLevel="3">
      <c r="A41" s="376"/>
      <c r="B41" s="376" t="s">
        <v>894</v>
      </c>
      <c r="C41" s="376" t="s">
        <v>1021</v>
      </c>
      <c r="D41" s="376" t="s">
        <v>518</v>
      </c>
      <c r="E41" s="376" t="s">
        <v>56</v>
      </c>
      <c r="F41" s="623" t="s">
        <v>1041</v>
      </c>
      <c r="G41" s="723">
        <v>0.16</v>
      </c>
      <c r="H41" s="692">
        <v>1</v>
      </c>
      <c r="I41" s="626"/>
      <c r="J41" s="752"/>
      <c r="K41" s="416"/>
      <c r="L41" s="376" t="s">
        <v>56</v>
      </c>
      <c r="M41" s="376" t="s">
        <v>1038</v>
      </c>
      <c r="N41" s="376" t="s">
        <v>1039</v>
      </c>
      <c r="O41" s="376"/>
      <c r="P41" s="376" t="s">
        <v>1040</v>
      </c>
      <c r="Q41" s="376"/>
      <c r="R41" s="376"/>
      <c r="S41" s="416"/>
      <c r="T41" s="752"/>
      <c r="U41" s="416"/>
      <c r="V41" s="609">
        <f>IF(W41=1,G41,0)</f>
        <v>0</v>
      </c>
      <c r="W41" s="692"/>
    </row>
    <row r="42" spans="1:23" outlineLevel="3">
      <c r="A42" s="376"/>
      <c r="B42" s="376" t="s">
        <v>894</v>
      </c>
      <c r="C42" s="376" t="s">
        <v>1021</v>
      </c>
      <c r="D42" s="376" t="s">
        <v>518</v>
      </c>
      <c r="E42" s="376" t="s">
        <v>56</v>
      </c>
      <c r="F42" s="623" t="s">
        <v>1042</v>
      </c>
      <c r="G42" s="723">
        <v>0.01</v>
      </c>
      <c r="H42" s="692">
        <v>1</v>
      </c>
      <c r="I42" s="626"/>
      <c r="J42" s="752"/>
      <c r="K42" s="416"/>
      <c r="L42" s="376" t="s">
        <v>56</v>
      </c>
      <c r="M42" s="376" t="s">
        <v>1038</v>
      </c>
      <c r="N42" s="376" t="s">
        <v>1039</v>
      </c>
      <c r="O42" s="376" t="s">
        <v>1043</v>
      </c>
      <c r="P42" s="376" t="s">
        <v>1040</v>
      </c>
      <c r="Q42" s="376"/>
      <c r="R42" s="376"/>
      <c r="S42" s="416"/>
      <c r="T42" s="752"/>
      <c r="U42" s="416"/>
      <c r="V42" s="609">
        <f>IF(W42=1,G42,0)</f>
        <v>0</v>
      </c>
      <c r="W42" s="692"/>
    </row>
    <row r="43" spans="1:23" s="818" customFormat="1" outlineLevel="1">
      <c r="A43" s="380"/>
      <c r="B43" s="666" t="s">
        <v>469</v>
      </c>
      <c r="C43" s="666" t="s">
        <v>1049</v>
      </c>
      <c r="D43" s="666"/>
      <c r="E43" s="666"/>
      <c r="F43" s="681" t="s">
        <v>947</v>
      </c>
      <c r="G43" s="708">
        <f>SUBTOTAL(9,G44:G51)</f>
        <v>1.7000000000000002</v>
      </c>
      <c r="H43" s="709">
        <f>SUBTOTAL(9,H44:H51)</f>
        <v>7</v>
      </c>
      <c r="I43" s="627"/>
      <c r="J43" s="754"/>
      <c r="K43" s="612"/>
      <c r="L43" s="666"/>
      <c r="M43" s="666"/>
      <c r="N43" s="666"/>
      <c r="O43" s="666"/>
      <c r="P43" s="666"/>
      <c r="Q43" s="666"/>
      <c r="R43" s="666"/>
      <c r="S43" s="612"/>
      <c r="T43" s="754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469</v>
      </c>
      <c r="C44" s="684" t="s">
        <v>1049</v>
      </c>
      <c r="D44" s="684" t="s">
        <v>518</v>
      </c>
      <c r="E44" s="684"/>
      <c r="F44" s="712" t="s">
        <v>1022</v>
      </c>
      <c r="G44" s="686">
        <f>SUBTOTAL(9,G45:G51)</f>
        <v>1.7000000000000002</v>
      </c>
      <c r="H44" s="691">
        <f>SUBTOTAL(9,H45:H51)</f>
        <v>7</v>
      </c>
      <c r="I44" s="626"/>
      <c r="J44" s="752"/>
      <c r="K44" s="416"/>
      <c r="L44" s="684"/>
      <c r="M44" s="684"/>
      <c r="N44" s="684"/>
      <c r="O44" s="684"/>
      <c r="P44" s="684"/>
      <c r="Q44" s="684"/>
      <c r="R44" s="684"/>
      <c r="S44" s="416"/>
      <c r="T44" s="752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469</v>
      </c>
      <c r="C45" s="376" t="s">
        <v>1049</v>
      </c>
      <c r="D45" s="376" t="s">
        <v>518</v>
      </c>
      <c r="E45" s="376" t="s">
        <v>56</v>
      </c>
      <c r="F45" s="623" t="s">
        <v>1066</v>
      </c>
      <c r="G45" s="723">
        <v>0.2</v>
      </c>
      <c r="H45" s="692">
        <v>1</v>
      </c>
      <c r="I45" s="626"/>
      <c r="J45" s="752"/>
      <c r="K45" s="416"/>
      <c r="L45" s="376" t="s">
        <v>56</v>
      </c>
      <c r="M45" s="376" t="s">
        <v>1038</v>
      </c>
      <c r="N45" s="376" t="s">
        <v>1075</v>
      </c>
      <c r="O45" s="376" t="s">
        <v>1039</v>
      </c>
      <c r="P45" s="376" t="s">
        <v>1040</v>
      </c>
      <c r="Q45" s="376"/>
      <c r="R45" s="376"/>
      <c r="S45" s="416"/>
      <c r="T45" s="752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469</v>
      </c>
      <c r="C46" s="376" t="s">
        <v>1049</v>
      </c>
      <c r="D46" s="376" t="s">
        <v>518</v>
      </c>
      <c r="E46" s="376" t="s">
        <v>56</v>
      </c>
      <c r="F46" s="623" t="s">
        <v>1067</v>
      </c>
      <c r="G46" s="723">
        <v>0.4</v>
      </c>
      <c r="H46" s="692">
        <v>1</v>
      </c>
      <c r="I46" s="626"/>
      <c r="J46" s="752"/>
      <c r="K46" s="416"/>
      <c r="L46" s="376" t="s">
        <v>56</v>
      </c>
      <c r="M46" s="376" t="s">
        <v>1038</v>
      </c>
      <c r="N46" s="376" t="s">
        <v>1075</v>
      </c>
      <c r="O46" s="376" t="s">
        <v>1039</v>
      </c>
      <c r="P46" s="376" t="s">
        <v>1040</v>
      </c>
      <c r="Q46" s="376"/>
      <c r="R46" s="376"/>
      <c r="S46" s="416"/>
      <c r="T46" s="752"/>
      <c r="U46" s="416"/>
      <c r="V46" s="609">
        <f t="shared" si="1"/>
        <v>0</v>
      </c>
      <c r="W46" s="692"/>
    </row>
    <row r="47" spans="1:23" outlineLevel="3">
      <c r="A47" s="376"/>
      <c r="B47" s="376" t="s">
        <v>469</v>
      </c>
      <c r="C47" s="376" t="s">
        <v>1049</v>
      </c>
      <c r="D47" s="376" t="s">
        <v>518</v>
      </c>
      <c r="E47" s="376" t="s">
        <v>56</v>
      </c>
      <c r="F47" s="623" t="s">
        <v>1076</v>
      </c>
      <c r="G47" s="723">
        <v>0.32</v>
      </c>
      <c r="H47" s="692">
        <v>1</v>
      </c>
      <c r="I47" s="626"/>
      <c r="J47" s="752"/>
      <c r="K47" s="416"/>
      <c r="L47" s="376" t="s">
        <v>56</v>
      </c>
      <c r="M47" s="376" t="s">
        <v>1038</v>
      </c>
      <c r="N47" s="376" t="s">
        <v>1077</v>
      </c>
      <c r="O47" s="376" t="s">
        <v>1078</v>
      </c>
      <c r="P47" s="376" t="s">
        <v>1040</v>
      </c>
      <c r="Q47" s="376"/>
      <c r="R47" s="376"/>
      <c r="S47" s="416"/>
      <c r="T47" s="752"/>
      <c r="U47" s="416"/>
      <c r="V47" s="609">
        <f t="shared" si="1"/>
        <v>0</v>
      </c>
      <c r="W47" s="692"/>
    </row>
    <row r="48" spans="1:23" outlineLevel="3">
      <c r="A48" s="376"/>
      <c r="B48" s="376" t="s">
        <v>469</v>
      </c>
      <c r="C48" s="376" t="s">
        <v>1049</v>
      </c>
      <c r="D48" s="376" t="s">
        <v>518</v>
      </c>
      <c r="E48" s="376" t="s">
        <v>56</v>
      </c>
      <c r="F48" s="623" t="s">
        <v>1079</v>
      </c>
      <c r="G48" s="723">
        <v>0.32</v>
      </c>
      <c r="H48" s="692">
        <v>1</v>
      </c>
      <c r="I48" s="626"/>
      <c r="J48" s="752"/>
      <c r="K48" s="416"/>
      <c r="L48" s="376" t="s">
        <v>56</v>
      </c>
      <c r="M48" s="376" t="s">
        <v>1038</v>
      </c>
      <c r="N48" s="376" t="s">
        <v>1077</v>
      </c>
      <c r="O48" s="376" t="s">
        <v>1078</v>
      </c>
      <c r="P48" s="376" t="s">
        <v>1040</v>
      </c>
      <c r="Q48" s="376"/>
      <c r="R48" s="376"/>
      <c r="S48" s="416"/>
      <c r="T48" s="752"/>
      <c r="U48" s="416"/>
      <c r="V48" s="609">
        <f t="shared" si="1"/>
        <v>0</v>
      </c>
      <c r="W48" s="692"/>
    </row>
    <row r="49" spans="1:23" outlineLevel="3">
      <c r="A49" s="376"/>
      <c r="B49" s="376" t="s">
        <v>469</v>
      </c>
      <c r="C49" s="376" t="s">
        <v>1049</v>
      </c>
      <c r="D49" s="376" t="s">
        <v>518</v>
      </c>
      <c r="E49" s="376" t="s">
        <v>56</v>
      </c>
      <c r="F49" s="623" t="s">
        <v>1080</v>
      </c>
      <c r="G49" s="723">
        <v>0.43</v>
      </c>
      <c r="H49" s="692">
        <v>1</v>
      </c>
      <c r="I49" s="626"/>
      <c r="J49" s="752"/>
      <c r="K49" s="416"/>
      <c r="L49" s="376" t="s">
        <v>56</v>
      </c>
      <c r="M49" s="376" t="s">
        <v>1038</v>
      </c>
      <c r="N49" s="376" t="s">
        <v>1077</v>
      </c>
      <c r="O49" s="376" t="s">
        <v>1039</v>
      </c>
      <c r="P49" s="376" t="s">
        <v>1081</v>
      </c>
      <c r="Q49" s="376"/>
      <c r="R49" s="376"/>
      <c r="S49" s="416"/>
      <c r="T49" s="752"/>
      <c r="U49" s="416"/>
      <c r="V49" s="609">
        <f t="shared" si="1"/>
        <v>0</v>
      </c>
      <c r="W49" s="692"/>
    </row>
    <row r="50" spans="1:23" outlineLevel="3">
      <c r="A50" s="376"/>
      <c r="B50" s="376" t="s">
        <v>469</v>
      </c>
      <c r="C50" s="376" t="s">
        <v>1049</v>
      </c>
      <c r="D50" s="376" t="s">
        <v>518</v>
      </c>
      <c r="E50" s="376" t="s">
        <v>56</v>
      </c>
      <c r="F50" s="623" t="s">
        <v>1037</v>
      </c>
      <c r="G50" s="723">
        <v>0.02</v>
      </c>
      <c r="H50" s="692">
        <v>1</v>
      </c>
      <c r="I50" s="626"/>
      <c r="J50" s="752"/>
      <c r="K50" s="416"/>
      <c r="L50" s="376" t="s">
        <v>56</v>
      </c>
      <c r="M50" s="376" t="s">
        <v>1038</v>
      </c>
      <c r="N50" s="376" t="s">
        <v>1039</v>
      </c>
      <c r="O50" s="376" t="s">
        <v>1078</v>
      </c>
      <c r="P50" s="376" t="s">
        <v>1081</v>
      </c>
      <c r="Q50" s="376"/>
      <c r="R50" s="376"/>
      <c r="S50" s="416"/>
      <c r="T50" s="752"/>
      <c r="U50" s="416"/>
      <c r="V50" s="609">
        <f t="shared" si="1"/>
        <v>0</v>
      </c>
      <c r="W50" s="692"/>
    </row>
    <row r="51" spans="1:23" outlineLevel="3">
      <c r="A51" s="376"/>
      <c r="B51" s="376" t="s">
        <v>469</v>
      </c>
      <c r="C51" s="376" t="s">
        <v>1049</v>
      </c>
      <c r="D51" s="376" t="s">
        <v>518</v>
      </c>
      <c r="E51" s="376" t="s">
        <v>56</v>
      </c>
      <c r="F51" s="623" t="s">
        <v>1041</v>
      </c>
      <c r="G51" s="723">
        <v>0.01</v>
      </c>
      <c r="H51" s="692">
        <v>1</v>
      </c>
      <c r="I51" s="626"/>
      <c r="J51" s="752"/>
      <c r="K51" s="416"/>
      <c r="L51" s="376" t="s">
        <v>56</v>
      </c>
      <c r="M51" s="376" t="s">
        <v>1038</v>
      </c>
      <c r="N51" s="376" t="s">
        <v>1039</v>
      </c>
      <c r="O51" s="376" t="s">
        <v>1078</v>
      </c>
      <c r="P51" s="376" t="s">
        <v>1081</v>
      </c>
      <c r="Q51" s="376"/>
      <c r="R51" s="376"/>
      <c r="S51" s="416"/>
      <c r="T51" s="752"/>
      <c r="U51" s="416"/>
      <c r="V51" s="609">
        <f t="shared" si="1"/>
        <v>0</v>
      </c>
      <c r="W51" s="692"/>
    </row>
    <row r="52" spans="1:23" s="818" customFormat="1" outlineLevel="1">
      <c r="A52" s="380"/>
      <c r="B52" s="665" t="s">
        <v>897</v>
      </c>
      <c r="C52" s="665" t="s">
        <v>1089</v>
      </c>
      <c r="D52" s="665"/>
      <c r="E52" s="665"/>
      <c r="F52" s="681" t="s">
        <v>947</v>
      </c>
      <c r="G52" s="822">
        <f>SUBTOTAL(9,G53:G55)</f>
        <v>2.3823562255988601E-2</v>
      </c>
      <c r="H52" s="823">
        <f>SUBTOTAL(9,H53:H55)</f>
        <v>2</v>
      </c>
      <c r="I52" s="627"/>
      <c r="J52" s="754"/>
      <c r="K52" s="612"/>
      <c r="L52" s="665"/>
      <c r="M52" s="665"/>
      <c r="N52" s="665" t="s">
        <v>1091</v>
      </c>
      <c r="O52" s="665" t="s">
        <v>1092</v>
      </c>
      <c r="P52" s="665" t="s">
        <v>1093</v>
      </c>
      <c r="Q52" s="665"/>
      <c r="R52" s="665"/>
      <c r="S52" s="612"/>
      <c r="T52" s="754"/>
      <c r="U52" s="612"/>
      <c r="V52" s="822">
        <f>SUBTOTAL(9,V53:V55)</f>
        <v>0</v>
      </c>
      <c r="W52" s="823">
        <f>SUBTOTAL(9,W53:W55)</f>
        <v>0</v>
      </c>
    </row>
    <row r="53" spans="1:23" outlineLevel="2">
      <c r="A53" s="376"/>
      <c r="B53" s="684" t="s">
        <v>897</v>
      </c>
      <c r="C53" s="684" t="s">
        <v>1089</v>
      </c>
      <c r="D53" s="684" t="s">
        <v>518</v>
      </c>
      <c r="E53" s="684"/>
      <c r="F53" s="685" t="s">
        <v>1022</v>
      </c>
      <c r="G53" s="686">
        <f>SUBTOTAL(9,G54:G55)</f>
        <v>2.3823562255988601E-2</v>
      </c>
      <c r="H53" s="691">
        <f>SUBTOTAL(9,H54:H55)</f>
        <v>2</v>
      </c>
      <c r="I53" s="626"/>
      <c r="J53" s="752"/>
      <c r="K53" s="416"/>
      <c r="L53" s="684"/>
      <c r="M53" s="684"/>
      <c r="N53" s="684"/>
      <c r="O53" s="684"/>
      <c r="P53" s="684"/>
      <c r="Q53" s="684"/>
      <c r="R53" s="684"/>
      <c r="S53" s="416"/>
      <c r="T53" s="752"/>
      <c r="U53" s="416"/>
      <c r="V53" s="686">
        <f>SUBTOTAL(9,V54:V55)</f>
        <v>0</v>
      </c>
      <c r="W53" s="691">
        <f>SUBTOTAL(9,W54:W55)</f>
        <v>0</v>
      </c>
    </row>
    <row r="54" spans="1:23" ht="26.45" outlineLevel="3">
      <c r="A54" s="376"/>
      <c r="B54" s="376" t="s">
        <v>897</v>
      </c>
      <c r="C54" s="376" t="s">
        <v>1089</v>
      </c>
      <c r="D54" s="376" t="s">
        <v>518</v>
      </c>
      <c r="E54" s="376" t="s">
        <v>56</v>
      </c>
      <c r="F54" s="608" t="s">
        <v>1097</v>
      </c>
      <c r="G54" s="609">
        <v>1.1911781127994301E-2</v>
      </c>
      <c r="H54" s="692">
        <v>1</v>
      </c>
      <c r="I54" s="626"/>
      <c r="J54" s="752"/>
      <c r="K54" s="416"/>
      <c r="L54" s="376" t="s">
        <v>56</v>
      </c>
      <c r="M54" s="376" t="s">
        <v>959</v>
      </c>
      <c r="N54" s="376" t="s">
        <v>1095</v>
      </c>
      <c r="O54" s="376"/>
      <c r="P54" s="376" t="s">
        <v>1096</v>
      </c>
      <c r="Q54" s="376"/>
      <c r="R54" s="376"/>
      <c r="S54" s="416"/>
      <c r="T54" s="752"/>
      <c r="U54" s="416"/>
      <c r="V54" s="609">
        <f>IF(W54=1,G54,0)</f>
        <v>0</v>
      </c>
      <c r="W54" s="692"/>
    </row>
    <row r="55" spans="1:23" outlineLevel="3">
      <c r="A55" s="376"/>
      <c r="B55" s="376" t="s">
        <v>897</v>
      </c>
      <c r="C55" s="376" t="s">
        <v>1089</v>
      </c>
      <c r="D55" s="376" t="s">
        <v>518</v>
      </c>
      <c r="E55" s="376" t="s">
        <v>56</v>
      </c>
      <c r="F55" s="608" t="s">
        <v>1098</v>
      </c>
      <c r="G55" s="609">
        <v>1.1911781127994301E-2</v>
      </c>
      <c r="H55" s="692">
        <v>1</v>
      </c>
      <c r="I55" s="626"/>
      <c r="J55" s="752"/>
      <c r="K55" s="416"/>
      <c r="L55" s="376" t="s">
        <v>56</v>
      </c>
      <c r="M55" s="376" t="s">
        <v>959</v>
      </c>
      <c r="N55" s="376" t="s">
        <v>1095</v>
      </c>
      <c r="O55" s="376"/>
      <c r="P55" s="376" t="s">
        <v>1096</v>
      </c>
      <c r="Q55" s="376"/>
      <c r="R55" s="376"/>
      <c r="S55" s="416"/>
      <c r="T55" s="752"/>
      <c r="U55" s="416"/>
      <c r="V55" s="609">
        <f>IF(W55=1,G55,0)</f>
        <v>0</v>
      </c>
      <c r="W55" s="692"/>
    </row>
    <row r="56" spans="1:23" s="818" customFormat="1" outlineLevel="1">
      <c r="A56" s="380"/>
      <c r="B56" s="665" t="s">
        <v>899</v>
      </c>
      <c r="C56" s="665" t="s">
        <v>1107</v>
      </c>
      <c r="D56" s="665"/>
      <c r="E56" s="665"/>
      <c r="F56" s="681" t="s">
        <v>947</v>
      </c>
      <c r="G56" s="822">
        <f>SUBTOTAL(9,G57:G65)</f>
        <v>0.71000000000000008</v>
      </c>
      <c r="H56" s="823">
        <f>SUBTOTAL(9,H57:H65)</f>
        <v>8</v>
      </c>
      <c r="I56" s="627"/>
      <c r="J56" s="754"/>
      <c r="K56" s="612"/>
      <c r="L56" s="665"/>
      <c r="M56" s="665"/>
      <c r="N56" s="665"/>
      <c r="O56" s="665"/>
      <c r="P56" s="665"/>
      <c r="Q56" s="665"/>
      <c r="R56" s="665"/>
      <c r="S56" s="612"/>
      <c r="T56" s="754"/>
      <c r="U56" s="612"/>
      <c r="V56" s="822">
        <f>SUBTOTAL(9,V57:V65)</f>
        <v>0</v>
      </c>
      <c r="W56" s="823">
        <f>SUBTOTAL(9,W57:W65)</f>
        <v>0</v>
      </c>
    </row>
    <row r="57" spans="1:23" outlineLevel="2">
      <c r="A57" s="376"/>
      <c r="B57" s="684" t="s">
        <v>899</v>
      </c>
      <c r="C57" s="684" t="s">
        <v>1107</v>
      </c>
      <c r="D57" s="684" t="s">
        <v>518</v>
      </c>
      <c r="E57" s="684"/>
      <c r="F57" s="685" t="s">
        <v>1022</v>
      </c>
      <c r="G57" s="686">
        <f>SUBTOTAL(9,G58:G65)</f>
        <v>0.71000000000000008</v>
      </c>
      <c r="H57" s="691">
        <f>SUBTOTAL(9,H58:H65)</f>
        <v>8</v>
      </c>
      <c r="I57" s="626"/>
      <c r="J57" s="752"/>
      <c r="K57" s="416"/>
      <c r="L57" s="684"/>
      <c r="M57" s="684"/>
      <c r="N57" s="684"/>
      <c r="O57" s="684"/>
      <c r="P57" s="684"/>
      <c r="Q57" s="684"/>
      <c r="R57" s="684"/>
      <c r="S57" s="416"/>
      <c r="T57" s="752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899</v>
      </c>
      <c r="C58" s="376" t="s">
        <v>1107</v>
      </c>
      <c r="D58" s="376" t="s">
        <v>518</v>
      </c>
      <c r="E58" s="376" t="s">
        <v>56</v>
      </c>
      <c r="F58" s="608" t="s">
        <v>1132</v>
      </c>
      <c r="G58" s="609">
        <v>0.09</v>
      </c>
      <c r="H58" s="692">
        <v>1</v>
      </c>
      <c r="I58" s="626"/>
      <c r="J58" s="752"/>
      <c r="K58" s="416"/>
      <c r="L58" s="376" t="s">
        <v>56</v>
      </c>
      <c r="M58" s="376" t="s">
        <v>959</v>
      </c>
      <c r="N58" s="376" t="s">
        <v>1124</v>
      </c>
      <c r="O58" s="376"/>
      <c r="P58" s="376" t="s">
        <v>1105</v>
      </c>
      <c r="Q58" s="376"/>
      <c r="R58" s="376">
        <v>0</v>
      </c>
      <c r="S58" s="416"/>
      <c r="T58" s="752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899</v>
      </c>
      <c r="C59" s="376" t="s">
        <v>1107</v>
      </c>
      <c r="D59" s="376" t="s">
        <v>518</v>
      </c>
      <c r="E59" s="376" t="s">
        <v>56</v>
      </c>
      <c r="F59" s="608" t="s">
        <v>1133</v>
      </c>
      <c r="G59" s="609">
        <v>0.09</v>
      </c>
      <c r="H59" s="692">
        <v>1</v>
      </c>
      <c r="I59" s="626"/>
      <c r="J59" s="752"/>
      <c r="K59" s="416"/>
      <c r="L59" s="376" t="s">
        <v>56</v>
      </c>
      <c r="M59" s="376" t="s">
        <v>959</v>
      </c>
      <c r="N59" s="376" t="s">
        <v>1124</v>
      </c>
      <c r="O59" s="376"/>
      <c r="P59" s="376" t="s">
        <v>1105</v>
      </c>
      <c r="Q59" s="376"/>
      <c r="R59" s="376">
        <v>0</v>
      </c>
      <c r="S59" s="416"/>
      <c r="T59" s="752"/>
      <c r="U59" s="416"/>
      <c r="V59" s="609">
        <f t="shared" si="2"/>
        <v>0</v>
      </c>
      <c r="W59" s="692"/>
    </row>
    <row r="60" spans="1:23" outlineLevel="3">
      <c r="A60" s="376"/>
      <c r="B60" s="376" t="s">
        <v>899</v>
      </c>
      <c r="C60" s="376" t="s">
        <v>1107</v>
      </c>
      <c r="D60" s="376" t="s">
        <v>518</v>
      </c>
      <c r="E60" s="376" t="s">
        <v>56</v>
      </c>
      <c r="F60" s="608" t="s">
        <v>1134</v>
      </c>
      <c r="G60" s="609">
        <v>0.09</v>
      </c>
      <c r="H60" s="692">
        <v>1</v>
      </c>
      <c r="I60" s="626"/>
      <c r="J60" s="752"/>
      <c r="K60" s="416"/>
      <c r="L60" s="376" t="s">
        <v>56</v>
      </c>
      <c r="M60" s="376" t="s">
        <v>959</v>
      </c>
      <c r="N60" s="376" t="s">
        <v>1124</v>
      </c>
      <c r="O60" s="376"/>
      <c r="P60" s="376" t="s">
        <v>1105</v>
      </c>
      <c r="Q60" s="376"/>
      <c r="R60" s="376">
        <v>0</v>
      </c>
      <c r="S60" s="416"/>
      <c r="T60" s="752"/>
      <c r="U60" s="416"/>
      <c r="V60" s="609">
        <f t="shared" si="2"/>
        <v>0</v>
      </c>
      <c r="W60" s="692"/>
    </row>
    <row r="61" spans="1:23" outlineLevel="3">
      <c r="A61" s="376"/>
      <c r="B61" s="376" t="s">
        <v>899</v>
      </c>
      <c r="C61" s="376" t="s">
        <v>1107</v>
      </c>
      <c r="D61" s="376" t="s">
        <v>518</v>
      </c>
      <c r="E61" s="376" t="s">
        <v>56</v>
      </c>
      <c r="F61" s="608" t="s">
        <v>1944</v>
      </c>
      <c r="G61" s="609">
        <v>0.18</v>
      </c>
      <c r="H61" s="692">
        <v>1</v>
      </c>
      <c r="I61" s="626"/>
      <c r="J61" s="752"/>
      <c r="K61" s="416"/>
      <c r="L61" s="376" t="s">
        <v>56</v>
      </c>
      <c r="M61" s="376" t="s">
        <v>959</v>
      </c>
      <c r="N61" s="376" t="s">
        <v>1136</v>
      </c>
      <c r="O61" s="376"/>
      <c r="P61" s="376" t="s">
        <v>1105</v>
      </c>
      <c r="Q61" s="376"/>
      <c r="R61" s="376">
        <v>0</v>
      </c>
      <c r="S61" s="416"/>
      <c r="T61" s="752"/>
      <c r="U61" s="416"/>
      <c r="V61" s="609">
        <f t="shared" si="2"/>
        <v>0</v>
      </c>
      <c r="W61" s="692"/>
    </row>
    <row r="62" spans="1:23" outlineLevel="3">
      <c r="A62" s="376"/>
      <c r="B62" s="376" t="s">
        <v>899</v>
      </c>
      <c r="C62" s="376" t="s">
        <v>1107</v>
      </c>
      <c r="D62" s="376" t="s">
        <v>518</v>
      </c>
      <c r="E62" s="376" t="s">
        <v>56</v>
      </c>
      <c r="F62" s="608" t="s">
        <v>1945</v>
      </c>
      <c r="G62" s="609">
        <v>0.13</v>
      </c>
      <c r="H62" s="692">
        <v>1</v>
      </c>
      <c r="I62" s="626"/>
      <c r="J62" s="752"/>
      <c r="K62" s="416"/>
      <c r="L62" s="376" t="s">
        <v>56</v>
      </c>
      <c r="M62" s="376" t="s">
        <v>959</v>
      </c>
      <c r="N62" s="376" t="s">
        <v>1136</v>
      </c>
      <c r="O62" s="376"/>
      <c r="P62" s="376" t="s">
        <v>1105</v>
      </c>
      <c r="Q62" s="376"/>
      <c r="R62" s="376">
        <v>0</v>
      </c>
      <c r="S62" s="416"/>
      <c r="T62" s="752"/>
      <c r="U62" s="416"/>
      <c r="V62" s="609">
        <f t="shared" si="2"/>
        <v>0</v>
      </c>
      <c r="W62" s="692"/>
    </row>
    <row r="63" spans="1:23" outlineLevel="3">
      <c r="A63" s="376"/>
      <c r="B63" s="376" t="s">
        <v>899</v>
      </c>
      <c r="C63" s="376" t="s">
        <v>1107</v>
      </c>
      <c r="D63" s="376" t="s">
        <v>518</v>
      </c>
      <c r="E63" s="376" t="s">
        <v>56</v>
      </c>
      <c r="F63" s="608" t="s">
        <v>1119</v>
      </c>
      <c r="G63" s="609">
        <v>0.13</v>
      </c>
      <c r="H63" s="692">
        <v>1</v>
      </c>
      <c r="I63" s="626"/>
      <c r="J63" s="752"/>
      <c r="K63" s="416"/>
      <c r="L63" s="376" t="s">
        <v>56</v>
      </c>
      <c r="M63" s="376" t="s">
        <v>959</v>
      </c>
      <c r="N63" s="376" t="s">
        <v>1136</v>
      </c>
      <c r="O63" s="376"/>
      <c r="P63" s="376" t="s">
        <v>1105</v>
      </c>
      <c r="Q63" s="376"/>
      <c r="R63" s="376">
        <v>0</v>
      </c>
      <c r="S63" s="416"/>
      <c r="T63" s="752"/>
      <c r="U63" s="416"/>
      <c r="V63" s="609">
        <f t="shared" si="2"/>
        <v>0</v>
      </c>
      <c r="W63" s="692"/>
    </row>
    <row r="64" spans="1:23" outlineLevel="3">
      <c r="A64" s="376"/>
      <c r="B64" s="376" t="s">
        <v>899</v>
      </c>
      <c r="C64" s="376" t="s">
        <v>1107</v>
      </c>
      <c r="D64" s="376" t="s">
        <v>518</v>
      </c>
      <c r="E64" s="376" t="s">
        <v>56</v>
      </c>
      <c r="F64" s="608" t="s">
        <v>1094</v>
      </c>
      <c r="G64" s="609">
        <v>0</v>
      </c>
      <c r="H64" s="692">
        <v>1</v>
      </c>
      <c r="I64" s="626"/>
      <c r="J64" s="752"/>
      <c r="K64" s="416"/>
      <c r="L64" s="376" t="s">
        <v>56</v>
      </c>
      <c r="M64" s="376" t="s">
        <v>959</v>
      </c>
      <c r="N64" s="376" t="s">
        <v>1136</v>
      </c>
      <c r="O64" s="376"/>
      <c r="P64" s="376" t="s">
        <v>1105</v>
      </c>
      <c r="Q64" s="376"/>
      <c r="R64" s="376">
        <v>0</v>
      </c>
      <c r="S64" s="416"/>
      <c r="T64" s="752"/>
      <c r="U64" s="416"/>
      <c r="V64" s="609">
        <f t="shared" si="2"/>
        <v>0</v>
      </c>
      <c r="W64" s="692"/>
    </row>
    <row r="65" spans="1:23" outlineLevel="3">
      <c r="A65" s="376"/>
      <c r="B65" s="376" t="s">
        <v>899</v>
      </c>
      <c r="C65" s="376" t="s">
        <v>1107</v>
      </c>
      <c r="D65" s="376" t="s">
        <v>518</v>
      </c>
      <c r="E65" s="376" t="s">
        <v>56</v>
      </c>
      <c r="F65" s="608" t="s">
        <v>1106</v>
      </c>
      <c r="G65" s="609">
        <v>0</v>
      </c>
      <c r="H65" s="692">
        <v>1</v>
      </c>
      <c r="I65" s="626"/>
      <c r="J65" s="752"/>
      <c r="K65" s="416"/>
      <c r="L65" s="376" t="s">
        <v>56</v>
      </c>
      <c r="M65" s="376" t="s">
        <v>959</v>
      </c>
      <c r="N65" s="376" t="s">
        <v>1136</v>
      </c>
      <c r="O65" s="376"/>
      <c r="P65" s="376" t="s">
        <v>1105</v>
      </c>
      <c r="Q65" s="376"/>
      <c r="R65" s="376">
        <v>0</v>
      </c>
      <c r="S65" s="416"/>
      <c r="T65" s="752"/>
      <c r="U65" s="416"/>
      <c r="V65" s="609">
        <f t="shared" si="2"/>
        <v>0</v>
      </c>
      <c r="W65" s="692"/>
    </row>
    <row r="66" spans="1:23" s="818" customFormat="1" outlineLevel="1">
      <c r="A66" s="380"/>
      <c r="B66" s="666" t="s">
        <v>1137</v>
      </c>
      <c r="C66" s="666" t="s">
        <v>956</v>
      </c>
      <c r="D66" s="666"/>
      <c r="E66" s="666"/>
      <c r="F66" s="681" t="s">
        <v>947</v>
      </c>
      <c r="G66" s="822">
        <f>SUBTOTAL(9,G67:G71)</f>
        <v>0.28480034280014982</v>
      </c>
      <c r="H66" s="823">
        <f>SUBTOTAL(9,H67:H71)</f>
        <v>4</v>
      </c>
      <c r="I66" s="627"/>
      <c r="J66" s="754"/>
      <c r="K66" s="612"/>
      <c r="L66" s="666"/>
      <c r="M66" s="666"/>
      <c r="N66" s="666"/>
      <c r="O66" s="666"/>
      <c r="P66" s="666"/>
      <c r="Q66" s="666"/>
      <c r="R66" s="666"/>
      <c r="S66" s="612"/>
      <c r="T66" s="754"/>
      <c r="U66" s="612"/>
      <c r="V66" s="822">
        <f>SUBTOTAL(9,V67:V71)</f>
        <v>0</v>
      </c>
      <c r="W66" s="823">
        <f>SUBTOTAL(9,W67:W71)</f>
        <v>0</v>
      </c>
    </row>
    <row r="67" spans="1:23" ht="26.45" outlineLevel="2">
      <c r="A67" s="376"/>
      <c r="B67" s="684" t="s">
        <v>1137</v>
      </c>
      <c r="C67" s="684" t="s">
        <v>956</v>
      </c>
      <c r="D67" s="684" t="s">
        <v>518</v>
      </c>
      <c r="E67" s="684"/>
      <c r="F67" s="685" t="s">
        <v>1138</v>
      </c>
      <c r="G67" s="686">
        <f>SUBTOTAL(9,G68:G71)</f>
        <v>0.28480034280014982</v>
      </c>
      <c r="H67" s="691">
        <f>SUBTOTAL(9,H68:H71)</f>
        <v>4</v>
      </c>
      <c r="I67" s="626"/>
      <c r="J67" s="752"/>
      <c r="K67" s="416"/>
      <c r="L67" s="684"/>
      <c r="M67" s="684"/>
      <c r="N67" s="684"/>
      <c r="O67" s="684"/>
      <c r="P67" s="684"/>
      <c r="Q67" s="684"/>
      <c r="R67" s="684"/>
      <c r="S67" s="416"/>
      <c r="T67" s="752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1137</v>
      </c>
      <c r="C68" s="376" t="s">
        <v>956</v>
      </c>
      <c r="D68" s="376" t="s">
        <v>518</v>
      </c>
      <c r="E68" s="376" t="s">
        <v>56</v>
      </c>
      <c r="F68" s="608" t="s">
        <v>1139</v>
      </c>
      <c r="G68" s="609">
        <v>0.11799571852507491</v>
      </c>
      <c r="H68" s="692">
        <v>1</v>
      </c>
      <c r="I68" s="626"/>
      <c r="J68" s="752"/>
      <c r="K68" s="416"/>
      <c r="L68" s="376" t="s">
        <v>56</v>
      </c>
      <c r="M68" s="376" t="s">
        <v>959</v>
      </c>
      <c r="N68" s="376" t="s">
        <v>1095</v>
      </c>
      <c r="O68" s="376"/>
      <c r="P68" s="376" t="s">
        <v>1143</v>
      </c>
      <c r="Q68" s="376"/>
      <c r="R68" s="376">
        <v>0</v>
      </c>
      <c r="S68" s="416"/>
      <c r="T68" s="752"/>
      <c r="U68" s="416"/>
      <c r="V68" s="609">
        <f>IF(W68=1,G68,0)</f>
        <v>0</v>
      </c>
      <c r="W68" s="692"/>
    </row>
    <row r="69" spans="1:23" outlineLevel="3">
      <c r="A69" s="376"/>
      <c r="B69" s="376" t="s">
        <v>1137</v>
      </c>
      <c r="C69" s="376" t="s">
        <v>956</v>
      </c>
      <c r="D69" s="376" t="s">
        <v>518</v>
      </c>
      <c r="E69" s="376" t="s">
        <v>56</v>
      </c>
      <c r="F69" s="608" t="s">
        <v>1141</v>
      </c>
      <c r="G69" s="609">
        <v>0.11799571852507491</v>
      </c>
      <c r="H69" s="692">
        <v>1</v>
      </c>
      <c r="I69" s="626"/>
      <c r="J69" s="752"/>
      <c r="K69" s="416"/>
      <c r="L69" s="376" t="s">
        <v>56</v>
      </c>
      <c r="M69" s="376" t="s">
        <v>959</v>
      </c>
      <c r="N69" s="376" t="s">
        <v>1095</v>
      </c>
      <c r="O69" s="376"/>
      <c r="P69" s="376" t="s">
        <v>1143</v>
      </c>
      <c r="Q69" s="376"/>
      <c r="R69" s="376">
        <v>0</v>
      </c>
      <c r="S69" s="416"/>
      <c r="T69" s="752"/>
      <c r="U69" s="416"/>
      <c r="V69" s="609">
        <f>IF(W69=1,G69,0)</f>
        <v>0</v>
      </c>
      <c r="W69" s="692"/>
    </row>
    <row r="70" spans="1:23" outlineLevel="3">
      <c r="A70" s="376"/>
      <c r="B70" s="376" t="s">
        <v>1137</v>
      </c>
      <c r="C70" s="376" t="s">
        <v>956</v>
      </c>
      <c r="D70" s="376" t="s">
        <v>518</v>
      </c>
      <c r="E70" s="376" t="s">
        <v>56</v>
      </c>
      <c r="F70" s="608" t="s">
        <v>1144</v>
      </c>
      <c r="G70" s="609">
        <v>9.7617811500000009E-3</v>
      </c>
      <c r="H70" s="692">
        <v>1</v>
      </c>
      <c r="I70" s="626"/>
      <c r="J70" s="752"/>
      <c r="K70" s="416"/>
      <c r="L70" s="376" t="s">
        <v>56</v>
      </c>
      <c r="M70" s="376"/>
      <c r="N70" s="376" t="s">
        <v>1145</v>
      </c>
      <c r="O70" s="376"/>
      <c r="P70" s="376"/>
      <c r="Q70" s="376"/>
      <c r="R70" s="376">
        <v>0</v>
      </c>
      <c r="S70" s="416"/>
      <c r="T70" s="752"/>
      <c r="U70" s="416"/>
      <c r="V70" s="609">
        <f>IF(W70=1,G70,0)</f>
        <v>0</v>
      </c>
      <c r="W70" s="692"/>
    </row>
    <row r="71" spans="1:23" outlineLevel="3">
      <c r="A71" s="376"/>
      <c r="B71" s="376" t="s">
        <v>1137</v>
      </c>
      <c r="C71" s="376" t="s">
        <v>956</v>
      </c>
      <c r="D71" s="376" t="s">
        <v>518</v>
      </c>
      <c r="E71" s="376" t="s">
        <v>56</v>
      </c>
      <c r="F71" s="608" t="s">
        <v>1142</v>
      </c>
      <c r="G71" s="609">
        <v>3.9047124600000004E-2</v>
      </c>
      <c r="H71" s="692">
        <v>1</v>
      </c>
      <c r="I71" s="626"/>
      <c r="J71" s="752"/>
      <c r="K71" s="416"/>
      <c r="L71" s="376" t="s">
        <v>56</v>
      </c>
      <c r="M71" s="376"/>
      <c r="N71" s="376" t="s">
        <v>1145</v>
      </c>
      <c r="O71" s="376"/>
      <c r="P71" s="376"/>
      <c r="Q71" s="376"/>
      <c r="R71" s="376">
        <v>0</v>
      </c>
      <c r="S71" s="416"/>
      <c r="T71" s="752"/>
      <c r="U71" s="416"/>
      <c r="V71" s="609">
        <f>IF(W71=1,G71,0)</f>
        <v>0</v>
      </c>
      <c r="W71" s="692"/>
    </row>
    <row r="72" spans="1:23" outlineLevel="1">
      <c r="A72" s="376"/>
      <c r="B72" s="665" t="s">
        <v>901</v>
      </c>
      <c r="C72" s="665" t="s">
        <v>1089</v>
      </c>
      <c r="D72" s="665"/>
      <c r="E72" s="665"/>
      <c r="F72" s="681" t="s">
        <v>947</v>
      </c>
      <c r="G72" s="822">
        <f>SUBTOTAL(9,G73:G77)</f>
        <v>0.30000000000000004</v>
      </c>
      <c r="H72" s="823">
        <f>SUBTOTAL(9,H73:H77)</f>
        <v>4</v>
      </c>
      <c r="I72" s="626"/>
      <c r="J72" s="752"/>
      <c r="K72" s="416"/>
      <c r="L72" s="665"/>
      <c r="M72" s="665"/>
      <c r="N72" s="665"/>
      <c r="O72" s="665"/>
      <c r="P72" s="665"/>
      <c r="Q72" s="665"/>
      <c r="R72" s="665"/>
      <c r="S72" s="416"/>
      <c r="T72" s="752"/>
      <c r="U72" s="416"/>
      <c r="V72" s="822">
        <f>SUBTOTAL(9,V73:V77)</f>
        <v>0</v>
      </c>
      <c r="W72" s="823">
        <f>SUBTOTAL(9,W73:W77)</f>
        <v>0</v>
      </c>
    </row>
    <row r="73" spans="1:23" outlineLevel="2">
      <c r="A73" s="376"/>
      <c r="B73" s="684" t="s">
        <v>901</v>
      </c>
      <c r="C73" s="684" t="s">
        <v>1089</v>
      </c>
      <c r="D73" s="684" t="s">
        <v>518</v>
      </c>
      <c r="E73" s="684"/>
      <c r="F73" s="685" t="s">
        <v>1022</v>
      </c>
      <c r="G73" s="686">
        <f>SUBTOTAL(9,G74:G77)</f>
        <v>0.30000000000000004</v>
      </c>
      <c r="H73" s="691">
        <f>SUBTOTAL(9,H74:H77)</f>
        <v>4</v>
      </c>
      <c r="I73" s="626"/>
      <c r="J73" s="752"/>
      <c r="K73" s="416"/>
      <c r="L73" s="684"/>
      <c r="M73" s="684"/>
      <c r="N73" s="684"/>
      <c r="O73" s="684"/>
      <c r="P73" s="684"/>
      <c r="Q73" s="684"/>
      <c r="R73" s="684"/>
      <c r="S73" s="416"/>
      <c r="T73" s="752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901</v>
      </c>
      <c r="C74" s="376" t="s">
        <v>1089</v>
      </c>
      <c r="D74" s="376" t="s">
        <v>518</v>
      </c>
      <c r="E74" s="376" t="s">
        <v>56</v>
      </c>
      <c r="F74" s="608" t="s">
        <v>1156</v>
      </c>
      <c r="G74" s="609">
        <v>0.17</v>
      </c>
      <c r="H74" s="692">
        <v>1</v>
      </c>
      <c r="I74" s="626"/>
      <c r="J74" s="752"/>
      <c r="K74" s="416"/>
      <c r="L74" s="376" t="s">
        <v>56</v>
      </c>
      <c r="M74" s="376" t="s">
        <v>959</v>
      </c>
      <c r="N74" s="376" t="s">
        <v>1154</v>
      </c>
      <c r="O74" s="376"/>
      <c r="P74" s="376" t="s">
        <v>1155</v>
      </c>
      <c r="Q74" s="376"/>
      <c r="R74" s="376">
        <v>0</v>
      </c>
      <c r="S74" s="416"/>
      <c r="T74" s="752"/>
      <c r="U74" s="416"/>
      <c r="V74" s="609">
        <f>IF(W74=1,G74,0)</f>
        <v>0</v>
      </c>
      <c r="W74" s="692"/>
    </row>
    <row r="75" spans="1:23" outlineLevel="3">
      <c r="A75" s="376"/>
      <c r="B75" s="376" t="s">
        <v>901</v>
      </c>
      <c r="C75" s="376" t="s">
        <v>1089</v>
      </c>
      <c r="D75" s="376" t="s">
        <v>518</v>
      </c>
      <c r="E75" s="376" t="s">
        <v>56</v>
      </c>
      <c r="F75" s="608" t="s">
        <v>1094</v>
      </c>
      <c r="G75" s="609">
        <v>0.03</v>
      </c>
      <c r="H75" s="692">
        <v>1</v>
      </c>
      <c r="I75" s="626"/>
      <c r="J75" s="752"/>
      <c r="K75" s="416"/>
      <c r="L75" s="376" t="s">
        <v>56</v>
      </c>
      <c r="M75" s="376" t="s">
        <v>959</v>
      </c>
      <c r="N75" s="376" t="s">
        <v>1154</v>
      </c>
      <c r="O75" s="376"/>
      <c r="P75" s="376" t="s">
        <v>1155</v>
      </c>
      <c r="Q75" s="376"/>
      <c r="R75" s="376">
        <v>0</v>
      </c>
      <c r="S75" s="416"/>
      <c r="T75" s="752"/>
      <c r="U75" s="416"/>
      <c r="V75" s="609">
        <f>IF(W75=1,G75,0)</f>
        <v>0</v>
      </c>
      <c r="W75" s="692"/>
    </row>
    <row r="76" spans="1:23" outlineLevel="3">
      <c r="A76" s="376"/>
      <c r="B76" s="376" t="s">
        <v>901</v>
      </c>
      <c r="C76" s="376" t="s">
        <v>1089</v>
      </c>
      <c r="D76" s="376" t="s">
        <v>518</v>
      </c>
      <c r="E76" s="376" t="s">
        <v>56</v>
      </c>
      <c r="F76" s="608" t="s">
        <v>1106</v>
      </c>
      <c r="G76" s="609">
        <v>0.03</v>
      </c>
      <c r="H76" s="692">
        <v>1</v>
      </c>
      <c r="I76" s="626"/>
      <c r="J76" s="752"/>
      <c r="K76" s="416"/>
      <c r="L76" s="376" t="s">
        <v>56</v>
      </c>
      <c r="M76" s="376" t="s">
        <v>959</v>
      </c>
      <c r="N76" s="376" t="s">
        <v>1154</v>
      </c>
      <c r="O76" s="376"/>
      <c r="P76" s="376" t="s">
        <v>1155</v>
      </c>
      <c r="Q76" s="376"/>
      <c r="R76" s="376">
        <v>0</v>
      </c>
      <c r="S76" s="416"/>
      <c r="T76" s="752"/>
      <c r="U76" s="416"/>
      <c r="V76" s="609">
        <f>IF(W76=1,G76,0)</f>
        <v>0</v>
      </c>
      <c r="W76" s="692"/>
    </row>
    <row r="77" spans="1:23" ht="26.45" outlineLevel="3">
      <c r="A77" s="376"/>
      <c r="B77" s="376" t="s">
        <v>901</v>
      </c>
      <c r="C77" s="376" t="s">
        <v>1089</v>
      </c>
      <c r="D77" s="376" t="s">
        <v>518</v>
      </c>
      <c r="E77" s="376" t="s">
        <v>56</v>
      </c>
      <c r="F77" s="608" t="s">
        <v>1157</v>
      </c>
      <c r="G77" s="609">
        <v>7.0000000000000007E-2</v>
      </c>
      <c r="H77" s="692">
        <v>1</v>
      </c>
      <c r="I77" s="626"/>
      <c r="J77" s="752"/>
      <c r="K77" s="416"/>
      <c r="L77" s="376" t="s">
        <v>56</v>
      </c>
      <c r="M77" s="376" t="s">
        <v>959</v>
      </c>
      <c r="N77" s="376" t="s">
        <v>1154</v>
      </c>
      <c r="O77" s="376"/>
      <c r="P77" s="376" t="s">
        <v>1155</v>
      </c>
      <c r="Q77" s="376"/>
      <c r="R77" s="376">
        <v>0</v>
      </c>
      <c r="S77" s="416"/>
      <c r="T77" s="752"/>
      <c r="U77" s="416"/>
      <c r="V77" s="609">
        <f>IF(W77=1,G77,0)</f>
        <v>0</v>
      </c>
      <c r="W77" s="692"/>
    </row>
    <row r="78" spans="1:23" outlineLevel="1">
      <c r="A78" s="376"/>
      <c r="B78" s="665" t="s">
        <v>162</v>
      </c>
      <c r="C78" s="665" t="s">
        <v>162</v>
      </c>
      <c r="D78" s="665"/>
      <c r="E78" s="665"/>
      <c r="F78" s="681" t="s">
        <v>947</v>
      </c>
      <c r="G78" s="822">
        <f>SUBTOTAL(9,G79:G83)</f>
        <v>1.005255014743917</v>
      </c>
      <c r="H78" s="823">
        <f>SUBTOTAL(9,H79:H83)</f>
        <v>4</v>
      </c>
      <c r="I78" s="626"/>
      <c r="J78" s="752"/>
      <c r="K78" s="416"/>
      <c r="L78" s="665"/>
      <c r="M78" s="665"/>
      <c r="N78" s="665"/>
      <c r="O78" s="665"/>
      <c r="P78" s="665"/>
      <c r="Q78" s="665"/>
      <c r="R78" s="665"/>
      <c r="S78" s="416"/>
      <c r="T78" s="752"/>
      <c r="U78" s="416"/>
      <c r="V78" s="822">
        <f>SUBTOTAL(9,V79:V83)</f>
        <v>0</v>
      </c>
      <c r="W78" s="823">
        <f>SUBTOTAL(9,W79:W83)</f>
        <v>0</v>
      </c>
    </row>
    <row r="79" spans="1:23" ht="26.45" outlineLevel="2">
      <c r="A79" s="376"/>
      <c r="B79" s="684" t="s">
        <v>162</v>
      </c>
      <c r="C79" s="684" t="s">
        <v>162</v>
      </c>
      <c r="D79" s="684" t="s">
        <v>518</v>
      </c>
      <c r="E79" s="684"/>
      <c r="F79" s="685" t="s">
        <v>1166</v>
      </c>
      <c r="G79" s="686">
        <f>SUBTOTAL(9,G80:G83)</f>
        <v>1.005255014743917</v>
      </c>
      <c r="H79" s="691">
        <f>SUBTOTAL(9,H80:H83)</f>
        <v>4</v>
      </c>
      <c r="I79" s="626"/>
      <c r="J79" s="752"/>
      <c r="K79" s="416"/>
      <c r="L79" s="684"/>
      <c r="M79" s="684"/>
      <c r="N79" s="684"/>
      <c r="O79" s="684"/>
      <c r="P79" s="684"/>
      <c r="Q79" s="684"/>
      <c r="R79" s="684"/>
      <c r="S79" s="416"/>
      <c r="T79" s="752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162</v>
      </c>
      <c r="C80" s="376" t="s">
        <v>162</v>
      </c>
      <c r="D80" s="376" t="s">
        <v>518</v>
      </c>
      <c r="E80" s="376" t="s">
        <v>56</v>
      </c>
      <c r="F80" s="608" t="s">
        <v>1167</v>
      </c>
      <c r="G80" s="609">
        <v>0.40295193575893268</v>
      </c>
      <c r="H80" s="692">
        <v>1</v>
      </c>
      <c r="I80" s="626"/>
      <c r="J80" s="752"/>
      <c r="K80" s="416"/>
      <c r="L80" s="376" t="s">
        <v>56</v>
      </c>
      <c r="M80" s="376" t="s">
        <v>959</v>
      </c>
      <c r="N80" s="376" t="s">
        <v>960</v>
      </c>
      <c r="O80" s="376"/>
      <c r="P80" s="376" t="s">
        <v>1168</v>
      </c>
      <c r="Q80" s="376"/>
      <c r="R80" s="376">
        <v>0</v>
      </c>
      <c r="S80" s="416"/>
      <c r="T80" s="752"/>
      <c r="U80" s="416"/>
      <c r="V80" s="609">
        <f>IF(W80=1,G80,0)</f>
        <v>0</v>
      </c>
      <c r="W80" s="692"/>
    </row>
    <row r="81" spans="1:23" outlineLevel="3">
      <c r="A81" s="376"/>
      <c r="B81" s="376" t="s">
        <v>162</v>
      </c>
      <c r="C81" s="376" t="s">
        <v>162</v>
      </c>
      <c r="D81" s="376" t="s">
        <v>518</v>
      </c>
      <c r="E81" s="376" t="s">
        <v>56</v>
      </c>
      <c r="F81" s="608" t="s">
        <v>104</v>
      </c>
      <c r="G81" s="609">
        <v>0.33579327979911056</v>
      </c>
      <c r="H81" s="692">
        <v>1</v>
      </c>
      <c r="I81" s="626"/>
      <c r="J81" s="752"/>
      <c r="K81" s="416"/>
      <c r="L81" s="376" t="s">
        <v>56</v>
      </c>
      <c r="M81" s="376" t="s">
        <v>959</v>
      </c>
      <c r="N81" s="376" t="s">
        <v>960</v>
      </c>
      <c r="O81" s="376"/>
      <c r="P81" s="376" t="s">
        <v>1168</v>
      </c>
      <c r="Q81" s="376"/>
      <c r="R81" s="376">
        <v>0</v>
      </c>
      <c r="S81" s="416"/>
      <c r="T81" s="752"/>
      <c r="U81" s="416"/>
      <c r="V81" s="609">
        <f>IF(W81=1,G81,0)</f>
        <v>0</v>
      </c>
      <c r="W81" s="692"/>
    </row>
    <row r="82" spans="1:23" outlineLevel="3">
      <c r="A82" s="376"/>
      <c r="B82" s="376" t="s">
        <v>162</v>
      </c>
      <c r="C82" s="376" t="s">
        <v>162</v>
      </c>
      <c r="D82" s="376" t="s">
        <v>518</v>
      </c>
      <c r="E82" s="376" t="s">
        <v>56</v>
      </c>
      <c r="F82" s="608" t="s">
        <v>1160</v>
      </c>
      <c r="G82" s="609">
        <v>0.21693581286679067</v>
      </c>
      <c r="H82" s="692">
        <v>1</v>
      </c>
      <c r="I82" s="626"/>
      <c r="J82" s="752"/>
      <c r="K82" s="416"/>
      <c r="L82" s="376" t="s">
        <v>56</v>
      </c>
      <c r="M82" s="376" t="s">
        <v>959</v>
      </c>
      <c r="N82" s="376" t="s">
        <v>1169</v>
      </c>
      <c r="O82" s="376"/>
      <c r="P82" s="376" t="s">
        <v>1168</v>
      </c>
      <c r="Q82" s="376"/>
      <c r="R82" s="376">
        <v>0</v>
      </c>
      <c r="S82" s="416"/>
      <c r="T82" s="752"/>
      <c r="U82" s="416"/>
      <c r="V82" s="609">
        <f>IF(W82=1,G82,0)</f>
        <v>0</v>
      </c>
      <c r="W82" s="692"/>
    </row>
    <row r="83" spans="1:23" outlineLevel="3">
      <c r="A83" s="376"/>
      <c r="B83" s="376" t="s">
        <v>162</v>
      </c>
      <c r="C83" s="376" t="s">
        <v>162</v>
      </c>
      <c r="D83" s="376" t="s">
        <v>518</v>
      </c>
      <c r="E83" s="376" t="s">
        <v>56</v>
      </c>
      <c r="F83" s="608" t="s">
        <v>1170</v>
      </c>
      <c r="G83" s="609">
        <v>4.9573986319083066E-2</v>
      </c>
      <c r="H83" s="692">
        <v>1</v>
      </c>
      <c r="I83" s="626"/>
      <c r="J83" s="752"/>
      <c r="K83" s="416"/>
      <c r="L83" s="376" t="s">
        <v>56</v>
      </c>
      <c r="M83" s="376" t="s">
        <v>959</v>
      </c>
      <c r="N83" s="376" t="s">
        <v>1169</v>
      </c>
      <c r="O83" s="376"/>
      <c r="P83" s="376" t="s">
        <v>1168</v>
      </c>
      <c r="Q83" s="376"/>
      <c r="R83" s="376">
        <v>0</v>
      </c>
      <c r="S83" s="416"/>
      <c r="T83" s="752"/>
      <c r="U83" s="416"/>
      <c r="V83" s="609">
        <f>IF(W83=1,G83,0)</f>
        <v>0</v>
      </c>
      <c r="W83" s="692"/>
    </row>
    <row r="84" spans="1:23" outlineLevel="1">
      <c r="A84" s="376"/>
      <c r="B84" s="666" t="s">
        <v>252</v>
      </c>
      <c r="C84" s="666" t="s">
        <v>252</v>
      </c>
      <c r="D84" s="666"/>
      <c r="E84" s="666"/>
      <c r="F84" s="681" t="s">
        <v>947</v>
      </c>
      <c r="G84" s="822">
        <f>SUBTOTAL(9,G85:G104)</f>
        <v>2.1217771248000008</v>
      </c>
      <c r="H84" s="823">
        <f>SUBTOTAL(9,H85:H104)</f>
        <v>19</v>
      </c>
      <c r="I84" s="626"/>
      <c r="J84" s="752"/>
      <c r="K84" s="416"/>
      <c r="L84" s="666"/>
      <c r="M84" s="666"/>
      <c r="N84" s="666"/>
      <c r="O84" s="666"/>
      <c r="P84" s="666"/>
      <c r="Q84" s="666"/>
      <c r="R84" s="666"/>
      <c r="S84" s="416"/>
      <c r="T84" s="752"/>
      <c r="U84" s="416"/>
      <c r="V84" s="822">
        <f>SUBTOTAL(9,V85:V104)</f>
        <v>0</v>
      </c>
      <c r="W84" s="823">
        <f>SUBTOTAL(9,W85:W104)</f>
        <v>0</v>
      </c>
    </row>
    <row r="85" spans="1:23" outlineLevel="2">
      <c r="A85" s="376"/>
      <c r="B85" s="684" t="s">
        <v>252</v>
      </c>
      <c r="C85" s="684" t="s">
        <v>252</v>
      </c>
      <c r="D85" s="684" t="s">
        <v>518</v>
      </c>
      <c r="E85" s="684"/>
      <c r="F85" s="685" t="s">
        <v>1176</v>
      </c>
      <c r="G85" s="686">
        <f>SUBTOTAL(9,G86:G104)</f>
        <v>2.1217771248000008</v>
      </c>
      <c r="H85" s="691">
        <f>SUBTOTAL(9,H86:H104)</f>
        <v>19</v>
      </c>
      <c r="I85" s="626"/>
      <c r="J85" s="752"/>
      <c r="K85" s="416"/>
      <c r="L85" s="684"/>
      <c r="M85" s="684"/>
      <c r="N85" s="684"/>
      <c r="O85" s="684"/>
      <c r="P85" s="684"/>
      <c r="Q85" s="684"/>
      <c r="R85" s="684"/>
      <c r="S85" s="416"/>
      <c r="T85" s="752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252</v>
      </c>
      <c r="C86" s="376" t="s">
        <v>252</v>
      </c>
      <c r="D86" s="376" t="s">
        <v>518</v>
      </c>
      <c r="E86" s="376" t="s">
        <v>56</v>
      </c>
      <c r="F86" s="608" t="s">
        <v>1182</v>
      </c>
      <c r="G86" s="609">
        <v>0.5295810499200001</v>
      </c>
      <c r="H86" s="692">
        <v>1</v>
      </c>
      <c r="I86" s="626"/>
      <c r="J86" s="752"/>
      <c r="K86" s="416"/>
      <c r="L86" s="376" t="s">
        <v>56</v>
      </c>
      <c r="M86" s="376" t="s">
        <v>959</v>
      </c>
      <c r="N86" s="376" t="s">
        <v>960</v>
      </c>
      <c r="O86" s="376" t="s">
        <v>1187</v>
      </c>
      <c r="P86" s="376" t="s">
        <v>965</v>
      </c>
      <c r="Q86" s="376"/>
      <c r="R86" s="376">
        <v>0</v>
      </c>
      <c r="S86" s="416"/>
      <c r="T86" s="752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252</v>
      </c>
      <c r="C87" s="376" t="s">
        <v>252</v>
      </c>
      <c r="D87" s="376" t="s">
        <v>518</v>
      </c>
      <c r="E87" s="376" t="s">
        <v>56</v>
      </c>
      <c r="F87" s="608" t="s">
        <v>1515</v>
      </c>
      <c r="G87" s="609">
        <v>0.39718578744000005</v>
      </c>
      <c r="H87" s="692">
        <v>1</v>
      </c>
      <c r="I87" s="626"/>
      <c r="J87" s="752"/>
      <c r="K87" s="416"/>
      <c r="L87" s="376" t="s">
        <v>56</v>
      </c>
      <c r="M87" s="376" t="s">
        <v>959</v>
      </c>
      <c r="N87" s="376"/>
      <c r="O87" s="376"/>
      <c r="P87" s="376"/>
      <c r="Q87" s="376"/>
      <c r="R87" s="376"/>
      <c r="S87" s="416"/>
      <c r="T87" s="752"/>
      <c r="U87" s="416"/>
      <c r="V87" s="609">
        <f t="shared" si="3"/>
        <v>0</v>
      </c>
      <c r="W87" s="692"/>
    </row>
    <row r="88" spans="1:23" outlineLevel="3">
      <c r="A88" s="376"/>
      <c r="B88" s="376" t="s">
        <v>252</v>
      </c>
      <c r="C88" s="376" t="s">
        <v>252</v>
      </c>
      <c r="D88" s="376" t="s">
        <v>518</v>
      </c>
      <c r="E88" s="376" t="s">
        <v>56</v>
      </c>
      <c r="F88" s="608" t="s">
        <v>1183</v>
      </c>
      <c r="G88" s="609">
        <v>0.39718578744000005</v>
      </c>
      <c r="H88" s="692">
        <v>1</v>
      </c>
      <c r="I88" s="626"/>
      <c r="J88" s="752"/>
      <c r="K88" s="416"/>
      <c r="L88" s="376" t="s">
        <v>56</v>
      </c>
      <c r="M88" s="376" t="s">
        <v>959</v>
      </c>
      <c r="N88" s="376"/>
      <c r="O88" s="376"/>
      <c r="P88" s="376"/>
      <c r="Q88" s="376"/>
      <c r="R88" s="376"/>
      <c r="S88" s="416"/>
      <c r="T88" s="752"/>
      <c r="U88" s="416"/>
      <c r="V88" s="609">
        <f t="shared" si="3"/>
        <v>0</v>
      </c>
      <c r="W88" s="692"/>
    </row>
    <row r="89" spans="1:23" outlineLevel="3">
      <c r="A89" s="376"/>
      <c r="B89" s="376" t="s">
        <v>252</v>
      </c>
      <c r="C89" s="376" t="s">
        <v>252</v>
      </c>
      <c r="D89" s="376" t="s">
        <v>518</v>
      </c>
      <c r="E89" s="376" t="s">
        <v>56</v>
      </c>
      <c r="F89" s="608" t="s">
        <v>1188</v>
      </c>
      <c r="G89" s="609">
        <v>2.5612785000000002E-2</v>
      </c>
      <c r="H89" s="692">
        <v>1</v>
      </c>
      <c r="I89" s="626"/>
      <c r="J89" s="752"/>
      <c r="K89" s="416"/>
      <c r="L89" s="376" t="s">
        <v>56</v>
      </c>
      <c r="M89" s="376" t="s">
        <v>959</v>
      </c>
      <c r="N89" s="376" t="s">
        <v>960</v>
      </c>
      <c r="O89" s="376" t="s">
        <v>1187</v>
      </c>
      <c r="P89" s="376" t="s">
        <v>965</v>
      </c>
      <c r="Q89" s="376"/>
      <c r="R89" s="376">
        <v>0</v>
      </c>
      <c r="S89" s="416"/>
      <c r="T89" s="752"/>
      <c r="U89" s="416"/>
      <c r="V89" s="609">
        <f t="shared" si="3"/>
        <v>0</v>
      </c>
      <c r="W89" s="692"/>
    </row>
    <row r="90" spans="1:23" outlineLevel="3">
      <c r="A90" s="376"/>
      <c r="B90" s="376" t="s">
        <v>252</v>
      </c>
      <c r="C90" s="376" t="s">
        <v>252</v>
      </c>
      <c r="D90" s="376" t="s">
        <v>518</v>
      </c>
      <c r="E90" s="376" t="s">
        <v>56</v>
      </c>
      <c r="F90" s="608" t="s">
        <v>1189</v>
      </c>
      <c r="G90" s="609">
        <v>2.5612785000000002E-2</v>
      </c>
      <c r="H90" s="692">
        <v>1</v>
      </c>
      <c r="I90" s="626"/>
      <c r="J90" s="752"/>
      <c r="K90" s="416"/>
      <c r="L90" s="376" t="s">
        <v>56</v>
      </c>
      <c r="M90" s="376" t="s">
        <v>959</v>
      </c>
      <c r="N90" s="376" t="s">
        <v>960</v>
      </c>
      <c r="O90" s="376" t="s">
        <v>1187</v>
      </c>
      <c r="P90" s="376" t="s">
        <v>965</v>
      </c>
      <c r="Q90" s="376"/>
      <c r="R90" s="376">
        <v>0</v>
      </c>
      <c r="S90" s="416"/>
      <c r="T90" s="752"/>
      <c r="U90" s="416"/>
      <c r="V90" s="609">
        <f t="shared" si="3"/>
        <v>0</v>
      </c>
      <c r="W90" s="692"/>
    </row>
    <row r="91" spans="1:23" outlineLevel="3">
      <c r="A91" s="376"/>
      <c r="B91" s="376" t="s">
        <v>252</v>
      </c>
      <c r="C91" s="376" t="s">
        <v>252</v>
      </c>
      <c r="D91" s="376" t="s">
        <v>518</v>
      </c>
      <c r="E91" s="376" t="s">
        <v>56</v>
      </c>
      <c r="F91" s="608" t="s">
        <v>1191</v>
      </c>
      <c r="G91" s="609">
        <v>5.4169665000000013E-2</v>
      </c>
      <c r="H91" s="692">
        <v>1</v>
      </c>
      <c r="I91" s="626"/>
      <c r="J91" s="752"/>
      <c r="K91" s="416"/>
      <c r="L91" s="376" t="s">
        <v>56</v>
      </c>
      <c r="M91" s="376" t="s">
        <v>959</v>
      </c>
      <c r="N91" s="376" t="s">
        <v>960</v>
      </c>
      <c r="O91" s="376" t="s">
        <v>1187</v>
      </c>
      <c r="P91" s="376" t="s">
        <v>965</v>
      </c>
      <c r="Q91" s="376"/>
      <c r="R91" s="376">
        <v>0</v>
      </c>
      <c r="S91" s="416"/>
      <c r="T91" s="752"/>
      <c r="U91" s="416"/>
      <c r="V91" s="609">
        <f t="shared" si="3"/>
        <v>0</v>
      </c>
      <c r="W91" s="692"/>
    </row>
    <row r="92" spans="1:23" outlineLevel="3">
      <c r="A92" s="376"/>
      <c r="B92" s="376" t="s">
        <v>252</v>
      </c>
      <c r="C92" s="376" t="s">
        <v>252</v>
      </c>
      <c r="D92" s="376" t="s">
        <v>518</v>
      </c>
      <c r="E92" s="376" t="s">
        <v>56</v>
      </c>
      <c r="F92" s="608" t="s">
        <v>1192</v>
      </c>
      <c r="G92" s="609">
        <v>5.4169665000000013E-2</v>
      </c>
      <c r="H92" s="692">
        <v>1</v>
      </c>
      <c r="I92" s="626"/>
      <c r="J92" s="752"/>
      <c r="K92" s="416"/>
      <c r="L92" s="376" t="s">
        <v>56</v>
      </c>
      <c r="M92" s="376" t="s">
        <v>959</v>
      </c>
      <c r="N92" s="376" t="s">
        <v>960</v>
      </c>
      <c r="O92" s="376" t="s">
        <v>1187</v>
      </c>
      <c r="P92" s="376" t="s">
        <v>965</v>
      </c>
      <c r="Q92" s="376"/>
      <c r="R92" s="376">
        <v>0</v>
      </c>
      <c r="S92" s="416"/>
      <c r="T92" s="752"/>
      <c r="U92" s="416"/>
      <c r="V92" s="609">
        <f t="shared" si="3"/>
        <v>0</v>
      </c>
      <c r="W92" s="692"/>
    </row>
    <row r="93" spans="1:23" outlineLevel="3">
      <c r="A93" s="376"/>
      <c r="B93" s="376" t="s">
        <v>252</v>
      </c>
      <c r="C93" s="376" t="s">
        <v>252</v>
      </c>
      <c r="D93" s="376" t="s">
        <v>518</v>
      </c>
      <c r="E93" s="376" t="s">
        <v>56</v>
      </c>
      <c r="F93" s="608" t="s">
        <v>1194</v>
      </c>
      <c r="G93" s="609">
        <v>5.4169665000000013E-2</v>
      </c>
      <c r="H93" s="692">
        <v>1</v>
      </c>
      <c r="I93" s="626"/>
      <c r="J93" s="752"/>
      <c r="K93" s="416"/>
      <c r="L93" s="376" t="s">
        <v>56</v>
      </c>
      <c r="M93" s="376" t="s">
        <v>959</v>
      </c>
      <c r="N93" s="376" t="s">
        <v>960</v>
      </c>
      <c r="O93" s="376" t="s">
        <v>1187</v>
      </c>
      <c r="P93" s="376" t="s">
        <v>965</v>
      </c>
      <c r="Q93" s="376"/>
      <c r="R93" s="376">
        <v>0</v>
      </c>
      <c r="S93" s="416"/>
      <c r="T93" s="752"/>
      <c r="U93" s="416"/>
      <c r="V93" s="609">
        <f t="shared" si="3"/>
        <v>0</v>
      </c>
      <c r="W93" s="692"/>
    </row>
    <row r="94" spans="1:23" outlineLevel="3">
      <c r="A94" s="376"/>
      <c r="B94" s="376" t="s">
        <v>252</v>
      </c>
      <c r="C94" s="376" t="s">
        <v>252</v>
      </c>
      <c r="D94" s="376" t="s">
        <v>518</v>
      </c>
      <c r="E94" s="376" t="s">
        <v>56</v>
      </c>
      <c r="F94" s="608" t="s">
        <v>1195</v>
      </c>
      <c r="G94" s="609">
        <v>5.4169665000000013E-2</v>
      </c>
      <c r="H94" s="692">
        <v>1</v>
      </c>
      <c r="I94" s="626"/>
      <c r="J94" s="752"/>
      <c r="K94" s="416"/>
      <c r="L94" s="376" t="s">
        <v>56</v>
      </c>
      <c r="M94" s="376" t="s">
        <v>959</v>
      </c>
      <c r="N94" s="376" t="s">
        <v>960</v>
      </c>
      <c r="O94" s="376" t="s">
        <v>1187</v>
      </c>
      <c r="P94" s="376" t="s">
        <v>965</v>
      </c>
      <c r="Q94" s="376"/>
      <c r="R94" s="376">
        <v>0</v>
      </c>
      <c r="S94" s="416"/>
      <c r="T94" s="752"/>
      <c r="U94" s="416"/>
      <c r="V94" s="609">
        <f t="shared" si="3"/>
        <v>0</v>
      </c>
      <c r="W94" s="692"/>
    </row>
    <row r="95" spans="1:23" outlineLevel="3">
      <c r="A95" s="376"/>
      <c r="B95" s="376" t="s">
        <v>252</v>
      </c>
      <c r="C95" s="376" t="s">
        <v>252</v>
      </c>
      <c r="D95" s="376" t="s">
        <v>518</v>
      </c>
      <c r="E95" s="376" t="s">
        <v>56</v>
      </c>
      <c r="F95" s="608" t="s">
        <v>1197</v>
      </c>
      <c r="G95" s="609">
        <v>5.4169665000000013E-2</v>
      </c>
      <c r="H95" s="692">
        <v>1</v>
      </c>
      <c r="I95" s="626"/>
      <c r="J95" s="752"/>
      <c r="K95" s="416"/>
      <c r="L95" s="376" t="s">
        <v>56</v>
      </c>
      <c r="M95" s="376" t="s">
        <v>959</v>
      </c>
      <c r="N95" s="376" t="s">
        <v>960</v>
      </c>
      <c r="O95" s="376" t="s">
        <v>1187</v>
      </c>
      <c r="P95" s="376" t="s">
        <v>1168</v>
      </c>
      <c r="Q95" s="376"/>
      <c r="R95" s="376">
        <v>0</v>
      </c>
      <c r="S95" s="416"/>
      <c r="T95" s="752"/>
      <c r="U95" s="416"/>
      <c r="V95" s="609">
        <f t="shared" si="3"/>
        <v>0</v>
      </c>
      <c r="W95" s="692"/>
    </row>
    <row r="96" spans="1:23" outlineLevel="3">
      <c r="A96" s="376"/>
      <c r="B96" s="376" t="s">
        <v>252</v>
      </c>
      <c r="C96" s="376" t="s">
        <v>252</v>
      </c>
      <c r="D96" s="376" t="s">
        <v>518</v>
      </c>
      <c r="E96" s="376" t="s">
        <v>56</v>
      </c>
      <c r="F96" s="608" t="s">
        <v>1198</v>
      </c>
      <c r="G96" s="609">
        <v>5.4169665000000013E-2</v>
      </c>
      <c r="H96" s="692">
        <v>1</v>
      </c>
      <c r="I96" s="626"/>
      <c r="J96" s="752"/>
      <c r="K96" s="416"/>
      <c r="L96" s="376" t="s">
        <v>56</v>
      </c>
      <c r="M96" s="376" t="s">
        <v>959</v>
      </c>
      <c r="N96" s="376" t="s">
        <v>960</v>
      </c>
      <c r="O96" s="376" t="s">
        <v>1187</v>
      </c>
      <c r="P96" s="376" t="s">
        <v>1168</v>
      </c>
      <c r="Q96" s="376"/>
      <c r="R96" s="376">
        <v>0</v>
      </c>
      <c r="S96" s="416"/>
      <c r="T96" s="752"/>
      <c r="U96" s="416"/>
      <c r="V96" s="609">
        <f t="shared" si="3"/>
        <v>0</v>
      </c>
      <c r="W96" s="692"/>
    </row>
    <row r="97" spans="1:23" outlineLevel="3">
      <c r="A97" s="376"/>
      <c r="B97" s="376" t="s">
        <v>252</v>
      </c>
      <c r="C97" s="376" t="s">
        <v>252</v>
      </c>
      <c r="D97" s="376" t="s">
        <v>518</v>
      </c>
      <c r="E97" s="376" t="s">
        <v>56</v>
      </c>
      <c r="F97" s="608" t="s">
        <v>1199</v>
      </c>
      <c r="G97" s="609">
        <v>0.10833933000000003</v>
      </c>
      <c r="H97" s="692">
        <v>1</v>
      </c>
      <c r="I97" s="626"/>
      <c r="J97" s="752"/>
      <c r="K97" s="416"/>
      <c r="L97" s="376" t="s">
        <v>56</v>
      </c>
      <c r="M97" s="376" t="s">
        <v>959</v>
      </c>
      <c r="N97" s="376" t="s">
        <v>960</v>
      </c>
      <c r="O97" s="376" t="s">
        <v>1187</v>
      </c>
      <c r="P97" s="376" t="s">
        <v>1168</v>
      </c>
      <c r="Q97" s="376"/>
      <c r="R97" s="376">
        <v>0</v>
      </c>
      <c r="S97" s="416"/>
      <c r="T97" s="752"/>
      <c r="U97" s="416"/>
      <c r="V97" s="609">
        <f t="shared" si="3"/>
        <v>0</v>
      </c>
      <c r="W97" s="692"/>
    </row>
    <row r="98" spans="1:23" outlineLevel="3">
      <c r="A98" s="376"/>
      <c r="B98" s="376" t="s">
        <v>252</v>
      </c>
      <c r="C98" s="376" t="s">
        <v>252</v>
      </c>
      <c r="D98" s="376" t="s">
        <v>518</v>
      </c>
      <c r="E98" s="376" t="s">
        <v>56</v>
      </c>
      <c r="F98" s="608" t="s">
        <v>1201</v>
      </c>
      <c r="G98" s="609">
        <v>5.4169665000000013E-2</v>
      </c>
      <c r="H98" s="692">
        <v>1</v>
      </c>
      <c r="I98" s="626"/>
      <c r="J98" s="752"/>
      <c r="K98" s="416"/>
      <c r="L98" s="376" t="s">
        <v>56</v>
      </c>
      <c r="M98" s="376" t="s">
        <v>959</v>
      </c>
      <c r="N98" s="376" t="s">
        <v>960</v>
      </c>
      <c r="O98" s="376" t="s">
        <v>1187</v>
      </c>
      <c r="P98" s="376" t="s">
        <v>1168</v>
      </c>
      <c r="Q98" s="376"/>
      <c r="R98" s="376">
        <v>0</v>
      </c>
      <c r="S98" s="416"/>
      <c r="T98" s="752"/>
      <c r="U98" s="416"/>
      <c r="V98" s="609">
        <f t="shared" si="3"/>
        <v>0</v>
      </c>
      <c r="W98" s="692"/>
    </row>
    <row r="99" spans="1:23" outlineLevel="3">
      <c r="A99" s="376"/>
      <c r="B99" s="376" t="s">
        <v>252</v>
      </c>
      <c r="C99" s="376" t="s">
        <v>252</v>
      </c>
      <c r="D99" s="376" t="s">
        <v>518</v>
      </c>
      <c r="E99" s="376" t="s">
        <v>56</v>
      </c>
      <c r="F99" s="608" t="s">
        <v>1202</v>
      </c>
      <c r="G99" s="609">
        <v>5.4169665000000013E-2</v>
      </c>
      <c r="H99" s="692">
        <v>1</v>
      </c>
      <c r="I99" s="626"/>
      <c r="J99" s="752"/>
      <c r="K99" s="416"/>
      <c r="L99" s="376" t="s">
        <v>56</v>
      </c>
      <c r="M99" s="376" t="s">
        <v>959</v>
      </c>
      <c r="N99" s="376" t="s">
        <v>960</v>
      </c>
      <c r="O99" s="376" t="s">
        <v>1187</v>
      </c>
      <c r="P99" s="376" t="s">
        <v>1168</v>
      </c>
      <c r="Q99" s="376"/>
      <c r="R99" s="376">
        <v>0</v>
      </c>
      <c r="S99" s="416"/>
      <c r="T99" s="752"/>
      <c r="U99" s="416"/>
      <c r="V99" s="609">
        <f t="shared" si="3"/>
        <v>0</v>
      </c>
      <c r="W99" s="692"/>
    </row>
    <row r="100" spans="1:23" outlineLevel="3">
      <c r="A100" s="376"/>
      <c r="B100" s="376" t="s">
        <v>252</v>
      </c>
      <c r="C100" s="376" t="s">
        <v>252</v>
      </c>
      <c r="D100" s="376" t="s">
        <v>518</v>
      </c>
      <c r="E100" s="376" t="s">
        <v>56</v>
      </c>
      <c r="F100" s="608" t="s">
        <v>1203</v>
      </c>
      <c r="G100" s="609">
        <v>5.1225570000000005E-2</v>
      </c>
      <c r="H100" s="692">
        <v>1</v>
      </c>
      <c r="I100" s="626"/>
      <c r="J100" s="752"/>
      <c r="K100" s="416"/>
      <c r="L100" s="376" t="s">
        <v>56</v>
      </c>
      <c r="M100" s="376" t="s">
        <v>959</v>
      </c>
      <c r="N100" s="376" t="s">
        <v>960</v>
      </c>
      <c r="O100" s="376" t="s">
        <v>1187</v>
      </c>
      <c r="P100" s="376" t="s">
        <v>1168</v>
      </c>
      <c r="Q100" s="376"/>
      <c r="R100" s="376">
        <v>0</v>
      </c>
      <c r="S100" s="416"/>
      <c r="T100" s="752"/>
      <c r="U100" s="416"/>
      <c r="V100" s="609">
        <f t="shared" si="3"/>
        <v>0</v>
      </c>
      <c r="W100" s="692"/>
    </row>
    <row r="101" spans="1:23" outlineLevel="3">
      <c r="A101" s="376"/>
      <c r="B101" s="376" t="s">
        <v>252</v>
      </c>
      <c r="C101" s="376" t="s">
        <v>252</v>
      </c>
      <c r="D101" s="376" t="s">
        <v>518</v>
      </c>
      <c r="E101" s="376" t="s">
        <v>56</v>
      </c>
      <c r="F101" s="608" t="s">
        <v>1204</v>
      </c>
      <c r="G101" s="609">
        <v>5.1225570000000005E-2</v>
      </c>
      <c r="H101" s="692">
        <v>1</v>
      </c>
      <c r="I101" s="626"/>
      <c r="J101" s="752"/>
      <c r="K101" s="416"/>
      <c r="L101" s="376" t="s">
        <v>56</v>
      </c>
      <c r="M101" s="376" t="s">
        <v>959</v>
      </c>
      <c r="N101" s="376" t="s">
        <v>960</v>
      </c>
      <c r="O101" s="376" t="s">
        <v>1187</v>
      </c>
      <c r="P101" s="376" t="s">
        <v>1168</v>
      </c>
      <c r="Q101" s="376"/>
      <c r="R101" s="376">
        <v>0</v>
      </c>
      <c r="S101" s="416"/>
      <c r="T101" s="752"/>
      <c r="U101" s="416"/>
      <c r="V101" s="609">
        <f t="shared" si="3"/>
        <v>0</v>
      </c>
      <c r="W101" s="692"/>
    </row>
    <row r="102" spans="1:23" outlineLevel="3">
      <c r="A102" s="376"/>
      <c r="B102" s="376" t="s">
        <v>252</v>
      </c>
      <c r="C102" s="376" t="s">
        <v>252</v>
      </c>
      <c r="D102" s="376" t="s">
        <v>518</v>
      </c>
      <c r="E102" s="376" t="s">
        <v>56</v>
      </c>
      <c r="F102" s="608" t="s">
        <v>1205</v>
      </c>
      <c r="G102" s="609">
        <v>5.1225570000000005E-2</v>
      </c>
      <c r="H102" s="692">
        <v>1</v>
      </c>
      <c r="I102" s="626"/>
      <c r="J102" s="752"/>
      <c r="K102" s="416"/>
      <c r="L102" s="376" t="s">
        <v>56</v>
      </c>
      <c r="M102" s="376" t="s">
        <v>959</v>
      </c>
      <c r="N102" s="376" t="s">
        <v>960</v>
      </c>
      <c r="O102" s="376" t="s">
        <v>1187</v>
      </c>
      <c r="P102" s="376" t="s">
        <v>1168</v>
      </c>
      <c r="Q102" s="376"/>
      <c r="R102" s="376">
        <v>0</v>
      </c>
      <c r="S102" s="416"/>
      <c r="T102" s="752"/>
      <c r="U102" s="416"/>
      <c r="V102" s="609">
        <f t="shared" si="3"/>
        <v>0</v>
      </c>
      <c r="W102" s="692"/>
    </row>
    <row r="103" spans="1:23" outlineLevel="3">
      <c r="A103" s="376"/>
      <c r="B103" s="376" t="s">
        <v>252</v>
      </c>
      <c r="C103" s="376" t="s">
        <v>252</v>
      </c>
      <c r="D103" s="376" t="s">
        <v>518</v>
      </c>
      <c r="E103" s="376" t="s">
        <v>56</v>
      </c>
      <c r="F103" s="608" t="s">
        <v>1206</v>
      </c>
      <c r="G103" s="609">
        <v>2.5612785000000002E-2</v>
      </c>
      <c r="H103" s="692">
        <v>1</v>
      </c>
      <c r="I103" s="626"/>
      <c r="J103" s="752"/>
      <c r="K103" s="416"/>
      <c r="L103" s="376" t="s">
        <v>56</v>
      </c>
      <c r="M103" s="376" t="s">
        <v>959</v>
      </c>
      <c r="N103" s="376" t="s">
        <v>960</v>
      </c>
      <c r="O103" s="376" t="s">
        <v>1187</v>
      </c>
      <c r="P103" s="376" t="s">
        <v>1168</v>
      </c>
      <c r="Q103" s="376"/>
      <c r="R103" s="376">
        <v>0</v>
      </c>
      <c r="S103" s="416"/>
      <c r="T103" s="752"/>
      <c r="U103" s="416"/>
      <c r="V103" s="609">
        <f t="shared" si="3"/>
        <v>0</v>
      </c>
      <c r="W103" s="692"/>
    </row>
    <row r="104" spans="1:23" outlineLevel="3">
      <c r="A104" s="376"/>
      <c r="B104" s="376" t="s">
        <v>252</v>
      </c>
      <c r="C104" s="376" t="s">
        <v>252</v>
      </c>
      <c r="D104" s="376" t="s">
        <v>518</v>
      </c>
      <c r="E104" s="376" t="s">
        <v>56</v>
      </c>
      <c r="F104" s="608" t="s">
        <v>1207</v>
      </c>
      <c r="G104" s="609">
        <v>2.5612785000000002E-2</v>
      </c>
      <c r="H104" s="692">
        <v>1</v>
      </c>
      <c r="I104" s="626"/>
      <c r="J104" s="752"/>
      <c r="K104" s="416"/>
      <c r="L104" s="376" t="s">
        <v>56</v>
      </c>
      <c r="M104" s="376" t="s">
        <v>959</v>
      </c>
      <c r="N104" s="376" t="s">
        <v>960</v>
      </c>
      <c r="O104" s="376" t="s">
        <v>1187</v>
      </c>
      <c r="P104" s="376" t="s">
        <v>1168</v>
      </c>
      <c r="Q104" s="376"/>
      <c r="R104" s="376">
        <v>0</v>
      </c>
      <c r="S104" s="416"/>
      <c r="T104" s="752"/>
      <c r="U104" s="416"/>
      <c r="V104" s="609">
        <f t="shared" si="3"/>
        <v>0</v>
      </c>
      <c r="W104" s="692"/>
    </row>
    <row r="105" spans="1:23" outlineLevel="1">
      <c r="A105" s="376"/>
      <c r="B105" s="665" t="s">
        <v>903</v>
      </c>
      <c r="C105" s="665" t="s">
        <v>903</v>
      </c>
      <c r="D105" s="665"/>
      <c r="E105" s="665"/>
      <c r="F105" s="681" t="s">
        <v>947</v>
      </c>
      <c r="G105" s="822">
        <f>SUBTOTAL(9,G106:G112)</f>
        <v>0.34545700083561953</v>
      </c>
      <c r="H105" s="823">
        <f>SUBTOTAL(9,H106:H112)</f>
        <v>6</v>
      </c>
      <c r="I105" s="626"/>
      <c r="J105" s="752"/>
      <c r="K105" s="416"/>
      <c r="L105" s="665"/>
      <c r="M105" s="665"/>
      <c r="N105" s="665"/>
      <c r="O105" s="665"/>
      <c r="P105" s="665"/>
      <c r="Q105" s="665"/>
      <c r="R105" s="665"/>
      <c r="S105" s="416"/>
      <c r="T105" s="752"/>
      <c r="U105" s="416"/>
      <c r="V105" s="822">
        <f>SUBTOTAL(9,V106:V112)</f>
        <v>0</v>
      </c>
      <c r="W105" s="823">
        <f>SUBTOTAL(9,W106:W112)</f>
        <v>0</v>
      </c>
    </row>
    <row r="106" spans="1:23" outlineLevel="2">
      <c r="A106" s="376"/>
      <c r="B106" s="684" t="s">
        <v>903</v>
      </c>
      <c r="C106" s="684" t="s">
        <v>903</v>
      </c>
      <c r="D106" s="684" t="s">
        <v>518</v>
      </c>
      <c r="E106" s="684"/>
      <c r="F106" s="685" t="s">
        <v>1222</v>
      </c>
      <c r="G106" s="686">
        <f>SUBTOTAL(9,G107:G112)</f>
        <v>0.34545700083561953</v>
      </c>
      <c r="H106" s="691">
        <f>SUBTOTAL(9,H107:H112)</f>
        <v>6</v>
      </c>
      <c r="I106" s="626"/>
      <c r="J106" s="752"/>
      <c r="K106" s="416"/>
      <c r="L106" s="684"/>
      <c r="M106" s="684"/>
      <c r="N106" s="684"/>
      <c r="O106" s="684"/>
      <c r="P106" s="684"/>
      <c r="Q106" s="684"/>
      <c r="R106" s="684"/>
      <c r="S106" s="416"/>
      <c r="T106" s="752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903</v>
      </c>
      <c r="C107" s="376" t="s">
        <v>903</v>
      </c>
      <c r="D107" s="376" t="s">
        <v>518</v>
      </c>
      <c r="E107" s="376" t="s">
        <v>56</v>
      </c>
      <c r="F107" s="608" t="s">
        <v>1223</v>
      </c>
      <c r="G107" s="609">
        <v>0.20115878538561949</v>
      </c>
      <c r="H107" s="692">
        <v>1</v>
      </c>
      <c r="I107" s="626"/>
      <c r="J107" s="752"/>
      <c r="K107" s="416"/>
      <c r="L107" s="376" t="s">
        <v>56</v>
      </c>
      <c r="M107" s="376" t="s">
        <v>1008</v>
      </c>
      <c r="N107" s="376" t="s">
        <v>1224</v>
      </c>
      <c r="O107" s="376" t="s">
        <v>1012</v>
      </c>
      <c r="P107" s="376" t="s">
        <v>1225</v>
      </c>
      <c r="Q107" s="376"/>
      <c r="R107" s="376">
        <v>0</v>
      </c>
      <c r="S107" s="416"/>
      <c r="T107" s="752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903</v>
      </c>
      <c r="C108" s="376" t="s">
        <v>903</v>
      </c>
      <c r="D108" s="376" t="s">
        <v>518</v>
      </c>
      <c r="E108" s="376" t="s">
        <v>56</v>
      </c>
      <c r="F108" s="608" t="s">
        <v>1217</v>
      </c>
      <c r="G108" s="609">
        <v>5.8456730700000001E-2</v>
      </c>
      <c r="H108" s="692">
        <v>1</v>
      </c>
      <c r="I108" s="626"/>
      <c r="J108" s="752"/>
      <c r="K108" s="416"/>
      <c r="L108" s="376" t="s">
        <v>56</v>
      </c>
      <c r="M108" s="376" t="s">
        <v>959</v>
      </c>
      <c r="N108" s="376" t="s">
        <v>1226</v>
      </c>
      <c r="O108" s="376"/>
      <c r="P108" s="376" t="s">
        <v>1225</v>
      </c>
      <c r="Q108" s="376"/>
      <c r="R108" s="376">
        <v>0</v>
      </c>
      <c r="S108" s="416"/>
      <c r="T108" s="752"/>
      <c r="U108" s="416"/>
      <c r="V108" s="609">
        <f t="shared" si="4"/>
        <v>0</v>
      </c>
      <c r="W108" s="692"/>
    </row>
    <row r="109" spans="1:23" outlineLevel="3">
      <c r="A109" s="376"/>
      <c r="B109" s="376" t="s">
        <v>903</v>
      </c>
      <c r="C109" s="376" t="s">
        <v>903</v>
      </c>
      <c r="D109" s="376" t="s">
        <v>518</v>
      </c>
      <c r="E109" s="376" t="s">
        <v>56</v>
      </c>
      <c r="F109" s="608" t="s">
        <v>1218</v>
      </c>
      <c r="G109" s="609">
        <v>4.8713942250000003E-2</v>
      </c>
      <c r="H109" s="692">
        <v>1</v>
      </c>
      <c r="I109" s="626"/>
      <c r="J109" s="752"/>
      <c r="K109" s="416"/>
      <c r="L109" s="376" t="s">
        <v>56</v>
      </c>
      <c r="M109" s="376" t="s">
        <v>959</v>
      </c>
      <c r="N109" s="376" t="s">
        <v>1226</v>
      </c>
      <c r="O109" s="376"/>
      <c r="P109" s="376" t="s">
        <v>1225</v>
      </c>
      <c r="Q109" s="376"/>
      <c r="R109" s="376">
        <v>0</v>
      </c>
      <c r="S109" s="416"/>
      <c r="T109" s="752"/>
      <c r="U109" s="416"/>
      <c r="V109" s="609">
        <f t="shared" si="4"/>
        <v>0</v>
      </c>
      <c r="W109" s="692"/>
    </row>
    <row r="110" spans="1:23" outlineLevel="3">
      <c r="A110" s="376"/>
      <c r="B110" s="376" t="s">
        <v>903</v>
      </c>
      <c r="C110" s="376" t="s">
        <v>903</v>
      </c>
      <c r="D110" s="376" t="s">
        <v>518</v>
      </c>
      <c r="E110" s="376" t="s">
        <v>56</v>
      </c>
      <c r="F110" s="608" t="s">
        <v>1214</v>
      </c>
      <c r="G110" s="609">
        <v>2.5989279749999997E-2</v>
      </c>
      <c r="H110" s="692">
        <v>1</v>
      </c>
      <c r="I110" s="626"/>
      <c r="J110" s="752"/>
      <c r="K110" s="416"/>
      <c r="L110" s="376" t="s">
        <v>56</v>
      </c>
      <c r="M110" s="376" t="s">
        <v>959</v>
      </c>
      <c r="N110" s="376" t="s">
        <v>1227</v>
      </c>
      <c r="O110" s="376"/>
      <c r="P110" s="376" t="s">
        <v>1096</v>
      </c>
      <c r="Q110" s="376"/>
      <c r="R110" s="376">
        <v>0</v>
      </c>
      <c r="S110" s="416"/>
      <c r="T110" s="752"/>
      <c r="U110" s="416"/>
      <c r="V110" s="609">
        <f t="shared" si="4"/>
        <v>0</v>
      </c>
      <c r="W110" s="692"/>
    </row>
    <row r="111" spans="1:23" outlineLevel="3">
      <c r="A111" s="376"/>
      <c r="B111" s="376" t="s">
        <v>903</v>
      </c>
      <c r="C111" s="376" t="s">
        <v>903</v>
      </c>
      <c r="D111" s="376" t="s">
        <v>518</v>
      </c>
      <c r="E111" s="376" t="s">
        <v>56</v>
      </c>
      <c r="F111" s="608" t="s">
        <v>1216</v>
      </c>
      <c r="G111" s="609">
        <v>3.7127542499999998E-3</v>
      </c>
      <c r="H111" s="692">
        <v>1</v>
      </c>
      <c r="I111" s="626"/>
      <c r="J111" s="752"/>
      <c r="K111" s="416"/>
      <c r="L111" s="376" t="s">
        <v>56</v>
      </c>
      <c r="M111" s="376" t="s">
        <v>959</v>
      </c>
      <c r="N111" s="376" t="s">
        <v>1095</v>
      </c>
      <c r="O111" s="376"/>
      <c r="P111" s="376" t="s">
        <v>1096</v>
      </c>
      <c r="Q111" s="376"/>
      <c r="R111" s="376">
        <v>0</v>
      </c>
      <c r="S111" s="416"/>
      <c r="T111" s="752"/>
      <c r="U111" s="416"/>
      <c r="V111" s="609">
        <f t="shared" si="4"/>
        <v>0</v>
      </c>
      <c r="W111" s="692"/>
    </row>
    <row r="112" spans="1:23" outlineLevel="3">
      <c r="A112" s="376"/>
      <c r="B112" s="376" t="s">
        <v>903</v>
      </c>
      <c r="C112" s="376" t="s">
        <v>903</v>
      </c>
      <c r="D112" s="376" t="s">
        <v>518</v>
      </c>
      <c r="E112" s="376" t="s">
        <v>56</v>
      </c>
      <c r="F112" s="608" t="s">
        <v>1220</v>
      </c>
      <c r="G112" s="609">
        <v>7.4255085000000005E-3</v>
      </c>
      <c r="H112" s="692">
        <v>1</v>
      </c>
      <c r="I112" s="626"/>
      <c r="J112" s="752"/>
      <c r="K112" s="416"/>
      <c r="L112" s="376" t="s">
        <v>56</v>
      </c>
      <c r="M112" s="376" t="s">
        <v>959</v>
      </c>
      <c r="N112" s="376" t="s">
        <v>1228</v>
      </c>
      <c r="O112" s="376"/>
      <c r="P112" s="376" t="s">
        <v>1096</v>
      </c>
      <c r="Q112" s="376"/>
      <c r="R112" s="376">
        <v>0</v>
      </c>
      <c r="S112" s="416"/>
      <c r="T112" s="752"/>
      <c r="U112" s="416"/>
      <c r="V112" s="609">
        <f t="shared" si="4"/>
        <v>0</v>
      </c>
      <c r="W112" s="692"/>
    </row>
    <row r="113" spans="1:23" outlineLevel="1">
      <c r="A113" s="376"/>
      <c r="B113" s="665" t="s">
        <v>502</v>
      </c>
      <c r="C113" s="665" t="s">
        <v>502</v>
      </c>
      <c r="D113" s="665"/>
      <c r="E113" s="665"/>
      <c r="F113" s="681" t="s">
        <v>947</v>
      </c>
      <c r="G113" s="822">
        <f>SUBTOTAL(9,G114:G115)</f>
        <v>6.4518858880000002E-2</v>
      </c>
      <c r="H113" s="823">
        <f>SUBTOTAL(9,H114:H115)</f>
        <v>1</v>
      </c>
      <c r="I113" s="626"/>
      <c r="J113" s="752"/>
      <c r="K113" s="416"/>
      <c r="L113" s="665"/>
      <c r="M113" s="665"/>
      <c r="N113" s="665"/>
      <c r="O113" s="665"/>
      <c r="P113" s="665"/>
      <c r="Q113" s="665"/>
      <c r="R113" s="665"/>
      <c r="S113" s="416"/>
      <c r="T113" s="752"/>
      <c r="U113" s="416"/>
      <c r="V113" s="822">
        <f>SUBTOTAL(9,V114:V115)</f>
        <v>0</v>
      </c>
      <c r="W113" s="823">
        <f>SUBTOTAL(9,W114:W115)</f>
        <v>0</v>
      </c>
    </row>
    <row r="114" spans="1:23" outlineLevel="2">
      <c r="A114" s="376"/>
      <c r="B114" s="684" t="s">
        <v>502</v>
      </c>
      <c r="C114" s="684" t="s">
        <v>502</v>
      </c>
      <c r="D114" s="684" t="s">
        <v>518</v>
      </c>
      <c r="E114" s="684"/>
      <c r="F114" s="685" t="s">
        <v>1230</v>
      </c>
      <c r="G114" s="686">
        <f>SUBTOTAL(9,G115)</f>
        <v>6.4518858880000002E-2</v>
      </c>
      <c r="H114" s="691">
        <f>SUBTOTAL(9,H115)</f>
        <v>1</v>
      </c>
      <c r="I114" s="626"/>
      <c r="J114" s="752"/>
      <c r="K114" s="416"/>
      <c r="L114" s="684"/>
      <c r="M114" s="684"/>
      <c r="N114" s="684"/>
      <c r="O114" s="684"/>
      <c r="P114" s="684"/>
      <c r="Q114" s="684"/>
      <c r="R114" s="684"/>
      <c r="S114" s="416"/>
      <c r="T114" s="752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502</v>
      </c>
      <c r="C115" s="376" t="s">
        <v>502</v>
      </c>
      <c r="D115" s="376" t="s">
        <v>518</v>
      </c>
      <c r="E115" s="376" t="s">
        <v>56</v>
      </c>
      <c r="F115" s="608" t="s">
        <v>36</v>
      </c>
      <c r="G115" s="609">
        <v>6.4518858880000002E-2</v>
      </c>
      <c r="H115" s="692">
        <v>1</v>
      </c>
      <c r="I115" s="626"/>
      <c r="J115" s="752"/>
      <c r="K115" s="416"/>
      <c r="L115" s="376" t="s">
        <v>56</v>
      </c>
      <c r="M115" s="376" t="s">
        <v>1008</v>
      </c>
      <c r="N115" s="376" t="s">
        <v>1232</v>
      </c>
      <c r="O115" s="376" t="s">
        <v>1012</v>
      </c>
      <c r="P115" s="376" t="s">
        <v>1233</v>
      </c>
      <c r="Q115" s="376"/>
      <c r="R115" s="376">
        <v>0</v>
      </c>
      <c r="S115" s="416"/>
      <c r="T115" s="752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225</v>
      </c>
      <c r="C116" s="665" t="s">
        <v>1241</v>
      </c>
      <c r="D116" s="665"/>
      <c r="E116" s="665"/>
      <c r="F116" s="681" t="s">
        <v>947</v>
      </c>
      <c r="G116" s="822">
        <f>SUBTOTAL(9,G117:G120)</f>
        <v>8.6400000000000005E-2</v>
      </c>
      <c r="H116" s="823">
        <f>SUBTOTAL(9,H117:H120)</f>
        <v>3</v>
      </c>
      <c r="I116" s="626"/>
      <c r="J116" s="752"/>
      <c r="K116" s="416"/>
      <c r="L116" s="665"/>
      <c r="M116" s="665"/>
      <c r="N116" s="665"/>
      <c r="O116" s="665"/>
      <c r="P116" s="665"/>
      <c r="Q116" s="665"/>
      <c r="R116" s="665"/>
      <c r="S116" s="416"/>
      <c r="T116" s="752"/>
      <c r="U116" s="416"/>
      <c r="V116" s="822">
        <f>SUBTOTAL(9,V117:V120)</f>
        <v>0</v>
      </c>
      <c r="W116" s="823">
        <f>SUBTOTAL(9,W117:W120)</f>
        <v>0</v>
      </c>
    </row>
    <row r="117" spans="1:23" outlineLevel="2">
      <c r="A117" s="376"/>
      <c r="B117" s="684" t="s">
        <v>225</v>
      </c>
      <c r="C117" s="684" t="s">
        <v>1241</v>
      </c>
      <c r="D117" s="684" t="s">
        <v>518</v>
      </c>
      <c r="E117" s="684"/>
      <c r="F117" s="685" t="s">
        <v>1870</v>
      </c>
      <c r="G117" s="686">
        <f>SUBTOTAL(9,G118:G120)</f>
        <v>8.6400000000000005E-2</v>
      </c>
      <c r="H117" s="691">
        <f>SUBTOTAL(9,H118:H119)</f>
        <v>2</v>
      </c>
      <c r="I117" s="626"/>
      <c r="J117" s="752"/>
      <c r="K117" s="416"/>
      <c r="L117" s="684"/>
      <c r="M117" s="684"/>
      <c r="N117" s="684"/>
      <c r="O117" s="684"/>
      <c r="P117" s="684"/>
      <c r="Q117" s="684"/>
      <c r="R117" s="684"/>
      <c r="S117" s="416"/>
      <c r="T117" s="752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225</v>
      </c>
      <c r="C118" s="376" t="s">
        <v>1241</v>
      </c>
      <c r="D118" s="376" t="s">
        <v>518</v>
      </c>
      <c r="E118" s="376" t="s">
        <v>56</v>
      </c>
      <c r="F118" s="608" t="s">
        <v>36</v>
      </c>
      <c r="G118" s="609">
        <v>1.9200000000000002E-2</v>
      </c>
      <c r="H118" s="692">
        <v>1</v>
      </c>
      <c r="I118" s="626"/>
      <c r="J118" s="752"/>
      <c r="K118" s="416"/>
      <c r="L118" s="376" t="s">
        <v>56</v>
      </c>
      <c r="M118" s="376" t="s">
        <v>1038</v>
      </c>
      <c r="N118" s="376" t="s">
        <v>1039</v>
      </c>
      <c r="O118" s="376" t="s">
        <v>1043</v>
      </c>
      <c r="P118" s="376" t="s">
        <v>1040</v>
      </c>
      <c r="Q118" s="376"/>
      <c r="R118" s="376">
        <v>0</v>
      </c>
      <c r="S118" s="416"/>
      <c r="T118" s="752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225</v>
      </c>
      <c r="C119" s="376" t="s">
        <v>1241</v>
      </c>
      <c r="D119" s="376" t="s">
        <v>518</v>
      </c>
      <c r="E119" s="376" t="s">
        <v>56</v>
      </c>
      <c r="F119" s="608" t="s">
        <v>1238</v>
      </c>
      <c r="G119" s="609">
        <v>1.9199999999999998E-2</v>
      </c>
      <c r="H119" s="692">
        <v>1</v>
      </c>
      <c r="I119" s="626"/>
      <c r="J119" s="752"/>
      <c r="K119" s="416"/>
      <c r="L119" s="376" t="s">
        <v>56</v>
      </c>
      <c r="M119" s="376" t="s">
        <v>1038</v>
      </c>
      <c r="N119" s="376" t="s">
        <v>1039</v>
      </c>
      <c r="O119" s="376" t="s">
        <v>1043</v>
      </c>
      <c r="P119" s="376" t="s">
        <v>1040</v>
      </c>
      <c r="Q119" s="376"/>
      <c r="R119" s="376">
        <v>0</v>
      </c>
      <c r="S119" s="416"/>
      <c r="T119" s="752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225</v>
      </c>
      <c r="C120" s="376" t="s">
        <v>1241</v>
      </c>
      <c r="D120" s="376" t="s">
        <v>518</v>
      </c>
      <c r="E120" s="376" t="s">
        <v>56</v>
      </c>
      <c r="F120" s="608" t="s">
        <v>1239</v>
      </c>
      <c r="G120" s="609">
        <v>4.8000000000000001E-2</v>
      </c>
      <c r="H120" s="692">
        <v>1</v>
      </c>
      <c r="I120" s="626"/>
      <c r="J120" s="752"/>
      <c r="K120" s="416"/>
      <c r="L120" s="376" t="s">
        <v>56</v>
      </c>
      <c r="M120" s="376" t="s">
        <v>1038</v>
      </c>
      <c r="N120" s="376" t="s">
        <v>1039</v>
      </c>
      <c r="O120" s="376" t="s">
        <v>1043</v>
      </c>
      <c r="P120" s="376" t="s">
        <v>1040</v>
      </c>
      <c r="Q120" s="376"/>
      <c r="R120" s="376">
        <v>0</v>
      </c>
      <c r="S120" s="416"/>
      <c r="T120" s="752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229</v>
      </c>
      <c r="C121" s="665" t="s">
        <v>1245</v>
      </c>
      <c r="D121" s="665"/>
      <c r="E121" s="665"/>
      <c r="F121" s="681" t="s">
        <v>947</v>
      </c>
      <c r="G121" s="822">
        <f>SUBTOTAL(9,G122:G125)</f>
        <v>0.22284000000000001</v>
      </c>
      <c r="H121" s="823">
        <f>SUBTOTAL(9,H122:H125)</f>
        <v>3</v>
      </c>
      <c r="I121" s="626"/>
      <c r="J121" s="752"/>
      <c r="K121" s="416"/>
      <c r="L121" s="665"/>
      <c r="M121" s="665"/>
      <c r="N121" s="665"/>
      <c r="O121" s="665"/>
      <c r="P121" s="665"/>
      <c r="Q121" s="665"/>
      <c r="R121" s="665"/>
      <c r="S121" s="416"/>
      <c r="T121" s="752"/>
      <c r="U121" s="416"/>
      <c r="V121" s="822">
        <f>SUBTOTAL(9,V122:V125)</f>
        <v>0</v>
      </c>
      <c r="W121" s="823">
        <f>SUBTOTAL(9,W122:W125)</f>
        <v>0</v>
      </c>
    </row>
    <row r="122" spans="1:23" outlineLevel="2">
      <c r="A122" s="376"/>
      <c r="B122" s="684" t="s">
        <v>229</v>
      </c>
      <c r="C122" s="684" t="s">
        <v>1245</v>
      </c>
      <c r="D122" s="684" t="s">
        <v>518</v>
      </c>
      <c r="E122" s="684"/>
      <c r="F122" s="685" t="s">
        <v>1022</v>
      </c>
      <c r="G122" s="686">
        <f>SUBTOTAL(9,G123:G125)</f>
        <v>0.22284000000000001</v>
      </c>
      <c r="H122" s="691">
        <f>SUBTOTAL(9,H123:H125)</f>
        <v>3</v>
      </c>
      <c r="I122" s="626"/>
      <c r="J122" s="752"/>
      <c r="K122" s="416"/>
      <c r="L122" s="684"/>
      <c r="M122" s="684"/>
      <c r="N122" s="684"/>
      <c r="O122" s="684"/>
      <c r="P122" s="684"/>
      <c r="Q122" s="684"/>
      <c r="R122" s="684"/>
      <c r="S122" s="416"/>
      <c r="T122" s="752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229</v>
      </c>
      <c r="C123" s="376" t="s">
        <v>1245</v>
      </c>
      <c r="D123" s="376" t="s">
        <v>518</v>
      </c>
      <c r="E123" s="376" t="s">
        <v>56</v>
      </c>
      <c r="F123" s="608" t="s">
        <v>1238</v>
      </c>
      <c r="G123" s="609">
        <v>5.9424000000000005E-2</v>
      </c>
      <c r="H123" s="692">
        <v>1</v>
      </c>
      <c r="I123" s="626"/>
      <c r="J123" s="752"/>
      <c r="K123" s="416"/>
      <c r="L123" s="376" t="s">
        <v>56</v>
      </c>
      <c r="M123" s="376" t="s">
        <v>1038</v>
      </c>
      <c r="N123" s="376" t="s">
        <v>1043</v>
      </c>
      <c r="O123" s="376" t="s">
        <v>1039</v>
      </c>
      <c r="P123" s="376" t="s">
        <v>1040</v>
      </c>
      <c r="Q123" s="376"/>
      <c r="R123" s="376">
        <v>0</v>
      </c>
      <c r="S123" s="416"/>
      <c r="T123" s="752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229</v>
      </c>
      <c r="C124" s="376" t="s">
        <v>1245</v>
      </c>
      <c r="D124" s="376" t="s">
        <v>518</v>
      </c>
      <c r="E124" s="376" t="s">
        <v>56</v>
      </c>
      <c r="F124" s="608" t="s">
        <v>1239</v>
      </c>
      <c r="G124" s="609">
        <v>0.14856</v>
      </c>
      <c r="H124" s="692">
        <v>1</v>
      </c>
      <c r="I124" s="626"/>
      <c r="J124" s="752"/>
      <c r="K124" s="416"/>
      <c r="L124" s="376" t="s">
        <v>56</v>
      </c>
      <c r="M124" s="376" t="s">
        <v>1038</v>
      </c>
      <c r="N124" s="376" t="s">
        <v>1043</v>
      </c>
      <c r="O124" s="376" t="s">
        <v>1039</v>
      </c>
      <c r="P124" s="376" t="s">
        <v>1040</v>
      </c>
      <c r="Q124" s="376"/>
      <c r="R124" s="376">
        <v>0</v>
      </c>
      <c r="S124" s="416"/>
      <c r="T124" s="752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229</v>
      </c>
      <c r="C125" s="376" t="s">
        <v>1245</v>
      </c>
      <c r="D125" s="376" t="s">
        <v>518</v>
      </c>
      <c r="E125" s="376" t="s">
        <v>56</v>
      </c>
      <c r="F125" s="608" t="s">
        <v>1246</v>
      </c>
      <c r="G125" s="609">
        <v>1.4856000000000001E-2</v>
      </c>
      <c r="H125" s="692">
        <v>1</v>
      </c>
      <c r="I125" s="626"/>
      <c r="J125" s="752"/>
      <c r="K125" s="416"/>
      <c r="L125" s="376" t="s">
        <v>56</v>
      </c>
      <c r="M125" s="376" t="s">
        <v>1038</v>
      </c>
      <c r="N125" s="376" t="s">
        <v>1043</v>
      </c>
      <c r="O125" s="376" t="s">
        <v>1039</v>
      </c>
      <c r="P125" s="376" t="s">
        <v>1040</v>
      </c>
      <c r="Q125" s="376"/>
      <c r="R125" s="376">
        <v>0</v>
      </c>
      <c r="S125" s="416"/>
      <c r="T125" s="752"/>
      <c r="U125" s="416"/>
      <c r="V125" s="609">
        <f>IF(W125=1,G125,0)</f>
        <v>0</v>
      </c>
      <c r="W125" s="692"/>
    </row>
    <row r="126" spans="1:23" outlineLevel="1">
      <c r="A126" s="376"/>
      <c r="B126" s="665" t="s">
        <v>918</v>
      </c>
      <c r="C126" s="665" t="s">
        <v>1250</v>
      </c>
      <c r="D126" s="665"/>
      <c r="E126" s="665"/>
      <c r="F126" s="681" t="s">
        <v>947</v>
      </c>
      <c r="G126" s="822">
        <f>SUBTOTAL(9,G127:G128)</f>
        <v>8.0000000000000004E-4</v>
      </c>
      <c r="H126" s="823">
        <f>SUBTOTAL(9,H127:H128)</f>
        <v>1</v>
      </c>
      <c r="I126" s="626"/>
      <c r="J126" s="752"/>
      <c r="K126" s="416"/>
      <c r="L126" s="665"/>
      <c r="M126" s="665"/>
      <c r="N126" s="665"/>
      <c r="O126" s="665"/>
      <c r="P126" s="665"/>
      <c r="Q126" s="665"/>
      <c r="R126" s="665"/>
      <c r="S126" s="416"/>
      <c r="T126" s="752"/>
      <c r="U126" s="416"/>
      <c r="V126" s="822">
        <f>SUBTOTAL(9,V127:V128)</f>
        <v>0</v>
      </c>
      <c r="W126" s="823">
        <f>SUBTOTAL(9,W127:W128)</f>
        <v>0</v>
      </c>
    </row>
    <row r="127" spans="1:23" outlineLevel="2">
      <c r="A127" s="376"/>
      <c r="B127" s="684" t="s">
        <v>918</v>
      </c>
      <c r="C127" s="684" t="s">
        <v>1250</v>
      </c>
      <c r="D127" s="684" t="s">
        <v>518</v>
      </c>
      <c r="E127" s="684"/>
      <c r="F127" s="685" t="s">
        <v>1251</v>
      </c>
      <c r="G127" s="686">
        <f>SUBTOTAL(9,G128)</f>
        <v>8.0000000000000004E-4</v>
      </c>
      <c r="H127" s="691">
        <f>SUBTOTAL(9,H128)</f>
        <v>1</v>
      </c>
      <c r="I127" s="626"/>
      <c r="J127" s="752"/>
      <c r="K127" s="416"/>
      <c r="L127" s="684"/>
      <c r="M127" s="684"/>
      <c r="N127" s="684"/>
      <c r="O127" s="684"/>
      <c r="P127" s="684"/>
      <c r="Q127" s="684"/>
      <c r="R127" s="684"/>
      <c r="S127" s="416"/>
      <c r="T127" s="752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918</v>
      </c>
      <c r="C128" s="376" t="s">
        <v>1250</v>
      </c>
      <c r="D128" s="376" t="s">
        <v>518</v>
      </c>
      <c r="E128" s="376" t="s">
        <v>56</v>
      </c>
      <c r="F128" s="608" t="s">
        <v>1255</v>
      </c>
      <c r="G128" s="609">
        <v>8.0000000000000004E-4</v>
      </c>
      <c r="H128" s="692">
        <v>1</v>
      </c>
      <c r="I128" s="626"/>
      <c r="J128" s="752"/>
      <c r="K128" s="416"/>
      <c r="L128" s="376" t="s">
        <v>56</v>
      </c>
      <c r="M128" s="376" t="s">
        <v>1257</v>
      </c>
      <c r="N128" s="376"/>
      <c r="O128" s="376">
        <v>0</v>
      </c>
      <c r="P128" s="376" t="s">
        <v>1096</v>
      </c>
      <c r="Q128" s="376"/>
      <c r="R128" s="376">
        <v>0</v>
      </c>
      <c r="S128" s="416"/>
      <c r="T128" s="752"/>
      <c r="U128" s="416"/>
      <c r="V128" s="609">
        <f>IF(W128=1,G128,0)</f>
        <v>0</v>
      </c>
      <c r="W128" s="692"/>
    </row>
    <row r="129" spans="1:23" outlineLevel="1">
      <c r="A129" s="376"/>
      <c r="B129" s="665" t="s">
        <v>498</v>
      </c>
      <c r="C129" s="665" t="s">
        <v>1258</v>
      </c>
      <c r="D129" s="665"/>
      <c r="E129" s="665"/>
      <c r="F129" s="681" t="s">
        <v>947</v>
      </c>
      <c r="G129" s="822">
        <f>SUBTOTAL(9,G130:G131)</f>
        <v>8.0449832960000009E-2</v>
      </c>
      <c r="H129" s="823">
        <f>SUBTOTAL(9,H130:H131)</f>
        <v>1</v>
      </c>
      <c r="I129" s="626"/>
      <c r="J129" s="752"/>
      <c r="K129" s="416"/>
      <c r="L129" s="665"/>
      <c r="M129" s="665"/>
      <c r="N129" s="665"/>
      <c r="O129" s="665"/>
      <c r="P129" s="665"/>
      <c r="Q129" s="665"/>
      <c r="R129" s="665"/>
      <c r="S129" s="416"/>
      <c r="T129" s="752"/>
      <c r="U129" s="416"/>
      <c r="V129" s="822">
        <f>SUBTOTAL(9,V130:V131)</f>
        <v>0</v>
      </c>
      <c r="W129" s="823">
        <f>SUBTOTAL(9,W130:W131)</f>
        <v>0</v>
      </c>
    </row>
    <row r="130" spans="1:23" outlineLevel="2">
      <c r="A130" s="376"/>
      <c r="B130" s="684" t="s">
        <v>498</v>
      </c>
      <c r="C130" s="684" t="s">
        <v>1258</v>
      </c>
      <c r="D130" s="684" t="s">
        <v>518</v>
      </c>
      <c r="E130" s="684"/>
      <c r="F130" s="685" t="s">
        <v>1259</v>
      </c>
      <c r="G130" s="686">
        <f>SUBTOTAL(9,G131)</f>
        <v>8.0449832960000009E-2</v>
      </c>
      <c r="H130" s="691">
        <f>SUBTOTAL(9,H131)</f>
        <v>1</v>
      </c>
      <c r="I130" s="626"/>
      <c r="J130" s="752"/>
      <c r="K130" s="416"/>
      <c r="L130" s="684"/>
      <c r="M130" s="684"/>
      <c r="N130" s="684"/>
      <c r="O130" s="684"/>
      <c r="P130" s="684"/>
      <c r="Q130" s="684"/>
      <c r="R130" s="684"/>
      <c r="S130" s="416"/>
      <c r="T130" s="752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498</v>
      </c>
      <c r="C131" s="376" t="s">
        <v>1258</v>
      </c>
      <c r="D131" s="376" t="s">
        <v>518</v>
      </c>
      <c r="E131" s="376" t="s">
        <v>56</v>
      </c>
      <c r="F131" s="608" t="s">
        <v>36</v>
      </c>
      <c r="G131" s="609">
        <v>8.0449832960000009E-2</v>
      </c>
      <c r="H131" s="692">
        <v>1</v>
      </c>
      <c r="I131" s="626"/>
      <c r="J131" s="752"/>
      <c r="K131" s="416"/>
      <c r="L131" s="376" t="s">
        <v>56</v>
      </c>
      <c r="M131" s="376" t="s">
        <v>959</v>
      </c>
      <c r="N131" s="376" t="s">
        <v>1154</v>
      </c>
      <c r="O131" s="376"/>
      <c r="P131" s="376"/>
      <c r="Q131" s="376"/>
      <c r="R131" s="376"/>
      <c r="S131" s="416"/>
      <c r="T131" s="752"/>
      <c r="U131" s="416"/>
      <c r="V131" s="609">
        <f>IF(W131=1,G131,0)</f>
        <v>0</v>
      </c>
      <c r="W131" s="692"/>
    </row>
    <row r="132" spans="1:23" outlineLevel="1">
      <c r="A132" s="376"/>
      <c r="B132" s="667" t="s">
        <v>1276</v>
      </c>
      <c r="C132" s="665" t="s">
        <v>1277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2"/>
      <c r="K132" s="416"/>
      <c r="L132" s="665"/>
      <c r="M132" s="665"/>
      <c r="N132" s="665"/>
      <c r="O132" s="665"/>
      <c r="P132" s="665"/>
      <c r="Q132" s="665"/>
      <c r="R132" s="665"/>
      <c r="S132" s="416"/>
      <c r="T132" s="752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469</v>
      </c>
      <c r="C133" s="376" t="s">
        <v>1049</v>
      </c>
      <c r="D133" s="376" t="s">
        <v>518</v>
      </c>
      <c r="E133" s="376" t="s">
        <v>56</v>
      </c>
      <c r="F133" s="608" t="s">
        <v>1278</v>
      </c>
      <c r="G133" s="609">
        <v>0.4</v>
      </c>
      <c r="H133" s="692">
        <v>1</v>
      </c>
      <c r="I133" s="626"/>
      <c r="J133" s="752"/>
      <c r="K133" s="416"/>
      <c r="L133" s="376" t="s">
        <v>56</v>
      </c>
      <c r="M133" s="376" t="s">
        <v>1038</v>
      </c>
      <c r="N133" s="376" t="s">
        <v>1279</v>
      </c>
      <c r="O133" s="376"/>
      <c r="P133" s="376" t="s">
        <v>1040</v>
      </c>
      <c r="Q133" s="376"/>
      <c r="R133" s="376"/>
      <c r="S133" s="416"/>
      <c r="T133" s="752"/>
      <c r="U133" s="416"/>
      <c r="V133" s="609">
        <f>IF(W133=1,G133,0)</f>
        <v>0</v>
      </c>
      <c r="W133" s="692"/>
    </row>
    <row r="134" spans="1:23" outlineLevel="2">
      <c r="A134" s="733" t="s">
        <v>1280</v>
      </c>
      <c r="B134" s="733" t="s">
        <v>1281</v>
      </c>
      <c r="C134" s="733" t="s">
        <v>1282</v>
      </c>
      <c r="D134" s="733" t="s">
        <v>518</v>
      </c>
      <c r="E134" s="733" t="s">
        <v>56</v>
      </c>
      <c r="F134" s="734" t="s">
        <v>1283</v>
      </c>
      <c r="G134" s="825">
        <v>0.04</v>
      </c>
      <c r="H134" s="746">
        <v>1</v>
      </c>
      <c r="I134" s="737"/>
      <c r="J134" s="757"/>
      <c r="K134" s="738"/>
      <c r="L134" s="733" t="s">
        <v>56</v>
      </c>
      <c r="M134" s="733" t="s">
        <v>1284</v>
      </c>
      <c r="N134" s="733" t="s">
        <v>1124</v>
      </c>
      <c r="O134" s="733"/>
      <c r="P134" s="733" t="s">
        <v>1168</v>
      </c>
      <c r="Q134" s="733"/>
      <c r="R134" s="733"/>
      <c r="S134" s="738"/>
      <c r="T134" s="757"/>
      <c r="U134" s="738"/>
      <c r="V134" s="609">
        <f>IF(W134=1,G134,0)</f>
        <v>0</v>
      </c>
      <c r="W134" s="746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2"/>
      <c r="K135" s="416"/>
      <c r="L135" s="392"/>
      <c r="M135" s="392"/>
      <c r="N135" s="392"/>
      <c r="O135" s="392"/>
      <c r="P135" s="392"/>
      <c r="Q135" s="392"/>
      <c r="R135" s="392"/>
      <c r="S135" s="416"/>
      <c r="T135" s="752"/>
      <c r="U135" s="416"/>
      <c r="V135" s="609"/>
      <c r="W135" s="692"/>
    </row>
    <row r="136" spans="1:23" ht="15">
      <c r="A136" s="376"/>
      <c r="B136" s="430" t="s">
        <v>1285</v>
      </c>
      <c r="C136" s="430"/>
      <c r="D136" s="430"/>
      <c r="E136" s="430"/>
      <c r="F136" s="697"/>
      <c r="G136" s="739">
        <f>SUBTOTAL(9,G142:G205)</f>
        <v>20.656866849784699</v>
      </c>
      <c r="H136" s="740">
        <f>SUBTOTAL(9,H142:H205)</f>
        <v>32</v>
      </c>
      <c r="I136" s="626"/>
      <c r="J136" s="752"/>
      <c r="K136" s="416"/>
      <c r="L136" s="430"/>
      <c r="M136" s="430"/>
      <c r="N136" s="430"/>
      <c r="O136" s="430"/>
      <c r="P136" s="430"/>
      <c r="Q136" s="430"/>
      <c r="R136" s="430"/>
      <c r="S136" s="416"/>
      <c r="T136" s="752"/>
      <c r="U136" s="416"/>
      <c r="V136" s="739">
        <f>SUBTOTAL(9,V142:V205)</f>
        <v>0</v>
      </c>
      <c r="W136" s="740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2"/>
      <c r="K137" s="416"/>
      <c r="L137" s="376"/>
      <c r="M137" s="376"/>
      <c r="N137" s="376"/>
      <c r="O137" s="376"/>
      <c r="P137" s="376"/>
      <c r="Q137" s="376"/>
      <c r="R137" s="376"/>
      <c r="S137" s="416"/>
      <c r="T137" s="752"/>
      <c r="U137" s="416"/>
      <c r="V137" s="609"/>
      <c r="W137" s="692"/>
    </row>
    <row r="138" spans="1:23" outlineLevel="1">
      <c r="A138" s="376"/>
      <c r="B138" s="666" t="s">
        <v>1446</v>
      </c>
      <c r="C138" s="666" t="s">
        <v>1446</v>
      </c>
      <c r="D138" s="667"/>
      <c r="E138" s="665"/>
      <c r="F138" s="681" t="s">
        <v>947</v>
      </c>
      <c r="G138" s="708">
        <f>SUBTOTAL(9,G139:G141)</f>
        <v>0</v>
      </c>
      <c r="H138" s="709">
        <f>SUBTOTAL(9,H139:H141)</f>
        <v>1</v>
      </c>
      <c r="I138" s="626"/>
      <c r="J138" s="752"/>
      <c r="K138" s="416"/>
      <c r="L138" s="665"/>
      <c r="M138" s="665"/>
      <c r="N138" s="665"/>
      <c r="O138" s="665"/>
      <c r="P138" s="665"/>
      <c r="Q138" s="665"/>
      <c r="R138" s="665"/>
      <c r="S138" s="416"/>
      <c r="T138" s="752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1446</v>
      </c>
      <c r="C139" s="687" t="s">
        <v>1446</v>
      </c>
      <c r="D139" s="684" t="s">
        <v>518</v>
      </c>
      <c r="E139" s="684"/>
      <c r="F139" s="685" t="s">
        <v>36</v>
      </c>
      <c r="G139" s="686">
        <f>SUBTOTAL(9,G140)</f>
        <v>0</v>
      </c>
      <c r="H139" s="691">
        <f>SUBTOTAL(9,H140)</f>
        <v>1</v>
      </c>
      <c r="I139" s="626"/>
      <c r="J139" s="752"/>
      <c r="K139" s="416"/>
      <c r="L139" s="684"/>
      <c r="M139" s="684"/>
      <c r="N139" s="684"/>
      <c r="O139" s="684"/>
      <c r="P139" s="684"/>
      <c r="Q139" s="684"/>
      <c r="R139" s="684"/>
      <c r="S139" s="416"/>
      <c r="T139" s="752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1446</v>
      </c>
      <c r="C140" s="387" t="s">
        <v>1446</v>
      </c>
      <c r="D140" s="376" t="s">
        <v>518</v>
      </c>
      <c r="E140" s="376" t="s">
        <v>56</v>
      </c>
      <c r="F140" s="608" t="s">
        <v>36</v>
      </c>
      <c r="G140" s="609"/>
      <c r="H140" s="692">
        <v>1</v>
      </c>
      <c r="I140" s="626"/>
      <c r="J140" s="752"/>
      <c r="K140" s="416"/>
      <c r="L140" s="376" t="s">
        <v>56</v>
      </c>
      <c r="M140" s="376" t="s">
        <v>1946</v>
      </c>
      <c r="N140" s="376"/>
      <c r="O140" s="376"/>
      <c r="P140" s="376"/>
      <c r="Q140" s="376"/>
      <c r="R140" s="376">
        <v>0</v>
      </c>
      <c r="S140" s="416"/>
      <c r="T140" s="752"/>
      <c r="U140" s="416"/>
      <c r="V140" s="609">
        <f>IF(W140=1,G140,0)</f>
        <v>0</v>
      </c>
      <c r="W140" s="692"/>
    </row>
    <row r="141" spans="1:23" outlineLevel="3">
      <c r="A141" s="376"/>
      <c r="B141" s="376" t="s">
        <v>1446</v>
      </c>
      <c r="C141" s="387" t="s">
        <v>1446</v>
      </c>
      <c r="D141" s="376" t="s">
        <v>518</v>
      </c>
      <c r="E141" s="376" t="s">
        <v>56</v>
      </c>
      <c r="F141" s="608" t="s">
        <v>1885</v>
      </c>
      <c r="G141" s="609"/>
      <c r="H141" s="692"/>
      <c r="I141" s="626"/>
      <c r="J141" s="752"/>
      <c r="K141" s="416"/>
      <c r="L141" s="376" t="s">
        <v>56</v>
      </c>
      <c r="M141" s="376" t="s">
        <v>1946</v>
      </c>
      <c r="N141" s="376"/>
      <c r="O141" s="376"/>
      <c r="P141" s="376"/>
      <c r="Q141" s="376"/>
      <c r="R141" s="376">
        <v>0</v>
      </c>
      <c r="S141" s="416"/>
      <c r="T141" s="752"/>
      <c r="U141" s="416"/>
      <c r="V141" s="609"/>
      <c r="W141" s="692"/>
    </row>
    <row r="142" spans="1:23" outlineLevel="1">
      <c r="A142" s="376"/>
      <c r="B142" s="665" t="s">
        <v>902</v>
      </c>
      <c r="C142" s="665" t="s">
        <v>1018</v>
      </c>
      <c r="D142" s="665"/>
      <c r="E142" s="665"/>
      <c r="F142" s="681" t="s">
        <v>947</v>
      </c>
      <c r="G142" s="708">
        <f>SUBTOTAL(9,G143:G144)</f>
        <v>0.17172000000000001</v>
      </c>
      <c r="H142" s="709">
        <f>SUBTOTAL(9,H143:H144)</f>
        <v>1</v>
      </c>
      <c r="I142" s="626"/>
      <c r="J142" s="752"/>
      <c r="K142" s="416"/>
      <c r="L142" s="665"/>
      <c r="M142" s="665"/>
      <c r="N142" s="665"/>
      <c r="O142" s="665"/>
      <c r="P142" s="665"/>
      <c r="Q142" s="665"/>
      <c r="R142" s="665"/>
      <c r="S142" s="416"/>
      <c r="T142" s="752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902</v>
      </c>
      <c r="C143" s="684" t="s">
        <v>1018</v>
      </c>
      <c r="D143" s="684" t="s">
        <v>518</v>
      </c>
      <c r="E143" s="684"/>
      <c r="F143" s="685" t="s">
        <v>1259</v>
      </c>
      <c r="G143" s="686">
        <f>SUBTOTAL(9,G144)</f>
        <v>0.17172000000000001</v>
      </c>
      <c r="H143" s="691">
        <f>SUBTOTAL(9,H144)</f>
        <v>1</v>
      </c>
      <c r="I143" s="626"/>
      <c r="J143" s="752"/>
      <c r="K143" s="416"/>
      <c r="L143" s="684"/>
      <c r="M143" s="684"/>
      <c r="N143" s="684"/>
      <c r="O143" s="684"/>
      <c r="P143" s="684"/>
      <c r="Q143" s="684"/>
      <c r="R143" s="684"/>
      <c r="S143" s="416"/>
      <c r="T143" s="752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902</v>
      </c>
      <c r="C144" s="376" t="s">
        <v>1018</v>
      </c>
      <c r="D144" s="376" t="s">
        <v>518</v>
      </c>
      <c r="E144" s="376" t="s">
        <v>56</v>
      </c>
      <c r="F144" s="608" t="s">
        <v>36</v>
      </c>
      <c r="G144" s="609">
        <v>0.17172000000000001</v>
      </c>
      <c r="H144" s="692">
        <v>1</v>
      </c>
      <c r="I144" s="626"/>
      <c r="J144" s="752"/>
      <c r="K144" s="416"/>
      <c r="L144" s="376" t="s">
        <v>56</v>
      </c>
      <c r="M144" s="376" t="s">
        <v>1284</v>
      </c>
      <c r="N144" s="376" t="s">
        <v>1288</v>
      </c>
      <c r="O144" s="376"/>
      <c r="P144" s="376" t="s">
        <v>1155</v>
      </c>
      <c r="Q144" s="376"/>
      <c r="R144" s="376">
        <v>0</v>
      </c>
      <c r="S144" s="416"/>
      <c r="T144" s="752"/>
      <c r="U144" s="416"/>
      <c r="V144" s="609">
        <f>IF(W144=1,G144,0)</f>
        <v>0</v>
      </c>
      <c r="W144" s="692"/>
    </row>
    <row r="145" spans="2:23" outlineLevel="1">
      <c r="B145" s="665" t="s">
        <v>1290</v>
      </c>
      <c r="C145" s="665" t="s">
        <v>969</v>
      </c>
      <c r="D145" s="665"/>
      <c r="E145" s="665"/>
      <c r="F145" s="681" t="s">
        <v>947</v>
      </c>
      <c r="G145" s="708">
        <f>SUBTOTAL(9,G146:G147)</f>
        <v>7.8635040000000003E-2</v>
      </c>
      <c r="H145" s="709">
        <f>SUBTOTAL(9,H146:H147)</f>
        <v>1</v>
      </c>
      <c r="I145" s="626"/>
      <c r="J145" s="752"/>
      <c r="K145" s="416"/>
      <c r="L145" s="665"/>
      <c r="M145" s="665"/>
      <c r="N145" s="665"/>
      <c r="O145" s="665"/>
      <c r="P145" s="665"/>
      <c r="Q145" s="665"/>
      <c r="R145" s="665"/>
      <c r="S145" s="416"/>
      <c r="T145" s="752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1290</v>
      </c>
      <c r="C146" s="684" t="s">
        <v>969</v>
      </c>
      <c r="D146" s="684" t="s">
        <v>518</v>
      </c>
      <c r="E146" s="684"/>
      <c r="F146" s="685" t="s">
        <v>36</v>
      </c>
      <c r="G146" s="686">
        <f>SUBTOTAL(9,G147)</f>
        <v>7.8635040000000003E-2</v>
      </c>
      <c r="H146" s="691">
        <f>SUBTOTAL(9,H147)</f>
        <v>1</v>
      </c>
      <c r="I146" s="626"/>
      <c r="J146" s="752"/>
      <c r="K146" s="416"/>
      <c r="L146" s="684"/>
      <c r="M146" s="684"/>
      <c r="N146" s="684"/>
      <c r="O146" s="684"/>
      <c r="P146" s="684"/>
      <c r="Q146" s="684"/>
      <c r="R146" s="684"/>
      <c r="S146" s="416"/>
      <c r="T146" s="752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1290</v>
      </c>
      <c r="C147" s="376" t="s">
        <v>969</v>
      </c>
      <c r="D147" s="376" t="s">
        <v>518</v>
      </c>
      <c r="E147" s="376" t="s">
        <v>56</v>
      </c>
      <c r="F147" s="608" t="s">
        <v>36</v>
      </c>
      <c r="G147" s="609">
        <v>7.8635040000000003E-2</v>
      </c>
      <c r="H147" s="692">
        <v>1</v>
      </c>
      <c r="I147" s="626"/>
      <c r="J147" s="752"/>
      <c r="K147" s="416"/>
      <c r="L147" s="376" t="s">
        <v>56</v>
      </c>
      <c r="M147" s="376" t="s">
        <v>1008</v>
      </c>
      <c r="N147" s="376" t="s">
        <v>1294</v>
      </c>
      <c r="O147" s="376" t="s">
        <v>1010</v>
      </c>
      <c r="P147" s="376" t="s">
        <v>1295</v>
      </c>
      <c r="Q147" s="376"/>
      <c r="R147" s="376">
        <v>0</v>
      </c>
      <c r="S147" s="416"/>
      <c r="T147" s="752"/>
      <c r="U147" s="416"/>
      <c r="V147" s="609">
        <f>IF(W147=1,G147,0)</f>
        <v>0</v>
      </c>
      <c r="W147" s="692"/>
    </row>
    <row r="148" spans="2:23" s="818" customFormat="1" outlineLevel="1">
      <c r="B148" s="666" t="s">
        <v>1299</v>
      </c>
      <c r="C148" s="666" t="s">
        <v>1300</v>
      </c>
      <c r="D148" s="666"/>
      <c r="E148" s="666"/>
      <c r="F148" s="681" t="s">
        <v>947</v>
      </c>
      <c r="G148" s="708">
        <f>SUBTOTAL(9,G149:G151)</f>
        <v>3.257897459827789</v>
      </c>
      <c r="H148" s="709">
        <f>SUBTOTAL(9,H149:H151)</f>
        <v>2</v>
      </c>
      <c r="I148" s="627"/>
      <c r="J148" s="754"/>
      <c r="K148" s="612"/>
      <c r="L148" s="666"/>
      <c r="M148" s="666"/>
      <c r="N148" s="666"/>
      <c r="O148" s="666"/>
      <c r="P148" s="666"/>
      <c r="Q148" s="666"/>
      <c r="R148" s="666"/>
      <c r="S148" s="612"/>
      <c r="T148" s="754"/>
      <c r="U148" s="612"/>
      <c r="V148" s="708">
        <f>SUBTOTAL(9,V149:V151)</f>
        <v>0</v>
      </c>
      <c r="W148" s="709">
        <f>SUBTOTAL(9,W149:W151)</f>
        <v>0</v>
      </c>
    </row>
    <row r="149" spans="2:23" ht="26.45" outlineLevel="2">
      <c r="B149" s="684" t="s">
        <v>1299</v>
      </c>
      <c r="C149" s="684" t="s">
        <v>1300</v>
      </c>
      <c r="D149" s="684" t="s">
        <v>518</v>
      </c>
      <c r="E149" s="684"/>
      <c r="F149" s="685" t="s">
        <v>1305</v>
      </c>
      <c r="G149" s="686">
        <f>SUBTOTAL(9,G150:G151)</f>
        <v>3.257897459827789</v>
      </c>
      <c r="H149" s="691">
        <f>SUBTOTAL(9,H150:H151)</f>
        <v>2</v>
      </c>
      <c r="I149" s="626"/>
      <c r="J149" s="752"/>
      <c r="K149" s="416"/>
      <c r="L149" s="684"/>
      <c r="M149" s="684"/>
      <c r="N149" s="684"/>
      <c r="O149" s="684"/>
      <c r="P149" s="684"/>
      <c r="Q149" s="684"/>
      <c r="R149" s="684"/>
      <c r="S149" s="416"/>
      <c r="T149" s="752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1299</v>
      </c>
      <c r="C150" s="376" t="s">
        <v>1300</v>
      </c>
      <c r="D150" s="376" t="s">
        <v>518</v>
      </c>
      <c r="E150" s="376" t="s">
        <v>56</v>
      </c>
      <c r="F150" s="608" t="s">
        <v>36</v>
      </c>
      <c r="G150" s="609">
        <v>1.3962417684976238</v>
      </c>
      <c r="H150" s="692">
        <v>1</v>
      </c>
      <c r="I150" s="626"/>
      <c r="J150" s="752"/>
      <c r="K150" s="416"/>
      <c r="L150" s="376" t="s">
        <v>56</v>
      </c>
      <c r="M150" s="376" t="s">
        <v>1284</v>
      </c>
      <c r="N150" s="376" t="s">
        <v>1306</v>
      </c>
      <c r="O150" s="376"/>
      <c r="P150" s="376" t="s">
        <v>1096</v>
      </c>
      <c r="Q150" s="376"/>
      <c r="R150" s="376">
        <v>0</v>
      </c>
      <c r="S150" s="416"/>
      <c r="T150" s="752"/>
      <c r="U150" s="416"/>
      <c r="V150" s="609">
        <f>IF(W150=1,G150,0)</f>
        <v>0</v>
      </c>
      <c r="W150" s="692"/>
    </row>
    <row r="151" spans="2:23" outlineLevel="3">
      <c r="B151" s="376" t="s">
        <v>1299</v>
      </c>
      <c r="C151" s="376" t="s">
        <v>1300</v>
      </c>
      <c r="D151" s="376" t="s">
        <v>518</v>
      </c>
      <c r="E151" s="376" t="s">
        <v>56</v>
      </c>
      <c r="F151" s="608" t="s">
        <v>971</v>
      </c>
      <c r="G151" s="609">
        <v>1.8616556913301652</v>
      </c>
      <c r="H151" s="692">
        <v>1</v>
      </c>
      <c r="I151" s="626"/>
      <c r="J151" s="752"/>
      <c r="K151" s="416"/>
      <c r="L151" s="376" t="s">
        <v>56</v>
      </c>
      <c r="M151" s="376" t="s">
        <v>1284</v>
      </c>
      <c r="N151" s="376" t="s">
        <v>1306</v>
      </c>
      <c r="O151" s="376"/>
      <c r="P151" s="376" t="s">
        <v>1096</v>
      </c>
      <c r="Q151" s="376"/>
      <c r="R151" s="376">
        <v>0</v>
      </c>
      <c r="S151" s="416"/>
      <c r="T151" s="752"/>
      <c r="U151" s="416"/>
      <c r="V151" s="609">
        <f>IF(W151=1,G151,0)</f>
        <v>0</v>
      </c>
      <c r="W151" s="692"/>
    </row>
    <row r="152" spans="2:23" s="815" customFormat="1" outlineLevel="1">
      <c r="B152" s="666" t="s">
        <v>1309</v>
      </c>
      <c r="C152" s="666" t="s">
        <v>1310</v>
      </c>
      <c r="D152" s="666"/>
      <c r="E152" s="666"/>
      <c r="F152" s="681" t="s">
        <v>947</v>
      </c>
      <c r="G152" s="708">
        <f>SUBTOTAL(9,G153:G156)</f>
        <v>4.0488608000000008</v>
      </c>
      <c r="H152" s="709">
        <f>SUBTOTAL(9,H153:H156)</f>
        <v>3</v>
      </c>
      <c r="I152" s="741"/>
      <c r="J152" s="758"/>
      <c r="K152" s="749"/>
      <c r="L152" s="666"/>
      <c r="M152" s="666"/>
      <c r="N152" s="666"/>
      <c r="O152" s="666"/>
      <c r="P152" s="666"/>
      <c r="Q152" s="666"/>
      <c r="R152" s="666"/>
      <c r="S152" s="749"/>
      <c r="T152" s="758"/>
      <c r="U152" s="749"/>
      <c r="V152" s="708">
        <f>SUBTOTAL(9,V153:V156)</f>
        <v>0</v>
      </c>
      <c r="W152" s="709">
        <f>SUBTOTAL(9,W153:W156)</f>
        <v>0</v>
      </c>
    </row>
    <row r="153" spans="2:23" s="815" customFormat="1" outlineLevel="2">
      <c r="B153" s="687" t="s">
        <v>1310</v>
      </c>
      <c r="C153" s="687" t="s">
        <v>1310</v>
      </c>
      <c r="D153" s="687" t="s">
        <v>518</v>
      </c>
      <c r="E153" s="687"/>
      <c r="F153" s="717" t="s">
        <v>1902</v>
      </c>
      <c r="G153" s="743">
        <f>SUBTOTAL(9,G154:G156)</f>
        <v>4.0488608000000008</v>
      </c>
      <c r="H153" s="744">
        <f>SUBTOTAL(9,H154:H156)</f>
        <v>3</v>
      </c>
      <c r="I153" s="741"/>
      <c r="J153" s="758"/>
      <c r="K153" s="749"/>
      <c r="L153" s="687"/>
      <c r="M153" s="687"/>
      <c r="N153" s="687"/>
      <c r="O153" s="687"/>
      <c r="P153" s="687"/>
      <c r="Q153" s="687"/>
      <c r="R153" s="687"/>
      <c r="S153" s="749"/>
      <c r="T153" s="758"/>
      <c r="U153" s="749"/>
      <c r="V153" s="743">
        <f>SUBTOTAL(9,V154:V155)</f>
        <v>0</v>
      </c>
      <c r="W153" s="744">
        <f>SUBTOTAL(9,W154:W155)</f>
        <v>0</v>
      </c>
    </row>
    <row r="154" spans="2:23" s="815" customFormat="1" outlineLevel="3">
      <c r="B154" s="387" t="s">
        <v>1310</v>
      </c>
      <c r="C154" s="387" t="s">
        <v>1310</v>
      </c>
      <c r="D154" s="387" t="s">
        <v>518</v>
      </c>
      <c r="E154" s="387" t="s">
        <v>56</v>
      </c>
      <c r="F154" s="705" t="s">
        <v>36</v>
      </c>
      <c r="G154" s="706">
        <v>1.5183228000000002</v>
      </c>
      <c r="H154" s="707">
        <v>1</v>
      </c>
      <c r="I154" s="741"/>
      <c r="J154" s="758"/>
      <c r="K154" s="749"/>
      <c r="L154" s="387" t="s">
        <v>56</v>
      </c>
      <c r="M154" s="387" t="s">
        <v>1038</v>
      </c>
      <c r="N154" s="387" t="s">
        <v>1075</v>
      </c>
      <c r="O154" s="387" t="s">
        <v>1279</v>
      </c>
      <c r="P154" s="387" t="s">
        <v>1040</v>
      </c>
      <c r="Q154" s="387"/>
      <c r="R154" s="387">
        <v>0</v>
      </c>
      <c r="S154" s="749"/>
      <c r="T154" s="758"/>
      <c r="U154" s="749"/>
      <c r="V154" s="609">
        <f>IF(W154=1,G154,0)</f>
        <v>0</v>
      </c>
      <c r="W154" s="707"/>
    </row>
    <row r="155" spans="2:23" s="815" customFormat="1" outlineLevel="3">
      <c r="B155" s="387" t="s">
        <v>1310</v>
      </c>
      <c r="C155" s="387" t="s">
        <v>1310</v>
      </c>
      <c r="D155" s="387" t="s">
        <v>518</v>
      </c>
      <c r="E155" s="387" t="s">
        <v>56</v>
      </c>
      <c r="F155" s="705" t="s">
        <v>1303</v>
      </c>
      <c r="G155" s="706">
        <v>0.5061076000000001</v>
      </c>
      <c r="H155" s="707">
        <v>1</v>
      </c>
      <c r="I155" s="741"/>
      <c r="J155" s="758"/>
      <c r="K155" s="749"/>
      <c r="L155" s="387" t="s">
        <v>56</v>
      </c>
      <c r="M155" s="387" t="s">
        <v>1038</v>
      </c>
      <c r="N155" s="387" t="s">
        <v>1075</v>
      </c>
      <c r="O155" s="387" t="s">
        <v>1279</v>
      </c>
      <c r="P155" s="387" t="s">
        <v>1040</v>
      </c>
      <c r="Q155" s="387"/>
      <c r="R155" s="387">
        <v>0</v>
      </c>
      <c r="S155" s="749"/>
      <c r="T155" s="758"/>
      <c r="U155" s="749"/>
      <c r="V155" s="609">
        <f>IF(W155=1,G155,0)</f>
        <v>0</v>
      </c>
      <c r="W155" s="707"/>
    </row>
    <row r="156" spans="2:23" s="815" customFormat="1" outlineLevel="3">
      <c r="B156" s="387" t="s">
        <v>1310</v>
      </c>
      <c r="C156" s="387" t="s">
        <v>1310</v>
      </c>
      <c r="D156" s="387" t="s">
        <v>518</v>
      </c>
      <c r="E156" s="387" t="s">
        <v>56</v>
      </c>
      <c r="F156" s="705" t="s">
        <v>1873</v>
      </c>
      <c r="G156" s="706">
        <v>2.0244304000000004</v>
      </c>
      <c r="H156" s="707">
        <v>1</v>
      </c>
      <c r="I156" s="741"/>
      <c r="J156" s="758"/>
      <c r="K156" s="749"/>
      <c r="L156" s="387" t="s">
        <v>56</v>
      </c>
      <c r="M156" s="387" t="s">
        <v>1038</v>
      </c>
      <c r="N156" s="387" t="s">
        <v>1075</v>
      </c>
      <c r="O156" s="387" t="s">
        <v>1279</v>
      </c>
      <c r="P156" s="387" t="s">
        <v>1040</v>
      </c>
      <c r="Q156" s="387"/>
      <c r="R156" s="387">
        <v>0</v>
      </c>
      <c r="S156" s="749"/>
      <c r="T156" s="758"/>
      <c r="U156" s="749"/>
      <c r="V156" s="609">
        <f>IF(W156=1,G156,0)</f>
        <v>0</v>
      </c>
      <c r="W156" s="707"/>
    </row>
    <row r="157" spans="2:23" s="815" customFormat="1" outlineLevel="1">
      <c r="B157" s="666" t="s">
        <v>1320</v>
      </c>
      <c r="C157" s="666" t="s">
        <v>1321</v>
      </c>
      <c r="D157" s="666"/>
      <c r="E157" s="666"/>
      <c r="F157" s="681" t="s">
        <v>947</v>
      </c>
      <c r="G157" s="708">
        <f>SUBTOTAL(9,G158:G160)</f>
        <v>3.1243512720000002</v>
      </c>
      <c r="H157" s="709">
        <f>SUBTOTAL(9,H158:H160)</f>
        <v>2</v>
      </c>
      <c r="I157" s="741"/>
      <c r="J157" s="758"/>
      <c r="K157" s="749"/>
      <c r="L157" s="666"/>
      <c r="M157" s="666"/>
      <c r="N157" s="666"/>
      <c r="O157" s="666"/>
      <c r="P157" s="666"/>
      <c r="Q157" s="666"/>
      <c r="R157" s="666"/>
      <c r="S157" s="749"/>
      <c r="T157" s="758"/>
      <c r="U157" s="749"/>
      <c r="V157" s="708">
        <f>SUBTOTAL(9,V158:V160)</f>
        <v>0</v>
      </c>
      <c r="W157" s="709">
        <f>SUBTOTAL(9,W158:W160)</f>
        <v>0</v>
      </c>
    </row>
    <row r="158" spans="2:23" s="815" customFormat="1" outlineLevel="2">
      <c r="B158" s="687" t="s">
        <v>1321</v>
      </c>
      <c r="C158" s="687" t="s">
        <v>1321</v>
      </c>
      <c r="D158" s="687" t="s">
        <v>518</v>
      </c>
      <c r="E158" s="687"/>
      <c r="F158" s="717" t="s">
        <v>1904</v>
      </c>
      <c r="G158" s="743">
        <f>SUBTOTAL(9,G159:G160)</f>
        <v>3.1243512720000002</v>
      </c>
      <c r="H158" s="744">
        <f>SUBTOTAL(9,H159:H160)</f>
        <v>2</v>
      </c>
      <c r="I158" s="741"/>
      <c r="J158" s="758"/>
      <c r="K158" s="749"/>
      <c r="L158" s="687"/>
      <c r="M158" s="687"/>
      <c r="N158" s="687"/>
      <c r="O158" s="687"/>
      <c r="P158" s="687"/>
      <c r="Q158" s="687"/>
      <c r="R158" s="687"/>
      <c r="S158" s="749"/>
      <c r="T158" s="758"/>
      <c r="U158" s="749"/>
      <c r="V158" s="743">
        <f>SUBTOTAL(9,V160)</f>
        <v>0</v>
      </c>
      <c r="W158" s="744">
        <f>SUBTOTAL(9,W160)</f>
        <v>0</v>
      </c>
    </row>
    <row r="159" spans="2:23" s="815" customFormat="1" outlineLevel="3">
      <c r="B159" s="387" t="s">
        <v>1321</v>
      </c>
      <c r="C159" s="387" t="s">
        <v>1321</v>
      </c>
      <c r="D159" s="387" t="s">
        <v>518</v>
      </c>
      <c r="E159" s="387" t="s">
        <v>56</v>
      </c>
      <c r="F159" s="705" t="s">
        <v>36</v>
      </c>
      <c r="G159" s="706">
        <v>1.5621756360000001</v>
      </c>
      <c r="H159" s="707">
        <v>1</v>
      </c>
      <c r="I159" s="741"/>
      <c r="J159" s="758"/>
      <c r="K159" s="749"/>
      <c r="L159" s="387" t="s">
        <v>56</v>
      </c>
      <c r="M159" s="387" t="s">
        <v>1038</v>
      </c>
      <c r="N159" s="387" t="s">
        <v>1078</v>
      </c>
      <c r="O159" s="387" t="s">
        <v>1078</v>
      </c>
      <c r="P159" s="387" t="s">
        <v>1040</v>
      </c>
      <c r="Q159" s="387"/>
      <c r="R159" s="387">
        <v>0</v>
      </c>
      <c r="S159" s="749"/>
      <c r="T159" s="758"/>
      <c r="U159" s="749"/>
      <c r="V159" s="609">
        <f>IF(W159=1,G159,0)</f>
        <v>0</v>
      </c>
      <c r="W159" s="707"/>
    </row>
    <row r="160" spans="2:23" s="815" customFormat="1" outlineLevel="3">
      <c r="B160" s="387" t="s">
        <v>1321</v>
      </c>
      <c r="C160" s="387" t="s">
        <v>1321</v>
      </c>
      <c r="D160" s="387" t="s">
        <v>518</v>
      </c>
      <c r="E160" s="387" t="s">
        <v>56</v>
      </c>
      <c r="F160" s="705" t="s">
        <v>1873</v>
      </c>
      <c r="G160" s="706">
        <v>1.5621756360000001</v>
      </c>
      <c r="H160" s="707">
        <v>1</v>
      </c>
      <c r="I160" s="741"/>
      <c r="J160" s="758"/>
      <c r="K160" s="749"/>
      <c r="L160" s="387" t="s">
        <v>56</v>
      </c>
      <c r="M160" s="387" t="s">
        <v>1038</v>
      </c>
      <c r="N160" s="387" t="s">
        <v>1078</v>
      </c>
      <c r="O160" s="387" t="s">
        <v>1078</v>
      </c>
      <c r="P160" s="387" t="s">
        <v>1040</v>
      </c>
      <c r="Q160" s="387"/>
      <c r="R160" s="387">
        <v>0</v>
      </c>
      <c r="S160" s="749"/>
      <c r="T160" s="758"/>
      <c r="U160" s="749"/>
      <c r="V160" s="609">
        <f>IF(W160=1,G160,0)</f>
        <v>0</v>
      </c>
      <c r="W160" s="707"/>
    </row>
    <row r="161" spans="2:23" s="815" customFormat="1" outlineLevel="1">
      <c r="B161" s="666" t="s">
        <v>1329</v>
      </c>
      <c r="C161" s="666" t="s">
        <v>1330</v>
      </c>
      <c r="D161" s="666"/>
      <c r="E161" s="666"/>
      <c r="F161" s="681" t="s">
        <v>947</v>
      </c>
      <c r="G161" s="708">
        <f>SUBTOTAL(9,G162:G164)</f>
        <v>1.041450424</v>
      </c>
      <c r="H161" s="709">
        <f>SUBTOTAL(9,H162:H164)</f>
        <v>2</v>
      </c>
      <c r="I161" s="741"/>
      <c r="J161" s="758"/>
      <c r="K161" s="749"/>
      <c r="L161" s="666"/>
      <c r="M161" s="666"/>
      <c r="N161" s="666"/>
      <c r="O161" s="666"/>
      <c r="P161" s="666"/>
      <c r="Q161" s="666"/>
      <c r="R161" s="666"/>
      <c r="S161" s="749"/>
      <c r="T161" s="758"/>
      <c r="U161" s="749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1330</v>
      </c>
      <c r="C162" s="687" t="s">
        <v>1330</v>
      </c>
      <c r="D162" s="684" t="s">
        <v>518</v>
      </c>
      <c r="E162" s="684"/>
      <c r="F162" s="717" t="s">
        <v>1904</v>
      </c>
      <c r="G162" s="743">
        <f>SUBTOTAL(9,G163:G164)</f>
        <v>1.041450424</v>
      </c>
      <c r="H162" s="744">
        <f>SUBTOTAL(9,H163:H164)</f>
        <v>2</v>
      </c>
      <c r="I162" s="626"/>
      <c r="J162" s="752"/>
      <c r="K162" s="416"/>
      <c r="L162" s="684"/>
      <c r="M162" s="684"/>
      <c r="N162" s="684"/>
      <c r="O162" s="684"/>
      <c r="P162" s="684"/>
      <c r="Q162" s="684"/>
      <c r="R162" s="684"/>
      <c r="S162" s="416"/>
      <c r="T162" s="752"/>
      <c r="U162" s="416"/>
      <c r="V162" s="743">
        <f>SUBTOTAL(9,V164)</f>
        <v>0</v>
      </c>
      <c r="W162" s="744">
        <f>SUBTOTAL(9,W164)</f>
        <v>0</v>
      </c>
    </row>
    <row r="163" spans="2:23" outlineLevel="3">
      <c r="B163" s="387" t="s">
        <v>1330</v>
      </c>
      <c r="C163" s="387" t="s">
        <v>1330</v>
      </c>
      <c r="D163" s="376" t="s">
        <v>518</v>
      </c>
      <c r="E163" s="376" t="s">
        <v>56</v>
      </c>
      <c r="F163" s="705" t="s">
        <v>36</v>
      </c>
      <c r="G163" s="706">
        <v>0.52072521199999999</v>
      </c>
      <c r="H163" s="707">
        <v>1</v>
      </c>
      <c r="I163" s="626"/>
      <c r="J163" s="752"/>
      <c r="K163" s="416"/>
      <c r="L163" s="376" t="s">
        <v>56</v>
      </c>
      <c r="M163" s="376" t="s">
        <v>1038</v>
      </c>
      <c r="N163" s="376" t="s">
        <v>1333</v>
      </c>
      <c r="O163" s="376" t="s">
        <v>1078</v>
      </c>
      <c r="P163" s="376" t="s">
        <v>1040</v>
      </c>
      <c r="Q163" s="376"/>
      <c r="R163" s="376">
        <v>0</v>
      </c>
      <c r="S163" s="416"/>
      <c r="T163" s="752"/>
      <c r="U163" s="416"/>
      <c r="V163" s="609">
        <f>IF(W163=1,G163,0)</f>
        <v>0</v>
      </c>
      <c r="W163" s="707"/>
    </row>
    <row r="164" spans="2:23" outlineLevel="3">
      <c r="B164" s="387" t="s">
        <v>1330</v>
      </c>
      <c r="C164" s="387" t="s">
        <v>1330</v>
      </c>
      <c r="D164" s="376" t="s">
        <v>518</v>
      </c>
      <c r="E164" s="376" t="s">
        <v>56</v>
      </c>
      <c r="F164" s="705" t="s">
        <v>1873</v>
      </c>
      <c r="G164" s="706">
        <v>0.52072521199999999</v>
      </c>
      <c r="H164" s="707">
        <v>1</v>
      </c>
      <c r="I164" s="626"/>
      <c r="J164" s="752"/>
      <c r="K164" s="416"/>
      <c r="L164" s="376" t="s">
        <v>56</v>
      </c>
      <c r="M164" s="376" t="s">
        <v>1038</v>
      </c>
      <c r="N164" s="376" t="s">
        <v>1333</v>
      </c>
      <c r="O164" s="376" t="s">
        <v>1078</v>
      </c>
      <c r="P164" s="376" t="s">
        <v>1040</v>
      </c>
      <c r="Q164" s="376"/>
      <c r="R164" s="376">
        <v>0</v>
      </c>
      <c r="S164" s="416"/>
      <c r="T164" s="752"/>
      <c r="U164" s="416"/>
      <c r="V164" s="609">
        <f>IF(W164=1,G164,0)</f>
        <v>0</v>
      </c>
      <c r="W164" s="707"/>
    </row>
    <row r="165" spans="2:23" outlineLevel="1">
      <c r="B165" s="665" t="s">
        <v>1273</v>
      </c>
      <c r="C165" s="665" t="s">
        <v>1273</v>
      </c>
      <c r="D165" s="665"/>
      <c r="E165" s="665"/>
      <c r="F165" s="681" t="s">
        <v>947</v>
      </c>
      <c r="G165" s="708">
        <f>SUBTOTAL(9,G166:G170)</f>
        <v>0.63240000000000007</v>
      </c>
      <c r="H165" s="709">
        <f>SUBTOTAL(9,H166:H170)</f>
        <v>4</v>
      </c>
      <c r="I165" s="626"/>
      <c r="J165" s="752"/>
      <c r="K165" s="416"/>
      <c r="L165" s="665"/>
      <c r="M165" s="665"/>
      <c r="N165" s="665"/>
      <c r="O165" s="665"/>
      <c r="P165" s="665"/>
      <c r="Q165" s="665"/>
      <c r="R165" s="665"/>
      <c r="S165" s="416"/>
      <c r="T165" s="752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1273</v>
      </c>
      <c r="C166" s="684" t="s">
        <v>1273</v>
      </c>
      <c r="D166" s="684" t="s">
        <v>518</v>
      </c>
      <c r="E166" s="684"/>
      <c r="F166" s="685" t="s">
        <v>1893</v>
      </c>
      <c r="G166" s="686">
        <f>SUBTOTAL(9,G167:G169)</f>
        <v>0.57240000000000002</v>
      </c>
      <c r="H166" s="691">
        <f>SUBTOTAL(9,H167:H169)</f>
        <v>3</v>
      </c>
      <c r="I166" s="626"/>
      <c r="J166" s="752"/>
      <c r="K166" s="416"/>
      <c r="L166" s="684"/>
      <c r="M166" s="684"/>
      <c r="N166" s="684"/>
      <c r="O166" s="684"/>
      <c r="P166" s="684"/>
      <c r="Q166" s="684"/>
      <c r="R166" s="684"/>
      <c r="S166" s="416"/>
      <c r="T166" s="752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1273</v>
      </c>
      <c r="C167" s="376" t="s">
        <v>1273</v>
      </c>
      <c r="D167" s="376" t="s">
        <v>518</v>
      </c>
      <c r="E167" s="376" t="s">
        <v>56</v>
      </c>
      <c r="F167" s="608" t="s">
        <v>36</v>
      </c>
      <c r="G167" s="609">
        <v>0.1431</v>
      </c>
      <c r="H167" s="692">
        <v>1</v>
      </c>
      <c r="I167" s="626"/>
      <c r="J167" s="752"/>
      <c r="K167" s="416"/>
      <c r="L167" s="376" t="s">
        <v>56</v>
      </c>
      <c r="M167" s="376" t="s">
        <v>1284</v>
      </c>
      <c r="N167" s="376" t="s">
        <v>960</v>
      </c>
      <c r="O167" s="376" t="s">
        <v>1344</v>
      </c>
      <c r="P167" s="376" t="s">
        <v>1040</v>
      </c>
      <c r="Q167" s="376"/>
      <c r="R167" s="376">
        <v>0</v>
      </c>
      <c r="S167" s="416"/>
      <c r="T167" s="752"/>
      <c r="U167" s="416"/>
      <c r="V167" s="609">
        <f>IF(W167=1,G167,0)</f>
        <v>0</v>
      </c>
      <c r="W167" s="692"/>
    </row>
    <row r="168" spans="2:23" outlineLevel="3">
      <c r="B168" s="376" t="s">
        <v>1273</v>
      </c>
      <c r="C168" s="376" t="s">
        <v>1273</v>
      </c>
      <c r="D168" s="376" t="s">
        <v>518</v>
      </c>
      <c r="E168" s="376" t="s">
        <v>56</v>
      </c>
      <c r="F168" s="608" t="s">
        <v>971</v>
      </c>
      <c r="G168" s="609">
        <v>0.28620000000000001</v>
      </c>
      <c r="H168" s="692">
        <v>1</v>
      </c>
      <c r="I168" s="626"/>
      <c r="J168" s="752"/>
      <c r="K168" s="416"/>
      <c r="L168" s="376" t="s">
        <v>56</v>
      </c>
      <c r="M168" s="376" t="s">
        <v>1284</v>
      </c>
      <c r="N168" s="376" t="s">
        <v>960</v>
      </c>
      <c r="O168" s="376" t="s">
        <v>1344</v>
      </c>
      <c r="P168" s="376" t="s">
        <v>1040</v>
      </c>
      <c r="Q168" s="376"/>
      <c r="R168" s="376">
        <v>0</v>
      </c>
      <c r="S168" s="416"/>
      <c r="T168" s="752"/>
      <c r="U168" s="416"/>
      <c r="V168" s="609">
        <f>IF(W168=1,G168,0)</f>
        <v>0</v>
      </c>
      <c r="W168" s="692"/>
    </row>
    <row r="169" spans="2:23" outlineLevel="3">
      <c r="B169" s="376" t="s">
        <v>1273</v>
      </c>
      <c r="C169" s="376" t="s">
        <v>1273</v>
      </c>
      <c r="D169" s="376" t="s">
        <v>518</v>
      </c>
      <c r="E169" s="376" t="s">
        <v>56</v>
      </c>
      <c r="F169" s="608" t="s">
        <v>1342</v>
      </c>
      <c r="G169" s="609">
        <v>0.1431</v>
      </c>
      <c r="H169" s="692">
        <v>1</v>
      </c>
      <c r="I169" s="626"/>
      <c r="J169" s="752"/>
      <c r="K169" s="416"/>
      <c r="L169" s="376" t="s">
        <v>56</v>
      </c>
      <c r="M169" s="376" t="s">
        <v>1284</v>
      </c>
      <c r="N169" s="376" t="s">
        <v>960</v>
      </c>
      <c r="O169" s="376" t="s">
        <v>1344</v>
      </c>
      <c r="P169" s="376" t="s">
        <v>1040</v>
      </c>
      <c r="Q169" s="376"/>
      <c r="R169" s="376">
        <v>0</v>
      </c>
      <c r="S169" s="416"/>
      <c r="T169" s="752"/>
      <c r="U169" s="416"/>
      <c r="V169" s="609">
        <f>IF(W169=1,G169,0)</f>
        <v>0</v>
      </c>
      <c r="W169" s="692"/>
    </row>
    <row r="170" spans="2:23" outlineLevel="3">
      <c r="B170" s="376" t="s">
        <v>1273</v>
      </c>
      <c r="C170" s="376" t="s">
        <v>1273</v>
      </c>
      <c r="D170" s="376" t="s">
        <v>518</v>
      </c>
      <c r="E170" s="376" t="s">
        <v>56</v>
      </c>
      <c r="F170" s="608" t="s">
        <v>1367</v>
      </c>
      <c r="G170" s="609">
        <v>0.06</v>
      </c>
      <c r="H170" s="692">
        <v>1</v>
      </c>
      <c r="I170" s="626"/>
      <c r="J170" s="752"/>
      <c r="K170" s="416"/>
      <c r="L170" s="376" t="s">
        <v>56</v>
      </c>
      <c r="M170" s="376" t="s">
        <v>1284</v>
      </c>
      <c r="N170" s="376" t="s">
        <v>960</v>
      </c>
      <c r="O170" s="376" t="s">
        <v>1344</v>
      </c>
      <c r="P170" s="376" t="s">
        <v>1040</v>
      </c>
      <c r="Q170" s="376"/>
      <c r="R170" s="376"/>
      <c r="S170" s="416"/>
      <c r="T170" s="752"/>
      <c r="U170" s="416"/>
      <c r="V170" s="609">
        <f>IF(W170=1,G170,0)</f>
        <v>0</v>
      </c>
      <c r="W170" s="692"/>
    </row>
    <row r="171" spans="2:23" outlineLevel="1">
      <c r="B171" s="665" t="s">
        <v>1347</v>
      </c>
      <c r="C171" s="665" t="s">
        <v>163</v>
      </c>
      <c r="D171" s="665"/>
      <c r="E171" s="665"/>
      <c r="F171" s="681" t="s">
        <v>947</v>
      </c>
      <c r="G171" s="708">
        <f>SUBTOTAL(9,G172:G173)</f>
        <v>0.36252000000000001</v>
      </c>
      <c r="H171" s="709">
        <f>SUBTOTAL(9,H172:H173)</f>
        <v>1</v>
      </c>
      <c r="I171" s="626"/>
      <c r="J171" s="752"/>
      <c r="K171" s="416"/>
      <c r="L171" s="665"/>
      <c r="M171" s="665"/>
      <c r="N171" s="665"/>
      <c r="O171" s="665"/>
      <c r="P171" s="665"/>
      <c r="Q171" s="665"/>
      <c r="R171" s="665"/>
      <c r="S171" s="416"/>
      <c r="T171" s="752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1347</v>
      </c>
      <c r="C172" s="684" t="s">
        <v>1089</v>
      </c>
      <c r="D172" s="684" t="s">
        <v>518</v>
      </c>
      <c r="E172" s="684"/>
      <c r="F172" s="685" t="s">
        <v>1352</v>
      </c>
      <c r="G172" s="686">
        <f>SUBTOTAL(9,G173:G173)</f>
        <v>0.36252000000000001</v>
      </c>
      <c r="H172" s="691">
        <f>SUBTOTAL(9,H173:H173)</f>
        <v>1</v>
      </c>
      <c r="I172" s="626"/>
      <c r="J172" s="752"/>
      <c r="K172" s="416"/>
      <c r="L172" s="684"/>
      <c r="M172" s="684"/>
      <c r="N172" s="684"/>
      <c r="O172" s="684"/>
      <c r="P172" s="684"/>
      <c r="Q172" s="684"/>
      <c r="R172" s="684"/>
      <c r="S172" s="416"/>
      <c r="T172" s="752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1347</v>
      </c>
      <c r="C173" s="376" t="s">
        <v>1089</v>
      </c>
      <c r="D173" s="376" t="s">
        <v>518</v>
      </c>
      <c r="E173" s="376" t="s">
        <v>56</v>
      </c>
      <c r="F173" s="608" t="s">
        <v>36</v>
      </c>
      <c r="G173" s="609">
        <v>0.36252000000000001</v>
      </c>
      <c r="H173" s="692">
        <v>1</v>
      </c>
      <c r="I173" s="626"/>
      <c r="J173" s="752"/>
      <c r="K173" s="416"/>
      <c r="L173" s="376" t="s">
        <v>56</v>
      </c>
      <c r="M173" s="376" t="s">
        <v>1284</v>
      </c>
      <c r="N173" s="376" t="s">
        <v>960</v>
      </c>
      <c r="O173" s="376" t="s">
        <v>1344</v>
      </c>
      <c r="P173" s="376" t="s">
        <v>965</v>
      </c>
      <c r="Q173" s="376"/>
      <c r="R173" s="376">
        <v>0</v>
      </c>
      <c r="S173" s="416"/>
      <c r="T173" s="752"/>
      <c r="U173" s="416"/>
      <c r="V173" s="609">
        <f>IF(W173=1,G173,0)</f>
        <v>0</v>
      </c>
      <c r="W173" s="692"/>
    </row>
    <row r="174" spans="2:23" outlineLevel="1">
      <c r="B174" s="666" t="s">
        <v>1358</v>
      </c>
      <c r="C174" s="666" t="s">
        <v>1089</v>
      </c>
      <c r="D174" s="667"/>
      <c r="E174" s="665"/>
      <c r="F174" s="681" t="s">
        <v>947</v>
      </c>
      <c r="G174" s="708">
        <f>SUBTOTAL(9,G175:G178)</f>
        <v>0.80135908867007233</v>
      </c>
      <c r="H174" s="709">
        <f>SUBTOTAL(9,H175:H178)</f>
        <v>3</v>
      </c>
      <c r="I174" s="626"/>
      <c r="J174" s="752"/>
      <c r="K174" s="416"/>
      <c r="L174" s="665"/>
      <c r="M174" s="665"/>
      <c r="N174" s="665"/>
      <c r="O174" s="665"/>
      <c r="P174" s="665"/>
      <c r="Q174" s="665"/>
      <c r="R174" s="665"/>
      <c r="S174" s="416"/>
      <c r="T174" s="752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1358</v>
      </c>
      <c r="C175" s="687" t="s">
        <v>1089</v>
      </c>
      <c r="D175" s="684" t="s">
        <v>518</v>
      </c>
      <c r="E175" s="684"/>
      <c r="F175" s="685" t="s">
        <v>1947</v>
      </c>
      <c r="G175" s="686">
        <f>SUBTOTAL(9,G176:G178)</f>
        <v>0.80135908867007233</v>
      </c>
      <c r="H175" s="691">
        <f>SUBTOTAL(9,H176:H178)</f>
        <v>3</v>
      </c>
      <c r="I175" s="626"/>
      <c r="J175" s="752"/>
      <c r="K175" s="416"/>
      <c r="L175" s="684"/>
      <c r="M175" s="684"/>
      <c r="N175" s="684"/>
      <c r="O175" s="684"/>
      <c r="P175" s="684"/>
      <c r="Q175" s="684"/>
      <c r="R175" s="684"/>
      <c r="S175" s="416"/>
      <c r="T175" s="752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1358</v>
      </c>
      <c r="C176" s="387" t="s">
        <v>1089</v>
      </c>
      <c r="D176" s="376" t="s">
        <v>518</v>
      </c>
      <c r="E176" s="376" t="s">
        <v>56</v>
      </c>
      <c r="F176" s="608" t="s">
        <v>36</v>
      </c>
      <c r="G176" s="609">
        <v>0.20033977216751808</v>
      </c>
      <c r="H176" s="692">
        <v>1</v>
      </c>
      <c r="I176" s="626"/>
      <c r="J176" s="752"/>
      <c r="K176" s="416"/>
      <c r="L176" s="376" t="s">
        <v>56</v>
      </c>
      <c r="M176" s="376" t="s">
        <v>1284</v>
      </c>
      <c r="N176" s="376" t="s">
        <v>960</v>
      </c>
      <c r="O176" s="376" t="s">
        <v>1344</v>
      </c>
      <c r="P176" s="376" t="s">
        <v>1105</v>
      </c>
      <c r="Q176" s="376"/>
      <c r="R176" s="376">
        <v>0</v>
      </c>
      <c r="S176" s="416"/>
      <c r="T176" s="752"/>
      <c r="U176" s="416"/>
      <c r="V176" s="609">
        <f>IF(W176=1,G176,0)</f>
        <v>0</v>
      </c>
      <c r="W176" s="692"/>
    </row>
    <row r="177" spans="2:23" outlineLevel="3">
      <c r="B177" s="376" t="s">
        <v>1358</v>
      </c>
      <c r="C177" s="387" t="s">
        <v>1089</v>
      </c>
      <c r="D177" s="376" t="s">
        <v>518</v>
      </c>
      <c r="E177" s="376" t="s">
        <v>56</v>
      </c>
      <c r="F177" s="608" t="s">
        <v>971</v>
      </c>
      <c r="G177" s="609">
        <v>0.40067954433503616</v>
      </c>
      <c r="H177" s="692">
        <v>1</v>
      </c>
      <c r="I177" s="626"/>
      <c r="J177" s="752"/>
      <c r="K177" s="416"/>
      <c r="L177" s="376" t="s">
        <v>56</v>
      </c>
      <c r="M177" s="376" t="s">
        <v>1284</v>
      </c>
      <c r="N177" s="376" t="s">
        <v>960</v>
      </c>
      <c r="O177" s="376" t="s">
        <v>1344</v>
      </c>
      <c r="P177" s="376" t="s">
        <v>1105</v>
      </c>
      <c r="Q177" s="376"/>
      <c r="R177" s="376">
        <v>0</v>
      </c>
      <c r="S177" s="416"/>
      <c r="T177" s="752"/>
      <c r="U177" s="416"/>
      <c r="V177" s="609">
        <f>IF(W177=1,G177,0)</f>
        <v>0</v>
      </c>
      <c r="W177" s="692"/>
    </row>
    <row r="178" spans="2:23" outlineLevel="3">
      <c r="B178" s="376" t="s">
        <v>1358</v>
      </c>
      <c r="C178" s="387" t="s">
        <v>1089</v>
      </c>
      <c r="D178" s="376" t="s">
        <v>518</v>
      </c>
      <c r="E178" s="376" t="s">
        <v>56</v>
      </c>
      <c r="F178" s="789" t="s">
        <v>608</v>
      </c>
      <c r="G178" s="609">
        <v>0.20033977216751808</v>
      </c>
      <c r="H178" s="692">
        <v>1</v>
      </c>
      <c r="I178" s="626"/>
      <c r="J178" s="752"/>
      <c r="K178" s="416"/>
      <c r="L178" s="376" t="s">
        <v>56</v>
      </c>
      <c r="M178" s="376" t="s">
        <v>1284</v>
      </c>
      <c r="N178" s="376" t="s">
        <v>960</v>
      </c>
      <c r="O178" s="376" t="s">
        <v>1344</v>
      </c>
      <c r="P178" s="376" t="s">
        <v>1105</v>
      </c>
      <c r="Q178" s="376"/>
      <c r="R178" s="376">
        <v>0</v>
      </c>
      <c r="S178" s="416"/>
      <c r="T178" s="752"/>
      <c r="U178" s="416"/>
      <c r="V178" s="609">
        <f>IF(W178=1,G178,0)</f>
        <v>0</v>
      </c>
      <c r="W178" s="692"/>
    </row>
    <row r="179" spans="2:23" outlineLevel="1">
      <c r="B179" s="666" t="s">
        <v>1363</v>
      </c>
      <c r="C179" s="666" t="s">
        <v>1089</v>
      </c>
      <c r="D179" s="667" t="s">
        <v>1364</v>
      </c>
      <c r="E179" s="665"/>
      <c r="F179" s="681" t="s">
        <v>947</v>
      </c>
      <c r="G179" s="708">
        <f>SUBTOTAL(9,G180:G186)</f>
        <v>0.29969554313912505</v>
      </c>
      <c r="H179" s="709">
        <f>SUBTOTAL(9,H180:H186)</f>
        <v>6</v>
      </c>
      <c r="I179" s="626"/>
      <c r="J179" s="752"/>
      <c r="K179" s="416"/>
      <c r="L179" s="665"/>
      <c r="M179" s="665"/>
      <c r="N179" s="665"/>
      <c r="O179" s="665"/>
      <c r="P179" s="665"/>
      <c r="Q179" s="665"/>
      <c r="R179" s="665"/>
      <c r="S179" s="416"/>
      <c r="T179" s="752"/>
      <c r="U179" s="416"/>
      <c r="V179" s="708">
        <f>SUBTOTAL(9,V180:V186)</f>
        <v>0</v>
      </c>
      <c r="W179" s="709">
        <f>SUBTOTAL(9,W180:W186)</f>
        <v>0</v>
      </c>
    </row>
    <row r="180" spans="2:23" ht="26.45" outlineLevel="2">
      <c r="B180" s="684" t="s">
        <v>1363</v>
      </c>
      <c r="C180" s="687" t="s">
        <v>1089</v>
      </c>
      <c r="D180" s="684" t="s">
        <v>518</v>
      </c>
      <c r="E180" s="684"/>
      <c r="F180" s="685" t="s">
        <v>1910</v>
      </c>
      <c r="G180" s="686">
        <f>SUBTOTAL(9,G181:G186)</f>
        <v>0.29969554313912505</v>
      </c>
      <c r="H180" s="691">
        <f>SUBTOTAL(9,H181:H186)</f>
        <v>6</v>
      </c>
      <c r="I180" s="626"/>
      <c r="J180" s="752"/>
      <c r="K180" s="416"/>
      <c r="L180" s="684"/>
      <c r="M180" s="684"/>
      <c r="N180" s="684"/>
      <c r="O180" s="684"/>
      <c r="P180" s="684"/>
      <c r="Q180" s="684"/>
      <c r="R180" s="684"/>
      <c r="S180" s="416"/>
      <c r="T180" s="752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1363</v>
      </c>
      <c r="C181" s="387" t="s">
        <v>1089</v>
      </c>
      <c r="D181" s="376" t="s">
        <v>518</v>
      </c>
      <c r="E181" s="376" t="s">
        <v>56</v>
      </c>
      <c r="F181" s="608" t="s">
        <v>971</v>
      </c>
      <c r="G181" s="609">
        <v>0.11386451109389673</v>
      </c>
      <c r="H181" s="692">
        <v>1</v>
      </c>
      <c r="I181" s="626"/>
      <c r="J181" s="752"/>
      <c r="K181" s="416"/>
      <c r="L181" s="376" t="s">
        <v>56</v>
      </c>
      <c r="M181" s="376" t="s">
        <v>1284</v>
      </c>
      <c r="N181" s="376" t="s">
        <v>960</v>
      </c>
      <c r="O181" s="376" t="s">
        <v>1344</v>
      </c>
      <c r="P181" s="376" t="s">
        <v>965</v>
      </c>
      <c r="Q181" s="376"/>
      <c r="R181" s="376">
        <v>0</v>
      </c>
      <c r="S181" s="416"/>
      <c r="T181" s="752"/>
      <c r="U181" s="416"/>
      <c r="V181" s="609">
        <f>IF(W181=1,G181,0)</f>
        <v>0</v>
      </c>
      <c r="W181" s="692"/>
    </row>
    <row r="182" spans="2:23" outlineLevel="3">
      <c r="B182" s="376" t="s">
        <v>1363</v>
      </c>
      <c r="C182" s="387" t="s">
        <v>1089</v>
      </c>
      <c r="D182" s="376" t="s">
        <v>518</v>
      </c>
      <c r="E182" s="376" t="s">
        <v>56</v>
      </c>
      <c r="F182" s="608" t="s">
        <v>1366</v>
      </c>
      <c r="G182" s="609">
        <v>5.6932255546948363E-2</v>
      </c>
      <c r="H182" s="692">
        <v>1</v>
      </c>
      <c r="I182" s="626"/>
      <c r="J182" s="752"/>
      <c r="K182" s="416"/>
      <c r="L182" s="376" t="s">
        <v>56</v>
      </c>
      <c r="M182" s="376" t="s">
        <v>1372</v>
      </c>
      <c r="N182" s="376" t="s">
        <v>1373</v>
      </c>
      <c r="O182" s="376" t="s">
        <v>1344</v>
      </c>
      <c r="P182" s="376" t="s">
        <v>965</v>
      </c>
      <c r="Q182" s="376"/>
      <c r="R182" s="376">
        <v>0</v>
      </c>
      <c r="S182" s="416"/>
      <c r="T182" s="752"/>
      <c r="U182" s="416"/>
      <c r="V182" s="609">
        <f>IF(W182=1,G182,0)</f>
        <v>0</v>
      </c>
      <c r="W182" s="692"/>
    </row>
    <row r="183" spans="2:23" outlineLevel="3">
      <c r="B183" s="376" t="s">
        <v>1363</v>
      </c>
      <c r="C183" s="387" t="s">
        <v>1089</v>
      </c>
      <c r="D183" s="376" t="s">
        <v>518</v>
      </c>
      <c r="E183" s="376" t="s">
        <v>56</v>
      </c>
      <c r="F183" s="608" t="s">
        <v>1367</v>
      </c>
      <c r="G183" s="609">
        <v>2.5779755299655999E-2</v>
      </c>
      <c r="H183" s="692">
        <v>1</v>
      </c>
      <c r="I183" s="626"/>
      <c r="J183" s="752"/>
      <c r="K183" s="416"/>
      <c r="L183" s="376" t="s">
        <v>56</v>
      </c>
      <c r="M183" s="376" t="s">
        <v>1284</v>
      </c>
      <c r="N183" s="376" t="s">
        <v>960</v>
      </c>
      <c r="O183" s="376" t="s">
        <v>1344</v>
      </c>
      <c r="P183" s="376" t="s">
        <v>965</v>
      </c>
      <c r="Q183" s="376"/>
      <c r="R183" s="376">
        <v>0</v>
      </c>
      <c r="S183" s="416"/>
      <c r="T183" s="752"/>
      <c r="U183" s="416"/>
      <c r="V183" s="609">
        <f>IF(W183=1,G183,0)</f>
        <v>0</v>
      </c>
      <c r="W183" s="692"/>
    </row>
    <row r="184" spans="2:23" outlineLevel="3">
      <c r="B184" s="376" t="s">
        <v>1363</v>
      </c>
      <c r="C184" s="387" t="s">
        <v>1089</v>
      </c>
      <c r="D184" s="376" t="s">
        <v>518</v>
      </c>
      <c r="E184" s="376" t="s">
        <v>56</v>
      </c>
      <c r="F184" s="608" t="s">
        <v>1368</v>
      </c>
      <c r="G184" s="609">
        <v>5.1559510599311999E-2</v>
      </c>
      <c r="H184" s="692">
        <v>1</v>
      </c>
      <c r="I184" s="626"/>
      <c r="J184" s="752"/>
      <c r="K184" s="416"/>
      <c r="L184" s="376" t="s">
        <v>56</v>
      </c>
      <c r="M184" s="376" t="s">
        <v>1284</v>
      </c>
      <c r="N184" s="376" t="s">
        <v>960</v>
      </c>
      <c r="O184" s="376" t="s">
        <v>1344</v>
      </c>
      <c r="P184" s="376" t="s">
        <v>965</v>
      </c>
      <c r="Q184" s="376"/>
      <c r="R184" s="376">
        <v>0</v>
      </c>
      <c r="S184" s="416"/>
      <c r="T184" s="752"/>
      <c r="U184" s="416"/>
      <c r="V184" s="609">
        <f>IF(W184=1,G184,0)</f>
        <v>0</v>
      </c>
      <c r="W184" s="692"/>
    </row>
    <row r="185" spans="2:23" outlineLevel="3">
      <c r="B185" s="376" t="s">
        <v>1363</v>
      </c>
      <c r="C185" s="387" t="s">
        <v>1089</v>
      </c>
      <c r="D185" s="376" t="s">
        <v>518</v>
      </c>
      <c r="E185" s="376" t="s">
        <v>56</v>
      </c>
      <c r="F185" s="608" t="s">
        <v>1374</v>
      </c>
      <c r="G185" s="609">
        <v>2.5779755299655999E-2</v>
      </c>
      <c r="H185" s="692">
        <v>1</v>
      </c>
      <c r="I185" s="626"/>
      <c r="J185" s="752"/>
      <c r="K185" s="416"/>
      <c r="L185" s="376" t="s">
        <v>56</v>
      </c>
      <c r="M185" s="376" t="s">
        <v>1038</v>
      </c>
      <c r="N185" s="376" t="s">
        <v>1039</v>
      </c>
      <c r="O185" s="376" t="s">
        <v>1078</v>
      </c>
      <c r="P185" s="376" t="s">
        <v>965</v>
      </c>
      <c r="Q185" s="376"/>
      <c r="R185" s="376">
        <v>0</v>
      </c>
      <c r="S185" s="416"/>
      <c r="T185" s="752"/>
      <c r="U185" s="416"/>
      <c r="V185" s="609">
        <f>IF(W185=1,G185,0)</f>
        <v>0</v>
      </c>
      <c r="W185" s="692"/>
    </row>
    <row r="186" spans="2:23" outlineLevel="3">
      <c r="B186" s="376" t="s">
        <v>1363</v>
      </c>
      <c r="C186" s="387" t="s">
        <v>1948</v>
      </c>
      <c r="D186" s="376" t="s">
        <v>518</v>
      </c>
      <c r="E186" s="376" t="s">
        <v>56</v>
      </c>
      <c r="F186" s="608" t="s">
        <v>1911</v>
      </c>
      <c r="G186" s="609">
        <v>2.5779755299655999E-2</v>
      </c>
      <c r="H186" s="692">
        <v>1</v>
      </c>
      <c r="I186" s="626"/>
      <c r="J186" s="752"/>
      <c r="K186" s="416"/>
      <c r="L186" s="376" t="s">
        <v>437</v>
      </c>
      <c r="M186" s="376" t="s">
        <v>1949</v>
      </c>
      <c r="N186" s="376"/>
      <c r="O186" s="376"/>
      <c r="P186" s="376"/>
      <c r="Q186" s="376"/>
      <c r="R186" s="376"/>
      <c r="S186" s="416"/>
      <c r="T186" s="752"/>
      <c r="U186" s="416"/>
      <c r="V186" s="609">
        <f>IF(W186=1,#REF!,0)</f>
        <v>0</v>
      </c>
      <c r="W186" s="692"/>
    </row>
    <row r="187" spans="2:23" outlineLevel="1">
      <c r="B187" s="666" t="s">
        <v>1380</v>
      </c>
      <c r="C187" s="666" t="s">
        <v>1018</v>
      </c>
      <c r="D187" s="667" t="s">
        <v>1364</v>
      </c>
      <c r="E187" s="665"/>
      <c r="F187" s="681" t="s">
        <v>947</v>
      </c>
      <c r="G187" s="708">
        <f>SUBTOTAL(9,G188:G189)</f>
        <v>7.133861740420798E-2</v>
      </c>
      <c r="H187" s="709">
        <f>SUBTOTAL(9,H188:H189)</f>
        <v>1</v>
      </c>
      <c r="I187" s="626"/>
      <c r="J187" s="752"/>
      <c r="K187" s="416"/>
      <c r="L187" s="665"/>
      <c r="M187" s="665"/>
      <c r="N187" s="665"/>
      <c r="O187" s="665"/>
      <c r="P187" s="665"/>
      <c r="Q187" s="665"/>
      <c r="R187" s="665"/>
      <c r="S187" s="416"/>
      <c r="T187" s="752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1380</v>
      </c>
      <c r="C188" s="687" t="s">
        <v>1018</v>
      </c>
      <c r="D188" s="684" t="s">
        <v>518</v>
      </c>
      <c r="E188" s="684"/>
      <c r="F188" s="685" t="s">
        <v>1381</v>
      </c>
      <c r="G188" s="686">
        <f>SUBTOTAL(9,G189)</f>
        <v>7.133861740420798E-2</v>
      </c>
      <c r="H188" s="691">
        <f>SUBTOTAL(9,H189)</f>
        <v>1</v>
      </c>
      <c r="I188" s="626"/>
      <c r="J188" s="752"/>
      <c r="K188" s="416"/>
      <c r="L188" s="684"/>
      <c r="M188" s="684"/>
      <c r="N188" s="684"/>
      <c r="O188" s="684"/>
      <c r="P188" s="684"/>
      <c r="Q188" s="684"/>
      <c r="R188" s="684"/>
      <c r="S188" s="416"/>
      <c r="T188" s="752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1380</v>
      </c>
      <c r="C189" s="387" t="s">
        <v>1018</v>
      </c>
      <c r="D189" s="376" t="s">
        <v>518</v>
      </c>
      <c r="E189" s="376" t="s">
        <v>56</v>
      </c>
      <c r="F189" s="608" t="s">
        <v>36</v>
      </c>
      <c r="G189" s="609">
        <v>7.133861740420798E-2</v>
      </c>
      <c r="H189" s="692">
        <v>1</v>
      </c>
      <c r="I189" s="626"/>
      <c r="J189" s="752"/>
      <c r="K189" s="416"/>
      <c r="L189" s="376" t="s">
        <v>56</v>
      </c>
      <c r="M189" s="376" t="s">
        <v>1284</v>
      </c>
      <c r="N189" s="376" t="s">
        <v>960</v>
      </c>
      <c r="O189" s="376" t="s">
        <v>1344</v>
      </c>
      <c r="P189" s="376" t="s">
        <v>965</v>
      </c>
      <c r="Q189" s="376"/>
      <c r="R189" s="376">
        <v>0</v>
      </c>
      <c r="S189" s="416"/>
      <c r="T189" s="752"/>
      <c r="U189" s="416"/>
      <c r="V189" s="609">
        <f>IF(W189=1,G189,0)</f>
        <v>0</v>
      </c>
      <c r="W189" s="692"/>
    </row>
    <row r="190" spans="2:23" outlineLevel="1">
      <c r="B190" s="665" t="s">
        <v>1392</v>
      </c>
      <c r="C190" s="665" t="s">
        <v>1392</v>
      </c>
      <c r="D190" s="665"/>
      <c r="E190" s="665"/>
      <c r="F190" s="681" t="s">
        <v>947</v>
      </c>
      <c r="G190" s="708">
        <f>SUBTOTAL(9,G191:G192)</f>
        <v>0</v>
      </c>
      <c r="H190" s="709">
        <f>SUBTOTAL(9,H191:H192)</f>
        <v>1</v>
      </c>
      <c r="I190" s="626"/>
      <c r="J190" s="752"/>
      <c r="K190" s="416"/>
      <c r="L190" s="665"/>
      <c r="M190" s="665"/>
      <c r="N190" s="665"/>
      <c r="O190" s="665"/>
      <c r="P190" s="665"/>
      <c r="Q190" s="665"/>
      <c r="R190" s="665"/>
      <c r="S190" s="416"/>
      <c r="T190" s="752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1392</v>
      </c>
      <c r="C191" s="684" t="s">
        <v>1392</v>
      </c>
      <c r="D191" s="684" t="s">
        <v>518</v>
      </c>
      <c r="E191" s="684"/>
      <c r="F191" s="685" t="s">
        <v>1393</v>
      </c>
      <c r="G191" s="686">
        <f>SUBTOTAL(9,G192)</f>
        <v>0</v>
      </c>
      <c r="H191" s="691">
        <f>SUBTOTAL(9,H192)</f>
        <v>1</v>
      </c>
      <c r="I191" s="626"/>
      <c r="J191" s="752"/>
      <c r="K191" s="416"/>
      <c r="L191" s="684"/>
      <c r="M191" s="684"/>
      <c r="N191" s="684"/>
      <c r="O191" s="684"/>
      <c r="P191" s="684"/>
      <c r="Q191" s="684"/>
      <c r="R191" s="684"/>
      <c r="S191" s="416"/>
      <c r="T191" s="752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1392</v>
      </c>
      <c r="C192" s="376" t="s">
        <v>1392</v>
      </c>
      <c r="D192" s="376" t="s">
        <v>518</v>
      </c>
      <c r="E192" s="376" t="s">
        <v>56</v>
      </c>
      <c r="F192" s="608" t="s">
        <v>36</v>
      </c>
      <c r="G192" s="609"/>
      <c r="H192" s="692">
        <v>1</v>
      </c>
      <c r="I192" s="626"/>
      <c r="J192" s="752"/>
      <c r="K192" s="416"/>
      <c r="L192" s="376" t="s">
        <v>56</v>
      </c>
      <c r="M192" s="376" t="s">
        <v>1284</v>
      </c>
      <c r="N192" s="376" t="s">
        <v>960</v>
      </c>
      <c r="O192" s="376" t="s">
        <v>1344</v>
      </c>
      <c r="P192" s="376" t="s">
        <v>1096</v>
      </c>
      <c r="Q192" s="376"/>
      <c r="R192" s="376">
        <v>0</v>
      </c>
      <c r="S192" s="416"/>
      <c r="T192" s="752"/>
      <c r="U192" s="416"/>
      <c r="V192" s="609"/>
      <c r="W192" s="692"/>
    </row>
    <row r="193" spans="2:23" outlineLevel="1">
      <c r="B193" s="665" t="s">
        <v>497</v>
      </c>
      <c r="C193" s="665" t="s">
        <v>1394</v>
      </c>
      <c r="D193" s="665"/>
      <c r="E193" s="665"/>
      <c r="F193" s="681" t="s">
        <v>947</v>
      </c>
      <c r="G193" s="708">
        <f>SUBTOTAL(9,G194:G195)</f>
        <v>0.19</v>
      </c>
      <c r="H193" s="709">
        <f>SUBTOTAL(9,H194:H195)</f>
        <v>1</v>
      </c>
      <c r="I193" s="626"/>
      <c r="J193" s="752"/>
      <c r="K193" s="416"/>
      <c r="L193" s="665"/>
      <c r="M193" s="665"/>
      <c r="N193" s="665"/>
      <c r="O193" s="665"/>
      <c r="P193" s="665"/>
      <c r="Q193" s="665"/>
      <c r="R193" s="665"/>
      <c r="S193" s="416"/>
      <c r="T193" s="752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497</v>
      </c>
      <c r="C194" s="684" t="s">
        <v>1394</v>
      </c>
      <c r="D194" s="684" t="s">
        <v>518</v>
      </c>
      <c r="E194" s="684"/>
      <c r="F194" s="685" t="s">
        <v>1396</v>
      </c>
      <c r="G194" s="686">
        <f>SUBTOTAL(9,G195)</f>
        <v>0.19</v>
      </c>
      <c r="H194" s="691">
        <f>SUBTOTAL(9,H195)</f>
        <v>1</v>
      </c>
      <c r="I194" s="626"/>
      <c r="J194" s="752"/>
      <c r="K194" s="416"/>
      <c r="L194" s="684"/>
      <c r="M194" s="684"/>
      <c r="N194" s="684"/>
      <c r="O194" s="684"/>
      <c r="P194" s="684"/>
      <c r="Q194" s="684"/>
      <c r="R194" s="684"/>
      <c r="S194" s="416"/>
      <c r="T194" s="752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497</v>
      </c>
      <c r="C195" s="376" t="s">
        <v>1394</v>
      </c>
      <c r="D195" s="376" t="s">
        <v>518</v>
      </c>
      <c r="E195" s="376" t="s">
        <v>56</v>
      </c>
      <c r="F195" s="608" t="s">
        <v>36</v>
      </c>
      <c r="G195" s="609">
        <v>0.19</v>
      </c>
      <c r="H195" s="692">
        <v>1</v>
      </c>
      <c r="I195" s="626"/>
      <c r="J195" s="752"/>
      <c r="K195" s="416"/>
      <c r="L195" s="376" t="s">
        <v>56</v>
      </c>
      <c r="M195" s="376" t="s">
        <v>1038</v>
      </c>
      <c r="N195" s="376" t="s">
        <v>1279</v>
      </c>
      <c r="O195" s="376" t="s">
        <v>1078</v>
      </c>
      <c r="P195" s="376" t="s">
        <v>1081</v>
      </c>
      <c r="Q195" s="376"/>
      <c r="R195" s="376">
        <v>0</v>
      </c>
      <c r="S195" s="416"/>
      <c r="T195" s="752"/>
      <c r="U195" s="416"/>
      <c r="V195" s="609">
        <f>IF(W195=1,G195,0)</f>
        <v>0</v>
      </c>
      <c r="W195" s="692"/>
    </row>
    <row r="196" spans="2:23" outlineLevel="1">
      <c r="B196" s="682" t="s">
        <v>1399</v>
      </c>
      <c r="C196" s="682" t="s">
        <v>1400</v>
      </c>
      <c r="D196" s="682"/>
      <c r="E196" s="682"/>
      <c r="F196" s="681" t="s">
        <v>947</v>
      </c>
      <c r="G196" s="708">
        <f>SUBTOTAL(9,G197:G198)</f>
        <v>2.0043571200000002E-2</v>
      </c>
      <c r="H196" s="709">
        <f>SUBTOTAL(9,H197:H198)</f>
        <v>1</v>
      </c>
      <c r="I196" s="626"/>
      <c r="J196" s="752"/>
      <c r="K196" s="416"/>
      <c r="L196" s="682"/>
      <c r="M196" s="682"/>
      <c r="N196" s="682"/>
      <c r="O196" s="682"/>
      <c r="P196" s="682"/>
      <c r="Q196" s="682"/>
      <c r="R196" s="682"/>
      <c r="S196" s="416"/>
      <c r="T196" s="752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1400</v>
      </c>
      <c r="C197" s="688" t="s">
        <v>1400</v>
      </c>
      <c r="D197" s="688" t="s">
        <v>518</v>
      </c>
      <c r="E197" s="688"/>
      <c r="F197" s="712" t="s">
        <v>1259</v>
      </c>
      <c r="G197" s="686">
        <f>SUBTOTAL(9,G198)</f>
        <v>2.0043571200000002E-2</v>
      </c>
      <c r="H197" s="691">
        <f>SUBTOTAL(9,H198)</f>
        <v>1</v>
      </c>
      <c r="I197" s="626"/>
      <c r="J197" s="752"/>
      <c r="K197" s="416"/>
      <c r="L197" s="688"/>
      <c r="M197" s="688"/>
      <c r="N197" s="688"/>
      <c r="O197" s="688"/>
      <c r="P197" s="688"/>
      <c r="Q197" s="688"/>
      <c r="R197" s="688"/>
      <c r="S197" s="416"/>
      <c r="T197" s="752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1400</v>
      </c>
      <c r="C198" s="456" t="s">
        <v>1400</v>
      </c>
      <c r="D198" s="456" t="s">
        <v>518</v>
      </c>
      <c r="E198" s="456" t="s">
        <v>56</v>
      </c>
      <c r="F198" s="623" t="s">
        <v>36</v>
      </c>
      <c r="G198" s="745">
        <v>2.0043571200000002E-2</v>
      </c>
      <c r="H198" s="746">
        <v>1</v>
      </c>
      <c r="I198" s="626"/>
      <c r="J198" s="752"/>
      <c r="K198" s="416"/>
      <c r="L198" s="456" t="s">
        <v>56</v>
      </c>
      <c r="M198" s="456" t="s">
        <v>1257</v>
      </c>
      <c r="N198" s="456" t="s">
        <v>1078</v>
      </c>
      <c r="O198" s="456"/>
      <c r="P198" s="456" t="s">
        <v>1155</v>
      </c>
      <c r="Q198" s="456"/>
      <c r="R198" s="456">
        <v>0</v>
      </c>
      <c r="S198" s="416"/>
      <c r="T198" s="752"/>
      <c r="U198" s="416"/>
      <c r="V198" s="609">
        <f>IF(W198=1,G198,0)</f>
        <v>0</v>
      </c>
      <c r="W198" s="746"/>
    </row>
    <row r="199" spans="2:23" s="820" customFormat="1" outlineLevel="1">
      <c r="B199" s="682" t="s">
        <v>1402</v>
      </c>
      <c r="C199" s="682" t="s">
        <v>1403</v>
      </c>
      <c r="D199" s="682"/>
      <c r="E199" s="682"/>
      <c r="F199" s="681" t="s">
        <v>947</v>
      </c>
      <c r="G199" s="708">
        <f>SUBTOTAL(9,G200:G202)</f>
        <v>2.5364152</v>
      </c>
      <c r="H199" s="709">
        <f>SUBTOTAL(9,H200:H202)</f>
        <v>2</v>
      </c>
      <c r="I199" s="747"/>
      <c r="J199" s="759"/>
      <c r="K199" s="748"/>
      <c r="L199" s="682"/>
      <c r="M199" s="682"/>
      <c r="N199" s="682"/>
      <c r="O199" s="682"/>
      <c r="P199" s="682"/>
      <c r="Q199" s="682"/>
      <c r="R199" s="682"/>
      <c r="S199" s="748"/>
      <c r="T199" s="759"/>
      <c r="U199" s="748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1402</v>
      </c>
      <c r="C200" s="684" t="s">
        <v>1403</v>
      </c>
      <c r="D200" s="684" t="s">
        <v>518</v>
      </c>
      <c r="E200" s="684"/>
      <c r="F200" s="685" t="s">
        <v>971</v>
      </c>
      <c r="G200" s="686">
        <f>SUBTOTAL(9,G201:G202)</f>
        <v>2.5364152</v>
      </c>
      <c r="H200" s="691">
        <f>SUBTOTAL(9,H201:H202)</f>
        <v>2</v>
      </c>
      <c r="I200" s="626"/>
      <c r="J200" s="752"/>
      <c r="K200" s="416"/>
      <c r="L200" s="684"/>
      <c r="M200" s="684"/>
      <c r="N200" s="684"/>
      <c r="O200" s="684"/>
      <c r="P200" s="684"/>
      <c r="Q200" s="684"/>
      <c r="R200" s="684"/>
      <c r="S200" s="416"/>
      <c r="T200" s="752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1402</v>
      </c>
      <c r="C201" s="376" t="s">
        <v>1403</v>
      </c>
      <c r="D201" s="376" t="s">
        <v>518</v>
      </c>
      <c r="E201" s="376" t="s">
        <v>56</v>
      </c>
      <c r="F201" s="608" t="s">
        <v>1405</v>
      </c>
      <c r="G201" s="609">
        <v>1.0864152</v>
      </c>
      <c r="H201" s="692">
        <v>1</v>
      </c>
      <c r="I201" s="626"/>
      <c r="J201" s="752"/>
      <c r="K201" s="416"/>
      <c r="L201" s="376" t="s">
        <v>56</v>
      </c>
      <c r="M201" s="376" t="s">
        <v>1038</v>
      </c>
      <c r="N201" s="376" t="s">
        <v>1039</v>
      </c>
      <c r="O201" s="376" t="s">
        <v>1078</v>
      </c>
      <c r="P201" s="376" t="s">
        <v>1040</v>
      </c>
      <c r="Q201" s="376"/>
      <c r="R201" s="376">
        <v>0</v>
      </c>
      <c r="S201" s="416"/>
      <c r="T201" s="752"/>
      <c r="U201" s="416"/>
      <c r="V201" s="609">
        <f>IF(W201=1,G201,0)</f>
        <v>0</v>
      </c>
      <c r="W201" s="692"/>
    </row>
    <row r="202" spans="2:23" outlineLevel="3">
      <c r="B202" s="376" t="s">
        <v>1402</v>
      </c>
      <c r="C202" s="376" t="s">
        <v>1403</v>
      </c>
      <c r="D202" s="376" t="s">
        <v>518</v>
      </c>
      <c r="E202" s="376" t="s">
        <v>56</v>
      </c>
      <c r="F202" s="608" t="s">
        <v>1341</v>
      </c>
      <c r="G202" s="609">
        <v>1.45</v>
      </c>
      <c r="H202" s="692">
        <v>1</v>
      </c>
      <c r="I202" s="626"/>
      <c r="J202" s="752"/>
      <c r="K202" s="416"/>
      <c r="L202" s="376" t="s">
        <v>56</v>
      </c>
      <c r="M202" s="376" t="s">
        <v>1038</v>
      </c>
      <c r="N202" s="376" t="s">
        <v>1039</v>
      </c>
      <c r="O202" s="376" t="s">
        <v>1078</v>
      </c>
      <c r="P202" s="376" t="s">
        <v>1040</v>
      </c>
      <c r="Q202" s="376"/>
      <c r="R202" s="376">
        <v>0</v>
      </c>
      <c r="S202" s="416"/>
      <c r="T202" s="752"/>
      <c r="U202" s="416"/>
      <c r="V202" s="609">
        <f>IF(W202=1,G202,0)</f>
        <v>0</v>
      </c>
      <c r="W202" s="692"/>
    </row>
    <row r="203" spans="2:23" outlineLevel="1">
      <c r="B203" s="666" t="s">
        <v>236</v>
      </c>
      <c r="C203" s="666" t="s">
        <v>1406</v>
      </c>
      <c r="D203" s="667"/>
      <c r="E203" s="665"/>
      <c r="F203" s="681" t="s">
        <v>947</v>
      </c>
      <c r="G203" s="708">
        <f>SUBTOTAL(9,G204:G205)</f>
        <v>4.0201798335435006</v>
      </c>
      <c r="H203" s="709">
        <f>SUBTOTAL(9,H204:H205)</f>
        <v>1</v>
      </c>
      <c r="I203" s="626"/>
      <c r="J203" s="752"/>
      <c r="K203" s="416"/>
      <c r="L203" s="665"/>
      <c r="M203" s="665"/>
      <c r="N203" s="665"/>
      <c r="O203" s="665"/>
      <c r="P203" s="665"/>
      <c r="Q203" s="665"/>
      <c r="R203" s="665"/>
      <c r="S203" s="416"/>
      <c r="T203" s="752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236</v>
      </c>
      <c r="C204" s="687" t="s">
        <v>1406</v>
      </c>
      <c r="D204" s="684" t="s">
        <v>518</v>
      </c>
      <c r="E204" s="684"/>
      <c r="F204" s="685" t="s">
        <v>36</v>
      </c>
      <c r="G204" s="686">
        <f>SUBTOTAL(9,G205)</f>
        <v>4.0201798335435006</v>
      </c>
      <c r="H204" s="691">
        <f>SUBTOTAL(9,H205)</f>
        <v>1</v>
      </c>
      <c r="I204" s="626"/>
      <c r="J204" s="752"/>
      <c r="K204" s="416"/>
      <c r="L204" s="684"/>
      <c r="M204" s="684"/>
      <c r="N204" s="684"/>
      <c r="O204" s="684"/>
      <c r="P204" s="684"/>
      <c r="Q204" s="684"/>
      <c r="R204" s="684"/>
      <c r="S204" s="416"/>
      <c r="T204" s="752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236</v>
      </c>
      <c r="C205" s="387" t="s">
        <v>1406</v>
      </c>
      <c r="D205" s="376" t="s">
        <v>518</v>
      </c>
      <c r="E205" s="376" t="s">
        <v>56</v>
      </c>
      <c r="F205" s="608" t="s">
        <v>36</v>
      </c>
      <c r="G205" s="609">
        <v>4.0201798335435006</v>
      </c>
      <c r="H205" s="692">
        <v>1</v>
      </c>
      <c r="I205" s="626"/>
      <c r="J205" s="752"/>
      <c r="K205" s="416"/>
      <c r="L205" s="376" t="s">
        <v>56</v>
      </c>
      <c r="M205" s="376" t="s">
        <v>1284</v>
      </c>
      <c r="N205" s="376" t="s">
        <v>960</v>
      </c>
      <c r="O205" s="376" t="s">
        <v>1344</v>
      </c>
      <c r="P205" s="376" t="s">
        <v>1040</v>
      </c>
      <c r="Q205" s="376"/>
      <c r="R205" s="376">
        <v>0</v>
      </c>
      <c r="S205" s="416"/>
      <c r="T205" s="752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50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50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1950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2"/>
      <c r="L2" s="418"/>
      <c r="M2" s="418"/>
      <c r="N2" s="418"/>
      <c r="O2" s="418"/>
      <c r="P2" s="418"/>
      <c r="Q2" s="418"/>
      <c r="R2" s="418"/>
      <c r="T2" s="752"/>
      <c r="V2" s="689">
        <f>SUBTOTAL(9,V6:V45)</f>
        <v>0</v>
      </c>
      <c r="W2" s="765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L3" s="376"/>
      <c r="M3" s="376"/>
      <c r="N3" s="376"/>
      <c r="O3" s="376"/>
      <c r="P3" s="376"/>
      <c r="Q3" s="376"/>
      <c r="R3" s="376"/>
      <c r="T3" s="752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T4" s="753"/>
      <c r="V4" s="621" t="s">
        <v>943</v>
      </c>
      <c r="W4" s="693" t="s">
        <v>944</v>
      </c>
      <c r="X4" s="764">
        <f>V2/G2</f>
        <v>0</v>
      </c>
      <c r="Y4" s="764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2"/>
      <c r="L5" s="376"/>
      <c r="M5" s="376"/>
      <c r="N5" s="376"/>
      <c r="O5" s="376"/>
      <c r="P5" s="376"/>
      <c r="Q5" s="376"/>
      <c r="R5" s="376"/>
      <c r="T5" s="752"/>
      <c r="V5" s="695"/>
      <c r="W5" s="696"/>
      <c r="X5" s="610"/>
      <c r="Y5" s="610"/>
      <c r="Z5" s="610"/>
      <c r="AA5" s="610"/>
    </row>
    <row r="6" spans="1:27" ht="15">
      <c r="A6" s="376"/>
      <c r="B6" s="430" t="s">
        <v>945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2"/>
      <c r="L6" s="430"/>
      <c r="M6" s="430"/>
      <c r="N6" s="430"/>
      <c r="O6" s="430"/>
      <c r="P6" s="430"/>
      <c r="Q6" s="430"/>
      <c r="R6" s="430"/>
      <c r="T6" s="752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2"/>
      <c r="L7" s="376"/>
      <c r="M7" s="376"/>
      <c r="N7" s="376"/>
      <c r="O7" s="376"/>
      <c r="P7" s="376"/>
      <c r="Q7" s="376"/>
      <c r="R7" s="376"/>
      <c r="T7" s="752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1260</v>
      </c>
      <c r="C8" s="666" t="s">
        <v>160</v>
      </c>
      <c r="D8" s="666"/>
      <c r="E8" s="666"/>
      <c r="F8" s="681" t="s">
        <v>947</v>
      </c>
      <c r="G8" s="724">
        <f>SUBTOTAL(9,G9:G44)</f>
        <v>0</v>
      </c>
      <c r="H8" s="725">
        <f>SUBTOTAL(9,H9:H44)</f>
        <v>25</v>
      </c>
      <c r="I8" s="626"/>
      <c r="J8" s="752"/>
      <c r="L8" s="666"/>
      <c r="M8" s="666"/>
      <c r="N8" s="666"/>
      <c r="O8" s="666"/>
      <c r="P8" s="666"/>
      <c r="Q8" s="666"/>
      <c r="R8" s="666"/>
      <c r="T8" s="752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162</v>
      </c>
      <c r="C9" s="684" t="s">
        <v>1261</v>
      </c>
      <c r="D9" s="684" t="s">
        <v>159</v>
      </c>
      <c r="E9" s="684"/>
      <c r="F9" s="685" t="s">
        <v>1261</v>
      </c>
      <c r="G9" s="691">
        <f>SUBTOTAL(9,G10:G11)</f>
        <v>0</v>
      </c>
      <c r="H9" s="714">
        <f>SUBTOTAL(9,H10:H11)</f>
        <v>2</v>
      </c>
      <c r="I9" s="626"/>
      <c r="J9" s="752"/>
      <c r="L9" s="684"/>
      <c r="M9" s="684"/>
      <c r="N9" s="684"/>
      <c r="O9" s="684"/>
      <c r="P9" s="684"/>
      <c r="Q9" s="684"/>
      <c r="R9" s="684"/>
      <c r="T9" s="752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162</v>
      </c>
      <c r="C10" s="387" t="s">
        <v>160</v>
      </c>
      <c r="D10" s="376" t="s">
        <v>159</v>
      </c>
      <c r="E10" s="376" t="s">
        <v>47</v>
      </c>
      <c r="F10" s="705" t="s">
        <v>1263</v>
      </c>
      <c r="H10" s="769">
        <v>1</v>
      </c>
      <c r="I10" s="626"/>
      <c r="J10" s="752"/>
      <c r="L10" s="376" t="s">
        <v>47</v>
      </c>
      <c r="M10" s="376"/>
      <c r="N10" s="376"/>
      <c r="O10" s="376"/>
      <c r="P10" s="376"/>
      <c r="Q10" s="376"/>
      <c r="R10" s="376"/>
      <c r="T10" s="752"/>
      <c r="W10" s="696"/>
      <c r="X10" s="610"/>
      <c r="Y10" s="610"/>
      <c r="Z10" s="610"/>
    </row>
    <row r="11" spans="1:27" outlineLevel="3">
      <c r="A11" s="376"/>
      <c r="B11" s="376" t="s">
        <v>162</v>
      </c>
      <c r="C11" s="387" t="s">
        <v>160</v>
      </c>
      <c r="D11" s="376" t="s">
        <v>159</v>
      </c>
      <c r="E11" s="376" t="s">
        <v>47</v>
      </c>
      <c r="F11" s="705" t="s">
        <v>1264</v>
      </c>
      <c r="H11" s="769">
        <v>1</v>
      </c>
      <c r="I11" s="626"/>
      <c r="J11" s="752"/>
      <c r="L11" s="376" t="s">
        <v>47</v>
      </c>
      <c r="M11" s="376"/>
      <c r="N11" s="376"/>
      <c r="O11" s="376"/>
      <c r="P11" s="376"/>
      <c r="Q11" s="376"/>
      <c r="R11" s="376"/>
      <c r="T11" s="752"/>
      <c r="W11" s="696"/>
      <c r="X11" s="610"/>
      <c r="Y11" s="610"/>
      <c r="Z11" s="610"/>
    </row>
    <row r="12" spans="1:27" outlineLevel="2">
      <c r="A12" s="376"/>
      <c r="B12" s="684" t="s">
        <v>162</v>
      </c>
      <c r="C12" s="684" t="s">
        <v>1265</v>
      </c>
      <c r="D12" s="684" t="s">
        <v>159</v>
      </c>
      <c r="E12" s="684"/>
      <c r="F12" s="685" t="s">
        <v>1265</v>
      </c>
      <c r="G12" s="691"/>
      <c r="H12" s="714">
        <f>SUBTOTAL(9,H13:H15)</f>
        <v>3</v>
      </c>
      <c r="I12" s="626"/>
      <c r="J12" s="752"/>
      <c r="L12" s="684"/>
      <c r="M12" s="684"/>
      <c r="N12" s="684"/>
      <c r="O12" s="684"/>
      <c r="P12" s="684"/>
      <c r="Q12" s="684"/>
      <c r="R12" s="684"/>
      <c r="T12" s="752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162</v>
      </c>
      <c r="C13" s="387" t="s">
        <v>160</v>
      </c>
      <c r="D13" s="376" t="s">
        <v>159</v>
      </c>
      <c r="E13" s="376" t="s">
        <v>47</v>
      </c>
      <c r="F13" s="705" t="s">
        <v>1262</v>
      </c>
      <c r="G13" s="695"/>
      <c r="H13" s="769">
        <v>1</v>
      </c>
      <c r="I13" s="626"/>
      <c r="J13" s="752"/>
      <c r="L13" s="376" t="s">
        <v>47</v>
      </c>
      <c r="M13" s="376"/>
      <c r="N13" s="376"/>
      <c r="O13" s="376"/>
      <c r="P13" s="376"/>
      <c r="Q13" s="376"/>
      <c r="R13" s="376"/>
      <c r="T13" s="752"/>
      <c r="V13" s="695"/>
      <c r="W13" s="696"/>
      <c r="X13" s="610"/>
      <c r="Y13" s="610"/>
      <c r="Z13" s="610"/>
    </row>
    <row r="14" spans="1:27" outlineLevel="3">
      <c r="A14" s="376"/>
      <c r="B14" s="376" t="s">
        <v>162</v>
      </c>
      <c r="C14" s="387" t="s">
        <v>160</v>
      </c>
      <c r="D14" s="376" t="s">
        <v>159</v>
      </c>
      <c r="E14" s="376" t="s">
        <v>47</v>
      </c>
      <c r="F14" s="705" t="s">
        <v>1263</v>
      </c>
      <c r="G14" s="695"/>
      <c r="H14" s="769">
        <v>1</v>
      </c>
      <c r="I14" s="626"/>
      <c r="J14" s="752"/>
      <c r="L14" s="376" t="s">
        <v>47</v>
      </c>
      <c r="M14" s="376"/>
      <c r="N14" s="376"/>
      <c r="O14" s="376"/>
      <c r="P14" s="376"/>
      <c r="Q14" s="376"/>
      <c r="R14" s="376"/>
      <c r="T14" s="752"/>
      <c r="V14" s="695"/>
      <c r="W14" s="696"/>
      <c r="X14" s="610"/>
      <c r="Y14" s="610"/>
      <c r="Z14" s="610"/>
    </row>
    <row r="15" spans="1:27" outlineLevel="3">
      <c r="A15" s="376"/>
      <c r="B15" s="376" t="s">
        <v>162</v>
      </c>
      <c r="C15" s="387" t="s">
        <v>160</v>
      </c>
      <c r="D15" s="376" t="s">
        <v>159</v>
      </c>
      <c r="E15" s="376" t="s">
        <v>47</v>
      </c>
      <c r="F15" s="705" t="s">
        <v>1264</v>
      </c>
      <c r="G15" s="695"/>
      <c r="H15" s="769">
        <v>1</v>
      </c>
      <c r="I15" s="626"/>
      <c r="J15" s="752"/>
      <c r="L15" s="376" t="s">
        <v>47</v>
      </c>
      <c r="M15" s="376"/>
      <c r="N15" s="376"/>
      <c r="O15" s="376"/>
      <c r="P15" s="376"/>
      <c r="Q15" s="376"/>
      <c r="R15" s="376"/>
      <c r="T15" s="752"/>
      <c r="V15" s="695"/>
      <c r="W15" s="696"/>
      <c r="X15" s="610"/>
      <c r="Y15" s="610"/>
      <c r="Z15" s="610"/>
    </row>
    <row r="16" spans="1:27" outlineLevel="2">
      <c r="A16" s="376"/>
      <c r="B16" s="684" t="s">
        <v>162</v>
      </c>
      <c r="C16" s="684" t="s">
        <v>1266</v>
      </c>
      <c r="D16" s="684" t="s">
        <v>159</v>
      </c>
      <c r="E16" s="684"/>
      <c r="F16" s="685" t="s">
        <v>1266</v>
      </c>
      <c r="G16" s="691"/>
      <c r="H16" s="714">
        <f>SUBTOTAL(9,H17:H19)</f>
        <v>3</v>
      </c>
      <c r="I16" s="626"/>
      <c r="J16" s="752"/>
      <c r="L16" s="684"/>
      <c r="M16" s="684"/>
      <c r="N16" s="684"/>
      <c r="O16" s="684"/>
      <c r="P16" s="684"/>
      <c r="Q16" s="684"/>
      <c r="R16" s="684"/>
      <c r="T16" s="752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162</v>
      </c>
      <c r="C17" s="387" t="s">
        <v>160</v>
      </c>
      <c r="D17" s="376" t="s">
        <v>159</v>
      </c>
      <c r="E17" s="376" t="s">
        <v>47</v>
      </c>
      <c r="F17" s="705" t="s">
        <v>1262</v>
      </c>
      <c r="G17" s="695"/>
      <c r="H17" s="769">
        <v>1</v>
      </c>
      <c r="I17" s="626"/>
      <c r="J17" s="752"/>
      <c r="L17" s="376" t="s">
        <v>47</v>
      </c>
      <c r="M17" s="376"/>
      <c r="N17" s="376"/>
      <c r="O17" s="376"/>
      <c r="P17" s="376"/>
      <c r="Q17" s="376"/>
      <c r="R17" s="376"/>
      <c r="T17" s="752"/>
      <c r="V17" s="695"/>
      <c r="W17" s="696"/>
    </row>
    <row r="18" spans="2:23" outlineLevel="3">
      <c r="B18" s="376" t="s">
        <v>162</v>
      </c>
      <c r="C18" s="387" t="s">
        <v>160</v>
      </c>
      <c r="D18" s="376" t="s">
        <v>159</v>
      </c>
      <c r="E18" s="376" t="s">
        <v>47</v>
      </c>
      <c r="F18" s="705" t="s">
        <v>1263</v>
      </c>
      <c r="G18" s="695"/>
      <c r="H18" s="769">
        <v>1</v>
      </c>
      <c r="I18" s="626"/>
      <c r="J18" s="752"/>
      <c r="L18" s="376" t="s">
        <v>47</v>
      </c>
      <c r="M18" s="376"/>
      <c r="N18" s="376"/>
      <c r="O18" s="376"/>
      <c r="P18" s="376"/>
      <c r="Q18" s="376"/>
      <c r="R18" s="376"/>
      <c r="T18" s="752"/>
      <c r="V18" s="695"/>
      <c r="W18" s="696"/>
    </row>
    <row r="19" spans="2:23" outlineLevel="3">
      <c r="B19" s="376" t="s">
        <v>162</v>
      </c>
      <c r="C19" s="387" t="s">
        <v>160</v>
      </c>
      <c r="D19" s="376" t="s">
        <v>159</v>
      </c>
      <c r="E19" s="376" t="s">
        <v>47</v>
      </c>
      <c r="F19" s="705" t="s">
        <v>1264</v>
      </c>
      <c r="G19" s="695"/>
      <c r="H19" s="769">
        <v>1</v>
      </c>
      <c r="I19" s="626"/>
      <c r="J19" s="752"/>
      <c r="L19" s="376" t="s">
        <v>47</v>
      </c>
      <c r="M19" s="376"/>
      <c r="N19" s="376"/>
      <c r="O19" s="376"/>
      <c r="P19" s="376"/>
      <c r="Q19" s="376"/>
      <c r="R19" s="376"/>
      <c r="T19" s="752"/>
      <c r="V19" s="695"/>
      <c r="W19" s="696"/>
    </row>
    <row r="20" spans="2:23" outlineLevel="2">
      <c r="B20" s="684" t="s">
        <v>163</v>
      </c>
      <c r="C20" s="685" t="s">
        <v>1267</v>
      </c>
      <c r="D20" s="684" t="s">
        <v>159</v>
      </c>
      <c r="E20" s="684"/>
      <c r="F20" s="685" t="s">
        <v>1267</v>
      </c>
      <c r="G20" s="691">
        <f>SUBTOTAL(9,G21:G22)</f>
        <v>0</v>
      </c>
      <c r="H20" s="714">
        <f>SUBTOTAL(9,H21:H22)</f>
        <v>2</v>
      </c>
      <c r="I20" s="626"/>
      <c r="J20" s="752"/>
      <c r="L20" s="684"/>
      <c r="M20" s="684"/>
      <c r="N20" s="684"/>
      <c r="O20" s="684"/>
      <c r="P20" s="684"/>
      <c r="Q20" s="684"/>
      <c r="R20" s="684"/>
      <c r="T20" s="752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163</v>
      </c>
      <c r="C21" s="387" t="s">
        <v>160</v>
      </c>
      <c r="D21" s="376" t="s">
        <v>159</v>
      </c>
      <c r="E21" s="376" t="s">
        <v>47</v>
      </c>
      <c r="F21" s="705" t="s">
        <v>1262</v>
      </c>
      <c r="H21" s="769">
        <v>1</v>
      </c>
      <c r="I21" s="626"/>
      <c r="J21" s="752"/>
      <c r="L21" s="376" t="s">
        <v>47</v>
      </c>
      <c r="M21" s="376"/>
      <c r="N21" s="376"/>
      <c r="O21" s="376"/>
      <c r="P21" s="376"/>
      <c r="Q21" s="376"/>
      <c r="R21" s="376"/>
      <c r="T21" s="752"/>
      <c r="W21" s="696"/>
    </row>
    <row r="22" spans="2:23" outlineLevel="3">
      <c r="B22" s="376" t="s">
        <v>163</v>
      </c>
      <c r="C22" s="387" t="s">
        <v>160</v>
      </c>
      <c r="D22" s="376" t="s">
        <v>159</v>
      </c>
      <c r="E22" s="376" t="s">
        <v>47</v>
      </c>
      <c r="F22" s="705" t="s">
        <v>1263</v>
      </c>
      <c r="H22" s="769">
        <v>1</v>
      </c>
      <c r="I22" s="626"/>
      <c r="J22" s="752"/>
      <c r="L22" s="376" t="s">
        <v>47</v>
      </c>
      <c r="M22" s="376"/>
      <c r="N22" s="376"/>
      <c r="O22" s="376"/>
      <c r="P22" s="376"/>
      <c r="Q22" s="376"/>
      <c r="R22" s="376"/>
      <c r="T22" s="752"/>
      <c r="W22" s="696"/>
    </row>
    <row r="23" spans="2:23" outlineLevel="2">
      <c r="B23" s="684" t="s">
        <v>163</v>
      </c>
      <c r="C23" s="685" t="s">
        <v>1268</v>
      </c>
      <c r="D23" s="684" t="s">
        <v>159</v>
      </c>
      <c r="E23" s="684"/>
      <c r="F23" s="685" t="s">
        <v>1268</v>
      </c>
      <c r="G23" s="691"/>
      <c r="H23" s="714">
        <f>SUBTOTAL(9,H24:H25)</f>
        <v>2</v>
      </c>
      <c r="I23" s="626"/>
      <c r="J23" s="752"/>
      <c r="L23" s="684"/>
      <c r="M23" s="684"/>
      <c r="N23" s="684"/>
      <c r="O23" s="684"/>
      <c r="P23" s="684"/>
      <c r="Q23" s="684"/>
      <c r="R23" s="684"/>
      <c r="T23" s="752"/>
      <c r="V23" s="691"/>
      <c r="W23" s="714">
        <f>SUBTOTAL(9,W24:W25)</f>
        <v>0</v>
      </c>
    </row>
    <row r="24" spans="2:23" outlineLevel="3">
      <c r="B24" s="376" t="s">
        <v>163</v>
      </c>
      <c r="C24" s="387" t="s">
        <v>160</v>
      </c>
      <c r="D24" s="376" t="s">
        <v>159</v>
      </c>
      <c r="E24" s="376" t="s">
        <v>47</v>
      </c>
      <c r="F24" s="705" t="s">
        <v>1262</v>
      </c>
      <c r="G24" s="695"/>
      <c r="H24" s="769">
        <v>1</v>
      </c>
      <c r="I24" s="626"/>
      <c r="J24" s="752"/>
      <c r="L24" s="376" t="s">
        <v>47</v>
      </c>
      <c r="M24" s="376"/>
      <c r="N24" s="376"/>
      <c r="O24" s="376"/>
      <c r="P24" s="376"/>
      <c r="Q24" s="376"/>
      <c r="R24" s="376"/>
      <c r="T24" s="752"/>
      <c r="V24" s="695"/>
      <c r="W24" s="696"/>
    </row>
    <row r="25" spans="2:23" outlineLevel="3">
      <c r="B25" s="376" t="s">
        <v>163</v>
      </c>
      <c r="C25" s="387" t="s">
        <v>160</v>
      </c>
      <c r="D25" s="376" t="s">
        <v>159</v>
      </c>
      <c r="E25" s="376" t="s">
        <v>47</v>
      </c>
      <c r="F25" s="705" t="s">
        <v>1263</v>
      </c>
      <c r="G25" s="695"/>
      <c r="H25" s="769">
        <v>1</v>
      </c>
      <c r="I25" s="626"/>
      <c r="J25" s="752"/>
      <c r="L25" s="376" t="s">
        <v>47</v>
      </c>
      <c r="M25" s="376"/>
      <c r="N25" s="376"/>
      <c r="O25" s="376"/>
      <c r="P25" s="376"/>
      <c r="Q25" s="376"/>
      <c r="R25" s="376"/>
      <c r="T25" s="752"/>
      <c r="V25" s="695"/>
      <c r="W25" s="696"/>
    </row>
    <row r="26" spans="2:23" outlineLevel="2">
      <c r="B26" s="684" t="s">
        <v>163</v>
      </c>
      <c r="C26" s="685" t="s">
        <v>1269</v>
      </c>
      <c r="D26" s="684" t="s">
        <v>159</v>
      </c>
      <c r="E26" s="684"/>
      <c r="F26" s="685" t="s">
        <v>1269</v>
      </c>
      <c r="G26" s="691"/>
      <c r="H26" s="714">
        <f>SUBTOTAL(9,H27:H28)</f>
        <v>2</v>
      </c>
      <c r="I26" s="626"/>
      <c r="J26" s="752"/>
      <c r="L26" s="684"/>
      <c r="M26" s="684"/>
      <c r="N26" s="684"/>
      <c r="O26" s="684"/>
      <c r="P26" s="684"/>
      <c r="Q26" s="684"/>
      <c r="R26" s="684"/>
      <c r="T26" s="752"/>
      <c r="V26" s="691"/>
      <c r="W26" s="714">
        <f>SUBTOTAL(9,W27:W28)</f>
        <v>0</v>
      </c>
    </row>
    <row r="27" spans="2:23" outlineLevel="3">
      <c r="B27" s="376" t="s">
        <v>163</v>
      </c>
      <c r="C27" s="387" t="s">
        <v>160</v>
      </c>
      <c r="D27" s="376" t="s">
        <v>159</v>
      </c>
      <c r="E27" s="376" t="s">
        <v>47</v>
      </c>
      <c r="F27" s="705" t="s">
        <v>1262</v>
      </c>
      <c r="G27" s="695"/>
      <c r="H27" s="769">
        <v>1</v>
      </c>
      <c r="I27" s="626"/>
      <c r="J27" s="752"/>
      <c r="L27" s="376" t="s">
        <v>47</v>
      </c>
      <c r="M27" s="376"/>
      <c r="N27" s="376"/>
      <c r="O27" s="376"/>
      <c r="P27" s="376"/>
      <c r="Q27" s="376"/>
      <c r="R27" s="376"/>
      <c r="T27" s="752"/>
      <c r="V27" s="695"/>
      <c r="W27" s="696"/>
    </row>
    <row r="28" spans="2:23" outlineLevel="3">
      <c r="B28" s="376" t="s">
        <v>163</v>
      </c>
      <c r="C28" s="387" t="s">
        <v>160</v>
      </c>
      <c r="D28" s="376" t="s">
        <v>159</v>
      </c>
      <c r="E28" s="376" t="s">
        <v>47</v>
      </c>
      <c r="F28" s="705" t="s">
        <v>1263</v>
      </c>
      <c r="G28" s="695"/>
      <c r="H28" s="769">
        <v>1</v>
      </c>
      <c r="I28" s="626"/>
      <c r="J28" s="752"/>
      <c r="L28" s="376" t="s">
        <v>47</v>
      </c>
      <c r="M28" s="376"/>
      <c r="N28" s="376"/>
      <c r="O28" s="376"/>
      <c r="P28" s="376"/>
      <c r="Q28" s="376"/>
      <c r="R28" s="376"/>
      <c r="T28" s="752"/>
      <c r="V28" s="695"/>
      <c r="W28" s="696"/>
    </row>
    <row r="29" spans="2:23" outlineLevel="2">
      <c r="B29" s="684" t="s">
        <v>164</v>
      </c>
      <c r="C29" s="685" t="s">
        <v>1270</v>
      </c>
      <c r="D29" s="684" t="s">
        <v>159</v>
      </c>
      <c r="E29" s="684"/>
      <c r="F29" s="685" t="s">
        <v>1270</v>
      </c>
      <c r="G29" s="691"/>
      <c r="H29" s="714">
        <f>SUBTOTAL(9,H30:H32)</f>
        <v>3</v>
      </c>
      <c r="I29" s="626"/>
      <c r="J29" s="752"/>
      <c r="L29" s="684"/>
      <c r="M29" s="684"/>
      <c r="N29" s="684"/>
      <c r="O29" s="684"/>
      <c r="P29" s="684"/>
      <c r="Q29" s="684"/>
      <c r="R29" s="684"/>
      <c r="T29" s="752"/>
      <c r="V29" s="691"/>
      <c r="W29" s="714">
        <f>SUBTOTAL(9,W30:W32)</f>
        <v>0</v>
      </c>
    </row>
    <row r="30" spans="2:23" outlineLevel="3">
      <c r="B30" s="376" t="s">
        <v>164</v>
      </c>
      <c r="C30" s="387" t="s">
        <v>160</v>
      </c>
      <c r="D30" s="376" t="s">
        <v>159</v>
      </c>
      <c r="E30" s="376" t="s">
        <v>47</v>
      </c>
      <c r="F30" s="705" t="s">
        <v>1262</v>
      </c>
      <c r="G30" s="695"/>
      <c r="H30" s="769">
        <v>1</v>
      </c>
      <c r="I30" s="626"/>
      <c r="J30" s="752"/>
      <c r="L30" s="376" t="s">
        <v>47</v>
      </c>
      <c r="M30" s="376"/>
      <c r="N30" s="376"/>
      <c r="O30" s="376"/>
      <c r="P30" s="376"/>
      <c r="Q30" s="376"/>
      <c r="R30" s="376"/>
      <c r="T30" s="752"/>
      <c r="V30" s="695"/>
      <c r="W30" s="696"/>
    </row>
    <row r="31" spans="2:23" outlineLevel="3">
      <c r="B31" s="376" t="s">
        <v>164</v>
      </c>
      <c r="C31" s="387" t="s">
        <v>160</v>
      </c>
      <c r="D31" s="376" t="s">
        <v>159</v>
      </c>
      <c r="E31" s="376" t="s">
        <v>47</v>
      </c>
      <c r="F31" s="705" t="s">
        <v>1263</v>
      </c>
      <c r="G31" s="695"/>
      <c r="H31" s="769">
        <v>1</v>
      </c>
      <c r="I31" s="626"/>
      <c r="J31" s="752"/>
      <c r="L31" s="376" t="s">
        <v>47</v>
      </c>
      <c r="M31" s="376"/>
      <c r="N31" s="376"/>
      <c r="O31" s="376"/>
      <c r="P31" s="376"/>
      <c r="Q31" s="376"/>
      <c r="R31" s="376"/>
      <c r="T31" s="752"/>
      <c r="V31" s="695"/>
      <c r="W31" s="696"/>
    </row>
    <row r="32" spans="2:23" s="732" customFormat="1" outlineLevel="3">
      <c r="B32" s="376" t="s">
        <v>164</v>
      </c>
      <c r="C32" s="387" t="s">
        <v>160</v>
      </c>
      <c r="D32" s="376" t="s">
        <v>159</v>
      </c>
      <c r="E32" s="376" t="s">
        <v>47</v>
      </c>
      <c r="F32" s="705" t="s">
        <v>1264</v>
      </c>
      <c r="G32" s="609"/>
      <c r="H32" s="770">
        <v>1</v>
      </c>
      <c r="I32" s="626"/>
      <c r="J32" s="752"/>
      <c r="K32" s="416"/>
      <c r="L32" s="376" t="s">
        <v>47</v>
      </c>
      <c r="M32" s="376"/>
      <c r="N32" s="376"/>
      <c r="O32" s="376"/>
      <c r="P32" s="376"/>
      <c r="Q32" s="376"/>
      <c r="R32" s="376"/>
      <c r="S32" s="416"/>
      <c r="T32" s="752"/>
      <c r="U32" s="416"/>
      <c r="V32" s="609"/>
      <c r="W32" s="727"/>
    </row>
    <row r="33" spans="2:23" outlineLevel="2">
      <c r="B33" s="684" t="s">
        <v>164</v>
      </c>
      <c r="C33" s="685" t="s">
        <v>1271</v>
      </c>
      <c r="D33" s="684" t="s">
        <v>159</v>
      </c>
      <c r="E33" s="684"/>
      <c r="F33" s="685" t="s">
        <v>1271</v>
      </c>
      <c r="G33" s="691"/>
      <c r="H33" s="714">
        <f>SUBTOTAL(9,H34:H36)</f>
        <v>3</v>
      </c>
      <c r="I33" s="626"/>
      <c r="J33" s="752"/>
      <c r="L33" s="684"/>
      <c r="M33" s="684"/>
      <c r="N33" s="684"/>
      <c r="O33" s="684"/>
      <c r="P33" s="684"/>
      <c r="Q33" s="684"/>
      <c r="R33" s="684"/>
      <c r="T33" s="752"/>
      <c r="V33" s="691"/>
      <c r="W33" s="714">
        <f>SUBTOTAL(9,W34:W36)</f>
        <v>0</v>
      </c>
    </row>
    <row r="34" spans="2:23" outlineLevel="3">
      <c r="B34" s="376" t="s">
        <v>164</v>
      </c>
      <c r="C34" s="387" t="s">
        <v>160</v>
      </c>
      <c r="D34" s="376" t="s">
        <v>159</v>
      </c>
      <c r="E34" s="376" t="s">
        <v>47</v>
      </c>
      <c r="F34" s="705" t="s">
        <v>1262</v>
      </c>
      <c r="G34" s="695"/>
      <c r="H34" s="769">
        <v>1</v>
      </c>
      <c r="I34" s="626"/>
      <c r="J34" s="752"/>
      <c r="L34" s="376" t="s">
        <v>47</v>
      </c>
      <c r="M34" s="376"/>
      <c r="N34" s="376"/>
      <c r="O34" s="376"/>
      <c r="P34" s="376"/>
      <c r="Q34" s="376"/>
      <c r="R34" s="376"/>
      <c r="T34" s="752"/>
      <c r="V34" s="695"/>
      <c r="W34" s="696"/>
    </row>
    <row r="35" spans="2:23" outlineLevel="3">
      <c r="B35" s="376" t="s">
        <v>164</v>
      </c>
      <c r="C35" s="387" t="s">
        <v>160</v>
      </c>
      <c r="D35" s="376" t="s">
        <v>159</v>
      </c>
      <c r="E35" s="376" t="s">
        <v>47</v>
      </c>
      <c r="F35" s="705" t="s">
        <v>1263</v>
      </c>
      <c r="G35" s="695"/>
      <c r="H35" s="769">
        <v>1</v>
      </c>
      <c r="I35" s="626"/>
      <c r="J35" s="752"/>
      <c r="L35" s="376" t="s">
        <v>47</v>
      </c>
      <c r="M35" s="376"/>
      <c r="N35" s="376"/>
      <c r="O35" s="376"/>
      <c r="P35" s="376"/>
      <c r="Q35" s="376"/>
      <c r="R35" s="376"/>
      <c r="T35" s="752"/>
      <c r="V35" s="695"/>
      <c r="W35" s="696"/>
    </row>
    <row r="36" spans="2:23" s="732" customFormat="1" outlineLevel="3">
      <c r="B36" s="376" t="s">
        <v>164</v>
      </c>
      <c r="C36" s="387" t="s">
        <v>160</v>
      </c>
      <c r="D36" s="376" t="s">
        <v>159</v>
      </c>
      <c r="E36" s="376" t="s">
        <v>47</v>
      </c>
      <c r="F36" s="705" t="s">
        <v>1264</v>
      </c>
      <c r="G36" s="609"/>
      <c r="H36" s="770">
        <v>1</v>
      </c>
      <c r="I36" s="626"/>
      <c r="J36" s="752"/>
      <c r="K36" s="416"/>
      <c r="L36" s="376" t="s">
        <v>47</v>
      </c>
      <c r="M36" s="376"/>
      <c r="N36" s="376"/>
      <c r="O36" s="376"/>
      <c r="P36" s="376"/>
      <c r="Q36" s="376"/>
      <c r="R36" s="376"/>
      <c r="S36" s="416"/>
      <c r="T36" s="752"/>
      <c r="U36" s="416"/>
      <c r="V36" s="609"/>
      <c r="W36" s="727"/>
    </row>
    <row r="37" spans="2:23" ht="18" customHeight="1" outlineLevel="2">
      <c r="B37" s="684" t="s">
        <v>165</v>
      </c>
      <c r="C37" s="685" t="s">
        <v>1272</v>
      </c>
      <c r="D37" s="684" t="s">
        <v>159</v>
      </c>
      <c r="E37" s="684"/>
      <c r="F37" s="685" t="s">
        <v>1272</v>
      </c>
      <c r="G37" s="691"/>
      <c r="H37" s="731">
        <f>SUBTOTAL(9,H38)</f>
        <v>1</v>
      </c>
      <c r="I37" s="626"/>
      <c r="J37" s="752"/>
      <c r="L37" s="684"/>
      <c r="M37" s="684"/>
      <c r="N37" s="684"/>
      <c r="O37" s="684"/>
      <c r="P37" s="684"/>
      <c r="Q37" s="684"/>
      <c r="R37" s="684"/>
      <c r="T37" s="752"/>
      <c r="V37" s="691"/>
      <c r="W37" s="731">
        <f>SUBTOTAL(9,W38)</f>
        <v>0</v>
      </c>
    </row>
    <row r="38" spans="2:23" outlineLevel="3">
      <c r="B38" s="376" t="s">
        <v>165</v>
      </c>
      <c r="C38" s="387" t="s">
        <v>160</v>
      </c>
      <c r="D38" s="376" t="s">
        <v>159</v>
      </c>
      <c r="E38" s="376" t="s">
        <v>47</v>
      </c>
      <c r="F38" s="705" t="s">
        <v>1262</v>
      </c>
      <c r="G38" s="695"/>
      <c r="H38" s="769">
        <v>1</v>
      </c>
      <c r="I38" s="626"/>
      <c r="J38" s="752"/>
      <c r="L38" s="376" t="s">
        <v>47</v>
      </c>
      <c r="M38" s="376"/>
      <c r="N38" s="376"/>
      <c r="O38" s="376"/>
      <c r="P38" s="376"/>
      <c r="Q38" s="376"/>
      <c r="R38" s="376"/>
      <c r="T38" s="752"/>
      <c r="V38" s="695"/>
      <c r="W38" s="696"/>
    </row>
    <row r="39" spans="2:23" outlineLevel="2">
      <c r="B39" s="684" t="s">
        <v>1273</v>
      </c>
      <c r="C39" s="684" t="s">
        <v>1274</v>
      </c>
      <c r="D39" s="684" t="s">
        <v>159</v>
      </c>
      <c r="E39" s="684"/>
      <c r="F39" s="685" t="s">
        <v>1274</v>
      </c>
      <c r="G39" s="686"/>
      <c r="H39" s="714">
        <f>SUBTOTAL(9,H40:H41)</f>
        <v>2</v>
      </c>
      <c r="I39" s="626"/>
      <c r="J39" s="752"/>
      <c r="L39" s="684"/>
      <c r="M39" s="684"/>
      <c r="N39" s="684"/>
      <c r="O39" s="684"/>
      <c r="P39" s="684"/>
      <c r="Q39" s="684"/>
      <c r="R39" s="684"/>
      <c r="T39" s="752"/>
      <c r="V39" s="686"/>
      <c r="W39" s="714">
        <f>SUBTOTAL(9,W40:W41)</f>
        <v>0</v>
      </c>
    </row>
    <row r="40" spans="2:23" outlineLevel="3">
      <c r="B40" s="376" t="s">
        <v>1273</v>
      </c>
      <c r="C40" s="387" t="s">
        <v>160</v>
      </c>
      <c r="D40" s="376" t="s">
        <v>159</v>
      </c>
      <c r="E40" s="376" t="s">
        <v>47</v>
      </c>
      <c r="F40" s="705" t="s">
        <v>1262</v>
      </c>
      <c r="H40" s="770">
        <v>1</v>
      </c>
      <c r="I40" s="626"/>
      <c r="J40" s="752"/>
      <c r="L40" s="376" t="s">
        <v>47</v>
      </c>
      <c r="M40" s="376"/>
      <c r="N40" s="376"/>
      <c r="O40" s="376"/>
      <c r="P40" s="376"/>
      <c r="Q40" s="376"/>
      <c r="R40" s="376"/>
      <c r="T40" s="752"/>
      <c r="W40" s="727"/>
    </row>
    <row r="41" spans="2:23" outlineLevel="3">
      <c r="B41" s="376" t="s">
        <v>1273</v>
      </c>
      <c r="C41" s="387" t="s">
        <v>160</v>
      </c>
      <c r="D41" s="376" t="s">
        <v>159</v>
      </c>
      <c r="E41" s="376" t="s">
        <v>47</v>
      </c>
      <c r="F41" s="705" t="s">
        <v>1263</v>
      </c>
      <c r="H41" s="770">
        <v>1</v>
      </c>
      <c r="I41" s="626"/>
      <c r="J41" s="752"/>
      <c r="L41" s="376" t="s">
        <v>47</v>
      </c>
      <c r="M41" s="376"/>
      <c r="N41" s="376"/>
      <c r="O41" s="376"/>
      <c r="P41" s="376"/>
      <c r="Q41" s="376"/>
      <c r="R41" s="376"/>
      <c r="T41" s="752"/>
      <c r="W41" s="727"/>
    </row>
    <row r="42" spans="2:23" outlineLevel="2">
      <c r="B42" s="684" t="s">
        <v>1273</v>
      </c>
      <c r="C42" s="684" t="s">
        <v>1275</v>
      </c>
      <c r="D42" s="684" t="s">
        <v>159</v>
      </c>
      <c r="E42" s="684"/>
      <c r="F42" s="685" t="s">
        <v>1275</v>
      </c>
      <c r="G42" s="686"/>
      <c r="H42" s="714">
        <f>SUBTOTAL(9,H43:H44)</f>
        <v>2</v>
      </c>
      <c r="I42" s="626"/>
      <c r="J42" s="752"/>
      <c r="L42" s="684"/>
      <c r="M42" s="684"/>
      <c r="N42" s="684"/>
      <c r="O42" s="684"/>
      <c r="P42" s="684"/>
      <c r="Q42" s="684"/>
      <c r="R42" s="684"/>
      <c r="T42" s="752"/>
      <c r="V42" s="686"/>
      <c r="W42" s="714">
        <f>SUBTOTAL(9,W43:W44)</f>
        <v>0</v>
      </c>
    </row>
    <row r="43" spans="2:23" outlineLevel="3">
      <c r="B43" s="376" t="s">
        <v>1273</v>
      </c>
      <c r="C43" s="387" t="s">
        <v>160</v>
      </c>
      <c r="D43" s="376" t="s">
        <v>159</v>
      </c>
      <c r="E43" s="376" t="s">
        <v>47</v>
      </c>
      <c r="F43" s="705" t="s">
        <v>1262</v>
      </c>
      <c r="G43" s="609"/>
      <c r="H43" s="770">
        <v>1</v>
      </c>
      <c r="I43" s="626"/>
      <c r="J43" s="752"/>
      <c r="L43" s="376" t="s">
        <v>47</v>
      </c>
      <c r="M43" s="376"/>
      <c r="N43" s="376"/>
      <c r="O43" s="376"/>
      <c r="P43" s="376"/>
      <c r="Q43" s="376"/>
      <c r="R43" s="376"/>
      <c r="T43" s="752"/>
      <c r="V43" s="609"/>
      <c r="W43" s="727"/>
    </row>
    <row r="44" spans="2:23" outlineLevel="3">
      <c r="B44" s="376" t="s">
        <v>1273</v>
      </c>
      <c r="C44" s="387" t="s">
        <v>160</v>
      </c>
      <c r="D44" s="376" t="s">
        <v>159</v>
      </c>
      <c r="E44" s="376" t="s">
        <v>47</v>
      </c>
      <c r="F44" s="705" t="s">
        <v>1263</v>
      </c>
      <c r="G44" s="609"/>
      <c r="H44" s="770">
        <v>1</v>
      </c>
      <c r="I44" s="626"/>
      <c r="J44" s="752"/>
      <c r="L44" s="376" t="s">
        <v>47</v>
      </c>
      <c r="M44" s="376"/>
      <c r="N44" s="376"/>
      <c r="O44" s="376"/>
      <c r="P44" s="376"/>
      <c r="Q44" s="376"/>
      <c r="R44" s="376"/>
      <c r="T44" s="752"/>
      <c r="V44" s="609"/>
      <c r="W44" s="727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2"/>
      <c r="L45" s="392"/>
      <c r="M45" s="392"/>
      <c r="N45" s="392"/>
      <c r="O45" s="392"/>
      <c r="P45" s="392"/>
      <c r="Q45" s="392"/>
      <c r="R45" s="392"/>
      <c r="T45" s="752"/>
      <c r="V45" s="695"/>
      <c r="W45" s="700"/>
    </row>
    <row r="46" spans="2:23" ht="15">
      <c r="B46" s="430" t="s">
        <v>1879</v>
      </c>
      <c r="C46" s="430"/>
      <c r="D46" s="430"/>
      <c r="E46" s="430"/>
      <c r="F46" s="697"/>
      <c r="G46" s="739">
        <f>SUBTOTAL(9,G48:G315)</f>
        <v>0.349304</v>
      </c>
      <c r="H46" s="740">
        <f>SUBTOTAL(9,H48:H315)</f>
        <v>4</v>
      </c>
      <c r="I46" s="626"/>
      <c r="J46" s="752"/>
      <c r="L46" s="430"/>
      <c r="M46" s="430"/>
      <c r="N46" s="430"/>
      <c r="O46" s="430"/>
      <c r="P46" s="430"/>
      <c r="Q46" s="430"/>
      <c r="R46" s="430"/>
      <c r="T46" s="752"/>
      <c r="V46" s="739">
        <f>SUBTOTAL(9,V51:V315)</f>
        <v>0</v>
      </c>
      <c r="W46" s="740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2"/>
      <c r="L47" s="376"/>
      <c r="M47" s="376"/>
      <c r="N47" s="376"/>
      <c r="O47" s="376"/>
      <c r="P47" s="376"/>
      <c r="Q47" s="376"/>
      <c r="R47" s="376"/>
      <c r="T47" s="752"/>
      <c r="V47" s="609"/>
      <c r="W47" s="692"/>
    </row>
    <row r="48" spans="2:23" outlineLevel="1">
      <c r="B48" s="666" t="s">
        <v>617</v>
      </c>
      <c r="C48" s="666" t="s">
        <v>1880</v>
      </c>
      <c r="D48" s="667"/>
      <c r="E48" s="665"/>
      <c r="F48" s="681" t="s">
        <v>947</v>
      </c>
      <c r="G48" s="827">
        <f>SUBTOTAL(9,G49:G50)</f>
        <v>0.349304</v>
      </c>
      <c r="H48" s="725">
        <f>SUBTOTAL(9,H49:H50)</f>
        <v>4</v>
      </c>
      <c r="I48" s="626"/>
      <c r="J48" s="752"/>
      <c r="L48" s="665"/>
      <c r="M48" s="665"/>
      <c r="N48" s="665"/>
      <c r="O48" s="665"/>
      <c r="P48" s="665"/>
      <c r="Q48" s="665"/>
      <c r="R48" s="665"/>
      <c r="T48" s="752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1862</v>
      </c>
      <c r="C49" s="687" t="s">
        <v>1881</v>
      </c>
      <c r="D49" s="684" t="s">
        <v>617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2"/>
      <c r="L49" s="684"/>
      <c r="M49" s="684"/>
      <c r="N49" s="684"/>
      <c r="O49" s="684"/>
      <c r="P49" s="684"/>
      <c r="Q49" s="684"/>
      <c r="R49" s="684"/>
      <c r="T49" s="752"/>
      <c r="V49" s="686">
        <f>SUBTOTAL(9,V50:V50)</f>
        <v>0</v>
      </c>
      <c r="W49" s="691">
        <f>SUBTOTAL(9,W50:W50)</f>
        <v>0</v>
      </c>
    </row>
    <row r="50" spans="2:23" outlineLevel="3">
      <c r="B50" s="376" t="s">
        <v>1862</v>
      </c>
      <c r="C50" s="828" t="s">
        <v>1881</v>
      </c>
      <c r="D50" s="376" t="s">
        <v>617</v>
      </c>
      <c r="E50" s="376" t="s">
        <v>47</v>
      </c>
      <c r="F50" s="608" t="s">
        <v>1681</v>
      </c>
      <c r="G50" s="706">
        <v>0.349304</v>
      </c>
      <c r="H50" s="692">
        <v>4</v>
      </c>
      <c r="I50" s="626"/>
      <c r="J50" s="752"/>
      <c r="L50" s="376"/>
      <c r="M50" s="376"/>
      <c r="N50" s="376"/>
      <c r="O50" s="376"/>
      <c r="P50" s="376"/>
      <c r="Q50" s="376"/>
      <c r="R50" s="376"/>
      <c r="T50" s="752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3.15" outlineLevelRow="1"/>
  <cols>
    <col min="2" max="2" width="18.7109375" customWidth="1"/>
    <col min="3" max="3" width="18.28515625" bestFit="1" customWidth="1"/>
    <col min="4" max="4" width="13.7109375" bestFit="1" customWidth="1"/>
    <col min="5" max="5" width="2" bestFit="1" customWidth="1"/>
    <col min="6" max="6" width="14.5703125" bestFit="1" customWidth="1"/>
    <col min="7" max="7" width="26.7109375" bestFit="1" customWidth="1"/>
    <col min="8" max="8" width="57.28515625" bestFit="1" customWidth="1"/>
    <col min="9" max="9" width="37.28515625" bestFit="1" customWidth="1"/>
    <col min="10" max="10" width="55.7109375" bestFit="1" customWidth="1"/>
    <col min="11" max="11" width="26.7109375" bestFit="1" customWidth="1"/>
    <col min="12" max="12" width="52.28515625" bestFit="1" customWidth="1"/>
    <col min="13" max="13" width="51.28515625" bestFit="1" customWidth="1"/>
    <col min="14" max="14" width="59.7109375" bestFit="1" customWidth="1"/>
    <col min="15" max="15" width="32.7109375" bestFit="1" customWidth="1"/>
    <col min="16" max="16" width="19.7109375" bestFit="1" customWidth="1"/>
    <col min="17" max="17" width="20.42578125" bestFit="1" customWidth="1"/>
    <col min="18" max="18" width="47.7109375" bestFit="1" customWidth="1"/>
    <col min="19" max="20" width="28.7109375" bestFit="1" customWidth="1"/>
    <col min="21" max="21" width="26" bestFit="1" customWidth="1"/>
    <col min="22" max="22" width="62" bestFit="1" customWidth="1"/>
    <col min="23" max="23" width="68.7109375" bestFit="1" customWidth="1"/>
    <col min="24" max="24" width="41.42578125" bestFit="1" customWidth="1"/>
    <col min="25" max="25" width="26" bestFit="1" customWidth="1"/>
    <col min="26" max="26" width="31.7109375" bestFit="1" customWidth="1"/>
    <col min="27" max="27" width="32.7109375" bestFit="1" customWidth="1"/>
    <col min="28" max="28" width="44.28515625" bestFit="1" customWidth="1"/>
    <col min="29" max="29" width="21.7109375" bestFit="1" customWidth="1"/>
    <col min="30" max="30" width="19.7109375" bestFit="1" customWidth="1"/>
    <col min="31" max="31" width="23.7109375" bestFit="1" customWidth="1"/>
    <col min="32" max="32" width="31.7109375" bestFit="1" customWidth="1"/>
    <col min="33" max="33" width="29.28515625" bestFit="1" customWidth="1"/>
    <col min="34" max="34" width="27.7109375" bestFit="1" customWidth="1"/>
    <col min="35" max="35" width="32.5703125" bestFit="1" customWidth="1"/>
    <col min="36" max="36" width="40" bestFit="1" customWidth="1"/>
    <col min="37" max="37" width="57.42578125" bestFit="1" customWidth="1"/>
    <col min="38" max="38" width="103.7109375" bestFit="1" customWidth="1"/>
    <col min="39" max="39" width="29.28515625" bestFit="1" customWidth="1"/>
    <col min="40" max="40" width="29.7109375" bestFit="1" customWidth="1"/>
    <col min="41" max="41" width="30.42578125" bestFit="1" customWidth="1"/>
    <col min="42" max="42" width="34.28515625" bestFit="1" customWidth="1"/>
    <col min="43" max="43" width="28.5703125" bestFit="1" customWidth="1"/>
    <col min="44" max="44" width="29.28515625" bestFit="1" customWidth="1"/>
    <col min="45" max="45" width="95.7109375" bestFit="1" customWidth="1"/>
    <col min="46" max="46" width="37" bestFit="1" customWidth="1"/>
    <col min="47" max="47" width="68.5703125" bestFit="1" customWidth="1"/>
    <col min="48" max="48" width="51.5703125" bestFit="1" customWidth="1"/>
    <col min="49" max="50" width="27.7109375" bestFit="1" customWidth="1"/>
    <col min="51" max="51" width="27.5703125" bestFit="1" customWidth="1"/>
    <col min="52" max="52" width="54.5703125" bestFit="1" customWidth="1"/>
    <col min="53" max="53" width="39.7109375" bestFit="1" customWidth="1"/>
    <col min="54" max="54" width="46.28515625" bestFit="1" customWidth="1"/>
    <col min="55" max="55" width="28.28515625" bestFit="1" customWidth="1"/>
    <col min="56" max="56" width="66" bestFit="1" customWidth="1"/>
    <col min="57" max="57" width="82.7109375" bestFit="1" customWidth="1"/>
    <col min="58" max="58" width="50.5703125" bestFit="1" customWidth="1"/>
    <col min="59" max="59" width="37.28515625" bestFit="1" customWidth="1"/>
    <col min="60" max="60" width="45.28515625" bestFit="1" customWidth="1"/>
    <col min="61" max="61" width="43" bestFit="1" customWidth="1"/>
    <col min="62" max="62" width="42.7109375" bestFit="1" customWidth="1"/>
    <col min="63" max="63" width="45.5703125" bestFit="1" customWidth="1"/>
    <col min="64" max="64" width="42.7109375" bestFit="1" customWidth="1"/>
    <col min="65" max="65" width="43.42578125" bestFit="1" customWidth="1"/>
    <col min="66" max="66" width="58.28515625" bestFit="1" customWidth="1"/>
    <col min="67" max="67" width="51.5703125" bestFit="1" customWidth="1"/>
    <col min="68" max="68" width="45.7109375" bestFit="1" customWidth="1"/>
    <col min="69" max="69" width="34" bestFit="1" customWidth="1"/>
    <col min="70" max="70" width="25.7109375" bestFit="1" customWidth="1"/>
    <col min="71" max="71" width="39" bestFit="1" customWidth="1"/>
    <col min="72" max="73" width="53.28515625" bestFit="1" customWidth="1"/>
    <col min="74" max="74" width="37.7109375" bestFit="1" customWidth="1"/>
    <col min="75" max="75" width="53.7109375" bestFit="1" customWidth="1"/>
    <col min="76" max="76" width="28.28515625" bestFit="1" customWidth="1"/>
    <col min="77" max="77" width="24.28515625" bestFit="1" customWidth="1"/>
    <col min="78" max="78" width="21.28515625" bestFit="1" customWidth="1"/>
    <col min="79" max="79" width="43.28515625" bestFit="1" customWidth="1"/>
    <col min="80" max="80" width="18.42578125" bestFit="1" customWidth="1"/>
    <col min="81" max="81" width="40.28515625" bestFit="1" customWidth="1"/>
    <col min="82" max="82" width="27.5703125" bestFit="1" customWidth="1"/>
    <col min="83" max="83" width="30.42578125" bestFit="1" customWidth="1"/>
    <col min="84" max="84" width="55.5703125" bestFit="1" customWidth="1"/>
    <col min="85" max="85" width="32" bestFit="1" customWidth="1"/>
    <col min="86" max="86" width="52.7109375" bestFit="1" customWidth="1"/>
    <col min="87" max="87" width="29.28515625" bestFit="1" customWidth="1"/>
    <col min="88" max="88" width="46.28515625" bestFit="1" customWidth="1"/>
    <col min="89" max="89" width="26.7109375" bestFit="1" customWidth="1"/>
    <col min="90" max="90" width="42" bestFit="1" customWidth="1"/>
    <col min="91" max="91" width="31.28515625" bestFit="1" customWidth="1"/>
    <col min="92" max="92" width="47.28515625" bestFit="1" customWidth="1"/>
    <col min="93" max="93" width="90.28515625" bestFit="1" customWidth="1"/>
    <col min="94" max="94" width="62.28515625" bestFit="1" customWidth="1"/>
    <col min="95" max="95" width="35.28515625" bestFit="1" customWidth="1"/>
    <col min="96" max="96" width="34.7109375" bestFit="1" customWidth="1"/>
    <col min="97" max="97" width="39.7109375" bestFit="1" customWidth="1"/>
    <col min="98" max="98" width="32.28515625" bestFit="1" customWidth="1"/>
    <col min="99" max="99" width="35.42578125" bestFit="1" customWidth="1"/>
    <col min="100" max="100" width="39.7109375" bestFit="1" customWidth="1"/>
    <col min="101" max="101" width="32" bestFit="1" customWidth="1"/>
    <col min="102" max="102" width="34" bestFit="1" customWidth="1"/>
    <col min="103" max="103" width="34.42578125" bestFit="1" customWidth="1"/>
    <col min="104" max="104" width="34" bestFit="1" customWidth="1"/>
    <col min="105" max="105" width="39.28515625" bestFit="1" customWidth="1"/>
    <col min="106" max="106" width="31.28515625" bestFit="1" customWidth="1"/>
    <col min="107" max="107" width="20.5703125" bestFit="1" customWidth="1"/>
    <col min="108" max="108" width="41" bestFit="1" customWidth="1"/>
    <col min="109" max="109" width="25.7109375" bestFit="1" customWidth="1"/>
    <col min="110" max="110" width="27.5703125" bestFit="1" customWidth="1"/>
    <col min="111" max="111" width="54" bestFit="1" customWidth="1"/>
    <col min="112" max="113" width="26.7109375" bestFit="1" customWidth="1"/>
    <col min="114" max="114" width="43.28515625" bestFit="1" customWidth="1"/>
    <col min="115" max="115" width="19" bestFit="1" customWidth="1"/>
    <col min="116" max="116" width="27.28515625" bestFit="1" customWidth="1"/>
    <col min="117" max="117" width="26.28515625" bestFit="1" customWidth="1"/>
    <col min="118" max="118" width="43" bestFit="1" customWidth="1"/>
    <col min="119" max="119" width="47.7109375" bestFit="1" customWidth="1"/>
    <col min="120" max="120" width="56.42578125" bestFit="1" customWidth="1"/>
    <col min="121" max="122" width="25.7109375" bestFit="1" customWidth="1"/>
    <col min="123" max="123" width="93.42578125" bestFit="1" customWidth="1"/>
    <col min="124" max="124" width="71.5703125" bestFit="1" customWidth="1"/>
    <col min="125" max="125" width="32.7109375" bestFit="1" customWidth="1"/>
    <col min="126" max="126" width="33.42578125" bestFit="1" customWidth="1"/>
    <col min="127" max="127" width="44.7109375" bestFit="1" customWidth="1"/>
    <col min="128" max="128" width="46.5703125" bestFit="1" customWidth="1"/>
    <col min="129" max="129" width="42.28515625" bestFit="1" customWidth="1"/>
    <col min="130" max="130" width="41.42578125" bestFit="1" customWidth="1"/>
    <col min="131" max="131" width="33.42578125" bestFit="1" customWidth="1"/>
    <col min="132" max="132" width="44.7109375" bestFit="1" customWidth="1"/>
    <col min="133" max="133" width="40.7109375" bestFit="1" customWidth="1"/>
    <col min="134" max="134" width="40" bestFit="1" customWidth="1"/>
    <col min="135" max="135" width="36.7109375" bestFit="1" customWidth="1"/>
    <col min="136" max="137" width="42.28515625" bestFit="1" customWidth="1"/>
    <col min="138" max="138" width="41.42578125" bestFit="1" customWidth="1"/>
    <col min="139" max="139" width="33.42578125" bestFit="1" customWidth="1"/>
    <col min="140" max="140" width="31.7109375" bestFit="1" customWidth="1"/>
    <col min="141" max="141" width="45.28515625" bestFit="1" customWidth="1"/>
    <col min="142" max="142" width="42.7109375" bestFit="1" customWidth="1"/>
    <col min="143" max="143" width="48.42578125" bestFit="1" customWidth="1"/>
    <col min="144" max="145" width="92.7109375" bestFit="1" customWidth="1"/>
    <col min="146" max="146" width="39.5703125" bestFit="1" customWidth="1"/>
    <col min="147" max="147" width="92.7109375" bestFit="1" customWidth="1"/>
    <col min="148" max="148" width="39.5703125" bestFit="1" customWidth="1"/>
    <col min="149" max="149" width="39.28515625" bestFit="1" customWidth="1"/>
    <col min="150" max="150" width="38.5703125" bestFit="1" customWidth="1"/>
    <col min="151" max="151" width="39.42578125" bestFit="1" customWidth="1"/>
    <col min="152" max="152" width="38.7109375" bestFit="1" customWidth="1"/>
    <col min="153" max="153" width="35.7109375" bestFit="1" customWidth="1"/>
    <col min="154" max="154" width="39.42578125" bestFit="1" customWidth="1"/>
    <col min="155" max="155" width="38.7109375" bestFit="1" customWidth="1"/>
    <col min="156" max="156" width="35.7109375" bestFit="1" customWidth="1"/>
    <col min="157" max="157" width="39.42578125" bestFit="1" customWidth="1"/>
    <col min="158" max="158" width="38.7109375" bestFit="1" customWidth="1"/>
    <col min="159" max="159" width="35.7109375" bestFit="1" customWidth="1"/>
    <col min="160" max="160" width="39.42578125" bestFit="1" customWidth="1"/>
    <col min="161" max="161" width="38.7109375" bestFit="1" customWidth="1"/>
    <col min="162" max="162" width="35.7109375" bestFit="1" customWidth="1"/>
    <col min="163" max="163" width="33.7109375" bestFit="1" customWidth="1"/>
    <col min="164" max="164" width="58" bestFit="1" customWidth="1"/>
    <col min="165" max="165" width="36.7109375" bestFit="1" customWidth="1"/>
    <col min="166" max="166" width="62" bestFit="1" customWidth="1"/>
    <col min="167" max="167" width="60.28515625" bestFit="1" customWidth="1"/>
    <col min="168" max="168" width="60.7109375" bestFit="1" customWidth="1"/>
    <col min="169" max="169" width="41.42578125" bestFit="1" customWidth="1"/>
    <col min="170" max="170" width="62" bestFit="1" customWidth="1"/>
    <col min="171" max="171" width="60.28515625" bestFit="1" customWidth="1"/>
    <col min="172" max="172" width="60.7109375" bestFit="1" customWidth="1"/>
    <col min="173" max="173" width="41.42578125" bestFit="1" customWidth="1"/>
    <col min="174" max="174" width="61.7109375" bestFit="1" customWidth="1"/>
    <col min="175" max="175" width="62" bestFit="1" customWidth="1"/>
    <col min="176" max="176" width="60.28515625" bestFit="1" customWidth="1"/>
    <col min="177" max="177" width="62" bestFit="1" customWidth="1"/>
    <col min="178" max="178" width="60.28515625" bestFit="1" customWidth="1"/>
    <col min="179" max="179" width="60.7109375" bestFit="1" customWidth="1"/>
    <col min="180" max="180" width="41.42578125" bestFit="1" customWidth="1"/>
    <col min="181" max="181" width="33.42578125" bestFit="1" customWidth="1"/>
    <col min="182" max="182" width="67.28515625" bestFit="1" customWidth="1"/>
    <col min="183" max="183" width="48.28515625" bestFit="1" customWidth="1"/>
    <col min="184" max="184" width="54.5703125" bestFit="1" customWidth="1"/>
    <col min="185" max="185" width="79.7109375" bestFit="1" customWidth="1"/>
    <col min="186" max="186" width="65.7109375" bestFit="1" customWidth="1"/>
    <col min="187" max="187" width="17.5703125" bestFit="1" customWidth="1"/>
    <col min="188" max="188" width="43.28515625" bestFit="1" customWidth="1"/>
    <col min="189" max="189" width="41.42578125" bestFit="1" customWidth="1"/>
    <col min="190" max="190" width="44.28515625" bestFit="1" customWidth="1"/>
    <col min="191" max="191" width="56.7109375" bestFit="1" customWidth="1"/>
    <col min="192" max="192" width="45.42578125" bestFit="1" customWidth="1"/>
    <col min="193" max="193" width="36.28515625" bestFit="1" customWidth="1"/>
    <col min="194" max="194" width="52.28515625" bestFit="1" customWidth="1"/>
    <col min="195" max="195" width="26.42578125" bestFit="1" customWidth="1"/>
    <col min="196" max="196" width="37.28515625" bestFit="1" customWidth="1"/>
    <col min="197" max="197" width="27.28515625" bestFit="1" customWidth="1"/>
    <col min="198" max="198" width="49.7109375" bestFit="1" customWidth="1"/>
    <col min="199" max="200" width="38.7109375" bestFit="1" customWidth="1"/>
    <col min="201" max="201" width="48.28515625" bestFit="1" customWidth="1"/>
    <col min="202" max="202" width="45.28515625" bestFit="1" customWidth="1"/>
    <col min="203" max="203" width="36" bestFit="1" customWidth="1"/>
    <col min="204" max="204" width="20.7109375" bestFit="1" customWidth="1"/>
    <col min="205" max="205" width="36.28515625" bestFit="1" customWidth="1"/>
    <col min="206" max="206" width="19" bestFit="1" customWidth="1"/>
    <col min="207" max="207" width="20.28515625" bestFit="1" customWidth="1"/>
    <col min="208" max="208" width="33" bestFit="1" customWidth="1"/>
    <col min="209" max="209" width="30" bestFit="1" customWidth="1"/>
    <col min="210" max="210" width="52.7109375" bestFit="1" customWidth="1"/>
    <col min="211" max="211" width="25.7109375" bestFit="1" customWidth="1"/>
    <col min="212" max="213" width="37.7109375" bestFit="1" customWidth="1"/>
    <col min="214" max="214" width="25.5703125" bestFit="1" customWidth="1"/>
    <col min="215" max="215" width="17.7109375" bestFit="1" customWidth="1"/>
    <col min="216" max="216" width="26" bestFit="1" customWidth="1"/>
    <col min="217" max="217" width="44.5703125" bestFit="1" customWidth="1"/>
    <col min="218" max="218" width="42.28515625" bestFit="1" customWidth="1"/>
    <col min="219" max="219" width="32" bestFit="1" customWidth="1"/>
    <col min="220" max="220" width="45.5703125" bestFit="1" customWidth="1"/>
    <col min="221" max="221" width="21.5703125" bestFit="1" customWidth="1"/>
    <col min="222" max="222" width="52" bestFit="1" customWidth="1"/>
    <col min="223" max="223" width="41.5703125" bestFit="1" customWidth="1"/>
    <col min="224" max="224" width="52.28515625" bestFit="1" customWidth="1"/>
    <col min="225" max="225" width="50.7109375" bestFit="1" customWidth="1"/>
    <col min="226" max="226" width="36.28515625" bestFit="1" customWidth="1"/>
    <col min="227" max="227" width="33.7109375" bestFit="1" customWidth="1"/>
    <col min="228" max="228" width="59.7109375" bestFit="1" customWidth="1"/>
    <col min="229" max="229" width="49.7109375" bestFit="1" customWidth="1"/>
    <col min="230" max="230" width="18.42578125" bestFit="1" customWidth="1"/>
    <col min="231" max="231" width="20.7109375" bestFit="1" customWidth="1"/>
    <col min="232" max="232" width="15.7109375" bestFit="1" customWidth="1"/>
    <col min="233" max="233" width="80" bestFit="1" customWidth="1"/>
    <col min="234" max="234" width="42.28515625" bestFit="1" customWidth="1"/>
    <col min="235" max="235" width="48" bestFit="1" customWidth="1"/>
    <col min="236" max="237" width="43.28515625" bestFit="1" customWidth="1"/>
    <col min="238" max="238" width="41" bestFit="1" customWidth="1"/>
    <col min="239" max="239" width="46.42578125" bestFit="1" customWidth="1"/>
    <col min="240" max="240" width="86.28515625" bestFit="1" customWidth="1"/>
    <col min="241" max="241" width="54.28515625" bestFit="1" customWidth="1"/>
    <col min="242" max="242" width="79.7109375" bestFit="1" customWidth="1"/>
    <col min="243" max="244" width="46.28515625" bestFit="1" customWidth="1"/>
    <col min="245" max="247" width="43.28515625" bestFit="1" customWidth="1"/>
    <col min="248" max="248" width="36.7109375" bestFit="1" customWidth="1"/>
    <col min="249" max="249" width="53.7109375" bestFit="1" customWidth="1"/>
    <col min="250" max="250" width="90.7109375" bestFit="1" customWidth="1"/>
    <col min="251" max="251" width="54.28515625" bestFit="1" customWidth="1"/>
    <col min="252" max="252" width="51.5703125" bestFit="1" customWidth="1"/>
    <col min="253" max="253" width="59.5703125" bestFit="1" customWidth="1"/>
    <col min="254" max="254" width="69.28515625" bestFit="1" customWidth="1"/>
    <col min="255" max="255" width="43.7109375" bestFit="1" customWidth="1"/>
    <col min="256" max="256" width="86.7109375" bestFit="1" customWidth="1"/>
    <col min="257" max="257" width="34.28515625" bestFit="1" customWidth="1"/>
    <col min="258" max="258" width="70" bestFit="1" customWidth="1"/>
    <col min="259" max="260" width="78.28515625" bestFit="1" customWidth="1"/>
    <col min="261" max="261" width="25.42578125" bestFit="1" customWidth="1"/>
    <col min="262" max="262" width="40.28515625" bestFit="1" customWidth="1"/>
    <col min="263" max="263" width="48.28515625" bestFit="1" customWidth="1"/>
    <col min="264" max="264" width="49.7109375" bestFit="1" customWidth="1"/>
    <col min="265" max="265" width="63.5703125" bestFit="1" customWidth="1"/>
    <col min="266" max="266" width="68.28515625" bestFit="1" customWidth="1"/>
    <col min="267" max="267" width="49.28515625" bestFit="1" customWidth="1"/>
    <col min="268" max="268" width="53.28515625" bestFit="1" customWidth="1"/>
    <col min="269" max="269" width="7.28515625" bestFit="1" customWidth="1"/>
    <col min="270" max="270" width="77.28515625" bestFit="1" customWidth="1"/>
    <col min="271" max="271" width="67.5703125" bestFit="1" customWidth="1"/>
    <col min="272" max="272" width="56.28515625" bestFit="1" customWidth="1"/>
    <col min="273" max="273" width="21.28515625" bestFit="1" customWidth="1"/>
    <col min="274" max="274" width="9.7109375" bestFit="1" customWidth="1"/>
    <col min="275" max="275" width="10.5703125" bestFit="1" customWidth="1"/>
    <col min="276" max="276" width="14.5703125" bestFit="1" customWidth="1"/>
    <col min="277" max="277" width="33.7109375" bestFit="1" customWidth="1"/>
    <col min="278" max="278" width="25.28515625" bestFit="1" customWidth="1"/>
    <col min="279" max="279" width="39" bestFit="1" customWidth="1"/>
    <col min="280" max="280" width="46.7109375" bestFit="1" customWidth="1"/>
    <col min="281" max="281" width="26.7109375" bestFit="1" customWidth="1"/>
    <col min="282" max="282" width="57.28515625" bestFit="1" customWidth="1"/>
    <col min="283" max="283" width="37.28515625" bestFit="1" customWidth="1"/>
    <col min="284" max="284" width="55.7109375" bestFit="1" customWidth="1"/>
    <col min="285" max="285" width="26.7109375" bestFit="1" customWidth="1"/>
    <col min="286" max="286" width="52.28515625" bestFit="1" customWidth="1"/>
    <col min="287" max="287" width="51.28515625" bestFit="1" customWidth="1"/>
    <col min="288" max="288" width="59.7109375" bestFit="1" customWidth="1"/>
    <col min="289" max="289" width="32.7109375" bestFit="1" customWidth="1"/>
    <col min="290" max="290" width="19.7109375" bestFit="1" customWidth="1"/>
    <col min="291" max="291" width="20.42578125" bestFit="1" customWidth="1"/>
    <col min="292" max="292" width="47.7109375" bestFit="1" customWidth="1"/>
    <col min="293" max="294" width="28.7109375" bestFit="1" customWidth="1"/>
    <col min="295" max="295" width="26" bestFit="1" customWidth="1"/>
    <col min="296" max="296" width="62" bestFit="1" customWidth="1"/>
    <col min="297" max="297" width="68.7109375" bestFit="1" customWidth="1"/>
    <col min="298" max="298" width="41.42578125" bestFit="1" customWidth="1"/>
    <col min="299" max="299" width="26" bestFit="1" customWidth="1"/>
    <col min="300" max="300" width="31.7109375" bestFit="1" customWidth="1"/>
    <col min="301" max="301" width="32.7109375" bestFit="1" customWidth="1"/>
    <col min="302" max="302" width="44.28515625" bestFit="1" customWidth="1"/>
    <col min="303" max="303" width="21.7109375" bestFit="1" customWidth="1"/>
    <col min="304" max="304" width="19.7109375" bestFit="1" customWidth="1"/>
    <col min="305" max="305" width="23.7109375" bestFit="1" customWidth="1"/>
    <col min="306" max="306" width="31.7109375" bestFit="1" customWidth="1"/>
    <col min="307" max="307" width="29.28515625" bestFit="1" customWidth="1"/>
    <col min="308" max="308" width="27.7109375" bestFit="1" customWidth="1"/>
    <col min="309" max="309" width="32.5703125" bestFit="1" customWidth="1"/>
    <col min="310" max="310" width="40" bestFit="1" customWidth="1"/>
    <col min="311" max="311" width="57.42578125" bestFit="1" customWidth="1"/>
    <col min="312" max="312" width="103.7109375" bestFit="1" customWidth="1"/>
    <col min="313" max="313" width="29.28515625" bestFit="1" customWidth="1"/>
    <col min="314" max="314" width="29.7109375" bestFit="1" customWidth="1"/>
    <col min="315" max="315" width="30.42578125" bestFit="1" customWidth="1"/>
    <col min="316" max="316" width="34.28515625" bestFit="1" customWidth="1"/>
    <col min="317" max="317" width="28.5703125" bestFit="1" customWidth="1"/>
    <col min="318" max="318" width="29.28515625" bestFit="1" customWidth="1"/>
    <col min="319" max="319" width="95.7109375" bestFit="1" customWidth="1"/>
    <col min="320" max="320" width="37" bestFit="1" customWidth="1"/>
    <col min="321" max="321" width="68.5703125" bestFit="1" customWidth="1"/>
    <col min="322" max="322" width="51.5703125" bestFit="1" customWidth="1"/>
    <col min="323" max="324" width="27.7109375" bestFit="1" customWidth="1"/>
    <col min="325" max="325" width="27.5703125" bestFit="1" customWidth="1"/>
    <col min="326" max="326" width="54.5703125" bestFit="1" customWidth="1"/>
    <col min="327" max="327" width="39.7109375" bestFit="1" customWidth="1"/>
    <col min="328" max="328" width="46.28515625" bestFit="1" customWidth="1"/>
    <col min="329" max="329" width="28.28515625" bestFit="1" customWidth="1"/>
    <col min="330" max="330" width="66" bestFit="1" customWidth="1"/>
    <col min="331" max="331" width="82.7109375" bestFit="1" customWidth="1"/>
    <col min="332" max="332" width="50.5703125" bestFit="1" customWidth="1"/>
    <col min="333" max="333" width="37.28515625" bestFit="1" customWidth="1"/>
    <col min="334" max="334" width="45.28515625" bestFit="1" customWidth="1"/>
    <col min="335" max="335" width="43" bestFit="1" customWidth="1"/>
    <col min="336" max="336" width="42.7109375" bestFit="1" customWidth="1"/>
    <col min="337" max="337" width="45.5703125" bestFit="1" customWidth="1"/>
    <col min="338" max="338" width="42.7109375" bestFit="1" customWidth="1"/>
    <col min="339" max="339" width="43.42578125" bestFit="1" customWidth="1"/>
    <col min="340" max="340" width="58.28515625" bestFit="1" customWidth="1"/>
    <col min="341" max="341" width="51.5703125" bestFit="1" customWidth="1"/>
    <col min="342" max="342" width="45.7109375" bestFit="1" customWidth="1"/>
    <col min="343" max="343" width="34" bestFit="1" customWidth="1"/>
    <col min="344" max="344" width="25.7109375" bestFit="1" customWidth="1"/>
    <col min="345" max="345" width="39" bestFit="1" customWidth="1"/>
    <col min="346" max="347" width="53.28515625" bestFit="1" customWidth="1"/>
    <col min="348" max="348" width="37.7109375" bestFit="1" customWidth="1"/>
    <col min="349" max="349" width="53.7109375" bestFit="1" customWidth="1"/>
    <col min="350" max="350" width="28.28515625" bestFit="1" customWidth="1"/>
    <col min="351" max="351" width="24.28515625" bestFit="1" customWidth="1"/>
    <col min="352" max="352" width="21.28515625" bestFit="1" customWidth="1"/>
    <col min="353" max="353" width="43.28515625" bestFit="1" customWidth="1"/>
    <col min="354" max="354" width="18.42578125" bestFit="1" customWidth="1"/>
    <col min="355" max="355" width="40.28515625" bestFit="1" customWidth="1"/>
    <col min="356" max="356" width="27.5703125" bestFit="1" customWidth="1"/>
    <col min="357" max="357" width="30.42578125" bestFit="1" customWidth="1"/>
    <col min="358" max="358" width="55.5703125" bestFit="1" customWidth="1"/>
    <col min="359" max="359" width="32" bestFit="1" customWidth="1"/>
    <col min="360" max="360" width="52.7109375" bestFit="1" customWidth="1"/>
    <col min="361" max="361" width="29.28515625" bestFit="1" customWidth="1"/>
    <col min="362" max="362" width="46.28515625" bestFit="1" customWidth="1"/>
    <col min="363" max="363" width="26.7109375" bestFit="1" customWidth="1"/>
    <col min="364" max="364" width="42" bestFit="1" customWidth="1"/>
    <col min="365" max="365" width="31.28515625" bestFit="1" customWidth="1"/>
    <col min="366" max="366" width="47.28515625" bestFit="1" customWidth="1"/>
    <col min="367" max="367" width="90.28515625" bestFit="1" customWidth="1"/>
    <col min="368" max="368" width="62.28515625" bestFit="1" customWidth="1"/>
    <col min="369" max="369" width="35.28515625" bestFit="1" customWidth="1"/>
    <col min="370" max="370" width="34.7109375" bestFit="1" customWidth="1"/>
    <col min="371" max="371" width="39.7109375" bestFit="1" customWidth="1"/>
    <col min="372" max="372" width="32.28515625" bestFit="1" customWidth="1"/>
    <col min="373" max="373" width="35.42578125" bestFit="1" customWidth="1"/>
    <col min="374" max="374" width="39.7109375" bestFit="1" customWidth="1"/>
    <col min="375" max="375" width="32" bestFit="1" customWidth="1"/>
    <col min="376" max="376" width="34" bestFit="1" customWidth="1"/>
    <col min="377" max="377" width="34.42578125" bestFit="1" customWidth="1"/>
    <col min="378" max="378" width="34" bestFit="1" customWidth="1"/>
    <col min="379" max="379" width="39.28515625" bestFit="1" customWidth="1"/>
    <col min="380" max="380" width="31.28515625" bestFit="1" customWidth="1"/>
    <col min="381" max="381" width="20.5703125" bestFit="1" customWidth="1"/>
    <col min="382" max="382" width="41" bestFit="1" customWidth="1"/>
    <col min="383" max="383" width="25.7109375" bestFit="1" customWidth="1"/>
    <col min="384" max="384" width="27.5703125" bestFit="1" customWidth="1"/>
    <col min="385" max="385" width="54" bestFit="1" customWidth="1"/>
    <col min="386" max="387" width="26.7109375" bestFit="1" customWidth="1"/>
    <col min="388" max="388" width="43.28515625" bestFit="1" customWidth="1"/>
    <col min="389" max="389" width="19" bestFit="1" customWidth="1"/>
    <col min="390" max="390" width="27.28515625" bestFit="1" customWidth="1"/>
    <col min="391" max="391" width="26.28515625" bestFit="1" customWidth="1"/>
    <col min="392" max="392" width="43" bestFit="1" customWidth="1"/>
    <col min="393" max="393" width="47.7109375" bestFit="1" customWidth="1"/>
    <col min="394" max="394" width="56.42578125" bestFit="1" customWidth="1"/>
    <col min="395" max="396" width="25.7109375" bestFit="1" customWidth="1"/>
    <col min="397" max="397" width="93.42578125" bestFit="1" customWidth="1"/>
    <col min="398" max="398" width="71.5703125" bestFit="1" customWidth="1"/>
    <col min="399" max="399" width="32.7109375" bestFit="1" customWidth="1"/>
    <col min="400" max="400" width="33.42578125" bestFit="1" customWidth="1"/>
    <col min="401" max="401" width="44.7109375" bestFit="1" customWidth="1"/>
    <col min="402" max="402" width="46.5703125" bestFit="1" customWidth="1"/>
    <col min="403" max="403" width="42.28515625" bestFit="1" customWidth="1"/>
    <col min="404" max="404" width="41.42578125" bestFit="1" customWidth="1"/>
    <col min="405" max="405" width="33.42578125" bestFit="1" customWidth="1"/>
    <col min="406" max="406" width="44.7109375" bestFit="1" customWidth="1"/>
    <col min="407" max="407" width="40.7109375" bestFit="1" customWidth="1"/>
    <col min="408" max="408" width="40" bestFit="1" customWidth="1"/>
    <col min="409" max="409" width="36.7109375" bestFit="1" customWidth="1"/>
    <col min="410" max="411" width="42.28515625" bestFit="1" customWidth="1"/>
    <col min="412" max="412" width="41.42578125" bestFit="1" customWidth="1"/>
    <col min="413" max="413" width="33.42578125" bestFit="1" customWidth="1"/>
    <col min="414" max="414" width="31.7109375" bestFit="1" customWidth="1"/>
    <col min="415" max="415" width="45.28515625" bestFit="1" customWidth="1"/>
    <col min="416" max="416" width="42.7109375" bestFit="1" customWidth="1"/>
    <col min="417" max="417" width="48.42578125" bestFit="1" customWidth="1"/>
    <col min="418" max="419" width="92.7109375" bestFit="1" customWidth="1"/>
    <col min="420" max="420" width="39.5703125" bestFit="1" customWidth="1"/>
    <col min="421" max="421" width="92.7109375" bestFit="1" customWidth="1"/>
    <col min="422" max="422" width="39.5703125" bestFit="1" customWidth="1"/>
    <col min="423" max="423" width="39.28515625" bestFit="1" customWidth="1"/>
    <col min="424" max="424" width="38.5703125" bestFit="1" customWidth="1"/>
    <col min="425" max="425" width="39.42578125" bestFit="1" customWidth="1"/>
    <col min="426" max="426" width="38.7109375" bestFit="1" customWidth="1"/>
    <col min="427" max="427" width="35.7109375" bestFit="1" customWidth="1"/>
    <col min="428" max="428" width="39.42578125" bestFit="1" customWidth="1"/>
    <col min="429" max="429" width="38.7109375" bestFit="1" customWidth="1"/>
    <col min="430" max="430" width="35.7109375" bestFit="1" customWidth="1"/>
    <col min="431" max="431" width="39.42578125" bestFit="1" customWidth="1"/>
    <col min="432" max="432" width="38.7109375" bestFit="1" customWidth="1"/>
    <col min="433" max="433" width="35.7109375" bestFit="1" customWidth="1"/>
    <col min="434" max="434" width="39.42578125" bestFit="1" customWidth="1"/>
    <col min="435" max="435" width="38.7109375" bestFit="1" customWidth="1"/>
    <col min="436" max="436" width="35.7109375" bestFit="1" customWidth="1"/>
    <col min="437" max="437" width="33.7109375" bestFit="1" customWidth="1"/>
    <col min="438" max="438" width="58" bestFit="1" customWidth="1"/>
    <col min="439" max="439" width="36.7109375" bestFit="1" customWidth="1"/>
    <col min="440" max="440" width="62" bestFit="1" customWidth="1"/>
    <col min="441" max="441" width="60.28515625" bestFit="1" customWidth="1"/>
    <col min="442" max="442" width="60.7109375" bestFit="1" customWidth="1"/>
    <col min="443" max="443" width="41.42578125" bestFit="1" customWidth="1"/>
    <col min="444" max="444" width="62" bestFit="1" customWidth="1"/>
    <col min="445" max="445" width="60.28515625" bestFit="1" customWidth="1"/>
    <col min="446" max="446" width="60.7109375" bestFit="1" customWidth="1"/>
    <col min="447" max="447" width="41.42578125" bestFit="1" customWidth="1"/>
    <col min="448" max="448" width="61.7109375" bestFit="1" customWidth="1"/>
    <col min="449" max="449" width="62" bestFit="1" customWidth="1"/>
    <col min="450" max="450" width="60.28515625" bestFit="1" customWidth="1"/>
    <col min="451" max="451" width="62" bestFit="1" customWidth="1"/>
    <col min="452" max="452" width="60.28515625" bestFit="1" customWidth="1"/>
    <col min="453" max="453" width="60.7109375" bestFit="1" customWidth="1"/>
    <col min="454" max="454" width="41.42578125" bestFit="1" customWidth="1"/>
    <col min="455" max="455" width="33.42578125" bestFit="1" customWidth="1"/>
    <col min="456" max="456" width="67.28515625" bestFit="1" customWidth="1"/>
    <col min="457" max="457" width="48.28515625" bestFit="1" customWidth="1"/>
    <col min="458" max="458" width="54.5703125" bestFit="1" customWidth="1"/>
    <col min="459" max="459" width="79.7109375" bestFit="1" customWidth="1"/>
    <col min="460" max="460" width="65.7109375" bestFit="1" customWidth="1"/>
    <col min="461" max="461" width="17.5703125" bestFit="1" customWidth="1"/>
    <col min="462" max="462" width="43.28515625" bestFit="1" customWidth="1"/>
    <col min="463" max="463" width="41.42578125" bestFit="1" customWidth="1"/>
    <col min="464" max="464" width="44.28515625" bestFit="1" customWidth="1"/>
    <col min="465" max="465" width="56.7109375" bestFit="1" customWidth="1"/>
    <col min="466" max="466" width="45.42578125" bestFit="1" customWidth="1"/>
    <col min="467" max="467" width="36.28515625" bestFit="1" customWidth="1"/>
    <col min="468" max="468" width="52.28515625" bestFit="1" customWidth="1"/>
    <col min="469" max="469" width="26.42578125" bestFit="1" customWidth="1"/>
    <col min="470" max="470" width="37.28515625" bestFit="1" customWidth="1"/>
    <col min="471" max="471" width="27.28515625" bestFit="1" customWidth="1"/>
    <col min="472" max="472" width="49.7109375" bestFit="1" customWidth="1"/>
    <col min="473" max="474" width="38.7109375" bestFit="1" customWidth="1"/>
    <col min="475" max="475" width="48.28515625" bestFit="1" customWidth="1"/>
    <col min="476" max="476" width="45.28515625" bestFit="1" customWidth="1"/>
    <col min="477" max="477" width="36" bestFit="1" customWidth="1"/>
    <col min="478" max="478" width="20.7109375" bestFit="1" customWidth="1"/>
    <col min="479" max="479" width="36.28515625" bestFit="1" customWidth="1"/>
    <col min="480" max="480" width="19" bestFit="1" customWidth="1"/>
    <col min="481" max="481" width="20.28515625" bestFit="1" customWidth="1"/>
    <col min="482" max="482" width="33" bestFit="1" customWidth="1"/>
    <col min="483" max="483" width="30" bestFit="1" customWidth="1"/>
    <col min="484" max="484" width="52.7109375" bestFit="1" customWidth="1"/>
    <col min="485" max="485" width="25.7109375" bestFit="1" customWidth="1"/>
    <col min="486" max="487" width="37.7109375" bestFit="1" customWidth="1"/>
    <col min="488" max="488" width="25.5703125" bestFit="1" customWidth="1"/>
    <col min="489" max="489" width="17.7109375" bestFit="1" customWidth="1"/>
    <col min="490" max="490" width="26" bestFit="1" customWidth="1"/>
    <col min="491" max="491" width="44.5703125" bestFit="1" customWidth="1"/>
    <col min="492" max="492" width="42.28515625" bestFit="1" customWidth="1"/>
    <col min="493" max="493" width="32" bestFit="1" customWidth="1"/>
    <col min="494" max="494" width="45.5703125" bestFit="1" customWidth="1"/>
    <col min="495" max="495" width="21.5703125" bestFit="1" customWidth="1"/>
    <col min="496" max="496" width="52" bestFit="1" customWidth="1"/>
    <col min="497" max="497" width="41.5703125" bestFit="1" customWidth="1"/>
    <col min="498" max="498" width="52.28515625" bestFit="1" customWidth="1"/>
    <col min="499" max="499" width="50.7109375" bestFit="1" customWidth="1"/>
    <col min="500" max="500" width="36.28515625" bestFit="1" customWidth="1"/>
    <col min="501" max="501" width="33.7109375" bestFit="1" customWidth="1"/>
    <col min="502" max="502" width="59.7109375" bestFit="1" customWidth="1"/>
    <col min="503" max="503" width="49.7109375" bestFit="1" customWidth="1"/>
    <col min="504" max="504" width="18.42578125" bestFit="1" customWidth="1"/>
    <col min="505" max="505" width="20.7109375" bestFit="1" customWidth="1"/>
    <col min="506" max="506" width="15.7109375" bestFit="1" customWidth="1"/>
    <col min="507" max="507" width="80" bestFit="1" customWidth="1"/>
    <col min="508" max="508" width="42.28515625" bestFit="1" customWidth="1"/>
    <col min="509" max="509" width="48" bestFit="1" customWidth="1"/>
    <col min="510" max="511" width="43.28515625" bestFit="1" customWidth="1"/>
    <col min="512" max="512" width="41" bestFit="1" customWidth="1"/>
    <col min="513" max="513" width="46.42578125" bestFit="1" customWidth="1"/>
    <col min="514" max="514" width="86.28515625" bestFit="1" customWidth="1"/>
    <col min="515" max="515" width="54.28515625" bestFit="1" customWidth="1"/>
    <col min="516" max="516" width="79.7109375" bestFit="1" customWidth="1"/>
    <col min="517" max="518" width="46.28515625" bestFit="1" customWidth="1"/>
    <col min="519" max="521" width="43.28515625" bestFit="1" customWidth="1"/>
    <col min="522" max="522" width="36.7109375" bestFit="1" customWidth="1"/>
    <col min="523" max="523" width="53.7109375" bestFit="1" customWidth="1"/>
    <col min="524" max="524" width="90.7109375" bestFit="1" customWidth="1"/>
    <col min="525" max="525" width="54.28515625" bestFit="1" customWidth="1"/>
    <col min="526" max="526" width="51.5703125" bestFit="1" customWidth="1"/>
    <col min="527" max="527" width="59.5703125" bestFit="1" customWidth="1"/>
    <col min="528" max="528" width="69.28515625" bestFit="1" customWidth="1"/>
    <col min="529" max="529" width="43.7109375" bestFit="1" customWidth="1"/>
    <col min="530" max="530" width="86.7109375" bestFit="1" customWidth="1"/>
    <col min="531" max="531" width="34.28515625" bestFit="1" customWidth="1"/>
    <col min="532" max="532" width="70" bestFit="1" customWidth="1"/>
    <col min="533" max="534" width="78.28515625" bestFit="1" customWidth="1"/>
    <col min="535" max="535" width="25.42578125" bestFit="1" customWidth="1"/>
    <col min="536" max="536" width="40.28515625" bestFit="1" customWidth="1"/>
    <col min="537" max="537" width="48.28515625" bestFit="1" customWidth="1"/>
    <col min="538" max="538" width="49.7109375" bestFit="1" customWidth="1"/>
    <col min="539" max="539" width="63.5703125" bestFit="1" customWidth="1"/>
    <col min="540" max="540" width="68.28515625" bestFit="1" customWidth="1"/>
    <col min="541" max="541" width="49.28515625" bestFit="1" customWidth="1"/>
    <col min="542" max="542" width="53.28515625" bestFit="1" customWidth="1"/>
    <col min="543" max="543" width="7.28515625" bestFit="1" customWidth="1"/>
    <col min="544" max="544" width="25" bestFit="1" customWidth="1"/>
    <col min="545" max="545" width="18.7109375" bestFit="1" customWidth="1"/>
  </cols>
  <sheetData>
    <row r="3" spans="2:11">
      <c r="B3" s="657" t="s">
        <v>1852</v>
      </c>
      <c r="C3" t="s">
        <v>1853</v>
      </c>
      <c r="D3" t="s">
        <v>1854</v>
      </c>
      <c r="H3">
        <f>57000/4024</f>
        <v>14.165009940357853</v>
      </c>
      <c r="I3" s="679" t="s">
        <v>152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47</v>
      </c>
      <c r="D4">
        <v>26</v>
      </c>
      <c r="I4" s="668"/>
      <c r="J4" s="674" t="s">
        <v>1660</v>
      </c>
      <c r="K4" s="674" t="s">
        <v>1951</v>
      </c>
    </row>
    <row r="5" spans="2:11">
      <c r="B5" s="658" t="s">
        <v>1100</v>
      </c>
      <c r="C5" s="771">
        <v>40.647977761675314</v>
      </c>
      <c r="D5">
        <v>39</v>
      </c>
      <c r="I5" s="678" t="s">
        <v>47</v>
      </c>
      <c r="J5" s="669"/>
      <c r="K5" s="669">
        <v>25</v>
      </c>
    </row>
    <row r="6" spans="2:11">
      <c r="B6" s="658" t="s">
        <v>437</v>
      </c>
      <c r="C6" s="771">
        <v>33.445203007903963</v>
      </c>
      <c r="D6">
        <v>133</v>
      </c>
      <c r="I6" s="678" t="s">
        <v>1100</v>
      </c>
      <c r="J6" s="670">
        <v>40.647977761675314</v>
      </c>
      <c r="K6" s="669">
        <v>39</v>
      </c>
    </row>
    <row r="7" spans="2:11">
      <c r="B7" s="658" t="s">
        <v>1236</v>
      </c>
      <c r="C7" s="771">
        <v>1.4242604669999994</v>
      </c>
      <c r="D7">
        <v>20</v>
      </c>
      <c r="I7" s="678" t="s">
        <v>1236</v>
      </c>
      <c r="J7" s="670">
        <v>1.4242604669999994</v>
      </c>
      <c r="K7" s="669">
        <v>20</v>
      </c>
    </row>
    <row r="8" spans="2:11">
      <c r="B8" s="658" t="s">
        <v>664</v>
      </c>
      <c r="C8" s="771">
        <v>29.731544429549601</v>
      </c>
      <c r="D8">
        <v>25</v>
      </c>
      <c r="I8" s="678" t="s">
        <v>437</v>
      </c>
      <c r="J8" s="670">
        <v>36.304088012300603</v>
      </c>
      <c r="K8" s="670">
        <v>147</v>
      </c>
    </row>
    <row r="9" spans="2:11">
      <c r="B9" s="658" t="s">
        <v>1159</v>
      </c>
      <c r="C9" s="771">
        <v>11.571288093812013</v>
      </c>
      <c r="D9">
        <v>38</v>
      </c>
      <c r="I9" s="678" t="s">
        <v>492</v>
      </c>
      <c r="J9" s="670">
        <v>22.171611822839047</v>
      </c>
      <c r="K9" s="669">
        <v>23</v>
      </c>
    </row>
    <row r="10" spans="2:11">
      <c r="B10" s="658" t="s">
        <v>56</v>
      </c>
      <c r="C10" s="771">
        <v>24.51600849931819</v>
      </c>
      <c r="D10">
        <v>124</v>
      </c>
      <c r="I10" s="678" t="s">
        <v>441</v>
      </c>
      <c r="J10" s="670">
        <v>9.0164274088537439</v>
      </c>
      <c r="K10" s="669">
        <v>76</v>
      </c>
    </row>
    <row r="11" spans="2:11">
      <c r="B11" s="658" t="s">
        <v>950</v>
      </c>
      <c r="C11" s="771">
        <v>36.505592206741035</v>
      </c>
      <c r="D11">
        <v>47</v>
      </c>
      <c r="I11" s="678" t="s">
        <v>453</v>
      </c>
      <c r="J11" s="670">
        <v>5.1160487806077635</v>
      </c>
      <c r="K11" s="669">
        <v>48</v>
      </c>
    </row>
    <row r="12" spans="2:11">
      <c r="B12" s="658" t="s">
        <v>1867</v>
      </c>
      <c r="C12" s="771">
        <v>177.84187446600006</v>
      </c>
      <c r="D12">
        <v>452</v>
      </c>
      <c r="I12" s="678" t="s">
        <v>664</v>
      </c>
      <c r="J12" s="670">
        <v>29.731544429549594</v>
      </c>
      <c r="K12" s="669">
        <v>25</v>
      </c>
    </row>
    <row r="13" spans="2:11">
      <c r="I13" s="678" t="s">
        <v>1159</v>
      </c>
      <c r="J13" s="670">
        <v>11.39</v>
      </c>
      <c r="K13" s="669">
        <v>38</v>
      </c>
    </row>
    <row r="14" spans="2:11">
      <c r="I14" s="678" t="s">
        <v>56</v>
      </c>
      <c r="J14" s="670">
        <v>25.826624133107178</v>
      </c>
      <c r="K14" s="669">
        <v>126</v>
      </c>
    </row>
    <row r="15" spans="2:11">
      <c r="I15" s="678" t="s">
        <v>950</v>
      </c>
      <c r="J15" s="670">
        <v>36.505592206741035</v>
      </c>
      <c r="K15" s="669">
        <v>47</v>
      </c>
    </row>
    <row r="18" spans="9:11">
      <c r="I18" s="679" t="s">
        <v>617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1952</v>
      </c>
      <c r="K19" s="674" t="s">
        <v>1953</v>
      </c>
    </row>
    <row r="20" spans="9:11">
      <c r="I20" s="678" t="s">
        <v>47</v>
      </c>
      <c r="J20" s="675">
        <f>SUM(J21:J21)</f>
        <v>0.26</v>
      </c>
      <c r="K20" s="675">
        <f>SUM(K21:K21)</f>
        <v>3</v>
      </c>
    </row>
    <row r="21" spans="9:11">
      <c r="I21" s="673" t="s">
        <v>1664</v>
      </c>
      <c r="J21" s="669">
        <v>0.26</v>
      </c>
      <c r="K21" s="672">
        <v>3</v>
      </c>
    </row>
    <row r="22" spans="9:11">
      <c r="I22" s="678" t="s">
        <v>618</v>
      </c>
      <c r="J22" s="675">
        <f>SUM(J23:J25)</f>
        <v>1.04</v>
      </c>
      <c r="K22" s="675">
        <f>SUM(K23:K25)</f>
        <v>90</v>
      </c>
    </row>
    <row r="23" spans="9:11">
      <c r="I23" s="673" t="s">
        <v>1834</v>
      </c>
      <c r="J23" s="672" t="s">
        <v>1078</v>
      </c>
      <c r="K23" s="669">
        <v>14</v>
      </c>
    </row>
    <row r="24" spans="9:11">
      <c r="I24" s="673" t="s">
        <v>1866</v>
      </c>
      <c r="J24" s="670">
        <v>0.53</v>
      </c>
      <c r="K24" s="669">
        <v>69</v>
      </c>
    </row>
    <row r="25" spans="9:11">
      <c r="I25" s="673" t="s">
        <v>1664</v>
      </c>
      <c r="J25" s="670">
        <v>0.51</v>
      </c>
      <c r="K25" s="669">
        <v>7</v>
      </c>
    </row>
    <row r="26" spans="9:11">
      <c r="I26" s="678" t="s">
        <v>6</v>
      </c>
      <c r="J26" s="675">
        <f>SUM(J27:J29)</f>
        <v>1.68</v>
      </c>
      <c r="K26" s="675">
        <f>SUM(K27:K29)</f>
        <v>14</v>
      </c>
    </row>
    <row r="27" spans="9:11">
      <c r="I27" s="673" t="s">
        <v>1664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1954</v>
      </c>
    </row>
    <row r="253" spans="5:5">
      <c r="E253" t="s">
        <v>1954</v>
      </c>
    </row>
    <row r="254" spans="5:5">
      <c r="E254" t="s">
        <v>1954</v>
      </c>
    </row>
    <row r="255" spans="5:5">
      <c r="E255" t="s">
        <v>1954</v>
      </c>
    </row>
    <row r="256" spans="5:5">
      <c r="E256" t="s">
        <v>1954</v>
      </c>
    </row>
    <row r="453" spans="5:5">
      <c r="E453" t="s">
        <v>1954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7109375" defaultRowHeight="13.15"/>
  <cols>
    <col min="1" max="1" width="8.7109375" style="369"/>
    <col min="2" max="2" width="19.5703125" style="369" bestFit="1" customWidth="1"/>
    <col min="3" max="3" width="14.28515625" style="369" bestFit="1" customWidth="1"/>
    <col min="4" max="4" width="65.7109375" style="369" customWidth="1"/>
    <col min="5" max="16384" width="8.710937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b">
        <f>IF(E2='Goals FY 26-27Q1'!G6,IF(F2='Goals FY 26-27Q1'!H6,"T","F"))</f>
        <v>0</v>
      </c>
    </row>
    <row r="3" spans="2:7" ht="15">
      <c r="B3" s="621" t="s">
        <v>642</v>
      </c>
      <c r="C3" s="621" t="s">
        <v>643</v>
      </c>
      <c r="D3" s="621" t="s">
        <v>935</v>
      </c>
      <c r="E3" s="621" t="s">
        <v>1660</v>
      </c>
      <c r="F3" s="621" t="s">
        <v>726</v>
      </c>
    </row>
    <row r="4" spans="2:7">
      <c r="B4" s="376" t="s">
        <v>891</v>
      </c>
      <c r="C4" s="376" t="s">
        <v>946</v>
      </c>
      <c r="D4" s="622" t="s">
        <v>1955</v>
      </c>
      <c r="E4" s="659">
        <v>0.43271940249580965</v>
      </c>
      <c r="F4" s="369">
        <v>8</v>
      </c>
    </row>
    <row r="5" spans="2:7">
      <c r="B5" s="376" t="s">
        <v>891</v>
      </c>
      <c r="C5" s="622" t="s">
        <v>969</v>
      </c>
      <c r="D5" s="622" t="s">
        <v>1956</v>
      </c>
      <c r="E5" s="659">
        <v>1.7289022996610155</v>
      </c>
      <c r="F5" s="369">
        <v>32</v>
      </c>
    </row>
    <row r="6" spans="2:7">
      <c r="B6" s="376" t="s">
        <v>891</v>
      </c>
      <c r="C6" s="622" t="s">
        <v>969</v>
      </c>
      <c r="D6" s="622" t="s">
        <v>1957</v>
      </c>
      <c r="E6" s="659"/>
    </row>
    <row r="7" spans="2:7">
      <c r="B7" s="376" t="s">
        <v>891</v>
      </c>
      <c r="C7" s="376" t="s">
        <v>1958</v>
      </c>
      <c r="D7" s="622" t="s">
        <v>1955</v>
      </c>
      <c r="E7" s="659">
        <v>0.81650520351452471</v>
      </c>
      <c r="F7" s="369">
        <v>8</v>
      </c>
    </row>
    <row r="8" spans="2:7">
      <c r="B8" s="376" t="s">
        <v>894</v>
      </c>
      <c r="C8" s="622" t="s">
        <v>1959</v>
      </c>
      <c r="D8" s="623" t="s">
        <v>1027</v>
      </c>
      <c r="E8" s="659">
        <v>4.1291744999999995</v>
      </c>
      <c r="F8" s="369">
        <v>15</v>
      </c>
    </row>
    <row r="9" spans="2:7">
      <c r="B9" s="376" t="s">
        <v>894</v>
      </c>
      <c r="C9" s="622" t="s">
        <v>1959</v>
      </c>
      <c r="D9" s="623" t="s">
        <v>1960</v>
      </c>
      <c r="E9" s="659"/>
    </row>
    <row r="10" spans="2:7" ht="26.45">
      <c r="B10" s="376" t="s">
        <v>894</v>
      </c>
      <c r="C10" s="622" t="s">
        <v>1959</v>
      </c>
      <c r="D10" s="624" t="s">
        <v>1961</v>
      </c>
      <c r="E10" s="659"/>
    </row>
    <row r="11" spans="2:7">
      <c r="B11" s="622" t="s">
        <v>894</v>
      </c>
      <c r="C11" s="622" t="s">
        <v>1962</v>
      </c>
      <c r="D11" s="622" t="s">
        <v>1963</v>
      </c>
      <c r="E11" s="659">
        <v>9.699329999999998</v>
      </c>
      <c r="F11" s="369">
        <v>39</v>
      </c>
    </row>
    <row r="12" spans="2:7">
      <c r="B12" s="622" t="s">
        <v>894</v>
      </c>
      <c r="C12" s="622" t="s">
        <v>1962</v>
      </c>
      <c r="D12" s="622" t="s">
        <v>1964</v>
      </c>
      <c r="E12" s="659"/>
    </row>
    <row r="13" spans="2:7">
      <c r="B13" s="622" t="s">
        <v>1965</v>
      </c>
      <c r="C13" s="622" t="s">
        <v>1948</v>
      </c>
      <c r="D13" s="622" t="s">
        <v>1966</v>
      </c>
      <c r="E13" s="659">
        <v>8.4072167695988034E-2</v>
      </c>
      <c r="F13" s="369">
        <v>3</v>
      </c>
    </row>
    <row r="14" spans="2:7">
      <c r="B14" s="622" t="s">
        <v>1965</v>
      </c>
      <c r="C14" s="622" t="s">
        <v>1967</v>
      </c>
      <c r="D14" s="608" t="s">
        <v>1968</v>
      </c>
      <c r="E14" s="659"/>
    </row>
    <row r="15" spans="2:7">
      <c r="B15" s="622" t="s">
        <v>1965</v>
      </c>
      <c r="C15" s="622" t="s">
        <v>1967</v>
      </c>
      <c r="D15" s="622" t="s">
        <v>1955</v>
      </c>
      <c r="E15" s="659">
        <v>0.41918995130000003</v>
      </c>
      <c r="F15" s="369">
        <v>5</v>
      </c>
    </row>
    <row r="16" spans="2:7">
      <c r="B16" s="622" t="s">
        <v>1965</v>
      </c>
      <c r="C16" s="622" t="s">
        <v>1969</v>
      </c>
      <c r="D16" s="622" t="s">
        <v>1970</v>
      </c>
      <c r="E16" s="659">
        <v>3.02</v>
      </c>
      <c r="F16" s="369">
        <v>21</v>
      </c>
    </row>
    <row r="17" spans="2:6">
      <c r="B17" s="622" t="s">
        <v>1965</v>
      </c>
      <c r="C17" s="622" t="s">
        <v>1969</v>
      </c>
      <c r="D17" s="622" t="s">
        <v>1971</v>
      </c>
    </row>
    <row r="18" spans="2:6">
      <c r="B18" s="622" t="s">
        <v>1965</v>
      </c>
      <c r="C18" s="622" t="s">
        <v>1972</v>
      </c>
      <c r="D18" s="622" t="s">
        <v>1973</v>
      </c>
      <c r="E18" s="659">
        <v>0.63298114171514985</v>
      </c>
      <c r="F18" s="369">
        <v>9</v>
      </c>
    </row>
    <row r="19" spans="2:6">
      <c r="B19" s="622" t="s">
        <v>214</v>
      </c>
      <c r="C19" s="622" t="s">
        <v>1948</v>
      </c>
      <c r="D19" s="622" t="s">
        <v>1955</v>
      </c>
      <c r="E19" s="659">
        <v>0.87000000000000011</v>
      </c>
      <c r="F19" s="369">
        <v>10</v>
      </c>
    </row>
    <row r="20" spans="2:6">
      <c r="B20" s="622" t="s">
        <v>162</v>
      </c>
      <c r="C20" s="622"/>
      <c r="D20" s="622" t="s">
        <v>1955</v>
      </c>
      <c r="E20" s="659">
        <v>2.4295570698446993</v>
      </c>
      <c r="F20" s="369">
        <v>10</v>
      </c>
    </row>
    <row r="21" spans="2:6">
      <c r="B21" s="369" t="s">
        <v>1175</v>
      </c>
      <c r="C21" s="369" t="s">
        <v>1018</v>
      </c>
      <c r="D21" s="622" t="s">
        <v>1955</v>
      </c>
      <c r="E21" s="659">
        <v>0.03</v>
      </c>
      <c r="F21" s="369">
        <v>1</v>
      </c>
    </row>
    <row r="22" spans="2:6">
      <c r="B22" s="625" t="s">
        <v>628</v>
      </c>
      <c r="C22" s="625"/>
      <c r="D22" s="625" t="s">
        <v>1955</v>
      </c>
      <c r="E22" s="659">
        <v>8.8226275250591328</v>
      </c>
      <c r="F22" s="369">
        <v>15</v>
      </c>
    </row>
    <row r="23" spans="2:6">
      <c r="B23" s="625" t="s">
        <v>903</v>
      </c>
      <c r="C23" s="625"/>
      <c r="D23" s="625" t="s">
        <v>1955</v>
      </c>
      <c r="E23" s="659">
        <v>1.2186362892862301</v>
      </c>
      <c r="F23" s="369">
        <v>17</v>
      </c>
    </row>
    <row r="24" spans="2:6">
      <c r="B24" s="622" t="s">
        <v>502</v>
      </c>
      <c r="C24" s="622"/>
      <c r="D24" s="622" t="s">
        <v>1974</v>
      </c>
      <c r="E24" s="659">
        <v>0.47795692392</v>
      </c>
      <c r="F24" s="369">
        <v>5</v>
      </c>
    </row>
    <row r="25" spans="2:6">
      <c r="B25" s="369" t="s">
        <v>612</v>
      </c>
      <c r="C25" s="369" t="s">
        <v>612</v>
      </c>
      <c r="D25" s="622" t="s">
        <v>1974</v>
      </c>
      <c r="E25" s="659">
        <v>1.2668018749999996</v>
      </c>
      <c r="F25" s="369">
        <v>13</v>
      </c>
    </row>
    <row r="26" spans="2:6">
      <c r="B26" s="622" t="s">
        <v>225</v>
      </c>
      <c r="C26" s="622"/>
      <c r="D26" s="622" t="s">
        <v>1975</v>
      </c>
      <c r="E26" s="659">
        <v>0.14100000000000001</v>
      </c>
      <c r="F26" s="369">
        <v>6</v>
      </c>
    </row>
    <row r="27" spans="2:6">
      <c r="B27" s="376" t="s">
        <v>229</v>
      </c>
      <c r="C27" s="622"/>
      <c r="D27" s="622" t="s">
        <v>1976</v>
      </c>
      <c r="E27" s="659">
        <v>1.2144779999999999</v>
      </c>
      <c r="F27" s="369">
        <v>14</v>
      </c>
    </row>
    <row r="28" spans="2:6">
      <c r="B28" s="622" t="s">
        <v>1977</v>
      </c>
      <c r="C28" s="622"/>
      <c r="D28" s="622" t="s">
        <v>1978</v>
      </c>
      <c r="E28" s="659">
        <v>4.9130000000000007E-3</v>
      </c>
      <c r="F28" s="369">
        <v>6</v>
      </c>
    </row>
    <row r="29" spans="2:6">
      <c r="B29" s="622" t="s">
        <v>1979</v>
      </c>
      <c r="C29" s="622"/>
      <c r="D29" s="622" t="s">
        <v>1974</v>
      </c>
      <c r="E29" s="659">
        <v>0.56189180207999989</v>
      </c>
      <c r="F29" s="369">
        <v>5</v>
      </c>
    </row>
    <row r="30" spans="2:6">
      <c r="B30" s="622" t="s">
        <v>1980</v>
      </c>
      <c r="C30" s="622"/>
      <c r="D30" s="622"/>
      <c r="E30" s="659"/>
      <c r="F30" s="369">
        <v>25</v>
      </c>
    </row>
    <row r="31" spans="2:6">
      <c r="B31" s="369" t="s">
        <v>1276</v>
      </c>
      <c r="C31" s="369" t="s">
        <v>1277</v>
      </c>
      <c r="E31" s="659">
        <v>0.44</v>
      </c>
      <c r="F31" s="369">
        <v>2</v>
      </c>
    </row>
    <row r="33" spans="2:7" ht="13.9">
      <c r="B33" s="663" t="s">
        <v>1285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b">
        <f>IF(E33='Goals FY 26-27Q1'!G392,IF(F33='Goals FY 26-27Q1'!H392,"T","F"))</f>
        <v>0</v>
      </c>
    </row>
    <row r="34" spans="2:7">
      <c r="B34" s="369" t="s">
        <v>902</v>
      </c>
      <c r="C34" s="369" t="s">
        <v>1018</v>
      </c>
      <c r="D34" s="369" t="s">
        <v>1981</v>
      </c>
      <c r="E34" s="659">
        <v>1.6885800000000002</v>
      </c>
      <c r="F34" s="369">
        <v>10</v>
      </c>
    </row>
    <row r="35" spans="2:7">
      <c r="B35" s="369" t="s">
        <v>1290</v>
      </c>
      <c r="C35" s="369" t="s">
        <v>969</v>
      </c>
      <c r="D35" s="369" t="s">
        <v>1982</v>
      </c>
      <c r="E35" s="659">
        <v>0.62685480000000016</v>
      </c>
      <c r="F35" s="369">
        <v>5</v>
      </c>
    </row>
    <row r="36" spans="2:7">
      <c r="B36" s="369" t="s">
        <v>1299</v>
      </c>
      <c r="C36" s="369" t="s">
        <v>1300</v>
      </c>
      <c r="D36" s="369" t="s">
        <v>1301</v>
      </c>
      <c r="E36" s="659">
        <v>14.203906041162936</v>
      </c>
      <c r="F36" s="369">
        <v>10</v>
      </c>
    </row>
    <row r="37" spans="2:7">
      <c r="B37" s="369" t="s">
        <v>1309</v>
      </c>
      <c r="C37" s="369" t="s">
        <v>1310</v>
      </c>
      <c r="D37" s="369" t="s">
        <v>1983</v>
      </c>
      <c r="E37" s="659">
        <v>18.105283200000006</v>
      </c>
      <c r="F37" s="369">
        <v>13</v>
      </c>
    </row>
    <row r="38" spans="2:7">
      <c r="B38" s="369" t="s">
        <v>1320</v>
      </c>
      <c r="C38" s="369" t="s">
        <v>1321</v>
      </c>
      <c r="D38" s="369" t="s">
        <v>1984</v>
      </c>
      <c r="E38" s="659">
        <v>15.691759513499999</v>
      </c>
      <c r="F38" s="369">
        <v>8</v>
      </c>
    </row>
    <row r="39" spans="2:7">
      <c r="B39" s="369" t="s">
        <v>1329</v>
      </c>
      <c r="C39" s="369" t="s">
        <v>1330</v>
      </c>
      <c r="D39" s="369" t="s">
        <v>1984</v>
      </c>
      <c r="E39" s="659">
        <v>5.2305865045000006</v>
      </c>
      <c r="F39" s="369">
        <v>8</v>
      </c>
    </row>
    <row r="40" spans="2:7">
      <c r="B40" s="369" t="s">
        <v>1273</v>
      </c>
      <c r="C40" s="369" t="s">
        <v>1273</v>
      </c>
      <c r="D40" s="369" t="s">
        <v>1985</v>
      </c>
      <c r="E40" s="659">
        <v>3.8583000000000003</v>
      </c>
      <c r="F40" s="369">
        <v>18</v>
      </c>
    </row>
    <row r="41" spans="2:7">
      <c r="B41" s="369" t="s">
        <v>1347</v>
      </c>
      <c r="C41" s="369" t="s">
        <v>163</v>
      </c>
      <c r="D41" s="369" t="s">
        <v>1986</v>
      </c>
      <c r="E41" s="659">
        <v>7.01722</v>
      </c>
      <c r="F41" s="369">
        <v>14</v>
      </c>
    </row>
    <row r="42" spans="2:7">
      <c r="B42" s="369" t="s">
        <v>1358</v>
      </c>
      <c r="C42" s="369" t="s">
        <v>1089</v>
      </c>
      <c r="D42" s="369" t="s">
        <v>1381</v>
      </c>
      <c r="E42" s="659">
        <v>4.1961274774552741</v>
      </c>
      <c r="F42" s="369">
        <v>13</v>
      </c>
    </row>
    <row r="43" spans="2:7">
      <c r="B43" s="369" t="s">
        <v>1363</v>
      </c>
      <c r="C43" s="369" t="s">
        <v>1089</v>
      </c>
      <c r="D43" s="369" t="s">
        <v>1365</v>
      </c>
      <c r="E43" s="659">
        <v>1.5429082353553014</v>
      </c>
      <c r="F43" s="369">
        <v>24</v>
      </c>
    </row>
    <row r="44" spans="2:7">
      <c r="B44" s="369" t="s">
        <v>1380</v>
      </c>
      <c r="C44" s="369" t="s">
        <v>1018</v>
      </c>
      <c r="D44" s="369" t="s">
        <v>1381</v>
      </c>
      <c r="E44" s="659">
        <v>1.4611508182026358</v>
      </c>
      <c r="F44" s="369">
        <v>12</v>
      </c>
    </row>
    <row r="45" spans="2:7">
      <c r="B45" s="369" t="s">
        <v>1382</v>
      </c>
      <c r="C45" s="369" t="s">
        <v>1383</v>
      </c>
      <c r="D45" s="369" t="s">
        <v>1987</v>
      </c>
      <c r="E45" s="659">
        <v>1.6141000000000003</v>
      </c>
      <c r="F45" s="369">
        <v>1</v>
      </c>
    </row>
    <row r="46" spans="2:7">
      <c r="B46" s="369" t="s">
        <v>912</v>
      </c>
      <c r="C46" s="369" t="s">
        <v>1387</v>
      </c>
      <c r="D46" s="369" t="s">
        <v>1988</v>
      </c>
      <c r="E46" s="659">
        <v>5.9650000000000007</v>
      </c>
      <c r="F46" s="369">
        <v>1</v>
      </c>
    </row>
    <row r="47" spans="2:7">
      <c r="B47" s="369" t="s">
        <v>1392</v>
      </c>
      <c r="C47" s="369" t="s">
        <v>1392</v>
      </c>
      <c r="D47" s="369" t="s">
        <v>1989</v>
      </c>
      <c r="E47" s="659">
        <v>0</v>
      </c>
      <c r="F47" s="369">
        <v>8</v>
      </c>
    </row>
    <row r="48" spans="2:7">
      <c r="B48" s="369" t="s">
        <v>497</v>
      </c>
      <c r="C48" s="369" t="s">
        <v>1394</v>
      </c>
      <c r="D48" s="369" t="s">
        <v>1990</v>
      </c>
      <c r="E48" s="659">
        <v>1.49</v>
      </c>
      <c r="F48" s="369">
        <v>6</v>
      </c>
    </row>
    <row r="49" spans="2:6">
      <c r="B49" s="369" t="s">
        <v>1399</v>
      </c>
      <c r="C49" s="369" t="s">
        <v>1400</v>
      </c>
      <c r="D49" s="369" t="s">
        <v>1981</v>
      </c>
      <c r="E49" s="659">
        <v>0.19417209600000002</v>
      </c>
      <c r="F49" s="369">
        <v>8</v>
      </c>
    </row>
    <row r="50" spans="2:6">
      <c r="B50" s="369" t="s">
        <v>369</v>
      </c>
      <c r="C50" s="369" t="s">
        <v>843</v>
      </c>
      <c r="D50" s="369" t="s">
        <v>1991</v>
      </c>
      <c r="E50" s="659">
        <v>7.2666827999999999</v>
      </c>
      <c r="F50" s="369">
        <v>9</v>
      </c>
    </row>
    <row r="51" spans="2:6">
      <c r="B51" s="369" t="s">
        <v>507</v>
      </c>
      <c r="C51" s="369" t="s">
        <v>507</v>
      </c>
      <c r="D51" s="369" t="s">
        <v>1988</v>
      </c>
      <c r="E51" s="659">
        <v>18.399999999999999</v>
      </c>
      <c r="F51" s="369">
        <v>1</v>
      </c>
    </row>
    <row r="52" spans="2:6">
      <c r="B52" s="369" t="s">
        <v>236</v>
      </c>
      <c r="C52" s="369" t="s">
        <v>1406</v>
      </c>
      <c r="D52" s="369" t="s">
        <v>36</v>
      </c>
      <c r="E52" s="659">
        <v>34.856697651063755</v>
      </c>
      <c r="F52" s="369">
        <v>9</v>
      </c>
    </row>
    <row r="53" spans="2:6">
      <c r="B53" s="660" t="s">
        <v>1992</v>
      </c>
      <c r="C53" s="660" t="s">
        <v>1993</v>
      </c>
      <c r="D53" s="660" t="s">
        <v>1994</v>
      </c>
      <c r="E53" s="661">
        <v>0</v>
      </c>
      <c r="F53" s="660">
        <v>0</v>
      </c>
    </row>
    <row r="54" spans="2:6">
      <c r="B54" s="660" t="s">
        <v>1995</v>
      </c>
      <c r="C54" s="660" t="s">
        <v>1996</v>
      </c>
      <c r="D54" s="660" t="s">
        <v>1997</v>
      </c>
      <c r="E54" s="661">
        <v>0</v>
      </c>
      <c r="F54" s="660">
        <v>0</v>
      </c>
    </row>
    <row r="55" spans="2:6">
      <c r="B55" s="660" t="s">
        <v>1998</v>
      </c>
      <c r="C55" s="660" t="s">
        <v>1999</v>
      </c>
      <c r="D55" s="660" t="s">
        <v>2000</v>
      </c>
      <c r="E55" s="661">
        <v>0</v>
      </c>
      <c r="F55" s="660">
        <v>0</v>
      </c>
    </row>
    <row r="56" spans="2:6">
      <c r="B56" s="660" t="s">
        <v>293</v>
      </c>
      <c r="C56" s="660" t="s">
        <v>293</v>
      </c>
      <c r="D56" s="660" t="s">
        <v>2001</v>
      </c>
      <c r="E56" s="661">
        <v>0</v>
      </c>
      <c r="F56" s="660">
        <v>0</v>
      </c>
    </row>
    <row r="57" spans="2:6">
      <c r="B57" s="660" t="s">
        <v>723</v>
      </c>
      <c r="C57" s="660" t="s">
        <v>2002</v>
      </c>
      <c r="D57" s="660" t="s">
        <v>2003</v>
      </c>
      <c r="E57" s="661">
        <v>0</v>
      </c>
      <c r="F57" s="660">
        <v>0</v>
      </c>
    </row>
    <row r="58" spans="2:6">
      <c r="B58" s="660" t="s">
        <v>300</v>
      </c>
      <c r="C58" s="660" t="s">
        <v>2004</v>
      </c>
      <c r="D58" s="660" t="s">
        <v>2003</v>
      </c>
      <c r="E58" s="661">
        <v>0</v>
      </c>
      <c r="F58" s="660">
        <v>0</v>
      </c>
    </row>
    <row r="59" spans="2:6">
      <c r="B59" s="660" t="s">
        <v>506</v>
      </c>
      <c r="C59" s="660" t="s">
        <v>506</v>
      </c>
      <c r="D59" s="660" t="s">
        <v>2003</v>
      </c>
      <c r="E59" s="661">
        <v>0</v>
      </c>
      <c r="F59" s="660">
        <v>0</v>
      </c>
    </row>
    <row r="60" spans="2:6">
      <c r="B60" s="660" t="s">
        <v>509</v>
      </c>
      <c r="C60" s="660" t="s">
        <v>509</v>
      </c>
      <c r="D60" s="660" t="s">
        <v>2003</v>
      </c>
      <c r="E60" s="661">
        <v>0</v>
      </c>
      <c r="F60" s="660">
        <v>0</v>
      </c>
    </row>
    <row r="61" spans="2:6">
      <c r="B61" s="660" t="s">
        <v>913</v>
      </c>
      <c r="C61" s="660" t="s">
        <v>2005</v>
      </c>
      <c r="D61" s="660" t="s">
        <v>2003</v>
      </c>
      <c r="E61" s="661">
        <v>0</v>
      </c>
      <c r="F61" s="660">
        <v>0</v>
      </c>
    </row>
    <row r="62" spans="2:6">
      <c r="B62" s="660" t="s">
        <v>915</v>
      </c>
      <c r="C62" s="660" t="s">
        <v>2006</v>
      </c>
      <c r="D62" s="660" t="s">
        <v>2001</v>
      </c>
      <c r="E62" s="661">
        <v>0</v>
      </c>
      <c r="F62" s="660">
        <v>0</v>
      </c>
    </row>
    <row r="63" spans="2:6">
      <c r="B63" s="660" t="s">
        <v>284</v>
      </c>
      <c r="C63" s="660" t="s">
        <v>284</v>
      </c>
      <c r="D63" s="660" t="s">
        <v>911</v>
      </c>
      <c r="E63" s="661">
        <v>0</v>
      </c>
      <c r="F63" s="660">
        <v>0</v>
      </c>
    </row>
    <row r="64" spans="2:6">
      <c r="B64" s="660" t="s">
        <v>2007</v>
      </c>
      <c r="C64" s="660" t="s">
        <v>2007</v>
      </c>
      <c r="D64" s="660" t="s">
        <v>2008</v>
      </c>
      <c r="E64" s="661">
        <v>0</v>
      </c>
      <c r="F64" s="660">
        <v>0</v>
      </c>
    </row>
    <row r="65" spans="2:6">
      <c r="B65" s="660" t="s">
        <v>920</v>
      </c>
      <c r="C65" s="660" t="s">
        <v>2009</v>
      </c>
      <c r="D65" s="660" t="s">
        <v>2010</v>
      </c>
      <c r="E65" s="661">
        <v>0</v>
      </c>
      <c r="F65" s="660">
        <v>0</v>
      </c>
    </row>
    <row r="66" spans="2:6">
      <c r="B66" s="660" t="s">
        <v>922</v>
      </c>
      <c r="C66" s="660" t="s">
        <v>2011</v>
      </c>
      <c r="D66" s="660" t="s">
        <v>2012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7109375" defaultRowHeight="13.15"/>
  <cols>
    <col min="1" max="1" width="2.7109375" style="369" customWidth="1"/>
    <col min="2" max="16384" width="8.7109375" style="369"/>
  </cols>
  <sheetData>
    <row r="2" spans="2:4">
      <c r="B2" s="369" t="s">
        <v>2013</v>
      </c>
    </row>
    <row r="3" spans="2:4">
      <c r="B3" s="369" t="s">
        <v>2014</v>
      </c>
    </row>
    <row r="4" spans="2:4">
      <c r="B4" s="369" t="s">
        <v>2015</v>
      </c>
    </row>
    <row r="6" spans="2:4">
      <c r="B6" s="369" t="s">
        <v>204</v>
      </c>
    </row>
    <row r="7" spans="2:4">
      <c r="B7" s="369" t="s">
        <v>2016</v>
      </c>
    </row>
    <row r="8" spans="2:4">
      <c r="B8" s="369" t="s">
        <v>2017</v>
      </c>
    </row>
    <row r="9" spans="2:4">
      <c r="B9" s="369" t="s">
        <v>2018</v>
      </c>
    </row>
    <row r="11" spans="2:4">
      <c r="B11" s="369" t="s">
        <v>905</v>
      </c>
    </row>
    <row r="12" spans="2:4">
      <c r="B12" s="369" t="s">
        <v>2019</v>
      </c>
    </row>
    <row r="14" spans="2:4">
      <c r="B14" s="369" t="s">
        <v>2020</v>
      </c>
      <c r="D14" s="369" t="s">
        <v>2021</v>
      </c>
    </row>
    <row r="15" spans="2:4">
      <c r="B15" s="369" t="s">
        <v>2022</v>
      </c>
      <c r="D15" s="369" t="s">
        <v>2023</v>
      </c>
    </row>
    <row r="16" spans="2:4">
      <c r="B16" s="369" t="s">
        <v>2024</v>
      </c>
    </row>
    <row r="17" spans="2:5">
      <c r="B17" s="369" t="s">
        <v>2025</v>
      </c>
      <c r="D17" s="369" t="s">
        <v>2026</v>
      </c>
    </row>
    <row r="19" spans="2:5">
      <c r="B19" s="369" t="s">
        <v>2027</v>
      </c>
      <c r="E19" s="369" t="s">
        <v>2028</v>
      </c>
    </row>
    <row r="21" spans="2:5">
      <c r="B21" s="369" t="s">
        <v>2029</v>
      </c>
      <c r="D21" s="369" t="s">
        <v>2030</v>
      </c>
    </row>
    <row r="23" spans="2:5">
      <c r="B23" s="369" t="s">
        <v>2031</v>
      </c>
      <c r="D23" s="369" t="s">
        <v>2032</v>
      </c>
    </row>
    <row r="25" spans="2:5">
      <c r="B25" s="369" t="s">
        <v>2033</v>
      </c>
    </row>
    <row r="26" spans="2:5">
      <c r="B26" s="369" t="s">
        <v>2034</v>
      </c>
    </row>
    <row r="27" spans="2:5">
      <c r="B27" s="369" t="s">
        <v>2035</v>
      </c>
    </row>
    <row r="28" spans="2:5">
      <c r="B28" s="369" t="s">
        <v>2036</v>
      </c>
    </row>
    <row r="29" spans="2:5">
      <c r="B29" s="369" t="s">
        <v>2037</v>
      </c>
    </row>
    <row r="30" spans="2:5">
      <c r="B30" s="369" t="s">
        <v>2038</v>
      </c>
    </row>
    <row r="31" spans="2:5">
      <c r="B31" s="369" t="s">
        <v>2039</v>
      </c>
    </row>
    <row r="32" spans="2:5">
      <c r="B32" s="369" t="s">
        <v>2040</v>
      </c>
    </row>
    <row r="33" spans="2:2">
      <c r="B33" s="369" t="s">
        <v>2041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/>
  <cols>
    <col min="1" max="1" width="0.5703125" style="373" customWidth="1"/>
    <col min="2" max="2" width="32.28515625" style="373" bestFit="1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61.710937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5" width="9.42578125" style="373"/>
    <col min="16" max="16" width="25.7109375" style="373" bestFit="1" customWidth="1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967" t="s">
        <v>2042</v>
      </c>
      <c r="I1" s="968"/>
      <c r="J1" s="372"/>
      <c r="K1" s="967" t="s">
        <v>2043</v>
      </c>
      <c r="L1" s="968"/>
      <c r="M1" s="372"/>
      <c r="O1" s="442" t="s">
        <v>1521</v>
      </c>
      <c r="P1" s="442" t="s">
        <v>2044</v>
      </c>
      <c r="Q1" s="615" t="s">
        <v>441</v>
      </c>
      <c r="R1" s="442" t="s">
        <v>2045</v>
      </c>
    </row>
    <row r="2" spans="1:33" s="416" customFormat="1" ht="17.45">
      <c r="A2" s="376"/>
      <c r="B2" s="418" t="s">
        <v>2046</v>
      </c>
      <c r="C2" s="418"/>
      <c r="D2" s="418"/>
      <c r="E2" s="418"/>
      <c r="F2" s="423"/>
      <c r="G2" s="376"/>
      <c r="H2" s="419" t="s">
        <v>2047</v>
      </c>
      <c r="I2" s="420" t="s">
        <v>726</v>
      </c>
      <c r="J2" s="376"/>
      <c r="K2" s="419" t="s">
        <v>2047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935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1364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945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891</v>
      </c>
      <c r="C8" s="633" t="s">
        <v>946</v>
      </c>
      <c r="D8" s="633"/>
      <c r="E8" s="632"/>
      <c r="F8" s="634" t="s">
        <v>2048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891</v>
      </c>
      <c r="C9" s="385" t="s">
        <v>946</v>
      </c>
      <c r="D9" s="385" t="s">
        <v>159</v>
      </c>
      <c r="E9" s="380"/>
      <c r="F9" s="424" t="s">
        <v>2048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949</v>
      </c>
      <c r="D10" s="372" t="s">
        <v>159</v>
      </c>
      <c r="E10" s="376" t="s">
        <v>950</v>
      </c>
      <c r="F10" s="422" t="s">
        <v>2049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2050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6.45" hidden="1" outlineLevel="3">
      <c r="A12" s="372"/>
      <c r="B12" s="372" t="s">
        <v>891</v>
      </c>
      <c r="C12" s="372" t="s">
        <v>949</v>
      </c>
      <c r="D12" s="372" t="s">
        <v>159</v>
      </c>
      <c r="E12" s="376" t="s">
        <v>950</v>
      </c>
      <c r="F12" s="422" t="s">
        <v>2051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2052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891</v>
      </c>
      <c r="C14" s="372" t="s">
        <v>956</v>
      </c>
      <c r="D14" s="372" t="s">
        <v>159</v>
      </c>
      <c r="E14" s="376" t="s">
        <v>950</v>
      </c>
      <c r="F14" s="422" t="s">
        <v>247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2053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2054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2055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891</v>
      </c>
      <c r="C18" s="372" t="s">
        <v>956</v>
      </c>
      <c r="D18" s="372" t="s">
        <v>159</v>
      </c>
      <c r="E18" s="376" t="s">
        <v>950</v>
      </c>
      <c r="F18" s="422" t="s">
        <v>251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2056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891</v>
      </c>
      <c r="C20" s="385" t="s">
        <v>946</v>
      </c>
      <c r="D20" s="385" t="s">
        <v>518</v>
      </c>
      <c r="E20" s="385"/>
      <c r="F20" s="424" t="s">
        <v>2048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6.45" hidden="1" outlineLevel="3">
      <c r="B21" s="372" t="s">
        <v>891</v>
      </c>
      <c r="C21" s="372" t="s">
        <v>949</v>
      </c>
      <c r="D21" s="372" t="s">
        <v>518</v>
      </c>
      <c r="E21" s="372" t="s">
        <v>56</v>
      </c>
      <c r="F21" s="422" t="s">
        <v>2051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891</v>
      </c>
      <c r="C22" s="372" t="s">
        <v>956</v>
      </c>
      <c r="D22" s="372" t="s">
        <v>518</v>
      </c>
      <c r="E22" s="372" t="s">
        <v>56</v>
      </c>
      <c r="F22" s="422" t="s">
        <v>247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2054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2057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891</v>
      </c>
      <c r="C25" s="372" t="s">
        <v>956</v>
      </c>
      <c r="D25" s="372" t="s">
        <v>518</v>
      </c>
      <c r="E25" s="372" t="s">
        <v>56</v>
      </c>
      <c r="F25" s="422" t="s">
        <v>251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2058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891</v>
      </c>
      <c r="C27" s="385" t="s">
        <v>946</v>
      </c>
      <c r="D27" s="385" t="s">
        <v>441</v>
      </c>
      <c r="E27" s="385"/>
      <c r="F27" s="424" t="s">
        <v>2048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891</v>
      </c>
      <c r="C28" s="372" t="s">
        <v>956</v>
      </c>
      <c r="D28" s="372" t="s">
        <v>441</v>
      </c>
      <c r="E28" s="372" t="s">
        <v>437</v>
      </c>
      <c r="F28" s="422" t="s">
        <v>247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2057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891</v>
      </c>
      <c r="C30" s="633" t="s">
        <v>969</v>
      </c>
      <c r="D30" s="633"/>
      <c r="E30" s="632"/>
      <c r="F30" s="634" t="s">
        <v>2048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891</v>
      </c>
      <c r="C31" s="385" t="s">
        <v>969</v>
      </c>
      <c r="D31" s="385" t="s">
        <v>159</v>
      </c>
      <c r="E31" s="380"/>
      <c r="F31" s="424" t="s">
        <v>2048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891</v>
      </c>
      <c r="C32" s="372" t="s">
        <v>969</v>
      </c>
      <c r="D32" s="372" t="s">
        <v>159</v>
      </c>
      <c r="E32" s="387" t="s">
        <v>950</v>
      </c>
      <c r="F32" s="422" t="s">
        <v>297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891</v>
      </c>
      <c r="C33" s="372" t="s">
        <v>969</v>
      </c>
      <c r="D33" s="372" t="s">
        <v>159</v>
      </c>
      <c r="E33" s="387" t="s">
        <v>950</v>
      </c>
      <c r="F33" s="422" t="s">
        <v>206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891</v>
      </c>
      <c r="C34" s="372" t="s">
        <v>969</v>
      </c>
      <c r="D34" s="372" t="s">
        <v>159</v>
      </c>
      <c r="E34" s="387" t="s">
        <v>950</v>
      </c>
      <c r="F34" s="422" t="s">
        <v>208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891</v>
      </c>
      <c r="C35" s="372" t="s">
        <v>969</v>
      </c>
      <c r="D35" s="372" t="s">
        <v>159</v>
      </c>
      <c r="E35" s="387" t="s">
        <v>950</v>
      </c>
      <c r="F35" s="422" t="s">
        <v>199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969</v>
      </c>
      <c r="D36" s="372" t="s">
        <v>159</v>
      </c>
      <c r="E36" s="387" t="s">
        <v>950</v>
      </c>
      <c r="F36" s="422" t="s">
        <v>2059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891</v>
      </c>
      <c r="C37" s="372" t="s">
        <v>969</v>
      </c>
      <c r="D37" s="372" t="s">
        <v>159</v>
      </c>
      <c r="E37" s="387" t="s">
        <v>950</v>
      </c>
      <c r="F37" s="422" t="s">
        <v>2060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891</v>
      </c>
      <c r="C38" s="372" t="s">
        <v>969</v>
      </c>
      <c r="D38" s="372" t="s">
        <v>159</v>
      </c>
      <c r="E38" s="387" t="s">
        <v>950</v>
      </c>
      <c r="F38" s="422" t="s">
        <v>2061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891</v>
      </c>
      <c r="C39" s="372" t="s">
        <v>969</v>
      </c>
      <c r="D39" s="372" t="s">
        <v>159</v>
      </c>
      <c r="E39" s="387" t="s">
        <v>950</v>
      </c>
      <c r="F39" s="422" t="s">
        <v>2062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891</v>
      </c>
      <c r="C40" s="372" t="s">
        <v>969</v>
      </c>
      <c r="D40" s="372" t="s">
        <v>159</v>
      </c>
      <c r="E40" s="387" t="s">
        <v>950</v>
      </c>
      <c r="F40" s="422" t="s">
        <v>2063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891</v>
      </c>
      <c r="C41" s="372" t="s">
        <v>969</v>
      </c>
      <c r="D41" s="372" t="s">
        <v>159</v>
      </c>
      <c r="E41" s="387" t="s">
        <v>950</v>
      </c>
      <c r="F41" s="422" t="s">
        <v>2064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891</v>
      </c>
      <c r="C42" s="372" t="s">
        <v>969</v>
      </c>
      <c r="D42" s="372" t="s">
        <v>159</v>
      </c>
      <c r="E42" s="387" t="s">
        <v>950</v>
      </c>
      <c r="F42" s="422" t="s">
        <v>2065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891</v>
      </c>
      <c r="C43" s="372" t="s">
        <v>969</v>
      </c>
      <c r="D43" s="372" t="s">
        <v>159</v>
      </c>
      <c r="E43" s="387" t="s">
        <v>950</v>
      </c>
      <c r="F43" s="422" t="s">
        <v>2066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891</v>
      </c>
      <c r="C44" s="372" t="s">
        <v>969</v>
      </c>
      <c r="D44" s="372" t="s">
        <v>159</v>
      </c>
      <c r="E44" s="387" t="s">
        <v>950</v>
      </c>
      <c r="F44" s="422" t="s">
        <v>2067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891</v>
      </c>
      <c r="C45" s="372" t="s">
        <v>969</v>
      </c>
      <c r="D45" s="372" t="s">
        <v>159</v>
      </c>
      <c r="E45" s="387" t="s">
        <v>950</v>
      </c>
      <c r="F45" s="422" t="s">
        <v>2068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891</v>
      </c>
      <c r="C46" s="372" t="s">
        <v>969</v>
      </c>
      <c r="D46" s="372" t="s">
        <v>159</v>
      </c>
      <c r="E46" s="387" t="s">
        <v>950</v>
      </c>
      <c r="F46" s="422" t="s">
        <v>490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891</v>
      </c>
      <c r="C47" s="385" t="s">
        <v>969</v>
      </c>
      <c r="D47" s="385" t="s">
        <v>518</v>
      </c>
      <c r="E47" s="385"/>
      <c r="F47" s="424" t="s">
        <v>2048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891</v>
      </c>
      <c r="C48" s="372" t="s">
        <v>969</v>
      </c>
      <c r="D48" s="372" t="s">
        <v>518</v>
      </c>
      <c r="E48" s="372" t="s">
        <v>56</v>
      </c>
      <c r="F48" s="422" t="s">
        <v>206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891</v>
      </c>
      <c r="C49" s="372" t="s">
        <v>969</v>
      </c>
      <c r="D49" s="372" t="s">
        <v>518</v>
      </c>
      <c r="E49" s="372" t="s">
        <v>56</v>
      </c>
      <c r="F49" s="422" t="s">
        <v>199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969</v>
      </c>
      <c r="D50" s="372" t="s">
        <v>518</v>
      </c>
      <c r="E50" s="372" t="s">
        <v>56</v>
      </c>
      <c r="F50" s="422" t="s">
        <v>2069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891</v>
      </c>
      <c r="C51" s="372" t="s">
        <v>969</v>
      </c>
      <c r="D51" s="372" t="s">
        <v>518</v>
      </c>
      <c r="E51" s="372" t="s">
        <v>56</v>
      </c>
      <c r="F51" s="422" t="s">
        <v>2070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969</v>
      </c>
      <c r="D52" s="372" t="s">
        <v>518</v>
      </c>
      <c r="E52" s="372" t="s">
        <v>56</v>
      </c>
      <c r="F52" s="422" t="s">
        <v>2063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891</v>
      </c>
      <c r="C53" s="372" t="s">
        <v>969</v>
      </c>
      <c r="D53" s="372" t="s">
        <v>518</v>
      </c>
      <c r="E53" s="372" t="s">
        <v>56</v>
      </c>
      <c r="F53" s="422" t="s">
        <v>2071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891</v>
      </c>
      <c r="C54" s="372" t="s">
        <v>969</v>
      </c>
      <c r="D54" s="372" t="s">
        <v>518</v>
      </c>
      <c r="E54" s="372" t="s">
        <v>56</v>
      </c>
      <c r="F54" s="422" t="s">
        <v>2072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891</v>
      </c>
      <c r="C55" s="372" t="s">
        <v>969</v>
      </c>
      <c r="D55" s="372" t="s">
        <v>518</v>
      </c>
      <c r="E55" s="372" t="s">
        <v>56</v>
      </c>
      <c r="F55" s="422" t="s">
        <v>2065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891</v>
      </c>
      <c r="C56" s="372" t="s">
        <v>969</v>
      </c>
      <c r="D56" s="372" t="s">
        <v>518</v>
      </c>
      <c r="E56" s="372" t="s">
        <v>56</v>
      </c>
      <c r="F56" s="422" t="s">
        <v>2073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891</v>
      </c>
      <c r="C57" s="372" t="s">
        <v>969</v>
      </c>
      <c r="D57" s="372" t="s">
        <v>518</v>
      </c>
      <c r="E57" s="372" t="s">
        <v>56</v>
      </c>
      <c r="F57" s="422" t="s">
        <v>2074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891</v>
      </c>
      <c r="C58" s="372" t="s">
        <v>969</v>
      </c>
      <c r="D58" s="372" t="s">
        <v>518</v>
      </c>
      <c r="E58" s="372" t="s">
        <v>56</v>
      </c>
      <c r="F58" s="422" t="s">
        <v>2066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891</v>
      </c>
      <c r="C59" s="372" t="s">
        <v>969</v>
      </c>
      <c r="D59" s="372" t="s">
        <v>518</v>
      </c>
      <c r="E59" s="372" t="s">
        <v>56</v>
      </c>
      <c r="F59" s="422" t="s">
        <v>2067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891</v>
      </c>
      <c r="C60" s="372" t="s">
        <v>969</v>
      </c>
      <c r="D60" s="372" t="s">
        <v>518</v>
      </c>
      <c r="E60" s="372" t="s">
        <v>56</v>
      </c>
      <c r="F60" s="422" t="s">
        <v>2075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891</v>
      </c>
      <c r="C61" s="372" t="s">
        <v>969</v>
      </c>
      <c r="D61" s="372" t="s">
        <v>518</v>
      </c>
      <c r="E61" s="372" t="s">
        <v>56</v>
      </c>
      <c r="F61" s="422" t="s">
        <v>2076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891</v>
      </c>
      <c r="C62" s="372" t="s">
        <v>969</v>
      </c>
      <c r="D62" s="372" t="s">
        <v>518</v>
      </c>
      <c r="E62" s="372" t="s">
        <v>56</v>
      </c>
      <c r="F62" s="422" t="s">
        <v>2068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891</v>
      </c>
      <c r="C63" s="385" t="s">
        <v>969</v>
      </c>
      <c r="D63" s="385" t="s">
        <v>441</v>
      </c>
      <c r="E63" s="385"/>
      <c r="F63" s="424" t="s">
        <v>2048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891</v>
      </c>
      <c r="C64" s="372" t="s">
        <v>969</v>
      </c>
      <c r="D64" s="372" t="s">
        <v>441</v>
      </c>
      <c r="E64" s="372" t="s">
        <v>437</v>
      </c>
      <c r="F64" s="422" t="s">
        <v>444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891</v>
      </c>
      <c r="C65" s="372" t="s">
        <v>969</v>
      </c>
      <c r="D65" s="372" t="s">
        <v>441</v>
      </c>
      <c r="E65" s="372" t="s">
        <v>437</v>
      </c>
      <c r="F65" s="422" t="s">
        <v>481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891</v>
      </c>
      <c r="C66" s="372" t="s">
        <v>969</v>
      </c>
      <c r="D66" s="372" t="s">
        <v>441</v>
      </c>
      <c r="E66" s="372" t="s">
        <v>437</v>
      </c>
      <c r="F66" s="422" t="s">
        <v>2077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891</v>
      </c>
      <c r="C67" s="372" t="s">
        <v>969</v>
      </c>
      <c r="D67" s="372" t="s">
        <v>441</v>
      </c>
      <c r="E67" s="372" t="s">
        <v>437</v>
      </c>
      <c r="F67" s="422" t="s">
        <v>2078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891</v>
      </c>
      <c r="C68" s="372" t="s">
        <v>969</v>
      </c>
      <c r="D68" s="372" t="s">
        <v>441</v>
      </c>
      <c r="E68" s="372" t="s">
        <v>437</v>
      </c>
      <c r="F68" s="422" t="s">
        <v>2061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891</v>
      </c>
      <c r="C69" s="372" t="s">
        <v>969</v>
      </c>
      <c r="D69" s="372" t="s">
        <v>441</v>
      </c>
      <c r="E69" s="372" t="s">
        <v>437</v>
      </c>
      <c r="F69" s="422" t="s">
        <v>2059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891</v>
      </c>
      <c r="C70" s="372" t="s">
        <v>969</v>
      </c>
      <c r="D70" s="372" t="s">
        <v>441</v>
      </c>
      <c r="E70" s="372" t="s">
        <v>437</v>
      </c>
      <c r="F70" s="422" t="s">
        <v>490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891</v>
      </c>
      <c r="C71" s="385" t="s">
        <v>969</v>
      </c>
      <c r="D71" s="385" t="s">
        <v>860</v>
      </c>
      <c r="E71" s="385"/>
      <c r="F71" s="424" t="s">
        <v>2048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891</v>
      </c>
      <c r="C72" s="372" t="s">
        <v>969</v>
      </c>
      <c r="D72" s="372" t="s">
        <v>860</v>
      </c>
      <c r="E72" s="372" t="s">
        <v>437</v>
      </c>
      <c r="F72" s="422" t="s">
        <v>206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891</v>
      </c>
      <c r="C73" s="372" t="s">
        <v>969</v>
      </c>
      <c r="D73" s="372" t="s">
        <v>860</v>
      </c>
      <c r="E73" s="372" t="s">
        <v>437</v>
      </c>
      <c r="F73" s="422" t="s">
        <v>207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891</v>
      </c>
      <c r="C74" s="372" t="s">
        <v>969</v>
      </c>
      <c r="D74" s="372" t="s">
        <v>860</v>
      </c>
      <c r="E74" s="372" t="s">
        <v>437</v>
      </c>
      <c r="F74" s="422" t="s">
        <v>2079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891</v>
      </c>
      <c r="C75" s="372" t="s">
        <v>969</v>
      </c>
      <c r="D75" s="372" t="s">
        <v>860</v>
      </c>
      <c r="E75" s="372" t="s">
        <v>437</v>
      </c>
      <c r="F75" s="422" t="s">
        <v>244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891</v>
      </c>
      <c r="C76" s="372" t="s">
        <v>969</v>
      </c>
      <c r="D76" s="372" t="s">
        <v>860</v>
      </c>
      <c r="E76" s="372" t="s">
        <v>437</v>
      </c>
      <c r="F76" s="422" t="s">
        <v>2080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893</v>
      </c>
      <c r="C77" s="640" t="s">
        <v>1000</v>
      </c>
      <c r="D77" s="639"/>
      <c r="E77" s="639"/>
      <c r="F77" s="641" t="s">
        <v>2048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893</v>
      </c>
      <c r="C78" s="385" t="s">
        <v>1000</v>
      </c>
      <c r="D78" s="385" t="s">
        <v>159</v>
      </c>
      <c r="E78" s="380"/>
      <c r="F78" s="452" t="s">
        <v>2048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893</v>
      </c>
      <c r="C79" s="372" t="s">
        <v>1000</v>
      </c>
      <c r="D79" s="372" t="s">
        <v>159</v>
      </c>
      <c r="E79" s="376" t="s">
        <v>664</v>
      </c>
      <c r="F79" s="422" t="s">
        <v>246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893</v>
      </c>
      <c r="C80" s="372" t="s">
        <v>1000</v>
      </c>
      <c r="D80" s="372" t="s">
        <v>159</v>
      </c>
      <c r="E80" s="376" t="s">
        <v>664</v>
      </c>
      <c r="F80" s="425" t="s">
        <v>247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893</v>
      </c>
      <c r="C81" s="372" t="s">
        <v>1000</v>
      </c>
      <c r="D81" s="372" t="s">
        <v>159</v>
      </c>
      <c r="E81" s="376" t="s">
        <v>664</v>
      </c>
      <c r="F81" s="425" t="s">
        <v>248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893</v>
      </c>
      <c r="C82" s="385" t="s">
        <v>1000</v>
      </c>
      <c r="D82" s="385" t="s">
        <v>518</v>
      </c>
      <c r="E82" s="385"/>
      <c r="F82" s="424" t="s">
        <v>2048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893</v>
      </c>
      <c r="C83" s="372" t="s">
        <v>1000</v>
      </c>
      <c r="D83" s="372" t="s">
        <v>518</v>
      </c>
      <c r="E83" s="372" t="s">
        <v>56</v>
      </c>
      <c r="F83" s="422" t="s">
        <v>2081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893</v>
      </c>
      <c r="C84" s="372" t="s">
        <v>1000</v>
      </c>
      <c r="D84" s="372" t="s">
        <v>518</v>
      </c>
      <c r="E84" s="372" t="s">
        <v>56</v>
      </c>
      <c r="F84" s="422" t="s">
        <v>2082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893</v>
      </c>
      <c r="C85" s="372" t="s">
        <v>1000</v>
      </c>
      <c r="D85" s="372" t="s">
        <v>518</v>
      </c>
      <c r="E85" s="372" t="s">
        <v>56</v>
      </c>
      <c r="F85" s="422" t="s">
        <v>246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893</v>
      </c>
      <c r="C86" s="372" t="s">
        <v>1000</v>
      </c>
      <c r="D86" s="372" t="s">
        <v>518</v>
      </c>
      <c r="E86" s="372" t="s">
        <v>56</v>
      </c>
      <c r="F86" s="422" t="s">
        <v>247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893</v>
      </c>
      <c r="C87" s="385" t="s">
        <v>1000</v>
      </c>
      <c r="D87" s="385" t="s">
        <v>441</v>
      </c>
      <c r="E87" s="385"/>
      <c r="F87" s="452" t="s">
        <v>2048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893</v>
      </c>
      <c r="C88" s="372" t="s">
        <v>1000</v>
      </c>
      <c r="D88" s="372" t="s">
        <v>441</v>
      </c>
      <c r="E88" s="372" t="s">
        <v>437</v>
      </c>
      <c r="F88" s="425" t="s">
        <v>490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893</v>
      </c>
      <c r="C89" s="372" t="s">
        <v>1000</v>
      </c>
      <c r="D89" s="372" t="s">
        <v>441</v>
      </c>
      <c r="E89" s="372" t="s">
        <v>437</v>
      </c>
      <c r="F89" s="425" t="s">
        <v>247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1017</v>
      </c>
      <c r="C90" s="640" t="s">
        <v>1018</v>
      </c>
      <c r="D90" s="639"/>
      <c r="E90" s="639"/>
      <c r="F90" s="641" t="s">
        <v>2083</v>
      </c>
      <c r="G90" s="640"/>
      <c r="H90" s="644" t="s">
        <v>1078</v>
      </c>
      <c r="I90" s="643">
        <f>SUM(I91)</f>
        <v>0</v>
      </c>
      <c r="J90" s="640"/>
      <c r="K90" s="644" t="s">
        <v>1078</v>
      </c>
      <c r="L90" s="643">
        <f>SUM(L91)</f>
        <v>0</v>
      </c>
      <c r="M90" s="407"/>
    </row>
    <row r="91" spans="2:13" hidden="1" outlineLevel="2">
      <c r="B91" s="386" t="s">
        <v>1017</v>
      </c>
      <c r="C91" s="386" t="s">
        <v>1018</v>
      </c>
      <c r="D91" s="385"/>
      <c r="E91" s="385"/>
      <c r="F91" s="426" t="s">
        <v>2084</v>
      </c>
      <c r="G91" s="385"/>
      <c r="H91" s="405" t="s">
        <v>1078</v>
      </c>
      <c r="I91" s="396"/>
      <c r="J91" s="385"/>
      <c r="K91" s="405" t="s">
        <v>1078</v>
      </c>
      <c r="L91" s="396"/>
      <c r="M91" s="372"/>
    </row>
    <row r="92" spans="2:13" s="415" customFormat="1" outlineLevel="1" collapsed="1">
      <c r="B92" s="639" t="s">
        <v>894</v>
      </c>
      <c r="C92" s="640" t="s">
        <v>1021</v>
      </c>
      <c r="D92" s="639"/>
      <c r="E92" s="639"/>
      <c r="F92" s="641" t="s">
        <v>2085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894</v>
      </c>
      <c r="C93" s="385" t="s">
        <v>1021</v>
      </c>
      <c r="D93" s="385" t="s">
        <v>159</v>
      </c>
      <c r="E93" s="380"/>
      <c r="F93" s="452" t="s">
        <v>1022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894</v>
      </c>
      <c r="C94" s="372" t="s">
        <v>1021</v>
      </c>
      <c r="D94" s="372" t="s">
        <v>159</v>
      </c>
      <c r="E94" s="376" t="s">
        <v>950</v>
      </c>
      <c r="F94" s="425" t="s">
        <v>334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2086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2087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894</v>
      </c>
      <c r="C97" s="372" t="s">
        <v>1021</v>
      </c>
      <c r="D97" s="372" t="s">
        <v>159</v>
      </c>
      <c r="E97" s="376" t="s">
        <v>950</v>
      </c>
      <c r="F97" s="425" t="s">
        <v>335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2088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2089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2090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894</v>
      </c>
      <c r="C101" s="372" t="s">
        <v>1021</v>
      </c>
      <c r="D101" s="372" t="s">
        <v>159</v>
      </c>
      <c r="E101" s="376" t="s">
        <v>950</v>
      </c>
      <c r="F101" s="425" t="s">
        <v>336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894</v>
      </c>
      <c r="C102" s="372" t="s">
        <v>1021</v>
      </c>
      <c r="D102" s="372" t="s">
        <v>159</v>
      </c>
      <c r="E102" s="376" t="s">
        <v>950</v>
      </c>
      <c r="F102" s="425" t="s">
        <v>2091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2092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2093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894</v>
      </c>
      <c r="C105" s="372" t="s">
        <v>1021</v>
      </c>
      <c r="D105" s="372" t="s">
        <v>159</v>
      </c>
      <c r="E105" s="376" t="s">
        <v>950</v>
      </c>
      <c r="F105" s="425" t="s">
        <v>337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894</v>
      </c>
      <c r="C106" s="372" t="s">
        <v>1021</v>
      </c>
      <c r="D106" s="372" t="s">
        <v>159</v>
      </c>
      <c r="E106" s="376" t="s">
        <v>950</v>
      </c>
      <c r="F106" s="425" t="s">
        <v>338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2094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2095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894</v>
      </c>
      <c r="C109" s="372" t="s">
        <v>1021</v>
      </c>
      <c r="D109" s="372" t="s">
        <v>159</v>
      </c>
      <c r="E109" s="376" t="s">
        <v>950</v>
      </c>
      <c r="F109" s="425" t="s">
        <v>339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2096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2097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894</v>
      </c>
      <c r="C112" s="372" t="s">
        <v>1021</v>
      </c>
      <c r="D112" s="372" t="s">
        <v>159</v>
      </c>
      <c r="E112" s="376" t="s">
        <v>950</v>
      </c>
      <c r="F112" s="425" t="s">
        <v>340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894</v>
      </c>
      <c r="C113" s="385" t="s">
        <v>1021</v>
      </c>
      <c r="D113" s="385" t="s">
        <v>518</v>
      </c>
      <c r="E113" s="385"/>
      <c r="F113" s="452" t="s">
        <v>1022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894</v>
      </c>
      <c r="C114" s="372" t="s">
        <v>1021</v>
      </c>
      <c r="D114" s="372" t="s">
        <v>518</v>
      </c>
      <c r="E114" s="372" t="s">
        <v>56</v>
      </c>
      <c r="F114" s="425" t="s">
        <v>543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2098</v>
      </c>
      <c r="G115" s="372"/>
      <c r="H115" s="398"/>
      <c r="I115" s="378"/>
      <c r="J115" s="372"/>
      <c r="K115" s="399"/>
      <c r="L115" s="378"/>
      <c r="M115" s="372"/>
    </row>
    <row r="116" spans="2:13" ht="26.45" hidden="1" outlineLevel="4">
      <c r="B116" s="372"/>
      <c r="C116" s="372"/>
      <c r="D116" s="372"/>
      <c r="E116" s="372"/>
      <c r="F116" s="656" t="s">
        <v>2099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894</v>
      </c>
      <c r="C117" s="372" t="s">
        <v>1021</v>
      </c>
      <c r="D117" s="372" t="s">
        <v>518</v>
      </c>
      <c r="E117" s="372" t="s">
        <v>56</v>
      </c>
      <c r="F117" s="425" t="s">
        <v>221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894</v>
      </c>
      <c r="C118" s="372" t="s">
        <v>1021</v>
      </c>
      <c r="D118" s="372" t="s">
        <v>518</v>
      </c>
      <c r="E118" s="372" t="s">
        <v>56</v>
      </c>
      <c r="F118" s="425" t="s">
        <v>254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894</v>
      </c>
      <c r="C119" s="385" t="s">
        <v>1021</v>
      </c>
      <c r="D119" s="385" t="s">
        <v>441</v>
      </c>
      <c r="E119" s="385"/>
      <c r="F119" s="452" t="s">
        <v>1022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894</v>
      </c>
      <c r="C120" s="372" t="s">
        <v>1021</v>
      </c>
      <c r="D120" s="372" t="s">
        <v>441</v>
      </c>
      <c r="E120" s="372" t="s">
        <v>437</v>
      </c>
      <c r="F120" s="425" t="s">
        <v>221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894</v>
      </c>
      <c r="C121" s="372" t="s">
        <v>1021</v>
      </c>
      <c r="D121" s="372" t="s">
        <v>441</v>
      </c>
      <c r="E121" s="372" t="s">
        <v>437</v>
      </c>
      <c r="F121" s="425" t="s">
        <v>2100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2101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894</v>
      </c>
      <c r="C123" s="372" t="s">
        <v>1021</v>
      </c>
      <c r="D123" s="372" t="s">
        <v>441</v>
      </c>
      <c r="E123" s="372" t="s">
        <v>437</v>
      </c>
      <c r="F123" s="425" t="s">
        <v>254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894</v>
      </c>
      <c r="C124" s="385" t="s">
        <v>1021</v>
      </c>
      <c r="D124" s="385" t="s">
        <v>860</v>
      </c>
      <c r="E124" s="385"/>
      <c r="F124" s="452" t="s">
        <v>1022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894</v>
      </c>
      <c r="C125" s="372" t="s">
        <v>1021</v>
      </c>
      <c r="D125" s="372" t="s">
        <v>860</v>
      </c>
      <c r="E125" s="372" t="s">
        <v>437</v>
      </c>
      <c r="F125" s="425" t="s">
        <v>468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469</v>
      </c>
      <c r="C126" s="640" t="s">
        <v>1049</v>
      </c>
      <c r="D126" s="639"/>
      <c r="E126" s="639"/>
      <c r="F126" s="641" t="s">
        <v>2085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6.45" hidden="1" outlineLevel="2">
      <c r="B127" s="385" t="s">
        <v>469</v>
      </c>
      <c r="C127" s="385" t="s">
        <v>1049</v>
      </c>
      <c r="D127" s="385" t="s">
        <v>159</v>
      </c>
      <c r="E127" s="386"/>
      <c r="F127" s="424" t="s">
        <v>2102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469</v>
      </c>
      <c r="C128" s="372" t="s">
        <v>1049</v>
      </c>
      <c r="D128" s="372" t="s">
        <v>159</v>
      </c>
      <c r="E128" s="387" t="s">
        <v>950</v>
      </c>
      <c r="F128" s="425" t="s">
        <v>2103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469</v>
      </c>
      <c r="C129" s="372" t="s">
        <v>1049</v>
      </c>
      <c r="D129" s="372" t="s">
        <v>159</v>
      </c>
      <c r="E129" s="387" t="s">
        <v>950</v>
      </c>
      <c r="F129" s="425" t="s">
        <v>2104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469</v>
      </c>
      <c r="C130" s="372" t="s">
        <v>1049</v>
      </c>
      <c r="D130" s="372" t="s">
        <v>159</v>
      </c>
      <c r="E130" s="387" t="s">
        <v>950</v>
      </c>
      <c r="F130" s="425" t="s">
        <v>2105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469</v>
      </c>
      <c r="C131" s="372" t="s">
        <v>1049</v>
      </c>
      <c r="D131" s="372" t="s">
        <v>159</v>
      </c>
      <c r="E131" s="387" t="s">
        <v>950</v>
      </c>
      <c r="F131" s="425" t="s">
        <v>2106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469</v>
      </c>
      <c r="C132" s="372" t="s">
        <v>1049</v>
      </c>
      <c r="D132" s="372" t="s">
        <v>159</v>
      </c>
      <c r="E132" s="387" t="s">
        <v>950</v>
      </c>
      <c r="F132" s="425" t="s">
        <v>1536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469</v>
      </c>
      <c r="C133" s="372" t="s">
        <v>1049</v>
      </c>
      <c r="D133" s="372" t="s">
        <v>159</v>
      </c>
      <c r="E133" s="387" t="s">
        <v>950</v>
      </c>
      <c r="F133" s="425" t="s">
        <v>1542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469</v>
      </c>
      <c r="C134" s="372" t="s">
        <v>1049</v>
      </c>
      <c r="D134" s="372" t="s">
        <v>159</v>
      </c>
      <c r="E134" s="387" t="s">
        <v>950</v>
      </c>
      <c r="F134" s="425" t="s">
        <v>2107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469</v>
      </c>
      <c r="C135" s="372" t="s">
        <v>1049</v>
      </c>
      <c r="D135" s="372" t="s">
        <v>159</v>
      </c>
      <c r="E135" s="387" t="s">
        <v>950</v>
      </c>
      <c r="F135" s="425" t="s">
        <v>2108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469</v>
      </c>
      <c r="C136" s="372" t="s">
        <v>1049</v>
      </c>
      <c r="D136" s="372" t="s">
        <v>159</v>
      </c>
      <c r="E136" s="387" t="s">
        <v>950</v>
      </c>
      <c r="F136" s="425" t="s">
        <v>2109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469</v>
      </c>
      <c r="C137" s="372" t="s">
        <v>1049</v>
      </c>
      <c r="D137" s="372" t="s">
        <v>159</v>
      </c>
      <c r="E137" s="387" t="s">
        <v>950</v>
      </c>
      <c r="F137" s="425" t="s">
        <v>244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469</v>
      </c>
      <c r="C138" s="372" t="s">
        <v>1049</v>
      </c>
      <c r="D138" s="372" t="s">
        <v>159</v>
      </c>
      <c r="E138" s="387" t="s">
        <v>950</v>
      </c>
      <c r="F138" s="425" t="s">
        <v>544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469</v>
      </c>
      <c r="C139" s="372" t="s">
        <v>1049</v>
      </c>
      <c r="D139" s="372" t="s">
        <v>159</v>
      </c>
      <c r="E139" s="387" t="s">
        <v>950</v>
      </c>
      <c r="F139" s="425" t="s">
        <v>545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6.45" hidden="1" outlineLevel="3">
      <c r="B140" s="372" t="s">
        <v>469</v>
      </c>
      <c r="C140" s="372" t="s">
        <v>1049</v>
      </c>
      <c r="D140" s="372" t="s">
        <v>159</v>
      </c>
      <c r="E140" s="387" t="s">
        <v>950</v>
      </c>
      <c r="F140" s="425" t="s">
        <v>1546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469</v>
      </c>
      <c r="C141" s="372" t="s">
        <v>1049</v>
      </c>
      <c r="D141" s="372" t="s">
        <v>159</v>
      </c>
      <c r="E141" s="387" t="s">
        <v>950</v>
      </c>
      <c r="F141" s="425" t="s">
        <v>860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469</v>
      </c>
      <c r="C142" s="372" t="s">
        <v>1049</v>
      </c>
      <c r="D142" s="372" t="s">
        <v>159</v>
      </c>
      <c r="E142" s="387" t="s">
        <v>950</v>
      </c>
      <c r="F142" s="425" t="s">
        <v>221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469</v>
      </c>
      <c r="C143" s="372" t="s">
        <v>1049</v>
      </c>
      <c r="D143" s="372" t="s">
        <v>159</v>
      </c>
      <c r="E143" s="387" t="s">
        <v>950</v>
      </c>
      <c r="F143" s="425" t="s">
        <v>245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469</v>
      </c>
      <c r="C144" s="372" t="s">
        <v>1049</v>
      </c>
      <c r="D144" s="372" t="s">
        <v>159</v>
      </c>
      <c r="E144" s="387" t="s">
        <v>950</v>
      </c>
      <c r="F144" s="425" t="s">
        <v>283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469</v>
      </c>
      <c r="C145" s="372" t="s">
        <v>1049</v>
      </c>
      <c r="D145" s="372" t="s">
        <v>159</v>
      </c>
      <c r="E145" s="387" t="s">
        <v>950</v>
      </c>
      <c r="F145" s="425" t="s">
        <v>543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469</v>
      </c>
      <c r="C146" s="385" t="s">
        <v>1049</v>
      </c>
      <c r="D146" s="385" t="s">
        <v>518</v>
      </c>
      <c r="E146" s="385"/>
      <c r="F146" s="452" t="s">
        <v>1022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469</v>
      </c>
      <c r="C147" s="372" t="s">
        <v>1049</v>
      </c>
      <c r="D147" s="372" t="s">
        <v>518</v>
      </c>
      <c r="E147" s="372" t="s">
        <v>56</v>
      </c>
      <c r="F147" s="425" t="s">
        <v>544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469</v>
      </c>
      <c r="C148" s="372" t="s">
        <v>1049</v>
      </c>
      <c r="D148" s="372" t="s">
        <v>518</v>
      </c>
      <c r="E148" s="372" t="s">
        <v>56</v>
      </c>
      <c r="F148" s="425" t="s">
        <v>545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469</v>
      </c>
      <c r="C149" s="372" t="s">
        <v>1049</v>
      </c>
      <c r="D149" s="372" t="s">
        <v>518</v>
      </c>
      <c r="E149" s="372" t="s">
        <v>56</v>
      </c>
      <c r="F149" s="425" t="s">
        <v>342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469</v>
      </c>
      <c r="C150" s="372" t="s">
        <v>1049</v>
      </c>
      <c r="D150" s="372" t="s">
        <v>518</v>
      </c>
      <c r="E150" s="372" t="s">
        <v>56</v>
      </c>
      <c r="F150" s="425" t="s">
        <v>546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469</v>
      </c>
      <c r="C151" s="372" t="s">
        <v>1049</v>
      </c>
      <c r="D151" s="372" t="s">
        <v>518</v>
      </c>
      <c r="E151" s="372" t="s">
        <v>56</v>
      </c>
      <c r="F151" s="425" t="s">
        <v>547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469</v>
      </c>
      <c r="C152" s="372" t="s">
        <v>1049</v>
      </c>
      <c r="D152" s="372" t="s">
        <v>518</v>
      </c>
      <c r="E152" s="372" t="s">
        <v>56</v>
      </c>
      <c r="F152" s="425" t="s">
        <v>543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469</v>
      </c>
      <c r="C153" s="372" t="s">
        <v>1049</v>
      </c>
      <c r="D153" s="372" t="s">
        <v>518</v>
      </c>
      <c r="E153" s="372" t="s">
        <v>56</v>
      </c>
      <c r="F153" s="425" t="s">
        <v>221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469</v>
      </c>
      <c r="C154" s="385" t="s">
        <v>1049</v>
      </c>
      <c r="D154" s="385" t="s">
        <v>441</v>
      </c>
      <c r="E154" s="385"/>
      <c r="F154" s="424" t="s">
        <v>1050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469</v>
      </c>
      <c r="C155" s="372" t="s">
        <v>1049</v>
      </c>
      <c r="D155" s="372" t="s">
        <v>441</v>
      </c>
      <c r="E155" s="372" t="s">
        <v>437</v>
      </c>
      <c r="F155" s="452" t="s">
        <v>2110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469</v>
      </c>
      <c r="C156" s="372" t="s">
        <v>1049</v>
      </c>
      <c r="D156" s="372" t="s">
        <v>441</v>
      </c>
      <c r="E156" s="372" t="s">
        <v>437</v>
      </c>
      <c r="F156" s="425" t="s">
        <v>349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469</v>
      </c>
      <c r="C157" s="372" t="s">
        <v>1049</v>
      </c>
      <c r="D157" s="372" t="s">
        <v>441</v>
      </c>
      <c r="E157" s="372" t="s">
        <v>437</v>
      </c>
      <c r="F157" s="425" t="s">
        <v>350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469</v>
      </c>
      <c r="C158" s="385" t="s">
        <v>1049</v>
      </c>
      <c r="D158" s="385" t="s">
        <v>860</v>
      </c>
      <c r="E158" s="385"/>
      <c r="F158" s="424" t="s">
        <v>1050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897</v>
      </c>
      <c r="C159" s="633" t="s">
        <v>1089</v>
      </c>
      <c r="D159" s="632"/>
      <c r="E159" s="632"/>
      <c r="F159" s="641" t="s">
        <v>2085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897</v>
      </c>
      <c r="C160" s="385" t="s">
        <v>1089</v>
      </c>
      <c r="D160" s="385" t="s">
        <v>159</v>
      </c>
      <c r="E160" s="380"/>
      <c r="F160" s="424" t="s">
        <v>1022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897</v>
      </c>
      <c r="C162" s="385" t="s">
        <v>1089</v>
      </c>
      <c r="D162" s="385" t="s">
        <v>518</v>
      </c>
      <c r="E162" s="385"/>
      <c r="F162" s="424" t="s">
        <v>1022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897</v>
      </c>
      <c r="C163" s="372" t="s">
        <v>1089</v>
      </c>
      <c r="D163" s="372" t="s">
        <v>518</v>
      </c>
      <c r="E163" s="372" t="s">
        <v>56</v>
      </c>
      <c r="F163" s="422" t="s">
        <v>174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2111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897</v>
      </c>
      <c r="C165" s="372" t="s">
        <v>1089</v>
      </c>
      <c r="D165" s="372" t="s">
        <v>518</v>
      </c>
      <c r="E165" s="372" t="s">
        <v>56</v>
      </c>
      <c r="F165" s="422" t="s">
        <v>552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2112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2113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2114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2115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2116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897</v>
      </c>
      <c r="C171" s="372" t="s">
        <v>1089</v>
      </c>
      <c r="D171" s="372" t="s">
        <v>518</v>
      </c>
      <c r="E171" s="372" t="s">
        <v>56</v>
      </c>
      <c r="F171" s="422" t="s">
        <v>553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2117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897</v>
      </c>
      <c r="C173" s="385" t="s">
        <v>1089</v>
      </c>
      <c r="D173" s="385" t="s">
        <v>441</v>
      </c>
      <c r="E173" s="385"/>
      <c r="F173" s="424" t="s">
        <v>1022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897</v>
      </c>
      <c r="C174" s="385" t="s">
        <v>1089</v>
      </c>
      <c r="D174" s="385" t="s">
        <v>860</v>
      </c>
      <c r="E174" s="385"/>
      <c r="F174" s="424" t="s">
        <v>1022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898</v>
      </c>
      <c r="C175" s="633" t="s">
        <v>1099</v>
      </c>
      <c r="D175" s="632"/>
      <c r="E175" s="632"/>
      <c r="F175" s="641" t="s">
        <v>2085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898</v>
      </c>
      <c r="C176" s="385" t="s">
        <v>1099</v>
      </c>
      <c r="D176" s="385" t="s">
        <v>159</v>
      </c>
      <c r="E176" s="380"/>
      <c r="F176" s="424" t="s">
        <v>1022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898</v>
      </c>
      <c r="C177" s="372" t="s">
        <v>1099</v>
      </c>
      <c r="D177" s="372" t="s">
        <v>159</v>
      </c>
      <c r="E177" s="376" t="s">
        <v>1100</v>
      </c>
      <c r="F177" s="422" t="s">
        <v>174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2118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898</v>
      </c>
      <c r="C179" s="372" t="s">
        <v>1099</v>
      </c>
      <c r="D179" s="372" t="s">
        <v>159</v>
      </c>
      <c r="E179" s="376" t="s">
        <v>1100</v>
      </c>
      <c r="F179" s="422" t="s">
        <v>175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2119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898</v>
      </c>
      <c r="C181" s="385" t="s">
        <v>1099</v>
      </c>
      <c r="D181" s="385" t="s">
        <v>518</v>
      </c>
      <c r="E181" s="385"/>
      <c r="F181" s="424" t="s">
        <v>1022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898</v>
      </c>
      <c r="C182" s="372" t="s">
        <v>1099</v>
      </c>
      <c r="D182" s="372" t="s">
        <v>518</v>
      </c>
      <c r="E182" s="372" t="s">
        <v>56</v>
      </c>
      <c r="F182" s="422" t="s">
        <v>175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2119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898</v>
      </c>
      <c r="C184" s="372" t="s">
        <v>1099</v>
      </c>
      <c r="D184" s="372" t="s">
        <v>518</v>
      </c>
      <c r="E184" s="372" t="s">
        <v>56</v>
      </c>
      <c r="F184" s="422" t="s">
        <v>174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2111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2118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898</v>
      </c>
      <c r="C187" s="372" t="s">
        <v>1099</v>
      </c>
      <c r="D187" s="372" t="s">
        <v>518</v>
      </c>
      <c r="E187" s="372" t="s">
        <v>56</v>
      </c>
      <c r="F187" s="422" t="s">
        <v>195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2120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898</v>
      </c>
      <c r="C189" s="385" t="s">
        <v>1099</v>
      </c>
      <c r="D189" s="385" t="s">
        <v>441</v>
      </c>
      <c r="E189" s="385"/>
      <c r="F189" s="424" t="s">
        <v>1022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898</v>
      </c>
      <c r="C190" s="385" t="s">
        <v>1099</v>
      </c>
      <c r="D190" s="385" t="s">
        <v>860</v>
      </c>
      <c r="E190" s="385"/>
      <c r="F190" s="424" t="s">
        <v>1022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899</v>
      </c>
      <c r="C191" s="633" t="s">
        <v>1107</v>
      </c>
      <c r="D191" s="632"/>
      <c r="E191" s="632"/>
      <c r="F191" s="634" t="s">
        <v>2121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899</v>
      </c>
      <c r="C192" s="385" t="s">
        <v>1107</v>
      </c>
      <c r="D192" s="385" t="s">
        <v>159</v>
      </c>
      <c r="E192" s="380"/>
      <c r="F192" s="424" t="s">
        <v>1022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899</v>
      </c>
      <c r="C193" s="372" t="s">
        <v>1107</v>
      </c>
      <c r="D193" s="372" t="s">
        <v>159</v>
      </c>
      <c r="E193" s="376" t="s">
        <v>1100</v>
      </c>
      <c r="F193" s="422" t="s">
        <v>188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899</v>
      </c>
      <c r="C194" s="372" t="s">
        <v>1107</v>
      </c>
      <c r="D194" s="372" t="s">
        <v>159</v>
      </c>
      <c r="E194" s="376" t="s">
        <v>1100</v>
      </c>
      <c r="F194" s="422" t="s">
        <v>189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899</v>
      </c>
      <c r="C195" s="372" t="s">
        <v>1107</v>
      </c>
      <c r="D195" s="372" t="s">
        <v>159</v>
      </c>
      <c r="E195" s="376" t="s">
        <v>1100</v>
      </c>
      <c r="F195" s="422" t="s">
        <v>190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899</v>
      </c>
      <c r="C196" s="372" t="s">
        <v>1107</v>
      </c>
      <c r="D196" s="372" t="s">
        <v>159</v>
      </c>
      <c r="E196" s="376" t="s">
        <v>1100</v>
      </c>
      <c r="F196" s="422" t="s">
        <v>2122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899</v>
      </c>
      <c r="C197" s="385" t="s">
        <v>1107</v>
      </c>
      <c r="D197" s="385" t="s">
        <v>518</v>
      </c>
      <c r="E197" s="385"/>
      <c r="F197" s="424" t="s">
        <v>1022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899</v>
      </c>
      <c r="C198" s="372" t="s">
        <v>1107</v>
      </c>
      <c r="D198" s="372" t="s">
        <v>518</v>
      </c>
      <c r="E198" s="372" t="s">
        <v>56</v>
      </c>
      <c r="F198" s="422" t="s">
        <v>2123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899</v>
      </c>
      <c r="C199" s="372" t="s">
        <v>1107</v>
      </c>
      <c r="D199" s="372" t="s">
        <v>518</v>
      </c>
      <c r="E199" s="372" t="s">
        <v>56</v>
      </c>
      <c r="F199" s="422" t="s">
        <v>2124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899</v>
      </c>
      <c r="C200" s="372" t="s">
        <v>1107</v>
      </c>
      <c r="D200" s="372" t="s">
        <v>518</v>
      </c>
      <c r="E200" s="372" t="s">
        <v>56</v>
      </c>
      <c r="F200" s="422" t="s">
        <v>2125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2126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899</v>
      </c>
      <c r="C202" s="372" t="s">
        <v>1107</v>
      </c>
      <c r="D202" s="372" t="s">
        <v>518</v>
      </c>
      <c r="E202" s="372" t="s">
        <v>56</v>
      </c>
      <c r="F202" s="422" t="s">
        <v>2127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2128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899</v>
      </c>
      <c r="C204" s="372" t="s">
        <v>1107</v>
      </c>
      <c r="D204" s="372" t="s">
        <v>518</v>
      </c>
      <c r="E204" s="372" t="s">
        <v>56</v>
      </c>
      <c r="F204" s="422" t="s">
        <v>2129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899</v>
      </c>
      <c r="C205" s="372" t="s">
        <v>1107</v>
      </c>
      <c r="D205" s="372" t="s">
        <v>518</v>
      </c>
      <c r="E205" s="372" t="s">
        <v>56</v>
      </c>
      <c r="F205" s="422" t="s">
        <v>2130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899</v>
      </c>
      <c r="C206" s="372" t="s">
        <v>1107</v>
      </c>
      <c r="D206" s="372" t="s">
        <v>518</v>
      </c>
      <c r="E206" s="372" t="s">
        <v>56</v>
      </c>
      <c r="F206" s="422" t="s">
        <v>2131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2132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899</v>
      </c>
      <c r="C208" s="372" t="s">
        <v>1107</v>
      </c>
      <c r="D208" s="372" t="s">
        <v>518</v>
      </c>
      <c r="E208" s="372" t="s">
        <v>56</v>
      </c>
      <c r="F208" s="422" t="s">
        <v>2133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2134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899</v>
      </c>
      <c r="C210" s="372" t="s">
        <v>1107</v>
      </c>
      <c r="D210" s="372" t="s">
        <v>518</v>
      </c>
      <c r="E210" s="372" t="s">
        <v>56</v>
      </c>
      <c r="F210" s="422" t="s">
        <v>2135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2132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899</v>
      </c>
      <c r="C212" s="372" t="s">
        <v>1107</v>
      </c>
      <c r="D212" s="372" t="s">
        <v>518</v>
      </c>
      <c r="E212" s="372" t="s">
        <v>56</v>
      </c>
      <c r="F212" s="422" t="s">
        <v>2136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899</v>
      </c>
      <c r="C213" s="372" t="s">
        <v>1107</v>
      </c>
      <c r="D213" s="372" t="s">
        <v>518</v>
      </c>
      <c r="E213" s="372" t="s">
        <v>56</v>
      </c>
      <c r="F213" s="422" t="s">
        <v>192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899</v>
      </c>
      <c r="C214" s="385" t="s">
        <v>1107</v>
      </c>
      <c r="D214" s="385" t="s">
        <v>441</v>
      </c>
      <c r="E214" s="385"/>
      <c r="F214" s="424" t="s">
        <v>1022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899</v>
      </c>
      <c r="C215" s="372" t="s">
        <v>1107</v>
      </c>
      <c r="D215" s="372" t="s">
        <v>441</v>
      </c>
      <c r="E215" s="372" t="s">
        <v>437</v>
      </c>
      <c r="F215" s="422" t="s">
        <v>475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899</v>
      </c>
      <c r="C216" s="372" t="s">
        <v>1107</v>
      </c>
      <c r="D216" s="372" t="s">
        <v>441</v>
      </c>
      <c r="E216" s="372" t="s">
        <v>437</v>
      </c>
      <c r="F216" s="422" t="s">
        <v>476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899</v>
      </c>
      <c r="C217" s="385" t="s">
        <v>1107</v>
      </c>
      <c r="D217" s="385" t="s">
        <v>860</v>
      </c>
      <c r="E217" s="385"/>
      <c r="F217" s="424" t="s">
        <v>1022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1137</v>
      </c>
      <c r="C218" s="639" t="s">
        <v>956</v>
      </c>
      <c r="D218" s="639"/>
      <c r="E218" s="639"/>
      <c r="F218" s="641" t="s">
        <v>2137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1137</v>
      </c>
      <c r="C219" s="385" t="s">
        <v>956</v>
      </c>
      <c r="D219" s="385" t="s">
        <v>159</v>
      </c>
      <c r="E219" s="380"/>
      <c r="F219" s="424" t="s">
        <v>2138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1137</v>
      </c>
      <c r="C220" s="372" t="s">
        <v>956</v>
      </c>
      <c r="D220" s="372" t="s">
        <v>159</v>
      </c>
      <c r="E220" s="376" t="s">
        <v>1100</v>
      </c>
      <c r="F220" s="422" t="s">
        <v>2139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1137</v>
      </c>
      <c r="C221" s="372" t="s">
        <v>956</v>
      </c>
      <c r="D221" s="372" t="s">
        <v>159</v>
      </c>
      <c r="E221" s="376" t="s">
        <v>1100</v>
      </c>
      <c r="F221" s="422" t="s">
        <v>2140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1137</v>
      </c>
      <c r="C222" s="372" t="s">
        <v>956</v>
      </c>
      <c r="D222" s="372" t="s">
        <v>159</v>
      </c>
      <c r="E222" s="376" t="s">
        <v>1100</v>
      </c>
      <c r="F222" s="422" t="s">
        <v>2141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1137</v>
      </c>
      <c r="C223" s="385" t="s">
        <v>956</v>
      </c>
      <c r="D223" s="385" t="s">
        <v>518</v>
      </c>
      <c r="E223" s="385"/>
      <c r="F223" s="424" t="s">
        <v>2138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1137</v>
      </c>
      <c r="C224" s="372" t="s">
        <v>956</v>
      </c>
      <c r="D224" s="372" t="s">
        <v>518</v>
      </c>
      <c r="E224" s="372" t="s">
        <v>56</v>
      </c>
      <c r="F224" s="422" t="s">
        <v>2142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1137</v>
      </c>
      <c r="C225" s="372" t="s">
        <v>956</v>
      </c>
      <c r="D225" s="372" t="s">
        <v>518</v>
      </c>
      <c r="E225" s="372" t="s">
        <v>56</v>
      </c>
      <c r="F225" s="422" t="s">
        <v>2139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1137</v>
      </c>
      <c r="C226" s="372" t="s">
        <v>956</v>
      </c>
      <c r="D226" s="372" t="s">
        <v>518</v>
      </c>
      <c r="E226" s="372" t="s">
        <v>56</v>
      </c>
      <c r="F226" s="422" t="s">
        <v>2140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1137</v>
      </c>
      <c r="C227" s="372" t="s">
        <v>956</v>
      </c>
      <c r="D227" s="372" t="s">
        <v>518</v>
      </c>
      <c r="E227" s="372" t="s">
        <v>56</v>
      </c>
      <c r="F227" s="422" t="s">
        <v>2141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1137</v>
      </c>
      <c r="C228" s="385" t="s">
        <v>956</v>
      </c>
      <c r="D228" s="385" t="s">
        <v>441</v>
      </c>
      <c r="E228" s="385"/>
      <c r="F228" s="424" t="s">
        <v>2138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1137</v>
      </c>
      <c r="C229" s="372" t="s">
        <v>956</v>
      </c>
      <c r="D229" s="372" t="s">
        <v>441</v>
      </c>
      <c r="E229" s="372" t="s">
        <v>437</v>
      </c>
      <c r="F229" s="422" t="s">
        <v>2139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1137</v>
      </c>
      <c r="C230" s="372" t="s">
        <v>956</v>
      </c>
      <c r="D230" s="372" t="s">
        <v>441</v>
      </c>
      <c r="E230" s="372" t="s">
        <v>437</v>
      </c>
      <c r="F230" s="424" t="s">
        <v>2140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901</v>
      </c>
      <c r="C231" s="633" t="s">
        <v>1089</v>
      </c>
      <c r="D231" s="632"/>
      <c r="E231" s="632"/>
      <c r="F231" s="641" t="s">
        <v>2085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901</v>
      </c>
      <c r="C232" s="385" t="s">
        <v>1089</v>
      </c>
      <c r="D232" s="385" t="s">
        <v>159</v>
      </c>
      <c r="E232" s="380"/>
      <c r="F232" s="424" t="s">
        <v>1022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901</v>
      </c>
      <c r="C233" s="372" t="s">
        <v>1089</v>
      </c>
      <c r="D233" s="372" t="s">
        <v>159</v>
      </c>
      <c r="E233" s="376" t="s">
        <v>1100</v>
      </c>
      <c r="F233" s="422" t="s">
        <v>216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901</v>
      </c>
      <c r="C234" s="372" t="s">
        <v>1089</v>
      </c>
      <c r="D234" s="372" t="s">
        <v>159</v>
      </c>
      <c r="E234" s="376" t="s">
        <v>1100</v>
      </c>
      <c r="F234" s="422" t="s">
        <v>218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2143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901</v>
      </c>
      <c r="C236" s="372" t="s">
        <v>1089</v>
      </c>
      <c r="D236" s="372" t="s">
        <v>159</v>
      </c>
      <c r="E236" s="376" t="s">
        <v>1100</v>
      </c>
      <c r="F236" s="422" t="s">
        <v>190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2144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2145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901</v>
      </c>
      <c r="C239" s="372" t="s">
        <v>1089</v>
      </c>
      <c r="D239" s="372" t="s">
        <v>159</v>
      </c>
      <c r="E239" s="376" t="s">
        <v>1100</v>
      </c>
      <c r="F239" s="422" t="s">
        <v>174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2146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2147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2148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2149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901</v>
      </c>
      <c r="C244" s="372" t="s">
        <v>1089</v>
      </c>
      <c r="D244" s="372" t="s">
        <v>159</v>
      </c>
      <c r="E244" s="376" t="s">
        <v>1100</v>
      </c>
      <c r="F244" s="422" t="s">
        <v>195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901</v>
      </c>
      <c r="C245" s="385" t="s">
        <v>1089</v>
      </c>
      <c r="D245" s="385" t="s">
        <v>518</v>
      </c>
      <c r="E245" s="385"/>
      <c r="F245" s="424" t="s">
        <v>1022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901</v>
      </c>
      <c r="C246" s="372" t="s">
        <v>1089</v>
      </c>
      <c r="D246" s="372" t="s">
        <v>518</v>
      </c>
      <c r="E246" s="372" t="s">
        <v>56</v>
      </c>
      <c r="F246" s="422" t="s">
        <v>209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2150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2151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901</v>
      </c>
      <c r="C249" s="372" t="s">
        <v>1089</v>
      </c>
      <c r="D249" s="372" t="s">
        <v>518</v>
      </c>
      <c r="E249" s="372" t="s">
        <v>56</v>
      </c>
      <c r="F249" s="422" t="s">
        <v>217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2152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901</v>
      </c>
      <c r="C251" s="372" t="s">
        <v>1089</v>
      </c>
      <c r="D251" s="372" t="s">
        <v>518</v>
      </c>
      <c r="E251" s="372" t="s">
        <v>56</v>
      </c>
      <c r="F251" s="422" t="s">
        <v>174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2146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2147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2153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2149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901</v>
      </c>
      <c r="C256" s="372" t="s">
        <v>1089</v>
      </c>
      <c r="D256" s="372" t="s">
        <v>518</v>
      </c>
      <c r="E256" s="372" t="s">
        <v>56</v>
      </c>
      <c r="F256" s="422" t="s">
        <v>195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6.45" hidden="1" outlineLevel="3">
      <c r="A257" s="372"/>
      <c r="B257" s="376" t="s">
        <v>901</v>
      </c>
      <c r="C257" s="372" t="s">
        <v>1089</v>
      </c>
      <c r="D257" s="372" t="s">
        <v>518</v>
      </c>
      <c r="E257" s="372" t="s">
        <v>56</v>
      </c>
      <c r="F257" s="422" t="s">
        <v>2154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2155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901</v>
      </c>
      <c r="C259" s="385" t="s">
        <v>1089</v>
      </c>
      <c r="D259" s="385" t="s">
        <v>441</v>
      </c>
      <c r="E259" s="385"/>
      <c r="F259" s="424" t="s">
        <v>1022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901</v>
      </c>
      <c r="C260" s="372" t="s">
        <v>1089</v>
      </c>
      <c r="D260" s="372" t="s">
        <v>441</v>
      </c>
      <c r="E260" s="372" t="s">
        <v>437</v>
      </c>
      <c r="F260" s="422" t="s">
        <v>195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901</v>
      </c>
      <c r="C261" s="385" t="s">
        <v>1089</v>
      </c>
      <c r="D261" s="385" t="s">
        <v>860</v>
      </c>
      <c r="E261" s="385"/>
      <c r="F261" s="424" t="s">
        <v>1022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162</v>
      </c>
      <c r="C262" s="632" t="s">
        <v>162</v>
      </c>
      <c r="D262" s="632"/>
      <c r="E262" s="632"/>
      <c r="F262" s="634" t="s">
        <v>2156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162</v>
      </c>
      <c r="C263" s="380" t="s">
        <v>162</v>
      </c>
      <c r="D263" s="385" t="s">
        <v>1335</v>
      </c>
      <c r="E263" s="380"/>
      <c r="F263" s="424" t="s">
        <v>1050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162</v>
      </c>
      <c r="C264" s="380" t="s">
        <v>162</v>
      </c>
      <c r="D264" s="385" t="s">
        <v>159</v>
      </c>
      <c r="E264" s="380"/>
      <c r="F264" s="424" t="s">
        <v>1050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162</v>
      </c>
      <c r="C265" s="376" t="s">
        <v>162</v>
      </c>
      <c r="D265" s="372" t="s">
        <v>159</v>
      </c>
      <c r="E265" s="376" t="s">
        <v>1159</v>
      </c>
      <c r="F265" s="422" t="s">
        <v>245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2157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2158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162</v>
      </c>
      <c r="C268" s="380" t="s">
        <v>162</v>
      </c>
      <c r="D268" s="385" t="s">
        <v>518</v>
      </c>
      <c r="E268" s="385"/>
      <c r="F268" s="424" t="s">
        <v>1050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162</v>
      </c>
      <c r="C269" s="376" t="s">
        <v>162</v>
      </c>
      <c r="D269" s="372" t="s">
        <v>518</v>
      </c>
      <c r="E269" s="372" t="s">
        <v>56</v>
      </c>
      <c r="F269" s="422" t="s">
        <v>543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2159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2160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162</v>
      </c>
      <c r="C272" s="376" t="s">
        <v>162</v>
      </c>
      <c r="D272" s="372" t="s">
        <v>518</v>
      </c>
      <c r="E272" s="372" t="s">
        <v>56</v>
      </c>
      <c r="F272" s="422" t="s">
        <v>221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2161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2162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162</v>
      </c>
      <c r="C275" s="376" t="s">
        <v>162</v>
      </c>
      <c r="D275" s="372" t="s">
        <v>518</v>
      </c>
      <c r="E275" s="372" t="s">
        <v>56</v>
      </c>
      <c r="F275" s="422" t="s">
        <v>245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2163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2157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162</v>
      </c>
      <c r="C278" s="376" t="s">
        <v>162</v>
      </c>
      <c r="D278" s="372" t="s">
        <v>518</v>
      </c>
      <c r="E278" s="372" t="s">
        <v>56</v>
      </c>
      <c r="F278" s="422" t="s">
        <v>254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162</v>
      </c>
      <c r="C279" s="380" t="s">
        <v>162</v>
      </c>
      <c r="D279" s="385" t="s">
        <v>441</v>
      </c>
      <c r="E279" s="385"/>
      <c r="F279" s="424" t="s">
        <v>1050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162</v>
      </c>
      <c r="C280" s="376" t="s">
        <v>162</v>
      </c>
      <c r="D280" s="372" t="s">
        <v>441</v>
      </c>
      <c r="E280" s="372" t="s">
        <v>437</v>
      </c>
      <c r="F280" s="422" t="s">
        <v>243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162</v>
      </c>
      <c r="C281" s="376" t="s">
        <v>162</v>
      </c>
      <c r="D281" s="372" t="s">
        <v>441</v>
      </c>
      <c r="E281" s="372" t="s">
        <v>437</v>
      </c>
      <c r="F281" s="422" t="s">
        <v>2164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162</v>
      </c>
      <c r="C282" s="376" t="s">
        <v>162</v>
      </c>
      <c r="D282" s="372" t="s">
        <v>441</v>
      </c>
      <c r="E282" s="372" t="s">
        <v>437</v>
      </c>
      <c r="F282" s="422" t="s">
        <v>245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2165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2166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162</v>
      </c>
      <c r="C285" s="376" t="s">
        <v>162</v>
      </c>
      <c r="D285" s="372" t="s">
        <v>441</v>
      </c>
      <c r="E285" s="372" t="s">
        <v>437</v>
      </c>
      <c r="F285" s="422" t="s">
        <v>254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162</v>
      </c>
      <c r="C286" s="380" t="s">
        <v>162</v>
      </c>
      <c r="D286" s="385" t="s">
        <v>860</v>
      </c>
      <c r="E286" s="385"/>
      <c r="F286" s="424" t="s">
        <v>1050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162</v>
      </c>
      <c r="C287" s="376" t="s">
        <v>162</v>
      </c>
      <c r="D287" s="372" t="s">
        <v>860</v>
      </c>
      <c r="E287" s="372" t="s">
        <v>437</v>
      </c>
      <c r="F287" s="422" t="s">
        <v>1164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162</v>
      </c>
      <c r="C288" s="376" t="s">
        <v>162</v>
      </c>
      <c r="D288" s="372" t="s">
        <v>860</v>
      </c>
      <c r="E288" s="372" t="s">
        <v>437</v>
      </c>
      <c r="F288" s="422" t="s">
        <v>2167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162</v>
      </c>
      <c r="C289" s="376" t="s">
        <v>162</v>
      </c>
      <c r="D289" s="372" t="s">
        <v>860</v>
      </c>
      <c r="E289" s="372" t="s">
        <v>437</v>
      </c>
      <c r="F289" s="422" t="s">
        <v>283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1175</v>
      </c>
      <c r="C290" s="633" t="s">
        <v>1018</v>
      </c>
      <c r="D290" s="632"/>
      <c r="E290" s="632"/>
      <c r="F290" s="634" t="s">
        <v>2168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1175</v>
      </c>
      <c r="C291" s="385" t="s">
        <v>1018</v>
      </c>
      <c r="D291" s="385" t="s">
        <v>518</v>
      </c>
      <c r="E291" s="385"/>
      <c r="F291" s="424" t="s">
        <v>1022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1175</v>
      </c>
      <c r="C292" s="372" t="s">
        <v>1018</v>
      </c>
      <c r="D292" s="372" t="s">
        <v>518</v>
      </c>
      <c r="E292" s="372" t="s">
        <v>56</v>
      </c>
      <c r="F292" s="422" t="s">
        <v>1167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2169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252</v>
      </c>
      <c r="C294" s="639" t="s">
        <v>252</v>
      </c>
      <c r="D294" s="639"/>
      <c r="E294" s="639"/>
      <c r="F294" s="634" t="s">
        <v>2168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252</v>
      </c>
      <c r="C295" s="380" t="s">
        <v>252</v>
      </c>
      <c r="D295" s="385" t="s">
        <v>159</v>
      </c>
      <c r="E295" s="386"/>
      <c r="F295" s="424" t="s">
        <v>1176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252</v>
      </c>
      <c r="C296" s="376" t="s">
        <v>252</v>
      </c>
      <c r="D296" s="372" t="s">
        <v>159</v>
      </c>
      <c r="E296" s="387" t="s">
        <v>1159</v>
      </c>
      <c r="F296" s="422" t="s">
        <v>75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1180</v>
      </c>
      <c r="B297" s="376" t="s">
        <v>252</v>
      </c>
      <c r="C297" s="376" t="s">
        <v>252</v>
      </c>
      <c r="D297" s="372" t="s">
        <v>159</v>
      </c>
      <c r="E297" s="387" t="s">
        <v>1159</v>
      </c>
      <c r="F297" s="422" t="s">
        <v>957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252</v>
      </c>
      <c r="C298" s="376" t="s">
        <v>252</v>
      </c>
      <c r="D298" s="372" t="s">
        <v>159</v>
      </c>
      <c r="E298" s="387" t="s">
        <v>1159</v>
      </c>
      <c r="F298" s="422" t="s">
        <v>1004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252</v>
      </c>
      <c r="C299" s="376" t="s">
        <v>252</v>
      </c>
      <c r="D299" s="372" t="s">
        <v>159</v>
      </c>
      <c r="E299" s="387" t="s">
        <v>1159</v>
      </c>
      <c r="F299" s="422" t="s">
        <v>1181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2170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252</v>
      </c>
      <c r="C301" s="376" t="s">
        <v>252</v>
      </c>
      <c r="D301" s="372" t="s">
        <v>159</v>
      </c>
      <c r="E301" s="387" t="s">
        <v>1159</v>
      </c>
      <c r="F301" s="422" t="s">
        <v>1182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252</v>
      </c>
      <c r="C302" s="376" t="s">
        <v>252</v>
      </c>
      <c r="D302" s="372" t="s">
        <v>159</v>
      </c>
      <c r="E302" s="387" t="s">
        <v>1159</v>
      </c>
      <c r="F302" s="422" t="s">
        <v>1183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2171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252</v>
      </c>
      <c r="C304" s="376" t="s">
        <v>252</v>
      </c>
      <c r="D304" s="372" t="s">
        <v>159</v>
      </c>
      <c r="E304" s="387" t="s">
        <v>1159</v>
      </c>
      <c r="F304" s="422" t="s">
        <v>1184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252</v>
      </c>
      <c r="C305" s="376" t="s">
        <v>252</v>
      </c>
      <c r="D305" s="372" t="s">
        <v>159</v>
      </c>
      <c r="E305" s="387" t="s">
        <v>1159</v>
      </c>
      <c r="F305" s="422" t="s">
        <v>1185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252</v>
      </c>
      <c r="C306" s="376" t="s">
        <v>252</v>
      </c>
      <c r="D306" s="372" t="s">
        <v>159</v>
      </c>
      <c r="E306" s="387" t="s">
        <v>1159</v>
      </c>
      <c r="F306" s="422" t="s">
        <v>1160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252</v>
      </c>
      <c r="C307" s="376" t="s">
        <v>252</v>
      </c>
      <c r="D307" s="372" t="s">
        <v>159</v>
      </c>
      <c r="E307" s="387" t="s">
        <v>1159</v>
      </c>
      <c r="F307" s="422" t="s">
        <v>1170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252</v>
      </c>
      <c r="C308" s="380" t="s">
        <v>252</v>
      </c>
      <c r="D308" s="385" t="s">
        <v>518</v>
      </c>
      <c r="E308" s="385"/>
      <c r="F308" s="424" t="s">
        <v>1176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252</v>
      </c>
      <c r="C309" s="376" t="s">
        <v>252</v>
      </c>
      <c r="D309" s="372" t="s">
        <v>518</v>
      </c>
      <c r="E309" s="372" t="s">
        <v>56</v>
      </c>
      <c r="F309" s="422" t="s">
        <v>2172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252</v>
      </c>
      <c r="C310" s="376" t="s">
        <v>252</v>
      </c>
      <c r="D310" s="372" t="s">
        <v>518</v>
      </c>
      <c r="E310" s="372" t="s">
        <v>56</v>
      </c>
      <c r="F310" s="422" t="s">
        <v>1182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252</v>
      </c>
      <c r="C311" s="376" t="s">
        <v>252</v>
      </c>
      <c r="D311" s="372" t="s">
        <v>518</v>
      </c>
      <c r="E311" s="372" t="s">
        <v>56</v>
      </c>
      <c r="F311" s="422" t="s">
        <v>1188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2173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252</v>
      </c>
      <c r="C313" s="376" t="s">
        <v>252</v>
      </c>
      <c r="D313" s="372" t="s">
        <v>518</v>
      </c>
      <c r="E313" s="372" t="s">
        <v>56</v>
      </c>
      <c r="F313" s="422" t="s">
        <v>1190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2174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252</v>
      </c>
      <c r="C315" s="376" t="s">
        <v>252</v>
      </c>
      <c r="D315" s="372" t="s">
        <v>518</v>
      </c>
      <c r="E315" s="372" t="s">
        <v>56</v>
      </c>
      <c r="F315" s="422" t="s">
        <v>1191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2175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252</v>
      </c>
      <c r="C317" s="376" t="s">
        <v>252</v>
      </c>
      <c r="D317" s="372" t="s">
        <v>518</v>
      </c>
      <c r="E317" s="372" t="s">
        <v>56</v>
      </c>
      <c r="F317" s="422" t="s">
        <v>1193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252</v>
      </c>
      <c r="C318" s="376" t="s">
        <v>252</v>
      </c>
      <c r="D318" s="372" t="s">
        <v>518</v>
      </c>
      <c r="E318" s="372" t="s">
        <v>56</v>
      </c>
      <c r="F318" s="422" t="s">
        <v>1194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252</v>
      </c>
      <c r="C319" s="376" t="s">
        <v>252</v>
      </c>
      <c r="D319" s="372" t="s">
        <v>518</v>
      </c>
      <c r="E319" s="372" t="s">
        <v>56</v>
      </c>
      <c r="F319" s="422" t="s">
        <v>1196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252</v>
      </c>
      <c r="C320" s="376" t="s">
        <v>252</v>
      </c>
      <c r="D320" s="372" t="s">
        <v>518</v>
      </c>
      <c r="E320" s="372" t="s">
        <v>56</v>
      </c>
      <c r="F320" s="422" t="s">
        <v>1197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252</v>
      </c>
      <c r="C321" s="376" t="s">
        <v>252</v>
      </c>
      <c r="D321" s="372" t="s">
        <v>518</v>
      </c>
      <c r="E321" s="372" t="s">
        <v>56</v>
      </c>
      <c r="F321" s="422" t="s">
        <v>1199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2176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252</v>
      </c>
      <c r="C323" s="376" t="s">
        <v>252</v>
      </c>
      <c r="D323" s="372" t="s">
        <v>518</v>
      </c>
      <c r="E323" s="372" t="s">
        <v>56</v>
      </c>
      <c r="F323" s="422" t="s">
        <v>1200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252</v>
      </c>
      <c r="C324" s="376" t="s">
        <v>252</v>
      </c>
      <c r="D324" s="372" t="s">
        <v>518</v>
      </c>
      <c r="E324" s="372" t="s">
        <v>56</v>
      </c>
      <c r="F324" s="422" t="s">
        <v>1201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252</v>
      </c>
      <c r="C325" s="376" t="s">
        <v>252</v>
      </c>
      <c r="D325" s="372" t="s">
        <v>518</v>
      </c>
      <c r="E325" s="372" t="s">
        <v>56</v>
      </c>
      <c r="F325" s="422" t="s">
        <v>1203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252</v>
      </c>
      <c r="C326" s="376" t="s">
        <v>252</v>
      </c>
      <c r="D326" s="372" t="s">
        <v>518</v>
      </c>
      <c r="E326" s="372" t="s">
        <v>56</v>
      </c>
      <c r="F326" s="422" t="s">
        <v>1204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252</v>
      </c>
      <c r="C327" s="376" t="s">
        <v>252</v>
      </c>
      <c r="D327" s="372" t="s">
        <v>518</v>
      </c>
      <c r="E327" s="372" t="s">
        <v>56</v>
      </c>
      <c r="F327" s="422" t="s">
        <v>1205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252</v>
      </c>
      <c r="C328" s="376" t="s">
        <v>252</v>
      </c>
      <c r="D328" s="372" t="s">
        <v>518</v>
      </c>
      <c r="E328" s="372" t="s">
        <v>56</v>
      </c>
      <c r="F328" s="422" t="s">
        <v>1206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252</v>
      </c>
      <c r="C329" s="380" t="s">
        <v>252</v>
      </c>
      <c r="D329" s="385" t="s">
        <v>441</v>
      </c>
      <c r="E329" s="385"/>
      <c r="F329" s="424" t="s">
        <v>1176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252</v>
      </c>
      <c r="C330" s="376" t="s">
        <v>252</v>
      </c>
      <c r="D330" s="372" t="s">
        <v>441</v>
      </c>
      <c r="E330" s="372" t="s">
        <v>437</v>
      </c>
      <c r="F330" s="422" t="s">
        <v>1208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903</v>
      </c>
      <c r="C331" s="632" t="s">
        <v>903</v>
      </c>
      <c r="D331" s="632"/>
      <c r="E331" s="632"/>
      <c r="F331" s="634" t="s">
        <v>2177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903</v>
      </c>
      <c r="C332" s="380" t="s">
        <v>903</v>
      </c>
      <c r="D332" s="385" t="s">
        <v>159</v>
      </c>
      <c r="E332" s="380"/>
      <c r="F332" s="424" t="s">
        <v>1022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903</v>
      </c>
      <c r="C333" s="376" t="s">
        <v>903</v>
      </c>
      <c r="D333" s="372" t="s">
        <v>159</v>
      </c>
      <c r="E333" s="376" t="s">
        <v>1159</v>
      </c>
      <c r="F333" s="422" t="s">
        <v>242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903</v>
      </c>
      <c r="C334" s="376" t="s">
        <v>903</v>
      </c>
      <c r="D334" s="372" t="s">
        <v>159</v>
      </c>
      <c r="E334" s="376" t="s">
        <v>1159</v>
      </c>
      <c r="F334" s="422" t="s">
        <v>243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903</v>
      </c>
      <c r="C335" s="376" t="s">
        <v>903</v>
      </c>
      <c r="D335" s="372" t="s">
        <v>159</v>
      </c>
      <c r="E335" s="376" t="s">
        <v>1159</v>
      </c>
      <c r="F335" s="422" t="s">
        <v>490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903</v>
      </c>
      <c r="C336" s="376" t="s">
        <v>903</v>
      </c>
      <c r="D336" s="372" t="s">
        <v>159</v>
      </c>
      <c r="E336" s="376" t="s">
        <v>1159</v>
      </c>
      <c r="F336" s="422" t="s">
        <v>245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903</v>
      </c>
      <c r="C337" s="376" t="s">
        <v>903</v>
      </c>
      <c r="D337" s="372" t="s">
        <v>159</v>
      </c>
      <c r="E337" s="376" t="s">
        <v>1159</v>
      </c>
      <c r="F337" s="422" t="s">
        <v>246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903</v>
      </c>
      <c r="C338" s="376" t="s">
        <v>903</v>
      </c>
      <c r="D338" s="372" t="s">
        <v>159</v>
      </c>
      <c r="E338" s="376" t="s">
        <v>1159</v>
      </c>
      <c r="F338" s="422" t="s">
        <v>247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903</v>
      </c>
      <c r="C339" s="376" t="s">
        <v>903</v>
      </c>
      <c r="D339" s="372" t="s">
        <v>159</v>
      </c>
      <c r="E339" s="376" t="s">
        <v>1159</v>
      </c>
      <c r="F339" s="429" t="s">
        <v>248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903</v>
      </c>
      <c r="C340" s="376" t="s">
        <v>903</v>
      </c>
      <c r="D340" s="372" t="s">
        <v>159</v>
      </c>
      <c r="E340" s="376" t="s">
        <v>1159</v>
      </c>
      <c r="F340" s="422" t="s">
        <v>251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903</v>
      </c>
      <c r="C341" s="376" t="s">
        <v>903</v>
      </c>
      <c r="D341" s="372" t="s">
        <v>159</v>
      </c>
      <c r="E341" s="376" t="s">
        <v>1159</v>
      </c>
      <c r="F341" s="429" t="s">
        <v>2178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903</v>
      </c>
      <c r="C342" s="380" t="s">
        <v>903</v>
      </c>
      <c r="D342" s="385" t="s">
        <v>518</v>
      </c>
      <c r="E342" s="385"/>
      <c r="F342" s="424" t="s">
        <v>1022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903</v>
      </c>
      <c r="C343" s="376" t="s">
        <v>903</v>
      </c>
      <c r="D343" s="372" t="s">
        <v>518</v>
      </c>
      <c r="E343" s="372" t="s">
        <v>56</v>
      </c>
      <c r="F343" s="422" t="s">
        <v>273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903</v>
      </c>
      <c r="C344" s="376" t="s">
        <v>903</v>
      </c>
      <c r="D344" s="372" t="s">
        <v>518</v>
      </c>
      <c r="E344" s="372" t="s">
        <v>56</v>
      </c>
      <c r="F344" s="422" t="s">
        <v>246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903</v>
      </c>
      <c r="C345" s="376" t="s">
        <v>903</v>
      </c>
      <c r="D345" s="372" t="s">
        <v>518</v>
      </c>
      <c r="E345" s="372" t="s">
        <v>56</v>
      </c>
      <c r="F345" s="422" t="s">
        <v>247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903</v>
      </c>
      <c r="C346" s="376" t="s">
        <v>903</v>
      </c>
      <c r="D346" s="372" t="s">
        <v>518</v>
      </c>
      <c r="E346" s="372" t="s">
        <v>56</v>
      </c>
      <c r="F346" s="422" t="s">
        <v>243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903</v>
      </c>
      <c r="C347" s="376" t="s">
        <v>903</v>
      </c>
      <c r="D347" s="372" t="s">
        <v>518</v>
      </c>
      <c r="E347" s="372" t="s">
        <v>56</v>
      </c>
      <c r="F347" s="422" t="s">
        <v>245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903</v>
      </c>
      <c r="C348" s="376" t="s">
        <v>903</v>
      </c>
      <c r="D348" s="372" t="s">
        <v>518</v>
      </c>
      <c r="E348" s="372" t="s">
        <v>56</v>
      </c>
      <c r="F348" s="422" t="s">
        <v>551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903</v>
      </c>
      <c r="C349" s="380" t="s">
        <v>903</v>
      </c>
      <c r="D349" s="385" t="s">
        <v>441</v>
      </c>
      <c r="E349" s="385"/>
      <c r="F349" s="424" t="s">
        <v>1022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903</v>
      </c>
      <c r="C350" s="376" t="s">
        <v>903</v>
      </c>
      <c r="D350" s="372" t="s">
        <v>441</v>
      </c>
      <c r="E350" s="372" t="s">
        <v>437</v>
      </c>
      <c r="F350" s="422" t="s">
        <v>442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903</v>
      </c>
      <c r="C351" s="376" t="s">
        <v>903</v>
      </c>
      <c r="D351" s="372" t="s">
        <v>441</v>
      </c>
      <c r="E351" s="372" t="s">
        <v>437</v>
      </c>
      <c r="F351" s="422" t="s">
        <v>463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903</v>
      </c>
      <c r="C352" s="380" t="s">
        <v>903</v>
      </c>
      <c r="D352" s="385" t="s">
        <v>860</v>
      </c>
      <c r="E352" s="385"/>
      <c r="F352" s="424" t="s">
        <v>1022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502</v>
      </c>
      <c r="C353" s="633" t="s">
        <v>502</v>
      </c>
      <c r="D353" s="633"/>
      <c r="E353" s="632"/>
      <c r="F353" s="634" t="s">
        <v>1989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502</v>
      </c>
      <c r="C354" s="385" t="s">
        <v>502</v>
      </c>
      <c r="D354" s="385" t="s">
        <v>159</v>
      </c>
      <c r="E354" s="380"/>
      <c r="F354" s="424" t="s">
        <v>1022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502</v>
      </c>
      <c r="C355" s="372" t="s">
        <v>502</v>
      </c>
      <c r="D355" s="372" t="s">
        <v>159</v>
      </c>
      <c r="E355" s="376" t="s">
        <v>1159</v>
      </c>
      <c r="F355" s="422" t="s">
        <v>226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502</v>
      </c>
      <c r="C356" s="372" t="s">
        <v>502</v>
      </c>
      <c r="D356" s="372" t="s">
        <v>159</v>
      </c>
      <c r="E356" s="376" t="s">
        <v>1159</v>
      </c>
      <c r="F356" s="422" t="s">
        <v>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502</v>
      </c>
      <c r="C357" s="385" t="s">
        <v>502</v>
      </c>
      <c r="D357" s="385" t="s">
        <v>518</v>
      </c>
      <c r="E357" s="385"/>
      <c r="F357" s="424" t="s">
        <v>1022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502</v>
      </c>
      <c r="C358" s="385" t="s">
        <v>502</v>
      </c>
      <c r="D358" s="385" t="s">
        <v>441</v>
      </c>
      <c r="E358" s="385"/>
      <c r="F358" s="424" t="s">
        <v>1022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502</v>
      </c>
      <c r="C359" s="385" t="s">
        <v>502</v>
      </c>
      <c r="D359" s="385" t="s">
        <v>860</v>
      </c>
      <c r="E359" s="385"/>
      <c r="F359" s="424" t="s">
        <v>1022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414</v>
      </c>
      <c r="C360" s="632" t="s">
        <v>414</v>
      </c>
      <c r="D360" s="632"/>
      <c r="E360" s="632"/>
      <c r="F360" s="634" t="s">
        <v>1989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414</v>
      </c>
      <c r="C361" s="380" t="s">
        <v>414</v>
      </c>
      <c r="D361" s="385" t="s">
        <v>159</v>
      </c>
      <c r="E361" s="380"/>
      <c r="F361" s="424" t="s">
        <v>1022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414</v>
      </c>
      <c r="C362" s="376" t="s">
        <v>414</v>
      </c>
      <c r="D362" s="372" t="s">
        <v>159</v>
      </c>
      <c r="E362" s="376" t="s">
        <v>1236</v>
      </c>
      <c r="F362" s="422" t="s">
        <v>226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414</v>
      </c>
      <c r="C363" s="376" t="s">
        <v>414</v>
      </c>
      <c r="D363" s="372" t="s">
        <v>159</v>
      </c>
      <c r="E363" s="376" t="s">
        <v>1236</v>
      </c>
      <c r="F363" s="422" t="s">
        <v>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414</v>
      </c>
      <c r="C364" s="376" t="s">
        <v>414</v>
      </c>
      <c r="D364" s="372" t="s">
        <v>159</v>
      </c>
      <c r="E364" s="376" t="s">
        <v>1236</v>
      </c>
      <c r="F364" s="422" t="s">
        <v>208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414</v>
      </c>
      <c r="C365" s="380" t="s">
        <v>414</v>
      </c>
      <c r="D365" s="385" t="s">
        <v>518</v>
      </c>
      <c r="E365" s="385"/>
      <c r="F365" s="424" t="s">
        <v>1022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414</v>
      </c>
      <c r="C366" s="376" t="s">
        <v>414</v>
      </c>
      <c r="D366" s="372" t="s">
        <v>518</v>
      </c>
      <c r="E366" s="372" t="s">
        <v>56</v>
      </c>
      <c r="F366" s="422" t="s">
        <v>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414</v>
      </c>
      <c r="C367" s="380" t="s">
        <v>414</v>
      </c>
      <c r="D367" s="385" t="s">
        <v>441</v>
      </c>
      <c r="E367" s="385"/>
      <c r="F367" s="424" t="s">
        <v>1022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414</v>
      </c>
      <c r="C368" s="376" t="s">
        <v>414</v>
      </c>
      <c r="D368" s="372" t="s">
        <v>441</v>
      </c>
      <c r="E368" s="372" t="s">
        <v>437</v>
      </c>
      <c r="F368" s="422" t="s">
        <v>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414</v>
      </c>
      <c r="C369" s="376" t="s">
        <v>414</v>
      </c>
      <c r="D369" s="372" t="s">
        <v>441</v>
      </c>
      <c r="E369" s="372" t="s">
        <v>437</v>
      </c>
      <c r="F369" s="422" t="s">
        <v>208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414</v>
      </c>
      <c r="C370" s="380" t="s">
        <v>414</v>
      </c>
      <c r="D370" s="385" t="s">
        <v>860</v>
      </c>
      <c r="E370" s="385"/>
      <c r="F370" s="424" t="s">
        <v>1022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414</v>
      </c>
      <c r="C371" s="376" t="s">
        <v>414</v>
      </c>
      <c r="D371" s="372" t="s">
        <v>860</v>
      </c>
      <c r="E371" s="372" t="s">
        <v>437</v>
      </c>
      <c r="F371" s="422" t="s">
        <v>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414</v>
      </c>
      <c r="C372" s="376" t="s">
        <v>414</v>
      </c>
      <c r="D372" s="372" t="s">
        <v>860</v>
      </c>
      <c r="E372" s="372" t="s">
        <v>437</v>
      </c>
      <c r="F372" s="422" t="s">
        <v>208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612</v>
      </c>
      <c r="C373" s="632" t="s">
        <v>612</v>
      </c>
      <c r="D373" s="632"/>
      <c r="E373" s="632"/>
      <c r="F373" s="634" t="s">
        <v>2179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612</v>
      </c>
      <c r="C374" s="380" t="s">
        <v>612</v>
      </c>
      <c r="D374" s="385" t="s">
        <v>159</v>
      </c>
      <c r="E374" s="380"/>
      <c r="F374" s="424" t="s">
        <v>1022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612</v>
      </c>
      <c r="C375" s="376" t="s">
        <v>612</v>
      </c>
      <c r="D375" s="372" t="s">
        <v>159</v>
      </c>
      <c r="E375" s="376" t="s">
        <v>1236</v>
      </c>
      <c r="F375" s="422" t="s">
        <v>226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612</v>
      </c>
      <c r="C376" s="376" t="s">
        <v>612</v>
      </c>
      <c r="D376" s="372" t="s">
        <v>159</v>
      </c>
      <c r="E376" s="376" t="s">
        <v>1236</v>
      </c>
      <c r="F376" s="422" t="s">
        <v>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612</v>
      </c>
      <c r="C377" s="376" t="s">
        <v>612</v>
      </c>
      <c r="D377" s="372" t="s">
        <v>159</v>
      </c>
      <c r="E377" s="376" t="s">
        <v>1236</v>
      </c>
      <c r="F377" s="422" t="s">
        <v>208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612</v>
      </c>
      <c r="C378" s="380" t="s">
        <v>612</v>
      </c>
      <c r="D378" s="385" t="s">
        <v>518</v>
      </c>
      <c r="E378" s="385"/>
      <c r="F378" s="424" t="s">
        <v>1022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612</v>
      </c>
      <c r="C379" s="376" t="s">
        <v>612</v>
      </c>
      <c r="D379" s="372" t="s">
        <v>518</v>
      </c>
      <c r="E379" s="376" t="s">
        <v>1236</v>
      </c>
      <c r="F379" s="422" t="s">
        <v>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612</v>
      </c>
      <c r="C380" s="380" t="s">
        <v>612</v>
      </c>
      <c r="D380" s="385" t="s">
        <v>441</v>
      </c>
      <c r="E380" s="385"/>
      <c r="F380" s="424" t="s">
        <v>1022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612</v>
      </c>
      <c r="C381" s="376" t="s">
        <v>612</v>
      </c>
      <c r="D381" s="372" t="s">
        <v>441</v>
      </c>
      <c r="E381" s="376" t="s">
        <v>1236</v>
      </c>
      <c r="F381" s="422" t="s">
        <v>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612</v>
      </c>
      <c r="C382" s="376" t="s">
        <v>612</v>
      </c>
      <c r="D382" s="372" t="s">
        <v>441</v>
      </c>
      <c r="E382" s="376" t="s">
        <v>1236</v>
      </c>
      <c r="F382" s="422" t="s">
        <v>208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612</v>
      </c>
      <c r="C383" s="380" t="s">
        <v>612</v>
      </c>
      <c r="D383" s="385" t="s">
        <v>860</v>
      </c>
      <c r="E383" s="380"/>
      <c r="F383" s="424" t="s">
        <v>1022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612</v>
      </c>
      <c r="C384" s="376" t="s">
        <v>612</v>
      </c>
      <c r="D384" s="372" t="s">
        <v>860</v>
      </c>
      <c r="E384" s="376" t="s">
        <v>1236</v>
      </c>
      <c r="F384" s="422" t="s">
        <v>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612</v>
      </c>
      <c r="C385" s="376" t="s">
        <v>612</v>
      </c>
      <c r="D385" s="372" t="s">
        <v>860</v>
      </c>
      <c r="E385" s="376" t="s">
        <v>1236</v>
      </c>
      <c r="F385" s="422" t="s">
        <v>208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225</v>
      </c>
      <c r="C386" s="632" t="s">
        <v>1241</v>
      </c>
      <c r="D386" s="633"/>
      <c r="E386" s="632"/>
      <c r="F386" s="634" t="s">
        <v>2180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225</v>
      </c>
      <c r="C387" s="380" t="s">
        <v>1241</v>
      </c>
      <c r="D387" s="385" t="s">
        <v>159</v>
      </c>
      <c r="E387" s="380"/>
      <c r="F387" s="424" t="s">
        <v>1022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225</v>
      </c>
      <c r="C388" s="376" t="s">
        <v>1241</v>
      </c>
      <c r="D388" s="372" t="s">
        <v>159</v>
      </c>
      <c r="E388" s="376" t="s">
        <v>1100</v>
      </c>
      <c r="F388" s="422" t="s">
        <v>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225</v>
      </c>
      <c r="C389" s="376" t="s">
        <v>1241</v>
      </c>
      <c r="D389" s="372" t="s">
        <v>159</v>
      </c>
      <c r="E389" s="376" t="s">
        <v>1100</v>
      </c>
      <c r="F389" s="422" t="s">
        <v>208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225</v>
      </c>
      <c r="C390" s="380" t="s">
        <v>1241</v>
      </c>
      <c r="D390" s="385" t="s">
        <v>518</v>
      </c>
      <c r="E390" s="385"/>
      <c r="F390" s="424" t="s">
        <v>1022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225</v>
      </c>
      <c r="C391" s="376" t="s">
        <v>1241</v>
      </c>
      <c r="D391" s="372" t="s">
        <v>518</v>
      </c>
      <c r="E391" s="372" t="s">
        <v>56</v>
      </c>
      <c r="F391" s="422" t="s">
        <v>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225</v>
      </c>
      <c r="C392" s="380" t="s">
        <v>1241</v>
      </c>
      <c r="D392" s="385" t="s">
        <v>441</v>
      </c>
      <c r="E392" s="385"/>
      <c r="F392" s="424" t="s">
        <v>1022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225</v>
      </c>
      <c r="C393" s="376" t="s">
        <v>1241</v>
      </c>
      <c r="D393" s="372" t="s">
        <v>441</v>
      </c>
      <c r="E393" s="372" t="s">
        <v>437</v>
      </c>
      <c r="F393" s="422" t="s">
        <v>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225</v>
      </c>
      <c r="C394" s="376" t="s">
        <v>1241</v>
      </c>
      <c r="D394" s="372" t="s">
        <v>441</v>
      </c>
      <c r="E394" s="372" t="s">
        <v>437</v>
      </c>
      <c r="F394" s="422" t="s">
        <v>208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225</v>
      </c>
      <c r="C395" s="380" t="s">
        <v>1241</v>
      </c>
      <c r="D395" s="385" t="s">
        <v>860</v>
      </c>
      <c r="E395" s="385"/>
      <c r="F395" s="424" t="s">
        <v>1022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225</v>
      </c>
      <c r="C396" s="376" t="s">
        <v>1241</v>
      </c>
      <c r="D396" s="372" t="s">
        <v>860</v>
      </c>
      <c r="E396" s="372" t="s">
        <v>437</v>
      </c>
      <c r="F396" s="422" t="s">
        <v>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229</v>
      </c>
      <c r="C397" s="632" t="s">
        <v>1245</v>
      </c>
      <c r="D397" s="633"/>
      <c r="E397" s="632"/>
      <c r="F397" s="634" t="s">
        <v>2181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229</v>
      </c>
      <c r="C398" s="380" t="s">
        <v>1245</v>
      </c>
      <c r="D398" s="385" t="s">
        <v>159</v>
      </c>
      <c r="E398" s="380"/>
      <c r="F398" s="424" t="s">
        <v>1022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229</v>
      </c>
      <c r="C399" s="376" t="s">
        <v>1245</v>
      </c>
      <c r="D399" s="372" t="s">
        <v>159</v>
      </c>
      <c r="E399" s="376" t="s">
        <v>1100</v>
      </c>
      <c r="F399" s="422" t="s">
        <v>1238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229</v>
      </c>
      <c r="C400" s="376" t="s">
        <v>1245</v>
      </c>
      <c r="D400" s="372" t="s">
        <v>159</v>
      </c>
      <c r="E400" s="376" t="s">
        <v>1100</v>
      </c>
      <c r="F400" s="422" t="s">
        <v>1239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229</v>
      </c>
      <c r="C401" s="376" t="s">
        <v>1245</v>
      </c>
      <c r="D401" s="372" t="s">
        <v>159</v>
      </c>
      <c r="E401" s="376" t="s">
        <v>1100</v>
      </c>
      <c r="F401" s="422" t="s">
        <v>1246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229</v>
      </c>
      <c r="C402" s="376" t="s">
        <v>1245</v>
      </c>
      <c r="D402" s="372" t="s">
        <v>159</v>
      </c>
      <c r="E402" s="376" t="s">
        <v>1100</v>
      </c>
      <c r="F402" s="422" t="s">
        <v>1247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229</v>
      </c>
      <c r="C403" s="380" t="s">
        <v>1245</v>
      </c>
      <c r="D403" s="385" t="s">
        <v>518</v>
      </c>
      <c r="E403" s="385"/>
      <c r="F403" s="424" t="s">
        <v>1022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229</v>
      </c>
      <c r="C404" s="376" t="s">
        <v>1245</v>
      </c>
      <c r="D404" s="372" t="s">
        <v>518</v>
      </c>
      <c r="E404" s="372" t="s">
        <v>56</v>
      </c>
      <c r="F404" s="422" t="s">
        <v>1238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229</v>
      </c>
      <c r="C405" s="376" t="s">
        <v>1245</v>
      </c>
      <c r="D405" s="372" t="s">
        <v>518</v>
      </c>
      <c r="E405" s="372" t="s">
        <v>56</v>
      </c>
      <c r="F405" s="422" t="s">
        <v>1239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229</v>
      </c>
      <c r="C406" s="376" t="s">
        <v>1245</v>
      </c>
      <c r="D406" s="372" t="s">
        <v>518</v>
      </c>
      <c r="E406" s="372" t="s">
        <v>56</v>
      </c>
      <c r="F406" s="422" t="s">
        <v>1246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229</v>
      </c>
      <c r="C407" s="380" t="s">
        <v>1245</v>
      </c>
      <c r="D407" s="385" t="s">
        <v>441</v>
      </c>
      <c r="E407" s="385"/>
      <c r="F407" s="424" t="s">
        <v>1022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229</v>
      </c>
      <c r="C408" s="376" t="s">
        <v>1245</v>
      </c>
      <c r="D408" s="372" t="s">
        <v>441</v>
      </c>
      <c r="E408" s="372" t="s">
        <v>437</v>
      </c>
      <c r="F408" s="422" t="s">
        <v>208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229</v>
      </c>
      <c r="C409" s="376" t="s">
        <v>1245</v>
      </c>
      <c r="D409" s="372" t="s">
        <v>441</v>
      </c>
      <c r="E409" s="372" t="s">
        <v>437</v>
      </c>
      <c r="F409" s="422" t="s">
        <v>1238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229</v>
      </c>
      <c r="C410" s="376" t="s">
        <v>1245</v>
      </c>
      <c r="D410" s="372" t="s">
        <v>441</v>
      </c>
      <c r="E410" s="372" t="s">
        <v>437</v>
      </c>
      <c r="F410" s="422" t="s">
        <v>1239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229</v>
      </c>
      <c r="C411" s="376" t="s">
        <v>1245</v>
      </c>
      <c r="D411" s="372" t="s">
        <v>441</v>
      </c>
      <c r="E411" s="372" t="s">
        <v>437</v>
      </c>
      <c r="F411" s="422" t="s">
        <v>1246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229</v>
      </c>
      <c r="C412" s="376" t="s">
        <v>1245</v>
      </c>
      <c r="D412" s="372" t="s">
        <v>441</v>
      </c>
      <c r="E412" s="372" t="s">
        <v>437</v>
      </c>
      <c r="F412" s="422" t="s">
        <v>1247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229</v>
      </c>
      <c r="C413" s="380" t="s">
        <v>1245</v>
      </c>
      <c r="D413" s="385" t="s">
        <v>860</v>
      </c>
      <c r="E413" s="385"/>
      <c r="F413" s="424" t="s">
        <v>1022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229</v>
      </c>
      <c r="C414" s="376" t="s">
        <v>1245</v>
      </c>
      <c r="D414" s="372" t="s">
        <v>860</v>
      </c>
      <c r="E414" s="372" t="s">
        <v>437</v>
      </c>
      <c r="F414" s="422" t="s">
        <v>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229</v>
      </c>
      <c r="C415" s="376" t="s">
        <v>1245</v>
      </c>
      <c r="D415" s="372" t="s">
        <v>860</v>
      </c>
      <c r="E415" s="372" t="s">
        <v>437</v>
      </c>
      <c r="F415" s="422" t="s">
        <v>1238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229</v>
      </c>
      <c r="C416" s="376" t="s">
        <v>1245</v>
      </c>
      <c r="D416" s="372" t="s">
        <v>860</v>
      </c>
      <c r="E416" s="372" t="s">
        <v>437</v>
      </c>
      <c r="F416" s="422" t="s">
        <v>1246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918</v>
      </c>
      <c r="C417" s="632" t="s">
        <v>1250</v>
      </c>
      <c r="D417" s="633"/>
      <c r="E417" s="632"/>
      <c r="F417" s="634" t="s">
        <v>2048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918</v>
      </c>
      <c r="C418" s="380" t="s">
        <v>1250</v>
      </c>
      <c r="D418" s="385" t="s">
        <v>159</v>
      </c>
      <c r="E418" s="380"/>
      <c r="F418" s="424" t="s">
        <v>1022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918</v>
      </c>
      <c r="C419" s="376" t="s">
        <v>1250</v>
      </c>
      <c r="D419" s="372" t="s">
        <v>159</v>
      </c>
      <c r="E419" s="376" t="s">
        <v>1236</v>
      </c>
      <c r="F419" s="422" t="s">
        <v>1252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918</v>
      </c>
      <c r="C420" s="376" t="s">
        <v>1250</v>
      </c>
      <c r="D420" s="372" t="s">
        <v>159</v>
      </c>
      <c r="E420" s="376" t="s">
        <v>1236</v>
      </c>
      <c r="F420" s="422" t="s">
        <v>1253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918</v>
      </c>
      <c r="C421" s="376" t="s">
        <v>1250</v>
      </c>
      <c r="D421" s="372" t="s">
        <v>159</v>
      </c>
      <c r="E421" s="376" t="s">
        <v>1236</v>
      </c>
      <c r="F421" s="422" t="s">
        <v>1254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918</v>
      </c>
      <c r="C422" s="376" t="s">
        <v>1250</v>
      </c>
      <c r="D422" s="372" t="s">
        <v>159</v>
      </c>
      <c r="E422" s="376" t="s">
        <v>1236</v>
      </c>
      <c r="F422" s="422" t="s">
        <v>1255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918</v>
      </c>
      <c r="C423" s="380" t="s">
        <v>1250</v>
      </c>
      <c r="D423" s="385" t="s">
        <v>860</v>
      </c>
      <c r="E423" s="385"/>
      <c r="F423" s="424" t="s">
        <v>1022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918</v>
      </c>
      <c r="C424" s="376" t="s">
        <v>1250</v>
      </c>
      <c r="D424" s="372" t="s">
        <v>860</v>
      </c>
      <c r="E424" s="372" t="s">
        <v>437</v>
      </c>
      <c r="F424" s="422" t="s">
        <v>1256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2182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918</v>
      </c>
      <c r="C426" s="380" t="s">
        <v>1250</v>
      </c>
      <c r="D426" s="385" t="s">
        <v>518</v>
      </c>
      <c r="E426" s="380"/>
      <c r="F426" s="424" t="s">
        <v>1022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918</v>
      </c>
      <c r="C427" s="376" t="s">
        <v>1250</v>
      </c>
      <c r="D427" s="372" t="s">
        <v>518</v>
      </c>
      <c r="E427" s="376" t="s">
        <v>56</v>
      </c>
      <c r="F427" s="422" t="s">
        <v>1255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2183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498</v>
      </c>
      <c r="C429" s="632" t="s">
        <v>1258</v>
      </c>
      <c r="D429" s="633"/>
      <c r="E429" s="632"/>
      <c r="F429" s="634" t="s">
        <v>2177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498</v>
      </c>
      <c r="C430" s="380" t="s">
        <v>1258</v>
      </c>
      <c r="D430" s="385" t="s">
        <v>159</v>
      </c>
      <c r="E430" s="380"/>
      <c r="F430" s="424" t="s">
        <v>1022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498</v>
      </c>
      <c r="C431" s="376" t="s">
        <v>1258</v>
      </c>
      <c r="D431" s="372" t="s">
        <v>159</v>
      </c>
      <c r="E431" s="376" t="s">
        <v>1100</v>
      </c>
      <c r="F431" s="422" t="s">
        <v>226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498</v>
      </c>
      <c r="C432" s="376" t="s">
        <v>1258</v>
      </c>
      <c r="D432" s="372" t="s">
        <v>159</v>
      </c>
      <c r="E432" s="376" t="s">
        <v>1100</v>
      </c>
      <c r="F432" s="422" t="s">
        <v>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498</v>
      </c>
      <c r="C433" s="380" t="s">
        <v>1258</v>
      </c>
      <c r="D433" s="385" t="s">
        <v>518</v>
      </c>
      <c r="E433" s="385"/>
      <c r="F433" s="424" t="s">
        <v>1022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498</v>
      </c>
      <c r="C434" s="380" t="s">
        <v>1258</v>
      </c>
      <c r="D434" s="385" t="s">
        <v>441</v>
      </c>
      <c r="E434" s="385"/>
      <c r="F434" s="424" t="s">
        <v>1022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498</v>
      </c>
      <c r="C435" s="380" t="s">
        <v>1258</v>
      </c>
      <c r="D435" s="385" t="s">
        <v>860</v>
      </c>
      <c r="E435" s="385"/>
      <c r="F435" s="424" t="s">
        <v>1022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1260</v>
      </c>
      <c r="C436" s="639" t="s">
        <v>160</v>
      </c>
      <c r="D436" s="639"/>
      <c r="E436" s="639"/>
      <c r="F436" s="634" t="s">
        <v>947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162</v>
      </c>
      <c r="C437" s="386" t="s">
        <v>160</v>
      </c>
      <c r="D437" s="385" t="s">
        <v>159</v>
      </c>
      <c r="E437" s="385" t="s">
        <v>47</v>
      </c>
      <c r="F437" s="426" t="s">
        <v>2184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163</v>
      </c>
      <c r="C438" s="386" t="s">
        <v>160</v>
      </c>
      <c r="D438" s="385" t="s">
        <v>159</v>
      </c>
      <c r="E438" s="385" t="s">
        <v>47</v>
      </c>
      <c r="F438" s="424" t="s">
        <v>2185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164</v>
      </c>
      <c r="C439" s="386" t="s">
        <v>160</v>
      </c>
      <c r="D439" s="385" t="s">
        <v>159</v>
      </c>
      <c r="E439" s="385" t="s">
        <v>47</v>
      </c>
      <c r="F439" s="424" t="s">
        <v>2186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165</v>
      </c>
      <c r="C440" s="386" t="s">
        <v>160</v>
      </c>
      <c r="D440" s="385" t="s">
        <v>159</v>
      </c>
      <c r="E440" s="385" t="s">
        <v>47</v>
      </c>
      <c r="F440" s="424" t="s">
        <v>2187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1273</v>
      </c>
      <c r="C441" s="386" t="s">
        <v>160</v>
      </c>
      <c r="D441" s="385" t="s">
        <v>159</v>
      </c>
      <c r="E441" s="385" t="s">
        <v>47</v>
      </c>
      <c r="F441" s="424" t="s">
        <v>2188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1276</v>
      </c>
      <c r="C442" s="633" t="s">
        <v>1277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469</v>
      </c>
      <c r="C443" s="385" t="s">
        <v>1049</v>
      </c>
      <c r="D443" s="385" t="s">
        <v>518</v>
      </c>
      <c r="E443" s="385" t="s">
        <v>56</v>
      </c>
      <c r="F443" s="424" t="s">
        <v>2189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">
      <c r="A445" s="372"/>
      <c r="B445" s="430" t="s">
        <v>1285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902</v>
      </c>
      <c r="C447" s="633" t="s">
        <v>1018</v>
      </c>
      <c r="D447" s="632"/>
      <c r="E447" s="632"/>
      <c r="F447" s="634" t="s">
        <v>2190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902</v>
      </c>
      <c r="C448" s="385" t="s">
        <v>1018</v>
      </c>
      <c r="D448" s="385" t="s">
        <v>159</v>
      </c>
      <c r="E448" s="380"/>
      <c r="F448" s="424" t="s">
        <v>2191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902</v>
      </c>
      <c r="C449" s="372" t="s">
        <v>1018</v>
      </c>
      <c r="D449" s="372" t="s">
        <v>159</v>
      </c>
      <c r="E449" s="376" t="s">
        <v>1100</v>
      </c>
      <c r="F449" s="422" t="s">
        <v>205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902</v>
      </c>
      <c r="C450" s="372" t="s">
        <v>1018</v>
      </c>
      <c r="D450" s="372" t="s">
        <v>159</v>
      </c>
      <c r="E450" s="376" t="s">
        <v>1100</v>
      </c>
      <c r="F450" s="422" t="s">
        <v>206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902</v>
      </c>
      <c r="C451" s="372" t="s">
        <v>1018</v>
      </c>
      <c r="D451" s="372" t="s">
        <v>159</v>
      </c>
      <c r="E451" s="376" t="s">
        <v>1100</v>
      </c>
      <c r="F451" s="422" t="s">
        <v>208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902</v>
      </c>
      <c r="C452" s="372" t="s">
        <v>1018</v>
      </c>
      <c r="D452" s="372" t="s">
        <v>159</v>
      </c>
      <c r="E452" s="376" t="s">
        <v>1159</v>
      </c>
      <c r="F452" s="422" t="s">
        <v>290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902</v>
      </c>
      <c r="C453" s="372" t="s">
        <v>1018</v>
      </c>
      <c r="D453" s="372" t="s">
        <v>159</v>
      </c>
      <c r="E453" s="376" t="s">
        <v>1159</v>
      </c>
      <c r="F453" s="422" t="s">
        <v>1287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902</v>
      </c>
      <c r="C454" s="385" t="s">
        <v>1018</v>
      </c>
      <c r="D454" s="385" t="s">
        <v>518</v>
      </c>
      <c r="E454" s="385"/>
      <c r="F454" s="424" t="s">
        <v>2191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902</v>
      </c>
      <c r="C455" s="372" t="s">
        <v>1018</v>
      </c>
      <c r="D455" s="372" t="s">
        <v>518</v>
      </c>
      <c r="E455" s="372" t="s">
        <v>56</v>
      </c>
      <c r="F455" s="427" t="s">
        <v>206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902</v>
      </c>
      <c r="C456" s="385" t="s">
        <v>1018</v>
      </c>
      <c r="D456" s="385" t="s">
        <v>441</v>
      </c>
      <c r="E456" s="385"/>
      <c r="F456" s="424" t="s">
        <v>2191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902</v>
      </c>
      <c r="C457" s="372" t="s">
        <v>1018</v>
      </c>
      <c r="D457" s="372" t="s">
        <v>441</v>
      </c>
      <c r="E457" s="372" t="s">
        <v>437</v>
      </c>
      <c r="F457" s="422" t="s">
        <v>206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902</v>
      </c>
      <c r="C458" s="372" t="s">
        <v>1018</v>
      </c>
      <c r="D458" s="372" t="s">
        <v>441</v>
      </c>
      <c r="E458" s="372" t="s">
        <v>437</v>
      </c>
      <c r="F458" s="422" t="s">
        <v>208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902</v>
      </c>
      <c r="C459" s="385" t="s">
        <v>1018</v>
      </c>
      <c r="D459" s="385" t="s">
        <v>860</v>
      </c>
      <c r="E459" s="385"/>
      <c r="F459" s="424" t="s">
        <v>2191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902</v>
      </c>
      <c r="C460" s="372" t="s">
        <v>1018</v>
      </c>
      <c r="D460" s="372" t="s">
        <v>860</v>
      </c>
      <c r="E460" s="372" t="s">
        <v>437</v>
      </c>
      <c r="F460" s="422" t="s">
        <v>206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902</v>
      </c>
      <c r="C461" s="372" t="s">
        <v>1018</v>
      </c>
      <c r="D461" s="372" t="s">
        <v>860</v>
      </c>
      <c r="E461" s="372" t="s">
        <v>437</v>
      </c>
      <c r="F461" s="422" t="s">
        <v>208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1290</v>
      </c>
      <c r="C462" s="632" t="s">
        <v>969</v>
      </c>
      <c r="D462" s="632"/>
      <c r="E462" s="632"/>
      <c r="F462" s="634" t="s">
        <v>2192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1290</v>
      </c>
      <c r="C463" s="380" t="s">
        <v>969</v>
      </c>
      <c r="D463" s="385" t="s">
        <v>159</v>
      </c>
      <c r="E463" s="380"/>
      <c r="F463" s="424" t="s">
        <v>2193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1290</v>
      </c>
      <c r="C464" s="376" t="s">
        <v>969</v>
      </c>
      <c r="D464" s="372" t="s">
        <v>159</v>
      </c>
      <c r="E464" s="376" t="s">
        <v>664</v>
      </c>
      <c r="F464" s="422" t="s">
        <v>205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1290</v>
      </c>
      <c r="C465" s="376" t="s">
        <v>969</v>
      </c>
      <c r="D465" s="372" t="s">
        <v>159</v>
      </c>
      <c r="E465" s="376" t="s">
        <v>664</v>
      </c>
      <c r="F465" s="422" t="s">
        <v>206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1290</v>
      </c>
      <c r="C466" s="376" t="s">
        <v>969</v>
      </c>
      <c r="D466" s="372" t="s">
        <v>159</v>
      </c>
      <c r="E466" s="372" t="s">
        <v>664</v>
      </c>
      <c r="F466" s="422" t="s">
        <v>208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1290</v>
      </c>
      <c r="C467" s="380" t="s">
        <v>969</v>
      </c>
      <c r="D467" s="385" t="s">
        <v>518</v>
      </c>
      <c r="E467" s="385"/>
      <c r="F467" s="424" t="s">
        <v>2194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1290</v>
      </c>
      <c r="C468" s="376" t="s">
        <v>969</v>
      </c>
      <c r="D468" s="372" t="s">
        <v>518</v>
      </c>
      <c r="E468" s="372" t="s">
        <v>56</v>
      </c>
      <c r="F468" s="422" t="s">
        <v>206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1290</v>
      </c>
      <c r="C469" s="380" t="s">
        <v>969</v>
      </c>
      <c r="D469" s="385" t="s">
        <v>441</v>
      </c>
      <c r="E469" s="385"/>
      <c r="F469" s="424" t="s">
        <v>2195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1290</v>
      </c>
      <c r="C470" s="376" t="s">
        <v>969</v>
      </c>
      <c r="D470" s="372" t="s">
        <v>441</v>
      </c>
      <c r="E470" s="372" t="s">
        <v>437</v>
      </c>
      <c r="F470" s="422" t="s">
        <v>206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1290</v>
      </c>
      <c r="C471" s="376" t="s">
        <v>969</v>
      </c>
      <c r="D471" s="372" t="s">
        <v>441</v>
      </c>
      <c r="E471" s="372" t="s">
        <v>437</v>
      </c>
      <c r="F471" s="422" t="s">
        <v>208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1290</v>
      </c>
      <c r="C472" s="380" t="s">
        <v>969</v>
      </c>
      <c r="D472" s="385" t="s">
        <v>860</v>
      </c>
      <c r="E472" s="385"/>
      <c r="F472" s="424" t="s">
        <v>2195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1290</v>
      </c>
      <c r="C473" s="376" t="s">
        <v>969</v>
      </c>
      <c r="D473" s="372" t="s">
        <v>860</v>
      </c>
      <c r="E473" s="372" t="s">
        <v>437</v>
      </c>
      <c r="F473" s="422" t="s">
        <v>206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1290</v>
      </c>
      <c r="C474" s="376" t="s">
        <v>969</v>
      </c>
      <c r="D474" s="372" t="s">
        <v>860</v>
      </c>
      <c r="E474" s="372" t="s">
        <v>437</v>
      </c>
      <c r="F474" s="422" t="s">
        <v>208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1299</v>
      </c>
      <c r="C475" s="639" t="s">
        <v>1300</v>
      </c>
      <c r="D475" s="639"/>
      <c r="E475" s="639"/>
      <c r="F475" s="641" t="s">
        <v>2196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1299</v>
      </c>
      <c r="C476" s="385" t="s">
        <v>1300</v>
      </c>
      <c r="D476" s="385" t="s">
        <v>159</v>
      </c>
      <c r="E476" s="380"/>
      <c r="F476" s="424" t="s">
        <v>2197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1299</v>
      </c>
      <c r="C477" s="372" t="s">
        <v>1300</v>
      </c>
      <c r="D477" s="372" t="s">
        <v>159</v>
      </c>
      <c r="E477" s="376" t="s">
        <v>1100</v>
      </c>
      <c r="F477" s="422" t="s">
        <v>199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1299</v>
      </c>
      <c r="C478" s="372" t="s">
        <v>1300</v>
      </c>
      <c r="D478" s="372" t="s">
        <v>159</v>
      </c>
      <c r="E478" s="376" t="s">
        <v>1100</v>
      </c>
      <c r="F478" s="422" t="s">
        <v>209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1299</v>
      </c>
      <c r="C479" s="372" t="s">
        <v>1300</v>
      </c>
      <c r="D479" s="372" t="s">
        <v>159</v>
      </c>
      <c r="E479" s="376" t="s">
        <v>1100</v>
      </c>
      <c r="F479" s="422" t="s">
        <v>198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1299</v>
      </c>
      <c r="C480" s="385" t="s">
        <v>1300</v>
      </c>
      <c r="D480" s="385" t="s">
        <v>518</v>
      </c>
      <c r="E480" s="385"/>
      <c r="F480" s="424" t="s">
        <v>2197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1299</v>
      </c>
      <c r="C481" s="372" t="s">
        <v>1300</v>
      </c>
      <c r="D481" s="372" t="s">
        <v>518</v>
      </c>
      <c r="E481" s="372" t="s">
        <v>56</v>
      </c>
      <c r="F481" s="427" t="s">
        <v>206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1299</v>
      </c>
      <c r="C482" s="372" t="s">
        <v>1300</v>
      </c>
      <c r="D482" s="372" t="s">
        <v>518</v>
      </c>
      <c r="E482" s="372" t="s">
        <v>56</v>
      </c>
      <c r="F482" s="422" t="s">
        <v>199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1299</v>
      </c>
      <c r="C483" s="385" t="s">
        <v>1300</v>
      </c>
      <c r="D483" s="385" t="s">
        <v>441</v>
      </c>
      <c r="E483" s="385"/>
      <c r="F483" s="424" t="s">
        <v>2197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1299</v>
      </c>
      <c r="C484" s="372" t="s">
        <v>1300</v>
      </c>
      <c r="D484" s="372" t="s">
        <v>441</v>
      </c>
      <c r="E484" s="372" t="s">
        <v>437</v>
      </c>
      <c r="F484" s="422" t="s">
        <v>206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1299</v>
      </c>
      <c r="C485" s="372" t="s">
        <v>1300</v>
      </c>
      <c r="D485" s="372" t="s">
        <v>441</v>
      </c>
      <c r="E485" s="372" t="s">
        <v>437</v>
      </c>
      <c r="F485" s="422" t="s">
        <v>199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1299</v>
      </c>
      <c r="C486" s="372" t="s">
        <v>1300</v>
      </c>
      <c r="D486" s="372" t="s">
        <v>441</v>
      </c>
      <c r="E486" s="372" t="s">
        <v>437</v>
      </c>
      <c r="F486" s="422" t="s">
        <v>209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1299</v>
      </c>
      <c r="C487" s="385" t="s">
        <v>1300</v>
      </c>
      <c r="D487" s="385" t="s">
        <v>860</v>
      </c>
      <c r="E487" s="385"/>
      <c r="F487" s="424" t="s">
        <v>2197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1299</v>
      </c>
      <c r="C488" s="372" t="s">
        <v>1300</v>
      </c>
      <c r="D488" s="372" t="s">
        <v>860</v>
      </c>
      <c r="E488" s="372" t="s">
        <v>437</v>
      </c>
      <c r="F488" s="422" t="s">
        <v>206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1299</v>
      </c>
      <c r="C489" s="372" t="s">
        <v>1300</v>
      </c>
      <c r="D489" s="372" t="s">
        <v>860</v>
      </c>
      <c r="E489" s="372" t="s">
        <v>437</v>
      </c>
      <c r="F489" s="422" t="s">
        <v>199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6.45" outlineLevel="1" collapsed="1">
      <c r="A490" s="393"/>
      <c r="B490" s="639" t="s">
        <v>1309</v>
      </c>
      <c r="C490" s="639" t="s">
        <v>1310</v>
      </c>
      <c r="D490" s="640"/>
      <c r="E490" s="639"/>
      <c r="F490" s="641" t="s">
        <v>2198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1310</v>
      </c>
      <c r="C491" s="386" t="s">
        <v>1310</v>
      </c>
      <c r="D491" s="407" t="s">
        <v>159</v>
      </c>
      <c r="E491" s="386"/>
      <c r="F491" s="426" t="s">
        <v>2199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1310</v>
      </c>
      <c r="C492" s="387" t="s">
        <v>1310</v>
      </c>
      <c r="D492" s="441" t="s">
        <v>159</v>
      </c>
      <c r="E492" s="387" t="s">
        <v>1100</v>
      </c>
      <c r="F492" s="428" t="s">
        <v>205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1310</v>
      </c>
      <c r="C493" s="387" t="s">
        <v>1310</v>
      </c>
      <c r="D493" s="441" t="s">
        <v>159</v>
      </c>
      <c r="E493" s="387" t="s">
        <v>1100</v>
      </c>
      <c r="F493" s="428" t="s">
        <v>206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1310</v>
      </c>
      <c r="C494" s="387" t="s">
        <v>1310</v>
      </c>
      <c r="D494" s="441" t="s">
        <v>159</v>
      </c>
      <c r="E494" s="387" t="s">
        <v>1100</v>
      </c>
      <c r="F494" s="428" t="s">
        <v>208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1310</v>
      </c>
      <c r="C495" s="387" t="s">
        <v>1310</v>
      </c>
      <c r="D495" s="441" t="s">
        <v>159</v>
      </c>
      <c r="E495" s="387" t="s">
        <v>1100</v>
      </c>
      <c r="F495" s="428" t="s">
        <v>209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1310</v>
      </c>
      <c r="C496" s="387" t="s">
        <v>1310</v>
      </c>
      <c r="D496" s="441" t="s">
        <v>159</v>
      </c>
      <c r="E496" s="387" t="s">
        <v>1159</v>
      </c>
      <c r="F496" s="428" t="s">
        <v>2200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1310</v>
      </c>
      <c r="C497" s="387" t="s">
        <v>1310</v>
      </c>
      <c r="D497" s="441" t="s">
        <v>159</v>
      </c>
      <c r="E497" s="387" t="s">
        <v>1159</v>
      </c>
      <c r="F497" s="428" t="s">
        <v>2201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1310</v>
      </c>
      <c r="C498" s="386" t="s">
        <v>1310</v>
      </c>
      <c r="D498" s="407" t="s">
        <v>518</v>
      </c>
      <c r="E498" s="407"/>
      <c r="F498" s="426" t="s">
        <v>2199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1310</v>
      </c>
      <c r="C499" s="387" t="s">
        <v>1310</v>
      </c>
      <c r="D499" s="441" t="s">
        <v>518</v>
      </c>
      <c r="E499" s="441" t="s">
        <v>56</v>
      </c>
      <c r="F499" s="428" t="s">
        <v>206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1310</v>
      </c>
      <c r="C500" s="387" t="s">
        <v>1310</v>
      </c>
      <c r="D500" s="441" t="s">
        <v>518</v>
      </c>
      <c r="E500" s="441" t="s">
        <v>56</v>
      </c>
      <c r="F500" s="428" t="s">
        <v>209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1310</v>
      </c>
      <c r="C501" s="386" t="s">
        <v>1310</v>
      </c>
      <c r="D501" s="407" t="s">
        <v>441</v>
      </c>
      <c r="E501" s="407"/>
      <c r="F501" s="426" t="s">
        <v>2199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1310</v>
      </c>
      <c r="C502" s="387" t="s">
        <v>1310</v>
      </c>
      <c r="D502" s="441" t="s">
        <v>441</v>
      </c>
      <c r="E502" s="441" t="s">
        <v>437</v>
      </c>
      <c r="F502" s="428" t="s">
        <v>206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1310</v>
      </c>
      <c r="C503" s="387" t="s">
        <v>1310</v>
      </c>
      <c r="D503" s="441" t="s">
        <v>441</v>
      </c>
      <c r="E503" s="441" t="s">
        <v>437</v>
      </c>
      <c r="F503" s="428" t="s">
        <v>208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1310</v>
      </c>
      <c r="C504" s="387" t="s">
        <v>1310</v>
      </c>
      <c r="D504" s="441" t="s">
        <v>441</v>
      </c>
      <c r="E504" s="441" t="s">
        <v>437</v>
      </c>
      <c r="F504" s="428" t="s">
        <v>209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1310</v>
      </c>
      <c r="C505" s="386" t="s">
        <v>1310</v>
      </c>
      <c r="D505" s="407" t="s">
        <v>860</v>
      </c>
      <c r="E505" s="407"/>
      <c r="F505" s="426" t="s">
        <v>2202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1310</v>
      </c>
      <c r="C506" s="387" t="s">
        <v>1310</v>
      </c>
      <c r="D506" s="441" t="s">
        <v>860</v>
      </c>
      <c r="E506" s="441" t="s">
        <v>437</v>
      </c>
      <c r="F506" s="428" t="s">
        <v>206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1310</v>
      </c>
      <c r="C507" s="387" t="s">
        <v>1310</v>
      </c>
      <c r="D507" s="441" t="s">
        <v>860</v>
      </c>
      <c r="E507" s="441" t="s">
        <v>437</v>
      </c>
      <c r="F507" s="428" t="s">
        <v>209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1320</v>
      </c>
      <c r="C508" s="639" t="s">
        <v>1321</v>
      </c>
      <c r="D508" s="639"/>
      <c r="E508" s="639"/>
      <c r="F508" s="641" t="s">
        <v>2203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1321</v>
      </c>
      <c r="C509" s="386" t="s">
        <v>1321</v>
      </c>
      <c r="D509" s="407" t="s">
        <v>159</v>
      </c>
      <c r="E509" s="386"/>
      <c r="F509" s="426" t="s">
        <v>2204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1321</v>
      </c>
      <c r="C510" s="387" t="s">
        <v>1321</v>
      </c>
      <c r="D510" s="441" t="s">
        <v>159</v>
      </c>
      <c r="E510" s="387" t="s">
        <v>664</v>
      </c>
      <c r="F510" s="428" t="s">
        <v>205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1321</v>
      </c>
      <c r="C511" s="387" t="s">
        <v>1321</v>
      </c>
      <c r="D511" s="441" t="s">
        <v>159</v>
      </c>
      <c r="E511" s="387" t="s">
        <v>664</v>
      </c>
      <c r="F511" s="428" t="s">
        <v>206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1321</v>
      </c>
      <c r="C512" s="387" t="s">
        <v>1321</v>
      </c>
      <c r="D512" s="441" t="s">
        <v>159</v>
      </c>
      <c r="E512" s="387" t="s">
        <v>664</v>
      </c>
      <c r="F512" s="428" t="s">
        <v>208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1321</v>
      </c>
      <c r="C513" s="386" t="s">
        <v>1321</v>
      </c>
      <c r="D513" s="407" t="s">
        <v>518</v>
      </c>
      <c r="E513" s="407"/>
      <c r="F513" s="426" t="s">
        <v>2204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1321</v>
      </c>
      <c r="C514" s="387" t="s">
        <v>1321</v>
      </c>
      <c r="D514" s="441" t="s">
        <v>518</v>
      </c>
      <c r="E514" s="441" t="s">
        <v>56</v>
      </c>
      <c r="F514" s="428" t="s">
        <v>206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1321</v>
      </c>
      <c r="C515" s="386" t="s">
        <v>1321</v>
      </c>
      <c r="D515" s="407" t="s">
        <v>441</v>
      </c>
      <c r="E515" s="407"/>
      <c r="F515" s="426" t="s">
        <v>2204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1321</v>
      </c>
      <c r="C516" s="387" t="s">
        <v>1321</v>
      </c>
      <c r="D516" s="441" t="s">
        <v>441</v>
      </c>
      <c r="E516" s="441" t="s">
        <v>437</v>
      </c>
      <c r="F516" s="428" t="s">
        <v>206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1321</v>
      </c>
      <c r="C517" s="387" t="s">
        <v>1321</v>
      </c>
      <c r="D517" s="441" t="s">
        <v>441</v>
      </c>
      <c r="E517" s="441" t="s">
        <v>437</v>
      </c>
      <c r="F517" s="428" t="s">
        <v>208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1321</v>
      </c>
      <c r="C518" s="386" t="s">
        <v>1321</v>
      </c>
      <c r="D518" s="407" t="s">
        <v>860</v>
      </c>
      <c r="E518" s="407"/>
      <c r="F518" s="426" t="s">
        <v>2204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1329</v>
      </c>
      <c r="C519" s="639" t="s">
        <v>1330</v>
      </c>
      <c r="D519" s="639"/>
      <c r="E519" s="639"/>
      <c r="F519" s="641" t="s">
        <v>2203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1330</v>
      </c>
      <c r="C520" s="386" t="s">
        <v>1330</v>
      </c>
      <c r="D520" s="385" t="s">
        <v>159</v>
      </c>
      <c r="E520" s="386"/>
      <c r="F520" s="426" t="s">
        <v>2204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1330</v>
      </c>
      <c r="C521" s="387" t="s">
        <v>1330</v>
      </c>
      <c r="D521" s="372" t="s">
        <v>159</v>
      </c>
      <c r="E521" s="387" t="s">
        <v>664</v>
      </c>
      <c r="F521" s="428" t="s">
        <v>205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1330</v>
      </c>
      <c r="C522" s="387" t="s">
        <v>1330</v>
      </c>
      <c r="D522" s="372" t="s">
        <v>159</v>
      </c>
      <c r="E522" s="387" t="s">
        <v>664</v>
      </c>
      <c r="F522" s="428" t="s">
        <v>206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1330</v>
      </c>
      <c r="C523" s="387" t="s">
        <v>1330</v>
      </c>
      <c r="D523" s="372" t="s">
        <v>159</v>
      </c>
      <c r="E523" s="387" t="s">
        <v>664</v>
      </c>
      <c r="F523" s="428" t="s">
        <v>208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1330</v>
      </c>
      <c r="C524" s="386" t="s">
        <v>1330</v>
      </c>
      <c r="D524" s="385" t="s">
        <v>518</v>
      </c>
      <c r="E524" s="385"/>
      <c r="F524" s="426" t="s">
        <v>2204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1330</v>
      </c>
      <c r="C525" s="387" t="s">
        <v>1330</v>
      </c>
      <c r="D525" s="372" t="s">
        <v>518</v>
      </c>
      <c r="E525" s="372" t="s">
        <v>56</v>
      </c>
      <c r="F525" s="428" t="s">
        <v>206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1330</v>
      </c>
      <c r="C526" s="386" t="s">
        <v>1330</v>
      </c>
      <c r="D526" s="385" t="s">
        <v>441</v>
      </c>
      <c r="E526" s="385"/>
      <c r="F526" s="426" t="s">
        <v>2205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1330</v>
      </c>
      <c r="C527" s="387" t="s">
        <v>1330</v>
      </c>
      <c r="D527" s="372" t="s">
        <v>441</v>
      </c>
      <c r="E527" s="372" t="s">
        <v>437</v>
      </c>
      <c r="F527" s="428" t="s">
        <v>206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1330</v>
      </c>
      <c r="C528" s="387" t="s">
        <v>1330</v>
      </c>
      <c r="D528" s="372" t="s">
        <v>441</v>
      </c>
      <c r="E528" s="372" t="s">
        <v>437</v>
      </c>
      <c r="F528" s="428" t="s">
        <v>208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1330</v>
      </c>
      <c r="C529" s="386" t="s">
        <v>1330</v>
      </c>
      <c r="D529" s="385" t="s">
        <v>860</v>
      </c>
      <c r="E529" s="385"/>
      <c r="F529" s="426" t="s">
        <v>2205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1273</v>
      </c>
      <c r="C530" s="632" t="s">
        <v>1273</v>
      </c>
      <c r="D530" s="633"/>
      <c r="E530" s="632"/>
      <c r="F530" s="634" t="s">
        <v>2206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1273</v>
      </c>
      <c r="C531" s="380" t="s">
        <v>1273</v>
      </c>
      <c r="D531" s="385" t="s">
        <v>1335</v>
      </c>
      <c r="E531" s="385"/>
      <c r="F531" s="424" t="s">
        <v>2207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1273</v>
      </c>
      <c r="C532" s="376" t="s">
        <v>1273</v>
      </c>
      <c r="D532" s="372" t="s">
        <v>1335</v>
      </c>
      <c r="E532" s="372" t="s">
        <v>664</v>
      </c>
      <c r="F532" s="422" t="s">
        <v>374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1273</v>
      </c>
      <c r="C533" s="376" t="s">
        <v>1273</v>
      </c>
      <c r="D533" s="372" t="s">
        <v>1335</v>
      </c>
      <c r="E533" s="372" t="s">
        <v>664</v>
      </c>
      <c r="F533" s="422" t="s">
        <v>206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1273</v>
      </c>
      <c r="C534" s="376" t="s">
        <v>1273</v>
      </c>
      <c r="D534" s="372" t="s">
        <v>1335</v>
      </c>
      <c r="E534" s="372" t="s">
        <v>664</v>
      </c>
      <c r="F534" s="422" t="s">
        <v>1339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1273</v>
      </c>
      <c r="C535" s="376" t="s">
        <v>1273</v>
      </c>
      <c r="D535" s="372" t="s">
        <v>1335</v>
      </c>
      <c r="E535" s="372" t="s">
        <v>664</v>
      </c>
      <c r="F535" s="422" t="s">
        <v>2208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1273</v>
      </c>
      <c r="C536" s="376" t="s">
        <v>1273</v>
      </c>
      <c r="D536" s="372" t="s">
        <v>1335</v>
      </c>
      <c r="E536" s="372" t="s">
        <v>664</v>
      </c>
      <c r="F536" s="422" t="s">
        <v>198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1273</v>
      </c>
      <c r="C537" s="376" t="s">
        <v>1273</v>
      </c>
      <c r="D537" s="372" t="s">
        <v>1335</v>
      </c>
      <c r="E537" s="372" t="s">
        <v>664</v>
      </c>
      <c r="F537" s="422" t="s">
        <v>2209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1273</v>
      </c>
      <c r="C538" s="380" t="s">
        <v>1273</v>
      </c>
      <c r="D538" s="385" t="s">
        <v>159</v>
      </c>
      <c r="E538" s="380"/>
      <c r="F538" s="424" t="s">
        <v>2210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1273</v>
      </c>
      <c r="C539" s="376" t="s">
        <v>1273</v>
      </c>
      <c r="D539" s="372" t="s">
        <v>159</v>
      </c>
      <c r="E539" s="376" t="s">
        <v>1159</v>
      </c>
      <c r="F539" s="406" t="s">
        <v>290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2211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1273</v>
      </c>
      <c r="C541" s="376" t="s">
        <v>1273</v>
      </c>
      <c r="D541" s="372" t="s">
        <v>159</v>
      </c>
      <c r="E541" s="376" t="s">
        <v>1159</v>
      </c>
      <c r="F541" s="406" t="s">
        <v>1287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1273</v>
      </c>
      <c r="C542" s="376" t="s">
        <v>1273</v>
      </c>
      <c r="D542" s="372" t="s">
        <v>159</v>
      </c>
      <c r="E542" s="376" t="s">
        <v>1159</v>
      </c>
      <c r="F542" s="406" t="s">
        <v>2212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1273</v>
      </c>
      <c r="C543" s="380" t="s">
        <v>1273</v>
      </c>
      <c r="D543" s="385" t="s">
        <v>518</v>
      </c>
      <c r="E543" s="385"/>
      <c r="F543" s="424" t="s">
        <v>2213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1273</v>
      </c>
      <c r="C544" s="376" t="s">
        <v>1273</v>
      </c>
      <c r="D544" s="372" t="s">
        <v>518</v>
      </c>
      <c r="E544" s="372" t="s">
        <v>56</v>
      </c>
      <c r="F544" s="422" t="s">
        <v>206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1273</v>
      </c>
      <c r="C545" s="376" t="s">
        <v>1273</v>
      </c>
      <c r="D545" s="372" t="s">
        <v>518</v>
      </c>
      <c r="E545" s="372" t="s">
        <v>56</v>
      </c>
      <c r="F545" s="422" t="s">
        <v>199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1273</v>
      </c>
      <c r="C546" s="376" t="s">
        <v>1273</v>
      </c>
      <c r="D546" s="372" t="s">
        <v>518</v>
      </c>
      <c r="E546" s="372" t="s">
        <v>56</v>
      </c>
      <c r="F546" s="422" t="s">
        <v>2209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1273</v>
      </c>
      <c r="C547" s="380" t="s">
        <v>1273</v>
      </c>
      <c r="D547" s="385" t="s">
        <v>441</v>
      </c>
      <c r="E547" s="385"/>
      <c r="F547" s="424" t="s">
        <v>2214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1273</v>
      </c>
      <c r="C548" s="376" t="s">
        <v>1273</v>
      </c>
      <c r="D548" s="372" t="s">
        <v>441</v>
      </c>
      <c r="E548" s="372" t="s">
        <v>437</v>
      </c>
      <c r="F548" s="422" t="s">
        <v>206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1273</v>
      </c>
      <c r="C549" s="376" t="s">
        <v>1273</v>
      </c>
      <c r="D549" s="372" t="s">
        <v>441</v>
      </c>
      <c r="E549" s="372" t="s">
        <v>437</v>
      </c>
      <c r="F549" s="422" t="s">
        <v>208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1273</v>
      </c>
      <c r="C550" s="376" t="s">
        <v>1273</v>
      </c>
      <c r="D550" s="372" t="s">
        <v>441</v>
      </c>
      <c r="E550" s="372" t="s">
        <v>437</v>
      </c>
      <c r="F550" s="422" t="s">
        <v>199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1273</v>
      </c>
      <c r="C551" s="376" t="s">
        <v>1273</v>
      </c>
      <c r="D551" s="372" t="s">
        <v>441</v>
      </c>
      <c r="E551" s="372" t="s">
        <v>437</v>
      </c>
      <c r="F551" s="422" t="s">
        <v>2209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1273</v>
      </c>
      <c r="C552" s="380" t="s">
        <v>1273</v>
      </c>
      <c r="D552" s="385" t="s">
        <v>860</v>
      </c>
      <c r="E552" s="385"/>
      <c r="F552" s="424" t="s">
        <v>2214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1273</v>
      </c>
      <c r="C553" s="376" t="s">
        <v>1273</v>
      </c>
      <c r="D553" s="372" t="s">
        <v>860</v>
      </c>
      <c r="E553" s="372" t="s">
        <v>437</v>
      </c>
      <c r="F553" s="464" t="s">
        <v>206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6.45" outlineLevel="3">
      <c r="A554" s="372"/>
      <c r="B554" s="372"/>
      <c r="C554" s="376"/>
      <c r="D554" s="372"/>
      <c r="E554" s="372"/>
      <c r="F554" s="671" t="s">
        <v>2215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1273</v>
      </c>
      <c r="C555" s="376" t="s">
        <v>1273</v>
      </c>
      <c r="D555" s="372" t="s">
        <v>860</v>
      </c>
      <c r="E555" s="372" t="s">
        <v>437</v>
      </c>
      <c r="F555" s="422" t="s">
        <v>199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1273</v>
      </c>
      <c r="C556" s="376" t="s">
        <v>1273</v>
      </c>
      <c r="D556" s="372" t="s">
        <v>860</v>
      </c>
      <c r="E556" s="372" t="s">
        <v>437</v>
      </c>
      <c r="F556" s="422" t="s">
        <v>2209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6.45" outlineLevel="1" collapsed="1">
      <c r="A557" s="372"/>
      <c r="B557" s="632" t="s">
        <v>1347</v>
      </c>
      <c r="C557" s="632" t="s">
        <v>163</v>
      </c>
      <c r="D557" s="632"/>
      <c r="E557" s="633"/>
      <c r="F557" s="634" t="s">
        <v>2216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1347</v>
      </c>
      <c r="C558" s="380" t="s">
        <v>1089</v>
      </c>
      <c r="D558" s="385" t="s">
        <v>1335</v>
      </c>
      <c r="E558" s="385"/>
      <c r="F558" s="424" t="s">
        <v>2217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1347</v>
      </c>
      <c r="C559" s="376" t="s">
        <v>1089</v>
      </c>
      <c r="D559" s="372" t="s">
        <v>1335</v>
      </c>
      <c r="E559" s="372" t="s">
        <v>437</v>
      </c>
      <c r="F559" s="422" t="s">
        <v>205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1347</v>
      </c>
      <c r="C560" s="376" t="s">
        <v>1089</v>
      </c>
      <c r="D560" s="372" t="s">
        <v>1335</v>
      </c>
      <c r="E560" s="372" t="s">
        <v>437</v>
      </c>
      <c r="F560" s="422" t="s">
        <v>206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1347</v>
      </c>
      <c r="C561" s="376" t="s">
        <v>1089</v>
      </c>
      <c r="D561" s="372" t="s">
        <v>1335</v>
      </c>
      <c r="E561" s="372" t="s">
        <v>437</v>
      </c>
      <c r="F561" s="422" t="s">
        <v>208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1347</v>
      </c>
      <c r="C562" s="376" t="s">
        <v>1089</v>
      </c>
      <c r="D562" s="372" t="s">
        <v>1335</v>
      </c>
      <c r="E562" s="372" t="s">
        <v>437</v>
      </c>
      <c r="F562" s="422" t="s">
        <v>608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1347</v>
      </c>
      <c r="C563" s="380" t="s">
        <v>1089</v>
      </c>
      <c r="D563" s="385" t="s">
        <v>159</v>
      </c>
      <c r="E563" s="385"/>
      <c r="F563" s="424" t="s">
        <v>2210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1347</v>
      </c>
      <c r="C564" s="380" t="s">
        <v>1089</v>
      </c>
      <c r="D564" s="385" t="s">
        <v>518</v>
      </c>
      <c r="E564" s="385"/>
      <c r="F564" s="424" t="s">
        <v>2218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1347</v>
      </c>
      <c r="C565" s="376" t="s">
        <v>1089</v>
      </c>
      <c r="D565" s="372" t="s">
        <v>518</v>
      </c>
      <c r="E565" s="372" t="s">
        <v>56</v>
      </c>
      <c r="F565" s="422" t="s">
        <v>206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1347</v>
      </c>
      <c r="C566" s="376" t="s">
        <v>1089</v>
      </c>
      <c r="D566" s="372" t="s">
        <v>518</v>
      </c>
      <c r="E566" s="372" t="s">
        <v>56</v>
      </c>
      <c r="F566" s="422" t="s">
        <v>608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1347</v>
      </c>
      <c r="C567" s="380" t="s">
        <v>1089</v>
      </c>
      <c r="D567" s="385" t="s">
        <v>441</v>
      </c>
      <c r="E567" s="385"/>
      <c r="F567" s="424" t="s">
        <v>2210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1347</v>
      </c>
      <c r="C568" s="376" t="s">
        <v>1089</v>
      </c>
      <c r="D568" s="372" t="s">
        <v>441</v>
      </c>
      <c r="E568" s="372" t="s">
        <v>437</v>
      </c>
      <c r="F568" s="422" t="s">
        <v>206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1347</v>
      </c>
      <c r="C569" s="376" t="s">
        <v>1089</v>
      </c>
      <c r="D569" s="372" t="s">
        <v>441</v>
      </c>
      <c r="E569" s="372" t="s">
        <v>437</v>
      </c>
      <c r="F569" s="422" t="s">
        <v>208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1347</v>
      </c>
      <c r="C570" s="376" t="s">
        <v>1089</v>
      </c>
      <c r="D570" s="372" t="s">
        <v>441</v>
      </c>
      <c r="E570" s="372" t="s">
        <v>437</v>
      </c>
      <c r="F570" s="422" t="s">
        <v>608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1347</v>
      </c>
      <c r="C571" s="380" t="s">
        <v>1089</v>
      </c>
      <c r="D571" s="385" t="s">
        <v>860</v>
      </c>
      <c r="E571" s="385"/>
      <c r="F571" s="424" t="s">
        <v>2210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1347</v>
      </c>
      <c r="C572" s="376" t="s">
        <v>1089</v>
      </c>
      <c r="D572" s="372" t="s">
        <v>860</v>
      </c>
      <c r="E572" s="372" t="s">
        <v>437</v>
      </c>
      <c r="F572" s="422" t="s">
        <v>206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1347</v>
      </c>
      <c r="C573" s="376" t="s">
        <v>1089</v>
      </c>
      <c r="D573" s="372" t="s">
        <v>860</v>
      </c>
      <c r="E573" s="372" t="s">
        <v>437</v>
      </c>
      <c r="F573" s="422" t="s">
        <v>208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1347</v>
      </c>
      <c r="C574" s="376" t="s">
        <v>1089</v>
      </c>
      <c r="D574" s="372" t="s">
        <v>860</v>
      </c>
      <c r="E574" s="372" t="s">
        <v>437</v>
      </c>
      <c r="F574" s="422" t="s">
        <v>608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2219</v>
      </c>
      <c r="C575" s="639" t="s">
        <v>1089</v>
      </c>
      <c r="D575" s="647"/>
      <c r="E575" s="633"/>
      <c r="F575" s="634" t="s">
        <v>2220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2219</v>
      </c>
      <c r="C576" s="386" t="s">
        <v>1089</v>
      </c>
      <c r="D576" s="385" t="s">
        <v>1335</v>
      </c>
      <c r="E576" s="385"/>
      <c r="F576" s="424" t="s">
        <v>2221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2219</v>
      </c>
      <c r="C577" s="387" t="s">
        <v>1089</v>
      </c>
      <c r="D577" s="372" t="s">
        <v>1335</v>
      </c>
      <c r="E577" s="372" t="s">
        <v>437</v>
      </c>
      <c r="F577" s="422" t="s">
        <v>205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2219</v>
      </c>
      <c r="C578" s="387" t="s">
        <v>1089</v>
      </c>
      <c r="D578" s="372" t="s">
        <v>1335</v>
      </c>
      <c r="E578" s="372" t="s">
        <v>437</v>
      </c>
      <c r="F578" s="422" t="s">
        <v>206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2219</v>
      </c>
      <c r="C579" s="387" t="s">
        <v>1089</v>
      </c>
      <c r="D579" s="372" t="s">
        <v>1335</v>
      </c>
      <c r="E579" s="372" t="s">
        <v>437</v>
      </c>
      <c r="F579" s="422" t="s">
        <v>208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2219</v>
      </c>
      <c r="C580" s="386" t="s">
        <v>1089</v>
      </c>
      <c r="D580" s="385" t="s">
        <v>159</v>
      </c>
      <c r="E580" s="385"/>
      <c r="F580" s="424" t="s">
        <v>2221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2219</v>
      </c>
      <c r="C581" s="387" t="s">
        <v>1089</v>
      </c>
      <c r="D581" s="372" t="s">
        <v>159</v>
      </c>
      <c r="E581" s="372" t="s">
        <v>1159</v>
      </c>
      <c r="F581" s="422" t="s">
        <v>206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2219</v>
      </c>
      <c r="C582" s="386" t="s">
        <v>1089</v>
      </c>
      <c r="D582" s="385" t="s">
        <v>518</v>
      </c>
      <c r="E582" s="385"/>
      <c r="F582" s="424" t="s">
        <v>2221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2219</v>
      </c>
      <c r="C583" s="387" t="s">
        <v>1089</v>
      </c>
      <c r="D583" s="372" t="s">
        <v>518</v>
      </c>
      <c r="E583" s="372" t="s">
        <v>56</v>
      </c>
      <c r="F583" s="422" t="s">
        <v>206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2219</v>
      </c>
      <c r="C584" s="386" t="s">
        <v>1089</v>
      </c>
      <c r="D584" s="385" t="s">
        <v>441</v>
      </c>
      <c r="E584" s="385"/>
      <c r="F584" s="424" t="s">
        <v>2221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2219</v>
      </c>
      <c r="C585" s="387" t="s">
        <v>1089</v>
      </c>
      <c r="D585" s="373" t="s">
        <v>441</v>
      </c>
      <c r="E585" s="373" t="s">
        <v>437</v>
      </c>
      <c r="F585" s="422" t="s">
        <v>206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2219</v>
      </c>
      <c r="C586" s="387" t="s">
        <v>1089</v>
      </c>
      <c r="D586" s="373" t="s">
        <v>441</v>
      </c>
      <c r="E586" s="373" t="s">
        <v>437</v>
      </c>
      <c r="F586" s="422" t="s">
        <v>208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2219</v>
      </c>
      <c r="C587" s="386" t="s">
        <v>1089</v>
      </c>
      <c r="D587" s="385" t="s">
        <v>860</v>
      </c>
      <c r="E587" s="385"/>
      <c r="F587" s="424" t="s">
        <v>2221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2219</v>
      </c>
      <c r="C588" s="387" t="s">
        <v>1089</v>
      </c>
      <c r="D588" s="372" t="s">
        <v>860</v>
      </c>
      <c r="E588" s="373" t="s">
        <v>437</v>
      </c>
      <c r="F588" s="422" t="s">
        <v>206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2219</v>
      </c>
      <c r="C589" s="387" t="s">
        <v>1089</v>
      </c>
      <c r="D589" s="372" t="s">
        <v>860</v>
      </c>
      <c r="E589" s="373" t="s">
        <v>437</v>
      </c>
      <c r="F589" s="422" t="s">
        <v>208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609</v>
      </c>
      <c r="C590" s="639" t="s">
        <v>1089</v>
      </c>
      <c r="D590" s="647" t="s">
        <v>1364</v>
      </c>
      <c r="E590" s="633"/>
      <c r="F590" s="634" t="s">
        <v>2220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609</v>
      </c>
      <c r="C591" s="386" t="s">
        <v>1089</v>
      </c>
      <c r="D591" s="385" t="s">
        <v>1335</v>
      </c>
      <c r="E591" s="385"/>
      <c r="F591" s="424" t="s">
        <v>2221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609</v>
      </c>
      <c r="C592" s="387" t="s">
        <v>1089</v>
      </c>
      <c r="D592" s="372" t="s">
        <v>1335</v>
      </c>
      <c r="E592" s="372" t="s">
        <v>437</v>
      </c>
      <c r="F592" s="422" t="s">
        <v>2222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609</v>
      </c>
      <c r="C593" s="387" t="s">
        <v>1089</v>
      </c>
      <c r="D593" s="372" t="s">
        <v>1335</v>
      </c>
      <c r="E593" s="372" t="s">
        <v>437</v>
      </c>
      <c r="F593" s="422" t="s">
        <v>2223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609</v>
      </c>
      <c r="C594" s="387" t="s">
        <v>1089</v>
      </c>
      <c r="D594" s="372" t="s">
        <v>1335</v>
      </c>
      <c r="E594" s="372" t="s">
        <v>437</v>
      </c>
      <c r="F594" s="422" t="s">
        <v>199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609</v>
      </c>
      <c r="C595" s="387" t="s">
        <v>1089</v>
      </c>
      <c r="D595" s="372" t="s">
        <v>1335</v>
      </c>
      <c r="E595" s="372" t="s">
        <v>437</v>
      </c>
      <c r="F595" s="422" t="s">
        <v>608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609</v>
      </c>
      <c r="C596" s="387" t="s">
        <v>1089</v>
      </c>
      <c r="D596" s="372" t="s">
        <v>1335</v>
      </c>
      <c r="E596" s="372" t="s">
        <v>437</v>
      </c>
      <c r="F596" s="422" t="s">
        <v>198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609</v>
      </c>
      <c r="C597" s="387" t="s">
        <v>1089</v>
      </c>
      <c r="D597" s="372" t="s">
        <v>1335</v>
      </c>
      <c r="E597" s="372" t="s">
        <v>437</v>
      </c>
      <c r="F597" s="422" t="s">
        <v>2224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609</v>
      </c>
      <c r="C598" s="386" t="s">
        <v>1089</v>
      </c>
      <c r="D598" s="385" t="s">
        <v>159</v>
      </c>
      <c r="E598" s="385"/>
      <c r="F598" s="424" t="s">
        <v>2221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609</v>
      </c>
      <c r="C599" s="387" t="s">
        <v>1089</v>
      </c>
      <c r="D599" s="372" t="s">
        <v>159</v>
      </c>
      <c r="E599" s="372" t="s">
        <v>1159</v>
      </c>
      <c r="F599" s="422" t="s">
        <v>206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609</v>
      </c>
      <c r="C600" s="386" t="s">
        <v>1089</v>
      </c>
      <c r="D600" s="385" t="s">
        <v>518</v>
      </c>
      <c r="E600" s="385"/>
      <c r="F600" s="424" t="s">
        <v>2221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609</v>
      </c>
      <c r="C601" s="387" t="s">
        <v>1089</v>
      </c>
      <c r="D601" s="372" t="s">
        <v>518</v>
      </c>
      <c r="E601" s="372" t="s">
        <v>56</v>
      </c>
      <c r="F601" s="422" t="s">
        <v>206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609</v>
      </c>
      <c r="C602" s="387" t="s">
        <v>1089</v>
      </c>
      <c r="D602" s="372" t="s">
        <v>518</v>
      </c>
      <c r="E602" s="372" t="s">
        <v>56</v>
      </c>
      <c r="F602" s="422" t="s">
        <v>199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609</v>
      </c>
      <c r="C603" s="387" t="s">
        <v>1089</v>
      </c>
      <c r="D603" s="372" t="s">
        <v>518</v>
      </c>
      <c r="E603" s="372" t="s">
        <v>56</v>
      </c>
      <c r="F603" s="422" t="s">
        <v>608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609</v>
      </c>
      <c r="C604" s="387" t="s">
        <v>1089</v>
      </c>
      <c r="D604" s="372" t="s">
        <v>518</v>
      </c>
      <c r="E604" s="372" t="s">
        <v>56</v>
      </c>
      <c r="F604" s="422" t="s">
        <v>2224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609</v>
      </c>
      <c r="C605" s="386" t="s">
        <v>1089</v>
      </c>
      <c r="D605" s="385" t="s">
        <v>441</v>
      </c>
      <c r="E605" s="385"/>
      <c r="F605" s="424" t="s">
        <v>2221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609</v>
      </c>
      <c r="C606" s="387" t="s">
        <v>1089</v>
      </c>
      <c r="D606" s="372" t="s">
        <v>441</v>
      </c>
      <c r="E606" s="372" t="s">
        <v>437</v>
      </c>
      <c r="F606" s="422" t="s">
        <v>206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2225</v>
      </c>
      <c r="B607" s="372" t="s">
        <v>609</v>
      </c>
      <c r="C607" s="387" t="s">
        <v>1089</v>
      </c>
      <c r="D607" s="372" t="s">
        <v>441</v>
      </c>
      <c r="E607" s="372" t="s">
        <v>437</v>
      </c>
      <c r="F607" s="422" t="s">
        <v>2223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609</v>
      </c>
      <c r="C608" s="387" t="s">
        <v>1089</v>
      </c>
      <c r="D608" s="372" t="s">
        <v>441</v>
      </c>
      <c r="E608" s="372" t="s">
        <v>437</v>
      </c>
      <c r="F608" s="422" t="s">
        <v>199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609</v>
      </c>
      <c r="C609" s="387" t="s">
        <v>1089</v>
      </c>
      <c r="D609" s="372" t="s">
        <v>441</v>
      </c>
      <c r="E609" s="372" t="s">
        <v>437</v>
      </c>
      <c r="F609" s="422" t="s">
        <v>608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609</v>
      </c>
      <c r="C610" s="387" t="s">
        <v>1089</v>
      </c>
      <c r="D610" s="372" t="s">
        <v>441</v>
      </c>
      <c r="E610" s="372" t="s">
        <v>437</v>
      </c>
      <c r="F610" s="422" t="s">
        <v>2226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609</v>
      </c>
      <c r="C611" s="386" t="s">
        <v>1089</v>
      </c>
      <c r="D611" s="385" t="s">
        <v>860</v>
      </c>
      <c r="E611" s="385"/>
      <c r="F611" s="424" t="s">
        <v>2221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609</v>
      </c>
      <c r="C612" s="387" t="s">
        <v>1089</v>
      </c>
      <c r="D612" s="372" t="s">
        <v>860</v>
      </c>
      <c r="E612" s="372" t="s">
        <v>437</v>
      </c>
      <c r="F612" s="422" t="s">
        <v>206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609</v>
      </c>
      <c r="C613" s="387" t="s">
        <v>1089</v>
      </c>
      <c r="D613" s="372" t="s">
        <v>860</v>
      </c>
      <c r="E613" s="372" t="s">
        <v>437</v>
      </c>
      <c r="F613" s="422" t="s">
        <v>199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609</v>
      </c>
      <c r="C614" s="387" t="s">
        <v>1089</v>
      </c>
      <c r="D614" s="372" t="s">
        <v>860</v>
      </c>
      <c r="E614" s="372" t="s">
        <v>437</v>
      </c>
      <c r="F614" s="422" t="s">
        <v>608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609</v>
      </c>
      <c r="C615" s="387" t="s">
        <v>1089</v>
      </c>
      <c r="D615" s="372" t="s">
        <v>860</v>
      </c>
      <c r="E615" s="372" t="s">
        <v>437</v>
      </c>
      <c r="F615" s="422" t="s">
        <v>198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609</v>
      </c>
      <c r="C616" s="387" t="s">
        <v>1089</v>
      </c>
      <c r="D616" s="372" t="s">
        <v>860</v>
      </c>
      <c r="E616" s="372" t="s">
        <v>437</v>
      </c>
      <c r="F616" s="422" t="s">
        <v>2226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285</v>
      </c>
      <c r="C617" s="632" t="s">
        <v>285</v>
      </c>
      <c r="D617" s="632" t="s">
        <v>2227</v>
      </c>
      <c r="E617" s="633"/>
      <c r="F617" s="634" t="s">
        <v>2228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285</v>
      </c>
      <c r="C618" s="380" t="s">
        <v>1089</v>
      </c>
      <c r="D618" s="385" t="s">
        <v>1335</v>
      </c>
      <c r="E618" s="385"/>
      <c r="F618" s="424" t="s">
        <v>2217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285</v>
      </c>
      <c r="C619" s="380" t="s">
        <v>1089</v>
      </c>
      <c r="D619" s="385" t="s">
        <v>159</v>
      </c>
      <c r="E619" s="385"/>
      <c r="F619" s="424" t="s">
        <v>2210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285</v>
      </c>
      <c r="C620" s="380" t="s">
        <v>1089</v>
      </c>
      <c r="D620" s="385" t="s">
        <v>518</v>
      </c>
      <c r="E620" s="385"/>
      <c r="F620" s="424" t="s">
        <v>2229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285</v>
      </c>
      <c r="C621" s="380" t="s">
        <v>1089</v>
      </c>
      <c r="D621" s="385" t="s">
        <v>441</v>
      </c>
      <c r="E621" s="385"/>
      <c r="F621" s="424" t="s">
        <v>2210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285</v>
      </c>
      <c r="C622" s="380" t="s">
        <v>1089</v>
      </c>
      <c r="D622" s="385" t="s">
        <v>860</v>
      </c>
      <c r="E622" s="385"/>
      <c r="F622" s="424" t="s">
        <v>2210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916</v>
      </c>
      <c r="C623" s="632" t="s">
        <v>916</v>
      </c>
      <c r="D623" s="647"/>
      <c r="E623" s="632"/>
      <c r="F623" s="641" t="s">
        <v>2230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916</v>
      </c>
      <c r="C624" s="385" t="s">
        <v>916</v>
      </c>
      <c r="D624" s="385" t="s">
        <v>159</v>
      </c>
      <c r="E624" s="380"/>
      <c r="F624" s="424" t="s">
        <v>2231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916</v>
      </c>
      <c r="C625" s="372" t="s">
        <v>916</v>
      </c>
      <c r="D625" s="372" t="s">
        <v>159</v>
      </c>
      <c r="E625" s="376" t="s">
        <v>1159</v>
      </c>
      <c r="F625" s="422" t="s">
        <v>205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916</v>
      </c>
      <c r="C626" s="385" t="s">
        <v>916</v>
      </c>
      <c r="D626" s="385" t="s">
        <v>518</v>
      </c>
      <c r="E626" s="385"/>
      <c r="F626" s="424" t="s">
        <v>2213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916</v>
      </c>
      <c r="C627" s="385" t="s">
        <v>916</v>
      </c>
      <c r="D627" s="385" t="s">
        <v>441</v>
      </c>
      <c r="E627" s="385"/>
      <c r="F627" s="424" t="s">
        <v>2232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916</v>
      </c>
      <c r="C628" s="385" t="s">
        <v>916</v>
      </c>
      <c r="D628" s="385" t="s">
        <v>860</v>
      </c>
      <c r="E628" s="385"/>
      <c r="F628" s="424" t="s">
        <v>2232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912</v>
      </c>
      <c r="C629" s="639" t="s">
        <v>1387</v>
      </c>
      <c r="D629" s="639"/>
      <c r="E629" s="640"/>
      <c r="F629" s="641" t="s">
        <v>2230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1388</v>
      </c>
      <c r="C630" s="385" t="s">
        <v>1388</v>
      </c>
      <c r="D630" s="385" t="s">
        <v>159</v>
      </c>
      <c r="E630" s="380"/>
      <c r="F630" s="424" t="s">
        <v>2231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1388</v>
      </c>
      <c r="C631" s="385" t="s">
        <v>1388</v>
      </c>
      <c r="D631" s="385" t="s">
        <v>518</v>
      </c>
      <c r="E631" s="385"/>
      <c r="F631" s="424" t="s">
        <v>2213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1388</v>
      </c>
      <c r="C632" s="385" t="s">
        <v>1388</v>
      </c>
      <c r="D632" s="385" t="s">
        <v>441</v>
      </c>
      <c r="E632" s="385"/>
      <c r="F632" s="424" t="s">
        <v>2232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1388</v>
      </c>
      <c r="C633" s="385" t="s">
        <v>1388</v>
      </c>
      <c r="D633" s="385" t="s">
        <v>860</v>
      </c>
      <c r="E633" s="385"/>
      <c r="F633" s="424" t="s">
        <v>2232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1392</v>
      </c>
      <c r="C634" s="632" t="s">
        <v>1392</v>
      </c>
      <c r="D634" s="632"/>
      <c r="E634" s="632"/>
      <c r="F634" s="634" t="s">
        <v>1989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1392</v>
      </c>
      <c r="C635" s="380" t="s">
        <v>1392</v>
      </c>
      <c r="D635" s="385" t="s">
        <v>1335</v>
      </c>
      <c r="E635" s="380"/>
      <c r="F635" s="424" t="s">
        <v>1393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1392</v>
      </c>
      <c r="C636" s="376" t="s">
        <v>1392</v>
      </c>
      <c r="D636" s="372" t="s">
        <v>1335</v>
      </c>
      <c r="E636" s="376" t="s">
        <v>437</v>
      </c>
      <c r="F636" s="422" t="s">
        <v>205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1392</v>
      </c>
      <c r="C637" s="376" t="s">
        <v>1392</v>
      </c>
      <c r="D637" s="372" t="s">
        <v>1335</v>
      </c>
      <c r="E637" s="376" t="s">
        <v>437</v>
      </c>
      <c r="F637" s="422" t="s">
        <v>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1392</v>
      </c>
      <c r="C638" s="376" t="s">
        <v>1392</v>
      </c>
      <c r="D638" s="372" t="s">
        <v>1335</v>
      </c>
      <c r="E638" s="376" t="s">
        <v>437</v>
      </c>
      <c r="F638" s="422" t="s">
        <v>208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1392</v>
      </c>
      <c r="C639" s="380" t="s">
        <v>1392</v>
      </c>
      <c r="D639" s="385" t="s">
        <v>518</v>
      </c>
      <c r="E639" s="385"/>
      <c r="F639" s="424" t="s">
        <v>1393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1392</v>
      </c>
      <c r="C640" s="376" t="s">
        <v>1392</v>
      </c>
      <c r="D640" s="372" t="s">
        <v>518</v>
      </c>
      <c r="E640" s="372" t="s">
        <v>56</v>
      </c>
      <c r="F640" s="422" t="s">
        <v>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1392</v>
      </c>
      <c r="C641" s="380" t="s">
        <v>1392</v>
      </c>
      <c r="D641" s="385" t="s">
        <v>441</v>
      </c>
      <c r="E641" s="385"/>
      <c r="F641" s="424" t="s">
        <v>1393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1392</v>
      </c>
      <c r="C642" s="376" t="s">
        <v>1392</v>
      </c>
      <c r="D642" s="372" t="s">
        <v>441</v>
      </c>
      <c r="E642" s="372" t="s">
        <v>437</v>
      </c>
      <c r="F642" s="422" t="s">
        <v>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1392</v>
      </c>
      <c r="C643" s="376" t="s">
        <v>1392</v>
      </c>
      <c r="D643" s="372" t="s">
        <v>441</v>
      </c>
      <c r="E643" s="372" t="s">
        <v>437</v>
      </c>
      <c r="F643" s="422" t="s">
        <v>208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1392</v>
      </c>
      <c r="C644" s="380" t="s">
        <v>1392</v>
      </c>
      <c r="D644" s="385" t="s">
        <v>860</v>
      </c>
      <c r="E644" s="385"/>
      <c r="F644" s="424" t="s">
        <v>1393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1392</v>
      </c>
      <c r="C645" s="376" t="s">
        <v>1392</v>
      </c>
      <c r="D645" s="372" t="s">
        <v>860</v>
      </c>
      <c r="E645" s="372" t="s">
        <v>437</v>
      </c>
      <c r="F645" s="422" t="s">
        <v>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1392</v>
      </c>
      <c r="C646" s="376" t="s">
        <v>1392</v>
      </c>
      <c r="D646" s="372" t="s">
        <v>860</v>
      </c>
      <c r="E646" s="372" t="s">
        <v>437</v>
      </c>
      <c r="F646" s="422" t="s">
        <v>208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497</v>
      </c>
      <c r="C647" s="633" t="s">
        <v>1394</v>
      </c>
      <c r="D647" s="633"/>
      <c r="E647" s="632"/>
      <c r="F647" s="634" t="s">
        <v>1989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497</v>
      </c>
      <c r="C648" s="385" t="s">
        <v>1394</v>
      </c>
      <c r="D648" s="385" t="s">
        <v>159</v>
      </c>
      <c r="E648" s="380"/>
      <c r="F648" s="424" t="s">
        <v>1989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497</v>
      </c>
      <c r="C649" s="372" t="s">
        <v>1394</v>
      </c>
      <c r="D649" s="372" t="s">
        <v>159</v>
      </c>
      <c r="E649" s="376" t="s">
        <v>664</v>
      </c>
      <c r="F649" s="422" t="s">
        <v>226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497</v>
      </c>
      <c r="C650" s="372" t="s">
        <v>1394</v>
      </c>
      <c r="D650" s="372" t="s">
        <v>159</v>
      </c>
      <c r="E650" s="376" t="s">
        <v>664</v>
      </c>
      <c r="F650" s="422" t="s">
        <v>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497</v>
      </c>
      <c r="C651" s="372" t="s">
        <v>1394</v>
      </c>
      <c r="D651" s="372" t="s">
        <v>159</v>
      </c>
      <c r="E651" s="376" t="s">
        <v>664</v>
      </c>
      <c r="F651" s="422" t="s">
        <v>208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497</v>
      </c>
      <c r="C652" s="385" t="s">
        <v>1394</v>
      </c>
      <c r="D652" s="385" t="s">
        <v>518</v>
      </c>
      <c r="E652" s="385"/>
      <c r="F652" s="424" t="s">
        <v>1989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497</v>
      </c>
      <c r="C653" s="372" t="s">
        <v>1394</v>
      </c>
      <c r="D653" s="372" t="s">
        <v>518</v>
      </c>
      <c r="E653" s="372" t="s">
        <v>56</v>
      </c>
      <c r="F653" s="422" t="s">
        <v>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497</v>
      </c>
      <c r="C654" s="385" t="s">
        <v>1394</v>
      </c>
      <c r="D654" s="385" t="s">
        <v>441</v>
      </c>
      <c r="E654" s="385"/>
      <c r="F654" s="424" t="s">
        <v>1989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497</v>
      </c>
      <c r="C655" s="372" t="s">
        <v>1394</v>
      </c>
      <c r="D655" s="372" t="s">
        <v>441</v>
      </c>
      <c r="E655" s="372" t="s">
        <v>437</v>
      </c>
      <c r="F655" s="422" t="s">
        <v>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497</v>
      </c>
      <c r="C656" s="372" t="s">
        <v>1394</v>
      </c>
      <c r="D656" s="372" t="s">
        <v>441</v>
      </c>
      <c r="E656" s="372" t="s">
        <v>437</v>
      </c>
      <c r="F656" s="422" t="s">
        <v>208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497</v>
      </c>
      <c r="C657" s="385" t="s">
        <v>1394</v>
      </c>
      <c r="D657" s="385" t="s">
        <v>860</v>
      </c>
      <c r="E657" s="385"/>
      <c r="F657" s="424" t="s">
        <v>1989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497</v>
      </c>
      <c r="C658" s="372" t="s">
        <v>1394</v>
      </c>
      <c r="D658" s="372" t="s">
        <v>860</v>
      </c>
      <c r="E658" s="372" t="s">
        <v>437</v>
      </c>
      <c r="F658" s="422" t="s">
        <v>208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1399</v>
      </c>
      <c r="C659" s="650" t="s">
        <v>1400</v>
      </c>
      <c r="D659" s="651"/>
      <c r="E659" s="650"/>
      <c r="F659" s="652" t="s">
        <v>2233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1400</v>
      </c>
      <c r="C660" s="450" t="s">
        <v>1400</v>
      </c>
      <c r="D660" s="451" t="s">
        <v>159</v>
      </c>
      <c r="E660" s="450"/>
      <c r="F660" s="452" t="s">
        <v>1022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1400</v>
      </c>
      <c r="C661" s="456" t="s">
        <v>1400</v>
      </c>
      <c r="D661" s="457" t="s">
        <v>159</v>
      </c>
      <c r="E661" s="456" t="s">
        <v>1236</v>
      </c>
      <c r="F661" s="425" t="s">
        <v>226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1400</v>
      </c>
      <c r="C662" s="456" t="s">
        <v>1400</v>
      </c>
      <c r="D662" s="457" t="s">
        <v>159</v>
      </c>
      <c r="E662" s="456" t="s">
        <v>1236</v>
      </c>
      <c r="F662" s="425" t="s">
        <v>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1400</v>
      </c>
      <c r="C663" s="456" t="s">
        <v>1400</v>
      </c>
      <c r="D663" s="457" t="s">
        <v>159</v>
      </c>
      <c r="E663" s="456" t="s">
        <v>1236</v>
      </c>
      <c r="F663" s="425" t="s">
        <v>208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1400</v>
      </c>
      <c r="C664" s="450" t="s">
        <v>1400</v>
      </c>
      <c r="D664" s="451" t="s">
        <v>518</v>
      </c>
      <c r="E664" s="451"/>
      <c r="F664" s="452" t="s">
        <v>1022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1400</v>
      </c>
      <c r="C665" s="456" t="s">
        <v>1400</v>
      </c>
      <c r="D665" s="457" t="s">
        <v>518</v>
      </c>
      <c r="E665" s="457" t="s">
        <v>56</v>
      </c>
      <c r="F665" s="425" t="s">
        <v>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1400</v>
      </c>
      <c r="C666" s="450" t="s">
        <v>1400</v>
      </c>
      <c r="D666" s="451" t="s">
        <v>441</v>
      </c>
      <c r="E666" s="451"/>
      <c r="F666" s="452" t="s">
        <v>1022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1400</v>
      </c>
      <c r="C667" s="456" t="s">
        <v>1400</v>
      </c>
      <c r="D667" s="457" t="s">
        <v>441</v>
      </c>
      <c r="E667" s="457" t="s">
        <v>437</v>
      </c>
      <c r="F667" s="425" t="s">
        <v>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1400</v>
      </c>
      <c r="C668" s="456" t="s">
        <v>1400</v>
      </c>
      <c r="D668" s="457" t="s">
        <v>441</v>
      </c>
      <c r="E668" s="457" t="s">
        <v>437</v>
      </c>
      <c r="F668" s="425" t="s">
        <v>208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1400</v>
      </c>
      <c r="C669" s="450" t="s">
        <v>1400</v>
      </c>
      <c r="D669" s="451" t="s">
        <v>860</v>
      </c>
      <c r="E669" s="451"/>
      <c r="F669" s="452" t="s">
        <v>1022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1400</v>
      </c>
      <c r="C670" s="456" t="s">
        <v>1400</v>
      </c>
      <c r="D670" s="457" t="s">
        <v>860</v>
      </c>
      <c r="E670" s="457" t="s">
        <v>437</v>
      </c>
      <c r="F670" s="425" t="s">
        <v>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1400</v>
      </c>
      <c r="C671" s="456" t="s">
        <v>1400</v>
      </c>
      <c r="D671" s="457" t="s">
        <v>860</v>
      </c>
      <c r="E671" s="457" t="s">
        <v>437</v>
      </c>
      <c r="F671" s="425" t="s">
        <v>208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6.45" outlineLevel="1" collapsed="1">
      <c r="A672" s="457"/>
      <c r="B672" s="650" t="s">
        <v>369</v>
      </c>
      <c r="C672" s="650" t="s">
        <v>843</v>
      </c>
      <c r="D672" s="650"/>
      <c r="E672" s="650"/>
      <c r="F672" s="652" t="s">
        <v>2234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369</v>
      </c>
      <c r="C673" s="380" t="s">
        <v>843</v>
      </c>
      <c r="D673" s="385" t="s">
        <v>159</v>
      </c>
      <c r="E673" s="380"/>
      <c r="F673" s="424" t="s">
        <v>2235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369</v>
      </c>
      <c r="C674" s="376" t="s">
        <v>843</v>
      </c>
      <c r="D674" s="372" t="s">
        <v>159</v>
      </c>
      <c r="E674" s="376" t="s">
        <v>664</v>
      </c>
      <c r="F674" s="422" t="s">
        <v>370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369</v>
      </c>
      <c r="C675" s="376" t="s">
        <v>843</v>
      </c>
      <c r="D675" s="372" t="s">
        <v>159</v>
      </c>
      <c r="E675" s="376" t="s">
        <v>664</v>
      </c>
      <c r="F675" s="422" t="s">
        <v>230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369</v>
      </c>
      <c r="C676" s="376" t="s">
        <v>843</v>
      </c>
      <c r="D676" s="372" t="s">
        <v>159</v>
      </c>
      <c r="E676" s="376" t="s">
        <v>664</v>
      </c>
      <c r="F676" s="422" t="s">
        <v>208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369</v>
      </c>
      <c r="C677" s="376" t="s">
        <v>843</v>
      </c>
      <c r="D677" s="372" t="s">
        <v>159</v>
      </c>
      <c r="E677" s="376" t="s">
        <v>1159</v>
      </c>
      <c r="F677" s="406" t="s">
        <v>38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369</v>
      </c>
      <c r="C678" s="376" t="s">
        <v>843</v>
      </c>
      <c r="D678" s="372" t="s">
        <v>159</v>
      </c>
      <c r="E678" s="376" t="s">
        <v>1159</v>
      </c>
      <c r="F678" s="406" t="s">
        <v>1343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369</v>
      </c>
      <c r="C679" s="380" t="s">
        <v>843</v>
      </c>
      <c r="D679" s="385" t="s">
        <v>518</v>
      </c>
      <c r="E679" s="385"/>
      <c r="F679" s="424" t="s">
        <v>2213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369</v>
      </c>
      <c r="C680" s="376" t="s">
        <v>843</v>
      </c>
      <c r="D680" s="372" t="s">
        <v>518</v>
      </c>
      <c r="E680" s="372" t="s">
        <v>56</v>
      </c>
      <c r="F680" s="422" t="s">
        <v>370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369</v>
      </c>
      <c r="C681" s="376" t="s">
        <v>843</v>
      </c>
      <c r="D681" s="372" t="s">
        <v>518</v>
      </c>
      <c r="E681" s="372" t="s">
        <v>56</v>
      </c>
      <c r="F681" s="422" t="s">
        <v>230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369</v>
      </c>
      <c r="C682" s="380" t="s">
        <v>843</v>
      </c>
      <c r="D682" s="385" t="s">
        <v>441</v>
      </c>
      <c r="E682" s="385"/>
      <c r="F682" s="424" t="s">
        <v>2236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369</v>
      </c>
      <c r="C683" s="376" t="s">
        <v>843</v>
      </c>
      <c r="D683" s="372" t="s">
        <v>441</v>
      </c>
      <c r="E683" s="372" t="s">
        <v>437</v>
      </c>
      <c r="F683" s="422" t="s">
        <v>206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369</v>
      </c>
      <c r="C684" s="376" t="s">
        <v>843</v>
      </c>
      <c r="D684" s="372" t="s">
        <v>441</v>
      </c>
      <c r="E684" s="372" t="s">
        <v>437</v>
      </c>
      <c r="F684" s="422" t="s">
        <v>208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369</v>
      </c>
      <c r="C685" s="376" t="s">
        <v>843</v>
      </c>
      <c r="D685" s="372" t="s">
        <v>441</v>
      </c>
      <c r="E685" s="372" t="s">
        <v>437</v>
      </c>
      <c r="F685" s="422" t="s">
        <v>230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369</v>
      </c>
      <c r="C686" s="380" t="s">
        <v>843</v>
      </c>
      <c r="D686" s="385" t="s">
        <v>860</v>
      </c>
      <c r="E686" s="385"/>
      <c r="F686" s="424" t="s">
        <v>2236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369</v>
      </c>
      <c r="C687" s="376" t="s">
        <v>843</v>
      </c>
      <c r="D687" s="372" t="s">
        <v>860</v>
      </c>
      <c r="E687" s="372" t="s">
        <v>437</v>
      </c>
      <c r="F687" s="422" t="s">
        <v>206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369</v>
      </c>
      <c r="C688" s="376" t="s">
        <v>843</v>
      </c>
      <c r="D688" s="372" t="s">
        <v>860</v>
      </c>
      <c r="E688" s="372" t="s">
        <v>437</v>
      </c>
      <c r="F688" s="422" t="s">
        <v>208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6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 outlineLevelCol="1"/>
  <cols>
    <col min="1" max="1" width="0.5703125" style="416" customWidth="1"/>
    <col min="2" max="2" width="31.570312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50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3" width="14.42578125" style="416" customWidth="1"/>
    <col min="14" max="18" width="14.42578125" style="416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7.45">
      <c r="A2" s="376"/>
      <c r="B2" s="418" t="s">
        <v>934</v>
      </c>
      <c r="C2" s="418"/>
      <c r="D2" s="418"/>
      <c r="E2" s="418"/>
      <c r="F2" s="423"/>
      <c r="G2" s="689">
        <f>SUBTOTAL(9,G6:G654)</f>
        <v>155.49055455638683</v>
      </c>
      <c r="H2" s="772">
        <f>SUBTOTAL(9,H6:H654)</f>
        <v>353</v>
      </c>
      <c r="I2" s="626"/>
      <c r="J2" s="752"/>
      <c r="L2" s="418"/>
      <c r="M2" s="418"/>
      <c r="N2" s="418"/>
      <c r="O2" s="418"/>
      <c r="P2" s="418"/>
      <c r="Q2" s="418"/>
      <c r="R2" s="418"/>
      <c r="T2" s="752"/>
      <c r="V2" s="689">
        <f>SUBTOTAL(9,V6:V654)</f>
        <v>0.82435221523999969</v>
      </c>
      <c r="W2" s="765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L3" s="376"/>
      <c r="M3" s="376"/>
      <c r="N3" s="376"/>
      <c r="O3" s="376"/>
      <c r="P3" s="376"/>
      <c r="Q3" s="376"/>
      <c r="R3" s="376"/>
      <c r="T3" s="752"/>
      <c r="V3" s="376"/>
      <c r="W3" s="376"/>
    </row>
    <row r="4" spans="1:31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T4" s="753"/>
      <c r="V4" s="693" t="s">
        <v>943</v>
      </c>
      <c r="W4" s="693" t="s">
        <v>944</v>
      </c>
      <c r="X4" s="764">
        <f>V2/G2</f>
        <v>5.301622452835603E-3</v>
      </c>
      <c r="Y4" s="764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2"/>
      <c r="L5" s="376"/>
      <c r="M5" s="376"/>
      <c r="N5" s="376"/>
      <c r="O5" s="376"/>
      <c r="P5" s="376"/>
      <c r="Q5" s="376"/>
      <c r="R5" s="376"/>
      <c r="T5" s="752"/>
      <c r="V5" s="695"/>
      <c r="W5" s="696"/>
      <c r="X5" s="610"/>
      <c r="Y5" s="610"/>
      <c r="Z5" s="610"/>
      <c r="AA5" s="610"/>
    </row>
    <row r="6" spans="1:31" ht="15">
      <c r="A6" s="376"/>
      <c r="B6" s="430" t="s">
        <v>945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2"/>
      <c r="L6" s="430"/>
      <c r="M6" s="430"/>
      <c r="N6" s="430"/>
      <c r="O6" s="430"/>
      <c r="P6" s="430"/>
      <c r="Q6" s="430"/>
      <c r="R6" s="430"/>
      <c r="T6" s="752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2"/>
      <c r="L7" s="376"/>
      <c r="M7" s="376"/>
      <c r="N7" s="376"/>
      <c r="O7" s="376"/>
      <c r="P7" s="376"/>
      <c r="Q7" s="376"/>
      <c r="R7" s="376"/>
      <c r="T7" s="752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891</v>
      </c>
      <c r="C8" s="665" t="s">
        <v>946</v>
      </c>
      <c r="D8" s="665"/>
      <c r="E8" s="665"/>
      <c r="F8" s="681" t="s">
        <v>947</v>
      </c>
      <c r="G8" s="701">
        <f>SUBTOTAL(9,G9:G19)</f>
        <v>0.43271940249580965</v>
      </c>
      <c r="H8" s="702">
        <f>SUBTOTAL(9,H9:H19)</f>
        <v>8</v>
      </c>
      <c r="I8" s="626"/>
      <c r="J8" s="752"/>
      <c r="L8" s="665"/>
      <c r="M8" s="665"/>
      <c r="N8" s="665"/>
      <c r="O8" s="665"/>
      <c r="P8" s="665"/>
      <c r="Q8" s="665"/>
      <c r="R8" s="665"/>
      <c r="T8" s="752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891</v>
      </c>
      <c r="C9" s="684" t="s">
        <v>946</v>
      </c>
      <c r="D9" s="684" t="s">
        <v>159</v>
      </c>
      <c r="E9" s="684"/>
      <c r="F9" s="685" t="s">
        <v>948</v>
      </c>
      <c r="G9" s="686">
        <f>SUBTOTAL(9,G10:G13)</f>
        <v>0.39703158217785306</v>
      </c>
      <c r="H9" s="691">
        <f>SUBTOTAL(9,H10:H13)</f>
        <v>4</v>
      </c>
      <c r="I9" s="626"/>
      <c r="J9" s="752"/>
      <c r="L9" s="685"/>
      <c r="M9" s="685"/>
      <c r="N9" s="685"/>
      <c r="O9" s="685"/>
      <c r="P9" s="685"/>
      <c r="Q9" s="685"/>
      <c r="R9" s="685"/>
      <c r="T9" s="752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6.45" outlineLevel="3">
      <c r="A10" s="376"/>
      <c r="B10" s="376" t="s">
        <v>891</v>
      </c>
      <c r="C10" s="376" t="s">
        <v>949</v>
      </c>
      <c r="D10" s="376" t="s">
        <v>159</v>
      </c>
      <c r="E10" s="376" t="s">
        <v>950</v>
      </c>
      <c r="F10" s="608" t="s">
        <v>9</v>
      </c>
      <c r="G10" s="609">
        <v>0.27</v>
      </c>
      <c r="H10" s="700">
        <v>1</v>
      </c>
      <c r="I10" s="626"/>
      <c r="J10" s="752"/>
      <c r="L10" s="608" t="s">
        <v>950</v>
      </c>
      <c r="M10" s="608" t="s">
        <v>951</v>
      </c>
      <c r="N10" s="608" t="s">
        <v>952</v>
      </c>
      <c r="O10" s="608"/>
      <c r="P10" s="608"/>
      <c r="Q10" s="608"/>
      <c r="R10" s="608"/>
      <c r="T10" s="752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891</v>
      </c>
      <c r="C11" s="376" t="s">
        <v>949</v>
      </c>
      <c r="D11" s="376" t="s">
        <v>159</v>
      </c>
      <c r="E11" s="376" t="s">
        <v>950</v>
      </c>
      <c r="F11" s="608" t="s">
        <v>953</v>
      </c>
      <c r="G11" s="695">
        <v>4.5377035860000005E-2</v>
      </c>
      <c r="H11" s="700">
        <v>1</v>
      </c>
      <c r="I11" s="626"/>
      <c r="J11" s="752"/>
      <c r="L11" s="608" t="s">
        <v>950</v>
      </c>
      <c r="M11" s="608" t="s">
        <v>954</v>
      </c>
      <c r="N11" s="608" t="s">
        <v>955</v>
      </c>
      <c r="O11" s="608"/>
      <c r="P11" s="608"/>
      <c r="Q11" s="608"/>
      <c r="R11" s="608"/>
      <c r="T11" s="752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" customHeight="1" outlineLevel="3">
      <c r="A12" s="376"/>
      <c r="B12" s="376" t="s">
        <v>891</v>
      </c>
      <c r="C12" s="376" t="s">
        <v>956</v>
      </c>
      <c r="D12" s="376" t="s">
        <v>159</v>
      </c>
      <c r="E12" s="376" t="s">
        <v>950</v>
      </c>
      <c r="F12" s="608" t="s">
        <v>957</v>
      </c>
      <c r="G12" s="609">
        <v>4.2238262499999998E-2</v>
      </c>
      <c r="H12" s="692">
        <v>1</v>
      </c>
      <c r="I12" s="626"/>
      <c r="J12" s="752"/>
      <c r="L12" s="608" t="s">
        <v>950</v>
      </c>
      <c r="M12" s="608" t="s">
        <v>954</v>
      </c>
      <c r="N12" s="608" t="s">
        <v>955</v>
      </c>
      <c r="O12" s="608"/>
      <c r="P12" s="608"/>
      <c r="Q12" s="608"/>
      <c r="R12" s="608"/>
      <c r="T12" s="752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3.9" customHeight="1" outlineLevel="3">
      <c r="A13" s="376"/>
      <c r="B13" s="376" t="s">
        <v>891</v>
      </c>
      <c r="C13" s="376" t="s">
        <v>956</v>
      </c>
      <c r="D13" s="376" t="s">
        <v>159</v>
      </c>
      <c r="E13" s="376" t="s">
        <v>950</v>
      </c>
      <c r="F13" s="608" t="s">
        <v>958</v>
      </c>
      <c r="G13" s="695">
        <v>3.9416283817853004E-2</v>
      </c>
      <c r="H13" s="700">
        <v>1</v>
      </c>
      <c r="I13" s="626"/>
      <c r="J13" s="752"/>
      <c r="L13" s="608" t="s">
        <v>950</v>
      </c>
      <c r="M13" s="608" t="s">
        <v>951</v>
      </c>
      <c r="N13" s="608" t="s">
        <v>952</v>
      </c>
      <c r="O13" s="608"/>
      <c r="P13" s="608"/>
      <c r="Q13" s="608"/>
      <c r="R13" s="608"/>
      <c r="T13" s="752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891</v>
      </c>
      <c r="C14" s="684" t="s">
        <v>946</v>
      </c>
      <c r="D14" s="684" t="s">
        <v>518</v>
      </c>
      <c r="E14" s="684"/>
      <c r="F14" s="685" t="s">
        <v>948</v>
      </c>
      <c r="G14" s="686">
        <f>SUBTOTAL(9,G15:G17)</f>
        <v>2.1350947217956596E-2</v>
      </c>
      <c r="H14" s="691">
        <f>SUBTOTAL(9,H15:H17)</f>
        <v>3</v>
      </c>
      <c r="I14" s="626"/>
      <c r="J14" s="752"/>
      <c r="L14" s="685"/>
      <c r="M14" s="685"/>
      <c r="N14" s="685"/>
      <c r="O14" s="685"/>
      <c r="P14" s="685"/>
      <c r="Q14" s="685"/>
      <c r="R14" s="685"/>
      <c r="T14" s="752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.45" outlineLevel="3">
      <c r="A15" s="376"/>
      <c r="B15" s="376" t="s">
        <v>891</v>
      </c>
      <c r="C15" s="376" t="s">
        <v>949</v>
      </c>
      <c r="D15" s="376" t="s">
        <v>518</v>
      </c>
      <c r="E15" s="376" t="s">
        <v>56</v>
      </c>
      <c r="F15" s="608" t="s">
        <v>953</v>
      </c>
      <c r="G15" s="609">
        <v>5.2867302539999998E-3</v>
      </c>
      <c r="H15" s="700">
        <v>1</v>
      </c>
      <c r="I15" s="626"/>
      <c r="J15" s="752"/>
      <c r="L15" s="608" t="s">
        <v>56</v>
      </c>
      <c r="M15" s="608" t="s">
        <v>959</v>
      </c>
      <c r="N15" s="608" t="s">
        <v>960</v>
      </c>
      <c r="O15" s="608" t="s">
        <v>961</v>
      </c>
      <c r="P15" s="608" t="s">
        <v>962</v>
      </c>
      <c r="R15" s="608"/>
      <c r="T15" s="752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6.45" outlineLevel="3">
      <c r="A16" s="376"/>
      <c r="B16" s="376" t="s">
        <v>891</v>
      </c>
      <c r="C16" s="376" t="s">
        <v>956</v>
      </c>
      <c r="D16" s="376" t="s">
        <v>518</v>
      </c>
      <c r="E16" s="376" t="s">
        <v>56</v>
      </c>
      <c r="F16" s="608" t="s">
        <v>957</v>
      </c>
      <c r="G16" s="609">
        <v>1.0861267500000001E-2</v>
      </c>
      <c r="H16" s="700">
        <v>1</v>
      </c>
      <c r="I16" s="626"/>
      <c r="J16" s="752"/>
      <c r="L16" s="608" t="s">
        <v>56</v>
      </c>
      <c r="M16" s="608" t="s">
        <v>959</v>
      </c>
      <c r="N16" s="608" t="s">
        <v>963</v>
      </c>
      <c r="O16" s="608" t="s">
        <v>964</v>
      </c>
      <c r="P16" s="608" t="s">
        <v>965</v>
      </c>
      <c r="R16" s="608"/>
      <c r="T16" s="752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3.9" customHeight="1" outlineLevel="3">
      <c r="A17" s="376"/>
      <c r="B17" s="376" t="s">
        <v>891</v>
      </c>
      <c r="C17" s="376" t="s">
        <v>956</v>
      </c>
      <c r="D17" s="376" t="s">
        <v>518</v>
      </c>
      <c r="E17" s="376" t="s">
        <v>56</v>
      </c>
      <c r="F17" s="608" t="s">
        <v>958</v>
      </c>
      <c r="G17" s="609">
        <v>5.2029494639565963E-3</v>
      </c>
      <c r="H17" s="700">
        <v>1</v>
      </c>
      <c r="I17" s="626"/>
      <c r="J17" s="752"/>
      <c r="L17" s="608" t="s">
        <v>56</v>
      </c>
      <c r="M17" s="608" t="s">
        <v>959</v>
      </c>
      <c r="N17" s="608" t="s">
        <v>960</v>
      </c>
      <c r="O17" s="608" t="s">
        <v>961</v>
      </c>
      <c r="P17" s="608" t="s">
        <v>965</v>
      </c>
      <c r="R17" s="608"/>
      <c r="T17" s="752"/>
      <c r="V17" s="609">
        <f t="shared" si="1"/>
        <v>0</v>
      </c>
      <c r="W17" s="700"/>
    </row>
    <row r="18" spans="1:23" outlineLevel="2">
      <c r="A18" s="376"/>
      <c r="B18" s="684" t="s">
        <v>891</v>
      </c>
      <c r="C18" s="684" t="s">
        <v>946</v>
      </c>
      <c r="D18" s="684" t="s">
        <v>441</v>
      </c>
      <c r="E18" s="684"/>
      <c r="F18" s="685" t="s">
        <v>948</v>
      </c>
      <c r="G18" s="686">
        <f>SUBTOTAL(9,G19)</f>
        <v>1.4336873100000001E-2</v>
      </c>
      <c r="H18" s="691">
        <f>SUBTOTAL(9,H19)</f>
        <v>1</v>
      </c>
      <c r="I18" s="626"/>
      <c r="J18" s="752"/>
      <c r="L18" s="685"/>
      <c r="M18" s="685"/>
      <c r="N18" s="685"/>
      <c r="O18" s="685"/>
      <c r="P18" s="685"/>
      <c r="Q18" s="685"/>
      <c r="R18" s="685"/>
      <c r="T18" s="752"/>
      <c r="V18" s="686">
        <f>SUBTOTAL(9,V19)</f>
        <v>0</v>
      </c>
      <c r="W18" s="691">
        <f>SUBTOTAL(9,W19)</f>
        <v>0</v>
      </c>
    </row>
    <row r="19" spans="1:23" ht="52.9" outlineLevel="3">
      <c r="A19" s="376"/>
      <c r="B19" s="376" t="s">
        <v>891</v>
      </c>
      <c r="C19" s="376" t="s">
        <v>956</v>
      </c>
      <c r="D19" s="376" t="s">
        <v>441</v>
      </c>
      <c r="E19" s="376" t="s">
        <v>437</v>
      </c>
      <c r="F19" s="376" t="s">
        <v>957</v>
      </c>
      <c r="G19" s="609">
        <v>1.4336873100000001E-2</v>
      </c>
      <c r="H19" s="700">
        <v>1</v>
      </c>
      <c r="I19" s="626"/>
      <c r="J19" s="752"/>
      <c r="L19" s="608" t="s">
        <v>437</v>
      </c>
      <c r="M19" s="608" t="s">
        <v>966</v>
      </c>
      <c r="N19" s="608" t="s">
        <v>967</v>
      </c>
      <c r="O19" s="608" t="s">
        <v>968</v>
      </c>
      <c r="P19" s="608"/>
      <c r="Q19" s="608"/>
      <c r="R19" s="608"/>
      <c r="T19" s="752"/>
      <c r="V19" s="609">
        <f>IF(W19=1,G19,0)</f>
        <v>0</v>
      </c>
      <c r="W19" s="700"/>
    </row>
    <row r="20" spans="1:23" s="612" customFormat="1" outlineLevel="1">
      <c r="A20" s="380"/>
      <c r="B20" s="665" t="s">
        <v>891</v>
      </c>
      <c r="C20" s="665" t="s">
        <v>969</v>
      </c>
      <c r="D20" s="665"/>
      <c r="E20" s="665"/>
      <c r="F20" s="681" t="s">
        <v>947</v>
      </c>
      <c r="G20" s="701">
        <f>SUBTOTAL(9,G21:G56)</f>
        <v>1.6824976540463736</v>
      </c>
      <c r="H20" s="702">
        <f>SUBTOTAL(9,H21:H56)</f>
        <v>31</v>
      </c>
      <c r="I20" s="627"/>
      <c r="J20" s="754"/>
      <c r="L20" s="681"/>
      <c r="M20" s="681"/>
      <c r="N20" s="681"/>
      <c r="O20" s="681"/>
      <c r="P20" s="681"/>
      <c r="Q20" s="681"/>
      <c r="R20" s="681"/>
      <c r="T20" s="754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891</v>
      </c>
      <c r="C21" s="684" t="s">
        <v>969</v>
      </c>
      <c r="D21" s="684" t="s">
        <v>159</v>
      </c>
      <c r="E21" s="684"/>
      <c r="F21" s="685" t="s">
        <v>986</v>
      </c>
      <c r="G21" s="686">
        <f>SUBTOTAL(9,G22:G34)</f>
        <v>1.1738106245631736</v>
      </c>
      <c r="H21" s="691">
        <f>SUBTOTAL(9,H22:H34)</f>
        <v>13</v>
      </c>
      <c r="I21" s="703"/>
      <c r="J21" s="755"/>
      <c r="K21" s="751"/>
      <c r="L21" s="685"/>
      <c r="M21" s="685"/>
      <c r="N21" s="685"/>
      <c r="O21" s="685"/>
      <c r="P21" s="685"/>
      <c r="Q21" s="685"/>
      <c r="R21" s="685"/>
      <c r="S21" s="751"/>
      <c r="T21" s="755"/>
      <c r="U21" s="751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891</v>
      </c>
      <c r="C22" s="376" t="s">
        <v>969</v>
      </c>
      <c r="D22" s="376" t="s">
        <v>159</v>
      </c>
      <c r="E22" s="387" t="s">
        <v>950</v>
      </c>
      <c r="F22" s="608" t="s">
        <v>971</v>
      </c>
      <c r="G22" s="609">
        <v>0.27398366869616486</v>
      </c>
      <c r="H22" s="692">
        <v>1</v>
      </c>
      <c r="I22" s="626"/>
      <c r="J22" s="752"/>
      <c r="K22" s="416"/>
      <c r="L22" s="705" t="s">
        <v>950</v>
      </c>
      <c r="M22" s="705" t="s">
        <v>951</v>
      </c>
      <c r="N22" s="705" t="s">
        <v>972</v>
      </c>
      <c r="O22" s="705" t="s">
        <v>955</v>
      </c>
      <c r="P22" s="705"/>
      <c r="Q22" s="705"/>
      <c r="R22" s="705"/>
      <c r="S22" s="416"/>
      <c r="T22" s="752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891</v>
      </c>
      <c r="C23" s="376" t="s">
        <v>969</v>
      </c>
      <c r="D23" s="376" t="s">
        <v>159</v>
      </c>
      <c r="E23" s="387" t="s">
        <v>950</v>
      </c>
      <c r="F23" s="608" t="s">
        <v>973</v>
      </c>
      <c r="G23" s="609">
        <v>0.36</v>
      </c>
      <c r="H23" s="692">
        <v>1</v>
      </c>
      <c r="I23" s="626"/>
      <c r="J23" s="752"/>
      <c r="K23" s="416"/>
      <c r="L23" s="705" t="s">
        <v>950</v>
      </c>
      <c r="M23" s="705" t="s">
        <v>951</v>
      </c>
      <c r="N23" s="705" t="s">
        <v>972</v>
      </c>
      <c r="O23" s="705" t="s">
        <v>974</v>
      </c>
      <c r="P23" s="705"/>
      <c r="Q23" s="705"/>
      <c r="R23" s="705"/>
      <c r="S23" s="416"/>
      <c r="T23" s="752"/>
      <c r="U23" s="416"/>
      <c r="V23" s="609">
        <f t="shared" si="2"/>
        <v>0</v>
      </c>
      <c r="W23" s="692"/>
    </row>
    <row r="24" spans="1:23" s="704" customFormat="1" ht="26.45" outlineLevel="3">
      <c r="A24" s="376"/>
      <c r="B24" s="376" t="s">
        <v>891</v>
      </c>
      <c r="C24" s="376" t="s">
        <v>969</v>
      </c>
      <c r="D24" s="376" t="s">
        <v>159</v>
      </c>
      <c r="E24" s="387" t="s">
        <v>950</v>
      </c>
      <c r="F24" s="608" t="s">
        <v>975</v>
      </c>
      <c r="G24" s="609">
        <v>4.3982695586700871E-2</v>
      </c>
      <c r="H24" s="692">
        <v>1</v>
      </c>
      <c r="I24" s="626"/>
      <c r="J24" s="752"/>
      <c r="K24" s="416"/>
      <c r="L24" s="705" t="s">
        <v>950</v>
      </c>
      <c r="M24" s="705" t="s">
        <v>951</v>
      </c>
      <c r="N24" s="705" t="s">
        <v>955</v>
      </c>
      <c r="O24" s="705"/>
      <c r="P24" s="705"/>
      <c r="Q24" s="705"/>
      <c r="R24" s="705"/>
      <c r="S24" s="416"/>
      <c r="T24" s="752"/>
      <c r="U24" s="416"/>
      <c r="V24" s="609">
        <f t="shared" si="2"/>
        <v>0</v>
      </c>
      <c r="W24" s="692"/>
    </row>
    <row r="25" spans="1:23" s="704" customFormat="1" ht="26.45" outlineLevel="3">
      <c r="A25" s="376"/>
      <c r="B25" s="376" t="s">
        <v>891</v>
      </c>
      <c r="C25" s="376" t="s">
        <v>969</v>
      </c>
      <c r="D25" s="376" t="s">
        <v>159</v>
      </c>
      <c r="E25" s="387" t="s">
        <v>950</v>
      </c>
      <c r="F25" s="608" t="s">
        <v>976</v>
      </c>
      <c r="G25" s="609">
        <v>4.3982695586700871E-2</v>
      </c>
      <c r="H25" s="692">
        <v>1</v>
      </c>
      <c r="I25" s="626"/>
      <c r="J25" s="752"/>
      <c r="K25" s="416"/>
      <c r="L25" s="705" t="s">
        <v>950</v>
      </c>
      <c r="M25" s="705" t="s">
        <v>951</v>
      </c>
      <c r="N25" s="705" t="s">
        <v>952</v>
      </c>
      <c r="O25" s="705"/>
      <c r="P25" s="705"/>
      <c r="Q25" s="705"/>
      <c r="R25" s="705"/>
      <c r="S25" s="416"/>
      <c r="T25" s="752"/>
      <c r="U25" s="416"/>
      <c r="V25" s="609">
        <f t="shared" si="2"/>
        <v>0</v>
      </c>
      <c r="W25" s="692"/>
    </row>
    <row r="26" spans="1:23" s="704" customFormat="1" ht="26.45" outlineLevel="3">
      <c r="A26" s="376"/>
      <c r="B26" s="376" t="s">
        <v>891</v>
      </c>
      <c r="C26" s="376" t="s">
        <v>969</v>
      </c>
      <c r="D26" s="376" t="s">
        <v>159</v>
      </c>
      <c r="E26" s="387" t="s">
        <v>950</v>
      </c>
      <c r="F26" s="608" t="s">
        <v>977</v>
      </c>
      <c r="G26" s="609">
        <v>6.5974043380051306E-2</v>
      </c>
      <c r="H26" s="692">
        <v>1</v>
      </c>
      <c r="I26" s="626"/>
      <c r="J26" s="752"/>
      <c r="K26" s="416"/>
      <c r="L26" s="705" t="s">
        <v>950</v>
      </c>
      <c r="M26" s="705" t="s">
        <v>951</v>
      </c>
      <c r="N26" s="705" t="s">
        <v>972</v>
      </c>
      <c r="O26" s="705"/>
      <c r="P26" s="705"/>
      <c r="Q26" s="705"/>
      <c r="R26" s="705"/>
      <c r="S26" s="416"/>
      <c r="T26" s="752"/>
      <c r="U26" s="416"/>
      <c r="V26" s="609">
        <f t="shared" si="2"/>
        <v>0</v>
      </c>
      <c r="W26" s="692"/>
    </row>
    <row r="27" spans="1:23" s="704" customFormat="1" ht="26.45" outlineLevel="3">
      <c r="A27" s="376"/>
      <c r="B27" s="376" t="s">
        <v>891</v>
      </c>
      <c r="C27" s="376" t="s">
        <v>969</v>
      </c>
      <c r="D27" s="376" t="s">
        <v>159</v>
      </c>
      <c r="E27" s="387" t="s">
        <v>950</v>
      </c>
      <c r="F27" s="608" t="s">
        <v>978</v>
      </c>
      <c r="G27" s="609">
        <v>6.5974043380051306E-2</v>
      </c>
      <c r="H27" s="692">
        <v>1</v>
      </c>
      <c r="I27" s="626"/>
      <c r="J27" s="752"/>
      <c r="K27" s="416"/>
      <c r="L27" s="705" t="s">
        <v>950</v>
      </c>
      <c r="M27" s="705" t="s">
        <v>951</v>
      </c>
      <c r="N27" s="705" t="s">
        <v>972</v>
      </c>
      <c r="O27" s="705"/>
      <c r="P27" s="705"/>
      <c r="Q27" s="705"/>
      <c r="R27" s="705"/>
      <c r="S27" s="416"/>
      <c r="T27" s="752"/>
      <c r="U27" s="416"/>
      <c r="V27" s="609">
        <f t="shared" si="2"/>
        <v>0</v>
      </c>
      <c r="W27" s="692"/>
    </row>
    <row r="28" spans="1:23" s="704" customFormat="1" ht="26.45" outlineLevel="3">
      <c r="A28" s="376"/>
      <c r="B28" s="376" t="s">
        <v>891</v>
      </c>
      <c r="C28" s="376" t="s">
        <v>969</v>
      </c>
      <c r="D28" s="376" t="s">
        <v>159</v>
      </c>
      <c r="E28" s="387" t="s">
        <v>950</v>
      </c>
      <c r="F28" s="608" t="s">
        <v>979</v>
      </c>
      <c r="G28" s="609">
        <v>6.5974043380051306E-2</v>
      </c>
      <c r="H28" s="692">
        <v>1</v>
      </c>
      <c r="I28" s="626"/>
      <c r="J28" s="752"/>
      <c r="K28" s="416"/>
      <c r="L28" s="705" t="s">
        <v>950</v>
      </c>
      <c r="M28" s="705" t="s">
        <v>951</v>
      </c>
      <c r="N28" s="705" t="s">
        <v>972</v>
      </c>
      <c r="O28" s="705"/>
      <c r="P28" s="705"/>
      <c r="Q28" s="705"/>
      <c r="R28" s="705"/>
      <c r="S28" s="416"/>
      <c r="T28" s="752"/>
      <c r="U28" s="416"/>
      <c r="V28" s="609">
        <f t="shared" si="2"/>
        <v>0</v>
      </c>
      <c r="W28" s="692"/>
    </row>
    <row r="29" spans="1:23" s="704" customFormat="1" ht="26.45" outlineLevel="3">
      <c r="A29" s="376"/>
      <c r="B29" s="376" t="s">
        <v>891</v>
      </c>
      <c r="C29" s="376" t="s">
        <v>969</v>
      </c>
      <c r="D29" s="376" t="s">
        <v>159</v>
      </c>
      <c r="E29" s="387" t="s">
        <v>950</v>
      </c>
      <c r="F29" s="608" t="s">
        <v>980</v>
      </c>
      <c r="G29" s="609">
        <v>6.5974043380051306E-2</v>
      </c>
      <c r="H29" s="692">
        <v>1</v>
      </c>
      <c r="I29" s="626"/>
      <c r="J29" s="752"/>
      <c r="K29" s="416"/>
      <c r="L29" s="705" t="s">
        <v>950</v>
      </c>
      <c r="M29" s="705" t="s">
        <v>951</v>
      </c>
      <c r="N29" s="705" t="s">
        <v>972</v>
      </c>
      <c r="O29" s="705"/>
      <c r="P29" s="705"/>
      <c r="Q29" s="705"/>
      <c r="R29" s="705"/>
      <c r="S29" s="416"/>
      <c r="T29" s="752"/>
      <c r="U29" s="416"/>
      <c r="V29" s="609">
        <f t="shared" si="2"/>
        <v>0</v>
      </c>
      <c r="W29" s="692"/>
    </row>
    <row r="30" spans="1:23" s="704" customFormat="1" ht="26.45" outlineLevel="3">
      <c r="A30" s="376"/>
      <c r="B30" s="376" t="s">
        <v>891</v>
      </c>
      <c r="C30" s="376" t="s">
        <v>969</v>
      </c>
      <c r="D30" s="376" t="s">
        <v>159</v>
      </c>
      <c r="E30" s="387" t="s">
        <v>950</v>
      </c>
      <c r="F30" s="608" t="s">
        <v>981</v>
      </c>
      <c r="G30" s="609">
        <v>1.466089852890029E-2</v>
      </c>
      <c r="H30" s="692">
        <v>1</v>
      </c>
      <c r="I30" s="626"/>
      <c r="J30" s="752"/>
      <c r="K30" s="416"/>
      <c r="L30" s="705" t="s">
        <v>950</v>
      </c>
      <c r="M30" s="705" t="s">
        <v>951</v>
      </c>
      <c r="N30" s="705" t="s">
        <v>972</v>
      </c>
      <c r="O30" s="705"/>
      <c r="P30" s="705"/>
      <c r="Q30" s="705"/>
      <c r="R30" s="705"/>
      <c r="S30" s="416"/>
      <c r="T30" s="752"/>
      <c r="U30" s="416"/>
      <c r="V30" s="609">
        <f t="shared" si="2"/>
        <v>0</v>
      </c>
      <c r="W30" s="692"/>
    </row>
    <row r="31" spans="1:23" s="704" customFormat="1" ht="26.45" outlineLevel="3">
      <c r="A31" s="376"/>
      <c r="B31" s="376" t="s">
        <v>891</v>
      </c>
      <c r="C31" s="376" t="s">
        <v>969</v>
      </c>
      <c r="D31" s="376" t="s">
        <v>159</v>
      </c>
      <c r="E31" s="387" t="s">
        <v>950</v>
      </c>
      <c r="F31" s="608" t="s">
        <v>982</v>
      </c>
      <c r="G31" s="609">
        <v>2.932179705780058E-2</v>
      </c>
      <c r="H31" s="692">
        <v>1</v>
      </c>
      <c r="I31" s="626"/>
      <c r="J31" s="752"/>
      <c r="K31" s="416"/>
      <c r="L31" s="705" t="s">
        <v>950</v>
      </c>
      <c r="M31" s="705" t="s">
        <v>951</v>
      </c>
      <c r="N31" s="705" t="s">
        <v>952</v>
      </c>
      <c r="O31" s="705"/>
      <c r="P31" s="705"/>
      <c r="Q31" s="705"/>
      <c r="R31" s="705"/>
      <c r="S31" s="416"/>
      <c r="T31" s="752"/>
      <c r="U31" s="416"/>
      <c r="V31" s="609">
        <f t="shared" si="2"/>
        <v>0</v>
      </c>
      <c r="W31" s="692"/>
    </row>
    <row r="32" spans="1:23" s="704" customFormat="1" ht="26.45" outlineLevel="3">
      <c r="A32" s="376"/>
      <c r="B32" s="376" t="s">
        <v>891</v>
      </c>
      <c r="C32" s="376" t="s">
        <v>969</v>
      </c>
      <c r="D32" s="376" t="s">
        <v>159</v>
      </c>
      <c r="E32" s="387" t="s">
        <v>950</v>
      </c>
      <c r="F32" s="608" t="s">
        <v>983</v>
      </c>
      <c r="G32" s="609">
        <v>4.3982695586700871E-2</v>
      </c>
      <c r="H32" s="692">
        <v>1</v>
      </c>
      <c r="I32" s="626"/>
      <c r="J32" s="752"/>
      <c r="K32" s="416"/>
      <c r="L32" s="705" t="s">
        <v>950</v>
      </c>
      <c r="M32" s="705" t="s">
        <v>951</v>
      </c>
      <c r="N32" s="705" t="s">
        <v>952</v>
      </c>
      <c r="O32" s="705"/>
      <c r="P32" s="705"/>
      <c r="Q32" s="705"/>
      <c r="R32" s="705"/>
      <c r="S32" s="416"/>
      <c r="T32" s="752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891</v>
      </c>
      <c r="C33" s="387" t="s">
        <v>969</v>
      </c>
      <c r="D33" s="387" t="s">
        <v>159</v>
      </c>
      <c r="E33" s="387" t="s">
        <v>950</v>
      </c>
      <c r="F33" s="705" t="s">
        <v>984</v>
      </c>
      <c r="G33" s="706">
        <v>0.05</v>
      </c>
      <c r="H33" s="707">
        <v>1</v>
      </c>
      <c r="I33" s="626"/>
      <c r="J33" s="752"/>
      <c r="K33" s="416"/>
      <c r="L33" s="705" t="s">
        <v>950</v>
      </c>
      <c r="M33" s="705" t="s">
        <v>954</v>
      </c>
      <c r="N33" s="705" t="s">
        <v>955</v>
      </c>
      <c r="O33" s="705"/>
      <c r="P33" s="705"/>
      <c r="Q33" s="705"/>
      <c r="R33" s="705"/>
      <c r="S33" s="416"/>
      <c r="T33" s="752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891</v>
      </c>
      <c r="C34" s="387" t="s">
        <v>969</v>
      </c>
      <c r="D34" s="387" t="s">
        <v>159</v>
      </c>
      <c r="E34" s="387" t="s">
        <v>950</v>
      </c>
      <c r="F34" s="705" t="s">
        <v>985</v>
      </c>
      <c r="G34" s="706">
        <v>0.05</v>
      </c>
      <c r="H34" s="707">
        <v>1</v>
      </c>
      <c r="I34" s="626"/>
      <c r="J34" s="752"/>
      <c r="K34" s="416"/>
      <c r="L34" s="705" t="s">
        <v>950</v>
      </c>
      <c r="M34" s="705" t="s">
        <v>954</v>
      </c>
      <c r="N34" s="705" t="s">
        <v>955</v>
      </c>
      <c r="O34" s="705"/>
      <c r="P34" s="705"/>
      <c r="Q34" s="705"/>
      <c r="R34" s="705"/>
      <c r="S34" s="416"/>
      <c r="T34" s="752"/>
      <c r="U34" s="416"/>
      <c r="V34" s="609">
        <f t="shared" si="2"/>
        <v>0</v>
      </c>
      <c r="W34" s="707"/>
    </row>
    <row r="35" spans="1:23" outlineLevel="2">
      <c r="A35" s="376"/>
      <c r="B35" s="684" t="s">
        <v>891</v>
      </c>
      <c r="C35" s="684" t="s">
        <v>969</v>
      </c>
      <c r="D35" s="684" t="s">
        <v>518</v>
      </c>
      <c r="E35" s="684"/>
      <c r="F35" s="685" t="s">
        <v>986</v>
      </c>
      <c r="G35" s="686">
        <f>SUBTOTAL(9,G36:G48)</f>
        <v>0.29155049103211073</v>
      </c>
      <c r="H35" s="691">
        <f>SUBTOTAL(9,H36:H48)</f>
        <v>13</v>
      </c>
      <c r="I35" s="626"/>
      <c r="J35" s="752"/>
      <c r="L35" s="685"/>
      <c r="M35" s="685"/>
      <c r="N35" s="685"/>
      <c r="O35" s="685"/>
      <c r="P35" s="685"/>
      <c r="Q35" s="685"/>
      <c r="R35" s="685"/>
      <c r="T35" s="752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891</v>
      </c>
      <c r="C36" s="376" t="s">
        <v>969</v>
      </c>
      <c r="D36" s="376" t="s">
        <v>518</v>
      </c>
      <c r="E36" s="376" t="s">
        <v>56</v>
      </c>
      <c r="F36" s="608" t="s">
        <v>987</v>
      </c>
      <c r="G36" s="609">
        <v>9.3421603890201377E-2</v>
      </c>
      <c r="H36" s="700">
        <v>1</v>
      </c>
      <c r="I36" s="626"/>
      <c r="J36" s="752"/>
      <c r="L36" s="608" t="s">
        <v>56</v>
      </c>
      <c r="M36" s="608" t="s">
        <v>959</v>
      </c>
      <c r="N36" s="608" t="s">
        <v>988</v>
      </c>
      <c r="O36" s="608"/>
      <c r="P36" s="608" t="s">
        <v>965</v>
      </c>
      <c r="Q36" s="608"/>
      <c r="R36" s="608"/>
      <c r="T36" s="752"/>
      <c r="V36" s="609">
        <f t="shared" ref="V36:V48" si="3">IF(W36=1,G36,0)</f>
        <v>0</v>
      </c>
      <c r="W36" s="700"/>
    </row>
    <row r="37" spans="1:23" ht="26.45" outlineLevel="3">
      <c r="A37" s="376"/>
      <c r="B37" s="376" t="s">
        <v>891</v>
      </c>
      <c r="C37" s="376" t="s">
        <v>969</v>
      </c>
      <c r="D37" s="376" t="s">
        <v>518</v>
      </c>
      <c r="E37" s="376" t="s">
        <v>56</v>
      </c>
      <c r="F37" s="608" t="s">
        <v>989</v>
      </c>
      <c r="G37" s="609">
        <v>2.1106865436972901E-2</v>
      </c>
      <c r="H37" s="700">
        <v>1</v>
      </c>
      <c r="I37" s="626"/>
      <c r="J37" s="752"/>
      <c r="L37" s="608" t="s">
        <v>56</v>
      </c>
      <c r="M37" s="608" t="s">
        <v>959</v>
      </c>
      <c r="N37" s="608" t="s">
        <v>988</v>
      </c>
      <c r="O37" s="608"/>
      <c r="P37" s="608" t="s">
        <v>965</v>
      </c>
      <c r="Q37" s="608"/>
      <c r="R37" s="608"/>
      <c r="T37" s="752"/>
      <c r="V37" s="609">
        <f t="shared" si="3"/>
        <v>0</v>
      </c>
      <c r="W37" s="700"/>
    </row>
    <row r="38" spans="1:23" outlineLevel="3">
      <c r="A38" s="376"/>
      <c r="B38" s="376" t="s">
        <v>891</v>
      </c>
      <c r="C38" s="376" t="s">
        <v>969</v>
      </c>
      <c r="D38" s="376" t="s">
        <v>518</v>
      </c>
      <c r="E38" s="376" t="s">
        <v>56</v>
      </c>
      <c r="F38" s="608" t="s">
        <v>990</v>
      </c>
      <c r="G38" s="609">
        <v>3.166029815545935E-2</v>
      </c>
      <c r="H38" s="700">
        <v>1</v>
      </c>
      <c r="I38" s="626"/>
      <c r="J38" s="752"/>
      <c r="L38" s="608" t="s">
        <v>56</v>
      </c>
      <c r="M38" s="608" t="s">
        <v>959</v>
      </c>
      <c r="N38" s="608" t="s">
        <v>988</v>
      </c>
      <c r="O38" s="608"/>
      <c r="P38" s="608" t="s">
        <v>965</v>
      </c>
      <c r="Q38" s="608"/>
      <c r="R38" s="608"/>
      <c r="T38" s="752"/>
      <c r="V38" s="609">
        <f t="shared" si="3"/>
        <v>0</v>
      </c>
      <c r="W38" s="700"/>
    </row>
    <row r="39" spans="1:23" ht="26.45" outlineLevel="3">
      <c r="A39" s="376"/>
      <c r="B39" s="376" t="s">
        <v>891</v>
      </c>
      <c r="C39" s="376" t="s">
        <v>969</v>
      </c>
      <c r="D39" s="376" t="s">
        <v>518</v>
      </c>
      <c r="E39" s="376" t="s">
        <v>56</v>
      </c>
      <c r="F39" s="608" t="s">
        <v>978</v>
      </c>
      <c r="G39" s="609">
        <v>5.2767163592432253E-3</v>
      </c>
      <c r="H39" s="700">
        <v>1</v>
      </c>
      <c r="I39" s="626"/>
      <c r="J39" s="752"/>
      <c r="L39" s="608" t="s">
        <v>56</v>
      </c>
      <c r="M39" s="608" t="s">
        <v>959</v>
      </c>
      <c r="N39" s="608" t="s">
        <v>988</v>
      </c>
      <c r="O39" s="608"/>
      <c r="P39" s="608" t="s">
        <v>965</v>
      </c>
      <c r="Q39" s="608"/>
      <c r="R39" s="608"/>
      <c r="T39" s="752"/>
      <c r="V39" s="609">
        <f t="shared" si="3"/>
        <v>0</v>
      </c>
      <c r="W39" s="700"/>
    </row>
    <row r="40" spans="1:23" ht="26.45" outlineLevel="3">
      <c r="A40" s="376"/>
      <c r="B40" s="376" t="s">
        <v>891</v>
      </c>
      <c r="C40" s="376" t="s">
        <v>969</v>
      </c>
      <c r="D40" s="376" t="s">
        <v>518</v>
      </c>
      <c r="E40" s="376" t="s">
        <v>56</v>
      </c>
      <c r="F40" s="608" t="s">
        <v>991</v>
      </c>
      <c r="G40" s="609">
        <v>2.1106865436972901E-2</v>
      </c>
      <c r="H40" s="700">
        <v>1</v>
      </c>
      <c r="I40" s="626"/>
      <c r="J40" s="752"/>
      <c r="L40" s="608" t="s">
        <v>56</v>
      </c>
      <c r="M40" s="608" t="s">
        <v>959</v>
      </c>
      <c r="N40" s="608" t="s">
        <v>988</v>
      </c>
      <c r="O40" s="608"/>
      <c r="P40" s="608" t="s">
        <v>965</v>
      </c>
      <c r="Q40" s="608"/>
      <c r="R40" s="608"/>
      <c r="T40" s="752"/>
      <c r="V40" s="609">
        <f t="shared" si="3"/>
        <v>0</v>
      </c>
      <c r="W40" s="700"/>
    </row>
    <row r="41" spans="1:23" outlineLevel="3">
      <c r="A41" s="376"/>
      <c r="B41" s="376" t="s">
        <v>891</v>
      </c>
      <c r="C41" s="376" t="s">
        <v>969</v>
      </c>
      <c r="D41" s="376" t="s">
        <v>518</v>
      </c>
      <c r="E41" s="376" t="s">
        <v>56</v>
      </c>
      <c r="F41" s="608" t="s">
        <v>992</v>
      </c>
      <c r="G41" s="609">
        <v>3.166029815545935E-2</v>
      </c>
      <c r="H41" s="700">
        <v>1</v>
      </c>
      <c r="I41" s="626"/>
      <c r="J41" s="752"/>
      <c r="L41" s="608" t="s">
        <v>56</v>
      </c>
      <c r="M41" s="608" t="s">
        <v>959</v>
      </c>
      <c r="N41" s="608" t="s">
        <v>988</v>
      </c>
      <c r="O41" s="608"/>
      <c r="P41" s="608" t="s">
        <v>965</v>
      </c>
      <c r="Q41" s="608"/>
      <c r="R41" s="608"/>
      <c r="T41" s="752"/>
      <c r="V41" s="609">
        <f t="shared" si="3"/>
        <v>0</v>
      </c>
      <c r="W41" s="700"/>
    </row>
    <row r="42" spans="1:23" ht="26.45" outlineLevel="3">
      <c r="A42" s="376"/>
      <c r="B42" s="376" t="s">
        <v>891</v>
      </c>
      <c r="C42" s="376" t="s">
        <v>969</v>
      </c>
      <c r="D42" s="376" t="s">
        <v>518</v>
      </c>
      <c r="E42" s="376" t="s">
        <v>56</v>
      </c>
      <c r="F42" s="608" t="s">
        <v>980</v>
      </c>
      <c r="G42" s="609">
        <v>5.2767163592432253E-3</v>
      </c>
      <c r="H42" s="700">
        <v>1</v>
      </c>
      <c r="I42" s="626"/>
      <c r="J42" s="752"/>
      <c r="L42" s="608" t="s">
        <v>56</v>
      </c>
      <c r="M42" s="608" t="s">
        <v>959</v>
      </c>
      <c r="N42" s="608" t="s">
        <v>988</v>
      </c>
      <c r="O42" s="608"/>
      <c r="P42" s="608" t="s">
        <v>965</v>
      </c>
      <c r="Q42" s="608"/>
      <c r="R42" s="608"/>
      <c r="T42" s="752"/>
      <c r="V42" s="609">
        <f t="shared" si="3"/>
        <v>0</v>
      </c>
      <c r="W42" s="700"/>
    </row>
    <row r="43" spans="1:23" ht="26.45" outlineLevel="3">
      <c r="A43" s="376"/>
      <c r="B43" s="376" t="s">
        <v>891</v>
      </c>
      <c r="C43" s="376" t="s">
        <v>969</v>
      </c>
      <c r="D43" s="376" t="s">
        <v>518</v>
      </c>
      <c r="E43" s="376" t="s">
        <v>56</v>
      </c>
      <c r="F43" s="608" t="s">
        <v>981</v>
      </c>
      <c r="G43" s="609">
        <v>1E-3</v>
      </c>
      <c r="H43" s="700">
        <v>1</v>
      </c>
      <c r="I43" s="626"/>
      <c r="J43" s="752"/>
      <c r="L43" s="608" t="s">
        <v>56</v>
      </c>
      <c r="M43" s="608" t="s">
        <v>959</v>
      </c>
      <c r="N43" s="608" t="s">
        <v>988</v>
      </c>
      <c r="O43" s="608"/>
      <c r="P43" s="608" t="s">
        <v>965</v>
      </c>
      <c r="Q43" s="608"/>
      <c r="R43" s="608"/>
      <c r="T43" s="752"/>
      <c r="V43" s="609">
        <f t="shared" si="3"/>
        <v>0</v>
      </c>
      <c r="W43" s="700"/>
    </row>
    <row r="44" spans="1:23" ht="26.45" outlineLevel="3">
      <c r="A44" s="376"/>
      <c r="B44" s="376" t="s">
        <v>891</v>
      </c>
      <c r="C44" s="376" t="s">
        <v>969</v>
      </c>
      <c r="D44" s="376" t="s">
        <v>518</v>
      </c>
      <c r="E44" s="376" t="s">
        <v>56</v>
      </c>
      <c r="F44" s="608" t="s">
        <v>982</v>
      </c>
      <c r="G44" s="609">
        <v>2.3452072707747665E-3</v>
      </c>
      <c r="H44" s="700">
        <v>1</v>
      </c>
      <c r="I44" s="626"/>
      <c r="J44" s="752"/>
      <c r="L44" s="608" t="s">
        <v>56</v>
      </c>
      <c r="M44" s="608" t="s">
        <v>959</v>
      </c>
      <c r="N44" s="608" t="s">
        <v>988</v>
      </c>
      <c r="O44" s="608"/>
      <c r="P44" s="608" t="s">
        <v>965</v>
      </c>
      <c r="Q44" s="608"/>
      <c r="R44" s="608"/>
      <c r="T44" s="752"/>
      <c r="V44" s="609">
        <f t="shared" si="3"/>
        <v>0</v>
      </c>
      <c r="W44" s="700"/>
    </row>
    <row r="45" spans="1:23" s="704" customFormat="1" ht="26.45" outlineLevel="3">
      <c r="A45" s="376"/>
      <c r="B45" s="376" t="s">
        <v>891</v>
      </c>
      <c r="C45" s="376" t="s">
        <v>969</v>
      </c>
      <c r="D45" s="376" t="s">
        <v>518</v>
      </c>
      <c r="E45" s="376" t="s">
        <v>56</v>
      </c>
      <c r="F45" s="608" t="s">
        <v>993</v>
      </c>
      <c r="G45" s="609">
        <v>1.4071243624648597E-2</v>
      </c>
      <c r="H45" s="692">
        <v>1</v>
      </c>
      <c r="I45" s="626"/>
      <c r="J45" s="752"/>
      <c r="K45" s="416"/>
      <c r="L45" s="608" t="s">
        <v>56</v>
      </c>
      <c r="M45" s="608" t="s">
        <v>959</v>
      </c>
      <c r="N45" s="608" t="s">
        <v>988</v>
      </c>
      <c r="O45" s="608"/>
      <c r="P45" s="608" t="s">
        <v>965</v>
      </c>
      <c r="Q45" s="608"/>
      <c r="R45" s="608"/>
      <c r="S45" s="416"/>
      <c r="T45" s="752"/>
      <c r="U45" s="416"/>
      <c r="V45" s="609">
        <f t="shared" si="3"/>
        <v>0</v>
      </c>
      <c r="W45" s="692"/>
    </row>
    <row r="46" spans="1:23" outlineLevel="3">
      <c r="A46" s="376"/>
      <c r="B46" s="376" t="s">
        <v>891</v>
      </c>
      <c r="C46" s="376" t="s">
        <v>969</v>
      </c>
      <c r="D46" s="376" t="s">
        <v>518</v>
      </c>
      <c r="E46" s="376" t="s">
        <v>56</v>
      </c>
      <c r="F46" s="608" t="s">
        <v>994</v>
      </c>
      <c r="G46" s="609">
        <v>2.1106865436972894E-2</v>
      </c>
      <c r="H46" s="700">
        <v>1</v>
      </c>
      <c r="I46" s="626"/>
      <c r="J46" s="752"/>
      <c r="L46" s="608" t="s">
        <v>56</v>
      </c>
      <c r="M46" s="608" t="s">
        <v>959</v>
      </c>
      <c r="N46" s="608" t="s">
        <v>988</v>
      </c>
      <c r="O46" s="608"/>
      <c r="P46" s="608" t="s">
        <v>965</v>
      </c>
      <c r="Q46" s="608"/>
      <c r="R46" s="608"/>
      <c r="T46" s="752"/>
      <c r="V46" s="609">
        <f t="shared" si="3"/>
        <v>0</v>
      </c>
      <c r="W46" s="700"/>
    </row>
    <row r="47" spans="1:23" ht="26.45" outlineLevel="3">
      <c r="A47" s="376"/>
      <c r="B47" s="376" t="s">
        <v>891</v>
      </c>
      <c r="C47" s="376" t="s">
        <v>969</v>
      </c>
      <c r="D47" s="376" t="s">
        <v>518</v>
      </c>
      <c r="E47" s="376" t="s">
        <v>56</v>
      </c>
      <c r="F47" s="608" t="s">
        <v>983</v>
      </c>
      <c r="G47" s="609">
        <v>3.5178109061621493E-3</v>
      </c>
      <c r="H47" s="700">
        <v>1</v>
      </c>
      <c r="I47" s="626"/>
      <c r="J47" s="752"/>
      <c r="L47" s="608" t="s">
        <v>56</v>
      </c>
      <c r="M47" s="608" t="s">
        <v>959</v>
      </c>
      <c r="N47" s="608" t="s">
        <v>988</v>
      </c>
      <c r="O47" s="608"/>
      <c r="P47" s="608" t="s">
        <v>965</v>
      </c>
      <c r="Q47" s="608"/>
      <c r="R47" s="608"/>
      <c r="T47" s="752"/>
      <c r="V47" s="609">
        <f t="shared" si="3"/>
        <v>0</v>
      </c>
      <c r="W47" s="700"/>
    </row>
    <row r="48" spans="1:23" outlineLevel="3">
      <c r="A48" s="376"/>
      <c r="B48" s="376" t="s">
        <v>891</v>
      </c>
      <c r="C48" s="376" t="s">
        <v>969</v>
      </c>
      <c r="D48" s="376" t="s">
        <v>518</v>
      </c>
      <c r="E48" s="376" t="s">
        <v>56</v>
      </c>
      <c r="F48" s="608" t="s">
        <v>985</v>
      </c>
      <c r="G48" s="609">
        <v>0.04</v>
      </c>
      <c r="H48" s="700">
        <v>1</v>
      </c>
      <c r="I48" s="626"/>
      <c r="J48" s="752"/>
      <c r="L48" s="608" t="s">
        <v>56</v>
      </c>
      <c r="M48" s="608" t="s">
        <v>959</v>
      </c>
      <c r="N48" s="608" t="s">
        <v>988</v>
      </c>
      <c r="O48" s="608"/>
      <c r="P48" s="608" t="s">
        <v>965</v>
      </c>
      <c r="Q48" s="608"/>
      <c r="R48" s="608"/>
      <c r="T48" s="752"/>
      <c r="V48" s="609">
        <f t="shared" si="3"/>
        <v>0</v>
      </c>
      <c r="W48" s="700"/>
    </row>
    <row r="49" spans="1:23" outlineLevel="2">
      <c r="A49" s="376"/>
      <c r="B49" s="684" t="s">
        <v>891</v>
      </c>
      <c r="C49" s="684" t="s">
        <v>969</v>
      </c>
      <c r="D49" s="684" t="s">
        <v>441</v>
      </c>
      <c r="E49" s="684"/>
      <c r="F49" s="685" t="s">
        <v>986</v>
      </c>
      <c r="G49" s="686">
        <f>SUBTOTAL(9,G50:G53)</f>
        <v>0.16927301849636628</v>
      </c>
      <c r="H49" s="691">
        <f>SUBTOTAL(9,H50:H53)</f>
        <v>4</v>
      </c>
      <c r="I49" s="626"/>
      <c r="J49" s="752"/>
      <c r="L49" s="685"/>
      <c r="M49" s="685"/>
      <c r="N49" s="685"/>
      <c r="O49" s="685"/>
      <c r="P49" s="685"/>
      <c r="Q49" s="685"/>
      <c r="R49" s="685"/>
      <c r="T49" s="752"/>
      <c r="V49" s="686">
        <f>SUBTOTAL(9,V50:V53)</f>
        <v>0</v>
      </c>
      <c r="W49" s="691">
        <f>SUBTOTAL(9,W50:W53)</f>
        <v>0</v>
      </c>
    </row>
    <row r="50" spans="1:23" ht="39.6" outlineLevel="3">
      <c r="A50" s="376"/>
      <c r="B50" s="376" t="s">
        <v>891</v>
      </c>
      <c r="C50" s="376" t="s">
        <v>969</v>
      </c>
      <c r="D50" s="376" t="s">
        <v>441</v>
      </c>
      <c r="E50" s="376" t="s">
        <v>437</v>
      </c>
      <c r="F50" s="608" t="s">
        <v>987</v>
      </c>
      <c r="G50" s="609">
        <v>2.1499694035440806E-2</v>
      </c>
      <c r="H50" s="700">
        <v>1</v>
      </c>
      <c r="I50" s="626"/>
      <c r="J50" s="752"/>
      <c r="L50" s="608" t="s">
        <v>437</v>
      </c>
      <c r="M50" s="608" t="s">
        <v>966</v>
      </c>
      <c r="N50" s="608" t="s">
        <v>967</v>
      </c>
      <c r="O50" s="608" t="s">
        <v>995</v>
      </c>
      <c r="P50" s="608"/>
      <c r="Q50" s="608"/>
      <c r="R50" s="608"/>
      <c r="T50" s="752"/>
      <c r="V50" s="609">
        <f t="shared" ref="V50:V53" si="4">IF(W50=1,G50,0)</f>
        <v>0</v>
      </c>
      <c r="W50" s="700"/>
    </row>
    <row r="51" spans="1:23" ht="39.6" outlineLevel="3">
      <c r="A51" s="376"/>
      <c r="B51" s="376" t="s">
        <v>891</v>
      </c>
      <c r="C51" s="376" t="s">
        <v>969</v>
      </c>
      <c r="D51" s="376" t="s">
        <v>441</v>
      </c>
      <c r="E51" s="376" t="s">
        <v>437</v>
      </c>
      <c r="F51" s="608" t="s">
        <v>976</v>
      </c>
      <c r="G51" s="609">
        <v>2.8273590763100436E-3</v>
      </c>
      <c r="H51" s="700">
        <v>1</v>
      </c>
      <c r="I51" s="626"/>
      <c r="J51" s="752"/>
      <c r="L51" s="608" t="s">
        <v>437</v>
      </c>
      <c r="M51" s="608" t="s">
        <v>966</v>
      </c>
      <c r="N51" s="608" t="s">
        <v>967</v>
      </c>
      <c r="O51" s="608" t="s">
        <v>995</v>
      </c>
      <c r="P51" s="608"/>
      <c r="Q51" s="608"/>
      <c r="R51" s="608"/>
      <c r="T51" s="752"/>
      <c r="V51" s="609">
        <f t="shared" si="4"/>
        <v>0</v>
      </c>
      <c r="W51" s="700"/>
    </row>
    <row r="52" spans="1:23" ht="39.6" outlineLevel="3">
      <c r="A52" s="376"/>
      <c r="B52" s="376" t="s">
        <v>891</v>
      </c>
      <c r="C52" s="376" t="s">
        <v>969</v>
      </c>
      <c r="D52" s="376" t="s">
        <v>441</v>
      </c>
      <c r="E52" s="376" t="s">
        <v>437</v>
      </c>
      <c r="F52" s="608" t="s">
        <v>973</v>
      </c>
      <c r="G52" s="609">
        <v>0.10494596538461541</v>
      </c>
      <c r="H52" s="700">
        <v>1</v>
      </c>
      <c r="I52" s="626"/>
      <c r="J52" s="752"/>
      <c r="L52" s="608" t="s">
        <v>437</v>
      </c>
      <c r="M52" s="608" t="s">
        <v>966</v>
      </c>
      <c r="N52" s="608" t="s">
        <v>967</v>
      </c>
      <c r="O52" s="608" t="s">
        <v>995</v>
      </c>
      <c r="P52" s="608"/>
      <c r="Q52" s="608"/>
      <c r="R52" s="608"/>
      <c r="T52" s="752"/>
      <c r="V52" s="609">
        <f t="shared" si="4"/>
        <v>0</v>
      </c>
      <c r="W52" s="700"/>
    </row>
    <row r="53" spans="1:23" ht="39.6" outlineLevel="3">
      <c r="A53" s="376"/>
      <c r="B53" s="376" t="s">
        <v>891</v>
      </c>
      <c r="C53" s="376" t="s">
        <v>969</v>
      </c>
      <c r="D53" s="376" t="s">
        <v>441</v>
      </c>
      <c r="E53" s="376" t="s">
        <v>437</v>
      </c>
      <c r="F53" s="608" t="s">
        <v>984</v>
      </c>
      <c r="G53" s="609">
        <v>0.04</v>
      </c>
      <c r="H53" s="700">
        <v>1</v>
      </c>
      <c r="I53" s="626"/>
      <c r="J53" s="752"/>
      <c r="L53" s="608" t="s">
        <v>437</v>
      </c>
      <c r="M53" s="608" t="s">
        <v>966</v>
      </c>
      <c r="N53" s="608" t="s">
        <v>967</v>
      </c>
      <c r="O53" s="608" t="s">
        <v>995</v>
      </c>
      <c r="P53" s="608"/>
      <c r="Q53" s="608"/>
      <c r="R53" s="608"/>
      <c r="T53" s="752"/>
      <c r="V53" s="609">
        <f t="shared" si="4"/>
        <v>0</v>
      </c>
      <c r="W53" s="700"/>
    </row>
    <row r="54" spans="1:23" outlineLevel="2">
      <c r="A54" s="376"/>
      <c r="B54" s="684" t="s">
        <v>891</v>
      </c>
      <c r="C54" s="684" t="s">
        <v>969</v>
      </c>
      <c r="D54" s="684" t="s">
        <v>860</v>
      </c>
      <c r="E54" s="684"/>
      <c r="F54" s="685" t="s">
        <v>986</v>
      </c>
      <c r="G54" s="686">
        <f>SUBTOTAL(9,G55:G56)</f>
        <v>4.7863519954722676E-2</v>
      </c>
      <c r="H54" s="691">
        <f>SUBTOTAL(9,H55:H56)</f>
        <v>1</v>
      </c>
      <c r="I54" s="626"/>
      <c r="J54" s="752"/>
      <c r="L54" s="685"/>
      <c r="M54" s="685"/>
      <c r="N54" s="685"/>
      <c r="O54" s="685"/>
      <c r="P54" s="685"/>
      <c r="Q54" s="685"/>
      <c r="R54" s="685"/>
      <c r="T54" s="752"/>
      <c r="V54" s="686">
        <f>SUBTOTAL(9,V55:V56)</f>
        <v>0</v>
      </c>
      <c r="W54" s="691">
        <f>SUBTOTAL(9,W55:W56)</f>
        <v>0</v>
      </c>
    </row>
    <row r="55" spans="1:23" ht="26.45" outlineLevel="3">
      <c r="A55" s="376"/>
      <c r="B55" s="376" t="s">
        <v>891</v>
      </c>
      <c r="C55" s="376" t="s">
        <v>969</v>
      </c>
      <c r="D55" s="376" t="s">
        <v>860</v>
      </c>
      <c r="E55" s="376" t="s">
        <v>437</v>
      </c>
      <c r="F55" s="608" t="s">
        <v>987</v>
      </c>
      <c r="G55" s="609">
        <v>4.7863519954722676E-2</v>
      </c>
      <c r="H55" s="700">
        <v>1</v>
      </c>
      <c r="I55" s="626"/>
      <c r="J55" s="752"/>
      <c r="L55" s="608" t="s">
        <v>437</v>
      </c>
      <c r="M55" s="608" t="s">
        <v>996</v>
      </c>
      <c r="N55" s="608" t="s">
        <v>997</v>
      </c>
      <c r="O55" s="608" t="s">
        <v>998</v>
      </c>
      <c r="P55" s="608"/>
      <c r="Q55" s="608"/>
      <c r="R55" s="608"/>
      <c r="T55" s="752"/>
      <c r="V55" s="609">
        <f t="shared" ref="V55:V56" si="5">IF(W55=1,G55,0)</f>
        <v>0</v>
      </c>
      <c r="W55" s="700"/>
    </row>
    <row r="56" spans="1:23" ht="26.45" outlineLevel="3">
      <c r="A56" s="376"/>
      <c r="B56" s="376" t="s">
        <v>891</v>
      </c>
      <c r="C56" s="376" t="s">
        <v>969</v>
      </c>
      <c r="D56" s="376" t="s">
        <v>860</v>
      </c>
      <c r="E56" s="376" t="s">
        <v>437</v>
      </c>
      <c r="F56" s="760" t="s">
        <v>999</v>
      </c>
      <c r="G56" s="609"/>
      <c r="H56" s="700"/>
      <c r="I56" s="626"/>
      <c r="J56" s="752"/>
      <c r="L56" s="608" t="s">
        <v>437</v>
      </c>
      <c r="M56" s="608" t="s">
        <v>996</v>
      </c>
      <c r="N56" s="608" t="s">
        <v>997</v>
      </c>
      <c r="O56" s="608" t="s">
        <v>998</v>
      </c>
      <c r="P56" s="608"/>
      <c r="Q56" s="608"/>
      <c r="R56" s="608"/>
      <c r="T56" s="752"/>
      <c r="V56" s="609">
        <f t="shared" si="5"/>
        <v>0</v>
      </c>
      <c r="W56" s="700"/>
    </row>
    <row r="57" spans="1:23" s="711" customFormat="1" outlineLevel="1">
      <c r="A57" s="386"/>
      <c r="B57" s="666" t="s">
        <v>893</v>
      </c>
      <c r="C57" s="666" t="s">
        <v>1000</v>
      </c>
      <c r="D57" s="666"/>
      <c r="E57" s="666"/>
      <c r="F57" s="681" t="s">
        <v>947</v>
      </c>
      <c r="G57" s="708">
        <f>SUBTOTAL(9,G58:G68)</f>
        <v>0.81650520351452482</v>
      </c>
      <c r="H57" s="709">
        <f>SUBTOTAL(9,H58:H68)</f>
        <v>8</v>
      </c>
      <c r="I57" s="710"/>
      <c r="J57" s="756"/>
      <c r="L57" s="761"/>
      <c r="M57" s="761"/>
      <c r="N57" s="761"/>
      <c r="O57" s="761"/>
      <c r="P57" s="761"/>
      <c r="Q57" s="761"/>
      <c r="R57" s="761"/>
      <c r="T57" s="756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893</v>
      </c>
      <c r="C58" s="684" t="s">
        <v>1000</v>
      </c>
      <c r="D58" s="684" t="s">
        <v>159</v>
      </c>
      <c r="E58" s="684"/>
      <c r="F58" s="712" t="s">
        <v>948</v>
      </c>
      <c r="G58" s="713">
        <f>SUBTOTAL(9,G59:G61)</f>
        <v>0.3642147722995997</v>
      </c>
      <c r="H58" s="714">
        <f>SUBTOTAL(9,H59:H61)</f>
        <v>3</v>
      </c>
      <c r="I58" s="626"/>
      <c r="J58" s="752"/>
      <c r="L58" s="685"/>
      <c r="M58" s="685"/>
      <c r="N58" s="685"/>
      <c r="O58" s="685"/>
      <c r="P58" s="685"/>
      <c r="Q58" s="685"/>
      <c r="R58" s="685"/>
      <c r="T58" s="752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893</v>
      </c>
      <c r="C59" s="376" t="s">
        <v>1000</v>
      </c>
      <c r="D59" s="376" t="s">
        <v>159</v>
      </c>
      <c r="E59" s="376" t="s">
        <v>664</v>
      </c>
      <c r="F59" s="608" t="s">
        <v>75</v>
      </c>
      <c r="G59" s="695">
        <v>0.13658053961234987</v>
      </c>
      <c r="H59" s="700">
        <v>1</v>
      </c>
      <c r="I59" s="626"/>
      <c r="J59" s="752"/>
      <c r="L59" s="608" t="s">
        <v>664</v>
      </c>
      <c r="M59" s="608" t="s">
        <v>1001</v>
      </c>
      <c r="N59" s="608" t="s">
        <v>1002</v>
      </c>
      <c r="O59" s="608"/>
      <c r="P59" s="608"/>
      <c r="Q59" s="608"/>
      <c r="R59" s="608"/>
      <c r="T59" s="752"/>
      <c r="V59" s="609">
        <f t="shared" ref="V59:V61" si="6">IF(W59=1,G59,0)</f>
        <v>0</v>
      </c>
      <c r="W59" s="700"/>
    </row>
    <row r="60" spans="1:23" outlineLevel="3">
      <c r="A60" s="376"/>
      <c r="B60" s="376" t="s">
        <v>893</v>
      </c>
      <c r="C60" s="376" t="s">
        <v>1000</v>
      </c>
      <c r="D60" s="376" t="s">
        <v>159</v>
      </c>
      <c r="E60" s="376" t="s">
        <v>664</v>
      </c>
      <c r="F60" s="623" t="s">
        <v>957</v>
      </c>
      <c r="G60" s="695">
        <v>0.18210738614979985</v>
      </c>
      <c r="H60" s="700">
        <v>1</v>
      </c>
      <c r="I60" s="626"/>
      <c r="J60" s="752"/>
      <c r="L60" s="608" t="s">
        <v>664</v>
      </c>
      <c r="M60" s="608" t="s">
        <v>1001</v>
      </c>
      <c r="N60" s="608" t="s">
        <v>1003</v>
      </c>
      <c r="O60" s="608"/>
      <c r="P60" s="608"/>
      <c r="Q60" s="608"/>
      <c r="R60" s="608"/>
      <c r="T60" s="752"/>
      <c r="V60" s="609">
        <f t="shared" si="6"/>
        <v>0</v>
      </c>
      <c r="W60" s="700"/>
    </row>
    <row r="61" spans="1:23" outlineLevel="3">
      <c r="A61" s="376"/>
      <c r="B61" s="376" t="s">
        <v>893</v>
      </c>
      <c r="C61" s="376" t="s">
        <v>1000</v>
      </c>
      <c r="D61" s="376" t="s">
        <v>159</v>
      </c>
      <c r="E61" s="376" t="s">
        <v>664</v>
      </c>
      <c r="F61" s="623" t="s">
        <v>1004</v>
      </c>
      <c r="G61" s="695">
        <v>4.5526846537449962E-2</v>
      </c>
      <c r="H61" s="700">
        <v>1</v>
      </c>
      <c r="I61" s="626"/>
      <c r="J61" s="752"/>
      <c r="L61" s="608" t="s">
        <v>664</v>
      </c>
      <c r="M61" s="608" t="s">
        <v>1001</v>
      </c>
      <c r="N61" s="608" t="s">
        <v>1005</v>
      </c>
      <c r="O61" s="608"/>
      <c r="P61" s="608"/>
      <c r="Q61" s="608"/>
      <c r="R61" s="608"/>
      <c r="T61" s="752"/>
      <c r="V61" s="609">
        <f t="shared" si="6"/>
        <v>0</v>
      </c>
      <c r="W61" s="700"/>
    </row>
    <row r="62" spans="1:23" ht="26.45" outlineLevel="2">
      <c r="A62" s="376"/>
      <c r="B62" s="684" t="s">
        <v>893</v>
      </c>
      <c r="C62" s="684" t="s">
        <v>1000</v>
      </c>
      <c r="D62" s="684" t="s">
        <v>518</v>
      </c>
      <c r="E62" s="684"/>
      <c r="F62" s="685" t="s">
        <v>1006</v>
      </c>
      <c r="G62" s="713">
        <f>SUBTOTAL(9,G63:G65)</f>
        <v>0.28478494761492512</v>
      </c>
      <c r="H62" s="714">
        <f>SUBTOTAL(9,H63:H65)</f>
        <v>3</v>
      </c>
      <c r="I62" s="626"/>
      <c r="J62" s="752"/>
      <c r="L62" s="685"/>
      <c r="M62" s="685"/>
      <c r="N62" s="685"/>
      <c r="O62" s="685"/>
      <c r="P62" s="685"/>
      <c r="Q62" s="685"/>
      <c r="R62" s="685"/>
      <c r="T62" s="752"/>
      <c r="V62" s="713">
        <f>SUBTOTAL(9,V63:V65)</f>
        <v>0</v>
      </c>
      <c r="W62" s="714">
        <f>SUBTOTAL(9,W63:W65)</f>
        <v>0</v>
      </c>
    </row>
    <row r="63" spans="1:23" ht="26.45" outlineLevel="3">
      <c r="A63" s="376"/>
      <c r="B63" s="376" t="s">
        <v>893</v>
      </c>
      <c r="C63" s="376" t="s">
        <v>1000</v>
      </c>
      <c r="D63" s="376" t="s">
        <v>518</v>
      </c>
      <c r="E63" s="376" t="s">
        <v>56</v>
      </c>
      <c r="F63" s="608" t="s">
        <v>1007</v>
      </c>
      <c r="G63" s="609">
        <v>0.25822711064277509</v>
      </c>
      <c r="H63" s="700">
        <v>1</v>
      </c>
      <c r="I63" s="626"/>
      <c r="J63" s="752"/>
      <c r="L63" s="608" t="s">
        <v>56</v>
      </c>
      <c r="M63" s="608" t="s">
        <v>1008</v>
      </c>
      <c r="N63" s="608" t="s">
        <v>1009</v>
      </c>
      <c r="O63" s="608" t="s">
        <v>1010</v>
      </c>
      <c r="P63" s="608"/>
      <c r="Q63" s="608"/>
      <c r="R63" s="608"/>
      <c r="T63" s="752"/>
      <c r="V63" s="609">
        <f t="shared" ref="V63:V65" si="7">IF(W63=1,G63,0)</f>
        <v>0</v>
      </c>
      <c r="W63" s="700"/>
    </row>
    <row r="64" spans="1:23" ht="26.45" outlineLevel="3">
      <c r="A64" s="376"/>
      <c r="B64" s="376" t="s">
        <v>893</v>
      </c>
      <c r="C64" s="376" t="s">
        <v>1000</v>
      </c>
      <c r="D64" s="376" t="s">
        <v>518</v>
      </c>
      <c r="E64" s="376" t="s">
        <v>56</v>
      </c>
      <c r="F64" s="608" t="s">
        <v>75</v>
      </c>
      <c r="G64" s="609">
        <v>1.4486092893899998E-2</v>
      </c>
      <c r="H64" s="700">
        <v>1</v>
      </c>
      <c r="I64" s="626"/>
      <c r="J64" s="752"/>
      <c r="L64" s="608" t="s">
        <v>56</v>
      </c>
      <c r="M64" s="608" t="s">
        <v>1008</v>
      </c>
      <c r="N64" s="608" t="s">
        <v>1011</v>
      </c>
      <c r="O64" s="608" t="s">
        <v>1012</v>
      </c>
      <c r="P64" s="608"/>
      <c r="Q64" s="608"/>
      <c r="R64" s="608"/>
      <c r="T64" s="752"/>
      <c r="V64" s="609">
        <f t="shared" si="7"/>
        <v>0</v>
      </c>
      <c r="W64" s="700"/>
    </row>
    <row r="65" spans="1:23" outlineLevel="3">
      <c r="A65" s="376"/>
      <c r="B65" s="376" t="s">
        <v>893</v>
      </c>
      <c r="C65" s="376" t="s">
        <v>1000</v>
      </c>
      <c r="D65" s="376" t="s">
        <v>518</v>
      </c>
      <c r="E65" s="376" t="s">
        <v>56</v>
      </c>
      <c r="F65" s="608" t="s">
        <v>957</v>
      </c>
      <c r="G65" s="609">
        <v>1.2071744078249999E-2</v>
      </c>
      <c r="H65" s="700">
        <v>1</v>
      </c>
      <c r="I65" s="626"/>
      <c r="J65" s="752"/>
      <c r="L65" s="608" t="s">
        <v>56</v>
      </c>
      <c r="M65" s="608" t="s">
        <v>1008</v>
      </c>
      <c r="N65" s="608" t="s">
        <v>1013</v>
      </c>
      <c r="O65" s="608" t="s">
        <v>1014</v>
      </c>
      <c r="P65" s="608"/>
      <c r="Q65" s="608"/>
      <c r="R65" s="608"/>
      <c r="T65" s="752"/>
      <c r="V65" s="609">
        <f t="shared" si="7"/>
        <v>0</v>
      </c>
      <c r="W65" s="700"/>
    </row>
    <row r="66" spans="1:23" outlineLevel="2">
      <c r="A66" s="376"/>
      <c r="B66" s="684" t="s">
        <v>893</v>
      </c>
      <c r="C66" s="684" t="s">
        <v>1000</v>
      </c>
      <c r="D66" s="684" t="s">
        <v>441</v>
      </c>
      <c r="E66" s="684"/>
      <c r="F66" s="712" t="s">
        <v>948</v>
      </c>
      <c r="G66" s="713">
        <f>SUBTOTAL(9,G67:G68)</f>
        <v>0.16750548359999998</v>
      </c>
      <c r="H66" s="714">
        <f>SUBTOTAL(9,H67:H68)</f>
        <v>2</v>
      </c>
      <c r="I66" s="626"/>
      <c r="J66" s="752"/>
      <c r="L66" s="685"/>
      <c r="M66" s="685"/>
      <c r="N66" s="685"/>
      <c r="O66" s="685"/>
      <c r="P66" s="685"/>
      <c r="Q66" s="685"/>
      <c r="R66" s="685"/>
      <c r="T66" s="752"/>
      <c r="V66" s="713">
        <f>SUBTOTAL(9,V67:V68)</f>
        <v>0</v>
      </c>
      <c r="W66" s="714">
        <f>SUBTOTAL(9,W67:W68)</f>
        <v>0</v>
      </c>
    </row>
    <row r="67" spans="1:23" ht="26.45" outlineLevel="3">
      <c r="A67" s="376"/>
      <c r="B67" s="376" t="s">
        <v>893</v>
      </c>
      <c r="C67" s="376" t="s">
        <v>1000</v>
      </c>
      <c r="D67" s="376" t="s">
        <v>441</v>
      </c>
      <c r="E67" s="376" t="s">
        <v>437</v>
      </c>
      <c r="F67" s="623" t="s">
        <v>984</v>
      </c>
      <c r="G67" s="609">
        <v>3.8655111599999993E-2</v>
      </c>
      <c r="H67" s="700">
        <v>1</v>
      </c>
      <c r="I67" s="626"/>
      <c r="J67" s="752"/>
      <c r="L67" s="608" t="s">
        <v>437</v>
      </c>
      <c r="M67" s="608" t="s">
        <v>966</v>
      </c>
      <c r="N67" s="608" t="s">
        <v>1015</v>
      </c>
      <c r="O67" s="608" t="s">
        <v>1016</v>
      </c>
      <c r="P67" s="608"/>
      <c r="Q67" s="608"/>
      <c r="R67" s="608"/>
      <c r="T67" s="752"/>
      <c r="V67" s="609">
        <f t="shared" ref="V67:V68" si="8">IF(W67=1,G67,0)</f>
        <v>0</v>
      </c>
      <c r="W67" s="700"/>
    </row>
    <row r="68" spans="1:23" ht="26.45" outlineLevel="3">
      <c r="A68" s="376"/>
      <c r="B68" s="376" t="s">
        <v>893</v>
      </c>
      <c r="C68" s="376" t="s">
        <v>1000</v>
      </c>
      <c r="D68" s="376" t="s">
        <v>441</v>
      </c>
      <c r="E68" s="376" t="s">
        <v>437</v>
      </c>
      <c r="F68" s="623" t="s">
        <v>957</v>
      </c>
      <c r="G68" s="609">
        <v>0.12885037199999999</v>
      </c>
      <c r="H68" s="700">
        <v>1</v>
      </c>
      <c r="I68" s="626"/>
      <c r="J68" s="752"/>
      <c r="L68" s="608" t="s">
        <v>437</v>
      </c>
      <c r="M68" s="608" t="s">
        <v>966</v>
      </c>
      <c r="N68" s="608" t="s">
        <v>1015</v>
      </c>
      <c r="O68" s="608" t="s">
        <v>1016</v>
      </c>
      <c r="P68" s="608"/>
      <c r="Q68" s="608"/>
      <c r="R68" s="608"/>
      <c r="T68" s="752"/>
      <c r="V68" s="609">
        <f t="shared" si="8"/>
        <v>0</v>
      </c>
      <c r="W68" s="700"/>
    </row>
    <row r="69" spans="1:23" s="711" customFormat="1" outlineLevel="1">
      <c r="A69" s="386"/>
      <c r="B69" s="666" t="s">
        <v>1017</v>
      </c>
      <c r="C69" s="666" t="s">
        <v>1018</v>
      </c>
      <c r="D69" s="666"/>
      <c r="E69" s="666"/>
      <c r="F69" s="681" t="s">
        <v>947</v>
      </c>
      <c r="G69" s="715">
        <f>SUBTOTAL(9,G70:G71)</f>
        <v>0</v>
      </c>
      <c r="H69" s="716">
        <f>SUBTOTAL(9,H70:H71)</f>
        <v>0</v>
      </c>
      <c r="I69" s="710"/>
      <c r="J69" s="756"/>
      <c r="L69" s="761"/>
      <c r="M69" s="761"/>
      <c r="N69" s="761"/>
      <c r="O69" s="761"/>
      <c r="P69" s="761"/>
      <c r="Q69" s="761"/>
      <c r="R69" s="761"/>
      <c r="T69" s="756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1017</v>
      </c>
      <c r="C70" s="687" t="s">
        <v>1018</v>
      </c>
      <c r="D70" s="684"/>
      <c r="E70" s="684"/>
      <c r="F70" s="717" t="s">
        <v>1019</v>
      </c>
      <c r="G70" s="686">
        <f>SUBTOTAL(9,G71)</f>
        <v>0</v>
      </c>
      <c r="H70" s="691">
        <f>SUBTOTAL(9,H71)</f>
        <v>0</v>
      </c>
      <c r="I70" s="626"/>
      <c r="J70" s="752"/>
      <c r="L70" s="685"/>
      <c r="M70" s="685"/>
      <c r="N70" s="685"/>
      <c r="O70" s="685"/>
      <c r="P70" s="685"/>
      <c r="Q70" s="685"/>
      <c r="R70" s="685"/>
      <c r="T70" s="752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1020</v>
      </c>
      <c r="G71" s="718"/>
      <c r="H71" s="719"/>
      <c r="I71" s="626"/>
      <c r="J71" s="752"/>
      <c r="L71" s="762"/>
      <c r="M71" s="762"/>
      <c r="N71" s="762"/>
      <c r="O71" s="762"/>
      <c r="P71" s="762"/>
      <c r="Q71" s="762"/>
      <c r="R71" s="762"/>
      <c r="T71" s="752"/>
      <c r="V71" s="718"/>
      <c r="W71" s="719"/>
    </row>
    <row r="72" spans="1:23" s="711" customFormat="1" outlineLevel="1">
      <c r="A72" s="386"/>
      <c r="B72" s="666" t="s">
        <v>894</v>
      </c>
      <c r="C72" s="666" t="s">
        <v>1021</v>
      </c>
      <c r="D72" s="666"/>
      <c r="E72" s="666"/>
      <c r="F72" s="681" t="s">
        <v>947</v>
      </c>
      <c r="G72" s="708">
        <f>SUBTOTAL(9,G73:G91)</f>
        <v>4.0891744999999995</v>
      </c>
      <c r="H72" s="709">
        <f>SUBTOTAL(9,H73:H91)</f>
        <v>14</v>
      </c>
      <c r="I72" s="710"/>
      <c r="J72" s="756"/>
      <c r="L72" s="761"/>
      <c r="M72" s="761"/>
      <c r="N72" s="761"/>
      <c r="O72" s="761"/>
      <c r="P72" s="761"/>
      <c r="Q72" s="761"/>
      <c r="R72" s="761"/>
      <c r="T72" s="756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894</v>
      </c>
      <c r="C73" s="684" t="s">
        <v>1021</v>
      </c>
      <c r="D73" s="684" t="s">
        <v>159</v>
      </c>
      <c r="E73" s="684"/>
      <c r="F73" s="712" t="s">
        <v>1022</v>
      </c>
      <c r="G73" s="713">
        <f>SUBTOTAL(9,G74:G81)</f>
        <v>3.3658999999999999</v>
      </c>
      <c r="H73" s="714">
        <f>SUBTOTAL(9,H74:H81)</f>
        <v>8</v>
      </c>
      <c r="I73" s="626"/>
      <c r="J73" s="752"/>
      <c r="L73" s="685"/>
      <c r="M73" s="685"/>
      <c r="N73" s="685"/>
      <c r="O73" s="685"/>
      <c r="P73" s="685"/>
      <c r="Q73" s="685"/>
      <c r="R73" s="685"/>
      <c r="T73" s="752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894</v>
      </c>
      <c r="C74" s="376" t="s">
        <v>1021</v>
      </c>
      <c r="D74" s="376" t="s">
        <v>159</v>
      </c>
      <c r="E74" s="376" t="s">
        <v>950</v>
      </c>
      <c r="F74" s="623" t="s">
        <v>1023</v>
      </c>
      <c r="G74" s="720">
        <v>0.17</v>
      </c>
      <c r="H74" s="700">
        <v>1</v>
      </c>
      <c r="I74" s="626"/>
      <c r="J74" s="752"/>
      <c r="L74" s="608" t="s">
        <v>950</v>
      </c>
      <c r="M74" s="608" t="s">
        <v>1024</v>
      </c>
      <c r="N74" s="608" t="s">
        <v>1025</v>
      </c>
      <c r="O74" s="608"/>
      <c r="P74" s="608"/>
      <c r="Q74" s="608"/>
      <c r="R74" s="608"/>
      <c r="T74" s="752"/>
      <c r="V74" s="609">
        <f t="shared" ref="V74:V81" si="9">IF(W74=1,G74,0)</f>
        <v>0</v>
      </c>
      <c r="W74" s="700"/>
    </row>
    <row r="75" spans="1:23" outlineLevel="3">
      <c r="A75" s="376"/>
      <c r="B75" s="376" t="s">
        <v>894</v>
      </c>
      <c r="C75" s="376" t="s">
        <v>1021</v>
      </c>
      <c r="D75" s="376" t="s">
        <v>159</v>
      </c>
      <c r="E75" s="376" t="s">
        <v>950</v>
      </c>
      <c r="F75" s="623" t="s">
        <v>1026</v>
      </c>
      <c r="G75" s="720">
        <v>0.17</v>
      </c>
      <c r="H75" s="700">
        <v>1</v>
      </c>
      <c r="I75" s="626"/>
      <c r="J75" s="752"/>
      <c r="L75" s="608" t="s">
        <v>950</v>
      </c>
      <c r="M75" s="608" t="s">
        <v>1024</v>
      </c>
      <c r="N75" s="608" t="s">
        <v>1025</v>
      </c>
      <c r="O75" s="608"/>
      <c r="P75" s="608"/>
      <c r="Q75" s="608"/>
      <c r="R75" s="608"/>
      <c r="T75" s="752"/>
      <c r="V75" s="609">
        <f t="shared" si="9"/>
        <v>0</v>
      </c>
      <c r="W75" s="700"/>
    </row>
    <row r="76" spans="1:23" outlineLevel="3">
      <c r="A76" s="376"/>
      <c r="B76" s="376" t="s">
        <v>894</v>
      </c>
      <c r="C76" s="376" t="s">
        <v>1021</v>
      </c>
      <c r="D76" s="376" t="s">
        <v>159</v>
      </c>
      <c r="E76" s="376" t="s">
        <v>950</v>
      </c>
      <c r="F76" s="623" t="s">
        <v>1027</v>
      </c>
      <c r="G76" s="720">
        <v>1.18</v>
      </c>
      <c r="H76" s="700">
        <v>1</v>
      </c>
      <c r="I76" s="626"/>
      <c r="J76" s="752"/>
      <c r="L76" s="608" t="s">
        <v>950</v>
      </c>
      <c r="M76" s="608" t="s">
        <v>1028</v>
      </c>
      <c r="N76" s="608"/>
      <c r="O76" s="608"/>
      <c r="P76" s="608"/>
      <c r="Q76" s="608"/>
      <c r="R76" s="608"/>
      <c r="T76" s="752"/>
      <c r="V76" s="609">
        <f t="shared" si="9"/>
        <v>0</v>
      </c>
      <c r="W76" s="700"/>
    </row>
    <row r="77" spans="1:23" outlineLevel="3">
      <c r="A77" s="376"/>
      <c r="B77" s="376" t="s">
        <v>894</v>
      </c>
      <c r="C77" s="376" t="s">
        <v>1021</v>
      </c>
      <c r="D77" s="376" t="s">
        <v>159</v>
      </c>
      <c r="E77" s="376" t="s">
        <v>950</v>
      </c>
      <c r="F77" s="623" t="s">
        <v>1029</v>
      </c>
      <c r="G77" s="720">
        <f>10659000/10^7</f>
        <v>1.0659000000000001</v>
      </c>
      <c r="H77" s="700">
        <v>1</v>
      </c>
      <c r="I77" s="626"/>
      <c r="J77" s="752"/>
      <c r="L77" s="608" t="s">
        <v>950</v>
      </c>
      <c r="M77" s="608" t="s">
        <v>1005</v>
      </c>
      <c r="N77" s="608" t="s">
        <v>1030</v>
      </c>
      <c r="O77" s="608"/>
      <c r="P77" s="608"/>
      <c r="Q77" s="608"/>
      <c r="R77" s="608"/>
      <c r="T77" s="752"/>
      <c r="V77" s="609">
        <f t="shared" si="9"/>
        <v>0</v>
      </c>
      <c r="W77" s="700"/>
    </row>
    <row r="78" spans="1:23" outlineLevel="3">
      <c r="A78" s="376"/>
      <c r="B78" s="376" t="s">
        <v>894</v>
      </c>
      <c r="C78" s="376" t="s">
        <v>1021</v>
      </c>
      <c r="D78" s="376" t="s">
        <v>159</v>
      </c>
      <c r="E78" s="376" t="s">
        <v>950</v>
      </c>
      <c r="F78" s="623" t="s">
        <v>1031</v>
      </c>
      <c r="G78" s="720">
        <v>0.45</v>
      </c>
      <c r="H78" s="700">
        <v>1</v>
      </c>
      <c r="I78" s="626"/>
      <c r="J78" s="752"/>
      <c r="L78" s="608" t="s">
        <v>950</v>
      </c>
      <c r="M78" s="608" t="s">
        <v>1032</v>
      </c>
      <c r="N78" s="608"/>
      <c r="O78" s="608"/>
      <c r="P78" s="608"/>
      <c r="Q78" s="608"/>
      <c r="R78" s="608"/>
      <c r="T78" s="752"/>
      <c r="V78" s="609">
        <f t="shared" si="9"/>
        <v>0</v>
      </c>
      <c r="W78" s="700"/>
    </row>
    <row r="79" spans="1:23" outlineLevel="3">
      <c r="A79" s="376"/>
      <c r="B79" s="376" t="s">
        <v>894</v>
      </c>
      <c r="C79" s="376" t="s">
        <v>1021</v>
      </c>
      <c r="D79" s="376" t="s">
        <v>159</v>
      </c>
      <c r="E79" s="376" t="s">
        <v>950</v>
      </c>
      <c r="F79" s="623" t="s">
        <v>1033</v>
      </c>
      <c r="G79" s="720">
        <v>0.15</v>
      </c>
      <c r="H79" s="700">
        <v>1</v>
      </c>
      <c r="I79" s="626"/>
      <c r="J79" s="752"/>
      <c r="L79" s="608" t="s">
        <v>950</v>
      </c>
      <c r="M79" s="608" t="s">
        <v>1032</v>
      </c>
      <c r="N79" s="608"/>
      <c r="O79" s="608"/>
      <c r="P79" s="608"/>
      <c r="Q79" s="608"/>
      <c r="R79" s="608"/>
      <c r="T79" s="752"/>
      <c r="V79" s="609">
        <f t="shared" si="9"/>
        <v>0</v>
      </c>
      <c r="W79" s="700"/>
    </row>
    <row r="80" spans="1:23" outlineLevel="3">
      <c r="A80" s="376"/>
      <c r="B80" s="376" t="s">
        <v>894</v>
      </c>
      <c r="C80" s="376" t="s">
        <v>1021</v>
      </c>
      <c r="D80" s="376" t="s">
        <v>159</v>
      </c>
      <c r="E80" s="376" t="s">
        <v>950</v>
      </c>
      <c r="F80" s="623" t="s">
        <v>1034</v>
      </c>
      <c r="G80" s="720">
        <v>0.15</v>
      </c>
      <c r="H80" s="700">
        <v>1</v>
      </c>
      <c r="I80" s="626"/>
      <c r="J80" s="752"/>
      <c r="L80" s="608" t="s">
        <v>950</v>
      </c>
      <c r="M80" s="608" t="s">
        <v>1032</v>
      </c>
      <c r="N80" s="608"/>
      <c r="O80" s="608"/>
      <c r="P80" s="608"/>
      <c r="Q80" s="608"/>
      <c r="R80" s="608"/>
      <c r="T80" s="752"/>
      <c r="V80" s="609">
        <f t="shared" si="9"/>
        <v>0</v>
      </c>
      <c r="W80" s="700"/>
    </row>
    <row r="81" spans="1:23" outlineLevel="3">
      <c r="A81" s="376"/>
      <c r="B81" s="387" t="s">
        <v>894</v>
      </c>
      <c r="C81" s="387" t="s">
        <v>1021</v>
      </c>
      <c r="D81" s="387" t="s">
        <v>159</v>
      </c>
      <c r="E81" s="387" t="s">
        <v>950</v>
      </c>
      <c r="F81" s="705" t="s">
        <v>1035</v>
      </c>
      <c r="G81" s="721">
        <v>0.03</v>
      </c>
      <c r="H81" s="722">
        <v>1</v>
      </c>
      <c r="I81" s="626"/>
      <c r="J81" s="752"/>
      <c r="L81" s="705" t="s">
        <v>950</v>
      </c>
      <c r="M81" s="705" t="s">
        <v>1032</v>
      </c>
      <c r="N81" s="705" t="s">
        <v>1036</v>
      </c>
      <c r="O81" s="705"/>
      <c r="P81" s="705"/>
      <c r="Q81" s="705"/>
      <c r="R81" s="705"/>
      <c r="T81" s="752"/>
      <c r="V81" s="609">
        <f t="shared" si="9"/>
        <v>0</v>
      </c>
      <c r="W81" s="722"/>
    </row>
    <row r="82" spans="1:23" outlineLevel="2">
      <c r="A82" s="376"/>
      <c r="B82" s="684" t="s">
        <v>894</v>
      </c>
      <c r="C82" s="684" t="s">
        <v>1021</v>
      </c>
      <c r="D82" s="684" t="s">
        <v>518</v>
      </c>
      <c r="E82" s="684"/>
      <c r="F82" s="712" t="s">
        <v>1022</v>
      </c>
      <c r="G82" s="713">
        <f>SUBTOTAL(9,G83:G85)</f>
        <v>0.36</v>
      </c>
      <c r="H82" s="714">
        <f>SUBTOTAL(9,H83:H85)</f>
        <v>3</v>
      </c>
      <c r="I82" s="626"/>
      <c r="J82" s="752"/>
      <c r="L82" s="685"/>
      <c r="M82" s="685"/>
      <c r="N82" s="685"/>
      <c r="O82" s="685"/>
      <c r="P82" s="685"/>
      <c r="Q82" s="685"/>
      <c r="R82" s="685"/>
      <c r="T82" s="752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894</v>
      </c>
      <c r="C83" s="376" t="s">
        <v>1021</v>
      </c>
      <c r="D83" s="376" t="s">
        <v>518</v>
      </c>
      <c r="E83" s="376" t="s">
        <v>56</v>
      </c>
      <c r="F83" s="623" t="s">
        <v>1037</v>
      </c>
      <c r="G83" s="720">
        <v>0.19</v>
      </c>
      <c r="H83" s="700">
        <v>1</v>
      </c>
      <c r="I83" s="626"/>
      <c r="J83" s="752"/>
      <c r="L83" s="608" t="s">
        <v>56</v>
      </c>
      <c r="M83" s="608" t="s">
        <v>1038</v>
      </c>
      <c r="N83" s="608" t="s">
        <v>1039</v>
      </c>
      <c r="O83" s="608"/>
      <c r="P83" s="608" t="s">
        <v>1040</v>
      </c>
      <c r="Q83" s="608"/>
      <c r="R83" s="608"/>
      <c r="T83" s="752"/>
      <c r="V83" s="609">
        <f t="shared" ref="V83:V85" si="10">IF(W83=1,G83,0)</f>
        <v>0</v>
      </c>
      <c r="W83" s="700"/>
    </row>
    <row r="84" spans="1:23" outlineLevel="3">
      <c r="A84" s="376"/>
      <c r="B84" s="376" t="s">
        <v>894</v>
      </c>
      <c r="C84" s="376" t="s">
        <v>1021</v>
      </c>
      <c r="D84" s="376" t="s">
        <v>518</v>
      </c>
      <c r="E84" s="376" t="s">
        <v>56</v>
      </c>
      <c r="F84" s="623" t="s">
        <v>1041</v>
      </c>
      <c r="G84" s="720">
        <v>0.16</v>
      </c>
      <c r="H84" s="700">
        <v>1</v>
      </c>
      <c r="I84" s="626"/>
      <c r="J84" s="752"/>
      <c r="L84" s="608" t="s">
        <v>56</v>
      </c>
      <c r="M84" s="608" t="s">
        <v>1038</v>
      </c>
      <c r="N84" s="608" t="s">
        <v>1039</v>
      </c>
      <c r="O84" s="608"/>
      <c r="P84" s="608" t="s">
        <v>1040</v>
      </c>
      <c r="Q84" s="608"/>
      <c r="R84" s="608"/>
      <c r="T84" s="752"/>
      <c r="V84" s="609">
        <f t="shared" si="10"/>
        <v>0</v>
      </c>
      <c r="W84" s="700"/>
    </row>
    <row r="85" spans="1:23" outlineLevel="3">
      <c r="A85" s="376"/>
      <c r="B85" s="376" t="s">
        <v>894</v>
      </c>
      <c r="C85" s="376" t="s">
        <v>1021</v>
      </c>
      <c r="D85" s="376" t="s">
        <v>518</v>
      </c>
      <c r="E85" s="376" t="s">
        <v>56</v>
      </c>
      <c r="F85" s="623" t="s">
        <v>1042</v>
      </c>
      <c r="G85" s="720">
        <v>0.01</v>
      </c>
      <c r="H85" s="700">
        <v>1</v>
      </c>
      <c r="I85" s="626"/>
      <c r="J85" s="752"/>
      <c r="L85" s="608" t="s">
        <v>56</v>
      </c>
      <c r="M85" s="608" t="s">
        <v>1038</v>
      </c>
      <c r="N85" s="608" t="s">
        <v>1039</v>
      </c>
      <c r="O85" s="608" t="s">
        <v>1043</v>
      </c>
      <c r="P85" s="608" t="s">
        <v>1040</v>
      </c>
      <c r="Q85" s="608"/>
      <c r="R85" s="608"/>
      <c r="T85" s="752"/>
      <c r="V85" s="609">
        <f t="shared" si="10"/>
        <v>0</v>
      </c>
      <c r="W85" s="700"/>
    </row>
    <row r="86" spans="1:23" outlineLevel="2">
      <c r="A86" s="376"/>
      <c r="B86" s="684" t="s">
        <v>894</v>
      </c>
      <c r="C86" s="684" t="s">
        <v>1021</v>
      </c>
      <c r="D86" s="684" t="s">
        <v>441</v>
      </c>
      <c r="E86" s="684"/>
      <c r="F86" s="712" t="s">
        <v>1022</v>
      </c>
      <c r="G86" s="713">
        <f>SUBTOTAL(9,G87:G89)</f>
        <v>0.3632745</v>
      </c>
      <c r="H86" s="714">
        <f>SUBTOTAL(9,H87:H89)</f>
        <v>3</v>
      </c>
      <c r="I86" s="626"/>
      <c r="J86" s="752"/>
      <c r="L86" s="685"/>
      <c r="M86" s="685"/>
      <c r="N86" s="685"/>
      <c r="O86" s="685"/>
      <c r="P86" s="685"/>
      <c r="Q86" s="685"/>
      <c r="R86" s="685"/>
      <c r="T86" s="752"/>
      <c r="V86" s="713">
        <f>SUBTOTAL(9,V87:V89)</f>
        <v>0</v>
      </c>
      <c r="W86" s="714">
        <f>SUBTOTAL(9,W87:W89)</f>
        <v>0</v>
      </c>
    </row>
    <row r="87" spans="1:23" ht="66" outlineLevel="3">
      <c r="A87" s="376"/>
      <c r="B87" s="376" t="s">
        <v>894</v>
      </c>
      <c r="C87" s="376" t="s">
        <v>1021</v>
      </c>
      <c r="D87" s="376" t="s">
        <v>441</v>
      </c>
      <c r="E87" s="376" t="s">
        <v>437</v>
      </c>
      <c r="F87" s="623" t="s">
        <v>1041</v>
      </c>
      <c r="G87" s="723">
        <v>0.36</v>
      </c>
      <c r="H87" s="692">
        <v>1</v>
      </c>
      <c r="I87" s="626"/>
      <c r="J87" s="752"/>
      <c r="L87" s="608" t="s">
        <v>437</v>
      </c>
      <c r="M87" s="608" t="s">
        <v>966</v>
      </c>
      <c r="N87" s="608" t="s">
        <v>1044</v>
      </c>
      <c r="O87" s="608" t="s">
        <v>1045</v>
      </c>
      <c r="P87" s="608"/>
      <c r="Q87" s="608"/>
      <c r="R87" s="608"/>
      <c r="T87" s="752"/>
      <c r="V87" s="609">
        <f t="shared" ref="V87:V89" si="11">IF(W87=1,G87,0)</f>
        <v>0</v>
      </c>
      <c r="W87" s="692"/>
    </row>
    <row r="88" spans="1:23" ht="66" outlineLevel="3" collapsed="1">
      <c r="A88" s="376"/>
      <c r="B88" s="376" t="s">
        <v>894</v>
      </c>
      <c r="C88" s="376" t="s">
        <v>1021</v>
      </c>
      <c r="D88" s="376" t="s">
        <v>441</v>
      </c>
      <c r="E88" s="376" t="s">
        <v>437</v>
      </c>
      <c r="F88" s="623" t="s">
        <v>1046</v>
      </c>
      <c r="G88" s="723">
        <v>2.183E-3</v>
      </c>
      <c r="H88" s="692">
        <v>1</v>
      </c>
      <c r="I88" s="626"/>
      <c r="J88" s="752"/>
      <c r="L88" s="608" t="s">
        <v>437</v>
      </c>
      <c r="M88" s="608" t="s">
        <v>966</v>
      </c>
      <c r="N88" s="608" t="s">
        <v>1044</v>
      </c>
      <c r="O88" s="608" t="s">
        <v>1045</v>
      </c>
      <c r="P88" s="608"/>
      <c r="Q88" s="608"/>
      <c r="R88" s="608"/>
      <c r="T88" s="752"/>
      <c r="V88" s="609">
        <f t="shared" si="11"/>
        <v>0</v>
      </c>
      <c r="W88" s="692"/>
    </row>
    <row r="89" spans="1:23" ht="66" outlineLevel="3">
      <c r="A89" s="376"/>
      <c r="B89" s="376" t="s">
        <v>894</v>
      </c>
      <c r="C89" s="376" t="s">
        <v>1021</v>
      </c>
      <c r="D89" s="376" t="s">
        <v>441</v>
      </c>
      <c r="E89" s="376" t="s">
        <v>437</v>
      </c>
      <c r="F89" s="623" t="s">
        <v>1042</v>
      </c>
      <c r="G89" s="720">
        <v>1.0915E-3</v>
      </c>
      <c r="H89" s="700">
        <v>1</v>
      </c>
      <c r="I89" s="626"/>
      <c r="J89" s="752"/>
      <c r="L89" s="608" t="s">
        <v>437</v>
      </c>
      <c r="M89" s="608" t="s">
        <v>966</v>
      </c>
      <c r="N89" s="608" t="s">
        <v>1044</v>
      </c>
      <c r="O89" s="608" t="s">
        <v>1045</v>
      </c>
      <c r="P89" s="608"/>
      <c r="Q89" s="608"/>
      <c r="R89" s="608"/>
      <c r="T89" s="752"/>
      <c r="V89" s="609">
        <f t="shared" si="11"/>
        <v>0</v>
      </c>
      <c r="W89" s="700"/>
    </row>
    <row r="90" spans="1:23" outlineLevel="2">
      <c r="A90" s="376"/>
      <c r="B90" s="684" t="s">
        <v>894</v>
      </c>
      <c r="C90" s="684" t="s">
        <v>1021</v>
      </c>
      <c r="D90" s="684" t="s">
        <v>860</v>
      </c>
      <c r="E90" s="684"/>
      <c r="F90" s="712" t="s">
        <v>1022</v>
      </c>
      <c r="G90" s="713">
        <f>SUBTOTAL(9,G91)</f>
        <v>0</v>
      </c>
      <c r="H90" s="714">
        <f>SUBTOTAL(9,H91)</f>
        <v>0</v>
      </c>
      <c r="I90" s="626"/>
      <c r="J90" s="752"/>
      <c r="L90" s="685"/>
      <c r="M90" s="685"/>
      <c r="N90" s="685"/>
      <c r="O90" s="685"/>
      <c r="P90" s="685"/>
      <c r="Q90" s="685"/>
      <c r="R90" s="685"/>
      <c r="T90" s="752"/>
      <c r="V90" s="713">
        <f>SUBTOTAL(9,V91)</f>
        <v>0</v>
      </c>
      <c r="W90" s="714">
        <f>SUBTOTAL(9,W91)</f>
        <v>0</v>
      </c>
    </row>
    <row r="91" spans="1:23" ht="26.45" outlineLevel="3">
      <c r="A91" s="376"/>
      <c r="B91" s="376" t="s">
        <v>894</v>
      </c>
      <c r="C91" s="376" t="s">
        <v>1021</v>
      </c>
      <c r="D91" s="376" t="s">
        <v>860</v>
      </c>
      <c r="E91" s="376" t="s">
        <v>437</v>
      </c>
      <c r="F91" s="760" t="s">
        <v>1047</v>
      </c>
      <c r="G91" s="720"/>
      <c r="H91" s="700"/>
      <c r="I91" s="626"/>
      <c r="J91" s="752"/>
      <c r="L91" s="608" t="s">
        <v>437</v>
      </c>
      <c r="M91" s="608" t="s">
        <v>996</v>
      </c>
      <c r="N91" s="608" t="s">
        <v>1048</v>
      </c>
      <c r="O91" s="608"/>
      <c r="P91" s="608"/>
      <c r="Q91" s="608"/>
      <c r="R91" s="608"/>
      <c r="T91" s="752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469</v>
      </c>
      <c r="C92" s="666" t="s">
        <v>1049</v>
      </c>
      <c r="D92" s="666"/>
      <c r="E92" s="666"/>
      <c r="F92" s="681" t="s">
        <v>947</v>
      </c>
      <c r="G92" s="724">
        <f>SUBTOTAL(9,G93:G135)</f>
        <v>9.0478499999999986</v>
      </c>
      <c r="H92" s="725">
        <f>SUBTOTAL(9,H93:H135)</f>
        <v>31</v>
      </c>
      <c r="I92" s="627"/>
      <c r="J92" s="754"/>
      <c r="L92" s="761"/>
      <c r="M92" s="761"/>
      <c r="N92" s="761"/>
      <c r="O92" s="761"/>
      <c r="P92" s="761"/>
      <c r="Q92" s="761"/>
      <c r="R92" s="761"/>
      <c r="T92" s="754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469</v>
      </c>
      <c r="C93" s="684" t="s">
        <v>1049</v>
      </c>
      <c r="D93" s="684" t="s">
        <v>159</v>
      </c>
      <c r="E93" s="687"/>
      <c r="F93" s="685" t="s">
        <v>1050</v>
      </c>
      <c r="G93" s="713">
        <f>SUBTOTAL(9,G94:G113)</f>
        <v>7.2038499999999983</v>
      </c>
      <c r="H93" s="714">
        <f>SUBTOTAL(9,H94:H113)</f>
        <v>20</v>
      </c>
      <c r="I93" s="626"/>
      <c r="J93" s="752"/>
      <c r="L93" s="717"/>
      <c r="M93" s="717"/>
      <c r="N93" s="717"/>
      <c r="O93" s="717"/>
      <c r="P93" s="717"/>
      <c r="Q93" s="717"/>
      <c r="R93" s="717"/>
      <c r="T93" s="752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469</v>
      </c>
      <c r="C94" s="376" t="s">
        <v>1049</v>
      </c>
      <c r="D94" s="376" t="s">
        <v>159</v>
      </c>
      <c r="E94" s="387" t="s">
        <v>950</v>
      </c>
      <c r="F94" s="623" t="s">
        <v>1051</v>
      </c>
      <c r="G94" s="695">
        <v>0.2</v>
      </c>
      <c r="H94" s="700">
        <v>1</v>
      </c>
      <c r="I94" s="626"/>
      <c r="J94" s="752"/>
      <c r="L94" s="705" t="s">
        <v>950</v>
      </c>
      <c r="M94" s="705" t="s">
        <v>1052</v>
      </c>
      <c r="N94" s="705" t="s">
        <v>1053</v>
      </c>
      <c r="O94" s="705"/>
      <c r="P94" s="705"/>
      <c r="Q94" s="705"/>
      <c r="R94" s="705"/>
      <c r="T94" s="752"/>
      <c r="V94" s="609">
        <f t="shared" ref="V94:V113" si="13">IF(W94=1,G94,0)</f>
        <v>0</v>
      </c>
      <c r="W94" s="700"/>
    </row>
    <row r="95" spans="1:23" outlineLevel="3">
      <c r="A95" s="376"/>
      <c r="B95" s="376" t="s">
        <v>469</v>
      </c>
      <c r="C95" s="376" t="s">
        <v>1049</v>
      </c>
      <c r="D95" s="376" t="s">
        <v>159</v>
      </c>
      <c r="E95" s="387" t="s">
        <v>950</v>
      </c>
      <c r="F95" s="623" t="s">
        <v>1054</v>
      </c>
      <c r="G95" s="695">
        <v>0.41</v>
      </c>
      <c r="H95" s="700">
        <v>1</v>
      </c>
      <c r="I95" s="626"/>
      <c r="J95" s="752"/>
      <c r="L95" s="705" t="s">
        <v>950</v>
      </c>
      <c r="M95" s="705" t="s">
        <v>1052</v>
      </c>
      <c r="N95" s="705" t="s">
        <v>1053</v>
      </c>
      <c r="O95" s="705"/>
      <c r="P95" s="705"/>
      <c r="Q95" s="705"/>
      <c r="R95" s="705"/>
      <c r="T95" s="752"/>
      <c r="V95" s="609">
        <f t="shared" si="13"/>
        <v>0</v>
      </c>
      <c r="W95" s="700"/>
    </row>
    <row r="96" spans="1:23" outlineLevel="3">
      <c r="A96" s="376"/>
      <c r="B96" s="376" t="s">
        <v>469</v>
      </c>
      <c r="C96" s="376" t="s">
        <v>1049</v>
      </c>
      <c r="D96" s="376" t="s">
        <v>159</v>
      </c>
      <c r="E96" s="387" t="s">
        <v>950</v>
      </c>
      <c r="F96" s="623" t="s">
        <v>1055</v>
      </c>
      <c r="G96" s="695">
        <v>0.61</v>
      </c>
      <c r="H96" s="700">
        <v>1</v>
      </c>
      <c r="I96" s="626"/>
      <c r="J96" s="752"/>
      <c r="L96" s="705" t="s">
        <v>950</v>
      </c>
      <c r="M96" s="705" t="s">
        <v>1052</v>
      </c>
      <c r="N96" s="705" t="s">
        <v>1053</v>
      </c>
      <c r="O96" s="705"/>
      <c r="P96" s="705"/>
      <c r="Q96" s="705"/>
      <c r="R96" s="705"/>
      <c r="T96" s="752"/>
      <c r="V96" s="609">
        <f t="shared" si="13"/>
        <v>0</v>
      </c>
      <c r="W96" s="700"/>
    </row>
    <row r="97" spans="1:23" outlineLevel="3">
      <c r="A97" s="376"/>
      <c r="B97" s="376" t="s">
        <v>469</v>
      </c>
      <c r="C97" s="376" t="s">
        <v>1049</v>
      </c>
      <c r="D97" s="376" t="s">
        <v>159</v>
      </c>
      <c r="E97" s="387" t="s">
        <v>950</v>
      </c>
      <c r="F97" s="623" t="s">
        <v>1056</v>
      </c>
      <c r="G97" s="695">
        <v>0.82</v>
      </c>
      <c r="H97" s="700">
        <v>1</v>
      </c>
      <c r="I97" s="626"/>
      <c r="J97" s="752"/>
      <c r="L97" s="705" t="s">
        <v>950</v>
      </c>
      <c r="M97" s="705" t="s">
        <v>1052</v>
      </c>
      <c r="N97" s="705" t="s">
        <v>1053</v>
      </c>
      <c r="O97" s="705"/>
      <c r="P97" s="705"/>
      <c r="Q97" s="705"/>
      <c r="R97" s="705"/>
      <c r="T97" s="752"/>
      <c r="V97" s="609">
        <f t="shared" si="13"/>
        <v>0</v>
      </c>
      <c r="W97" s="700"/>
    </row>
    <row r="98" spans="1:23" outlineLevel="3">
      <c r="A98" s="376"/>
      <c r="B98" s="376" t="s">
        <v>469</v>
      </c>
      <c r="C98" s="376" t="s">
        <v>1049</v>
      </c>
      <c r="D98" s="376" t="s">
        <v>159</v>
      </c>
      <c r="E98" s="387" t="s">
        <v>950</v>
      </c>
      <c r="F98" s="623" t="s">
        <v>1057</v>
      </c>
      <c r="G98" s="695">
        <v>0.48</v>
      </c>
      <c r="H98" s="700">
        <v>1</v>
      </c>
      <c r="I98" s="626"/>
      <c r="J98" s="752"/>
      <c r="L98" s="705" t="s">
        <v>950</v>
      </c>
      <c r="M98" s="705" t="s">
        <v>1053</v>
      </c>
      <c r="N98" s="705" t="s">
        <v>1058</v>
      </c>
      <c r="O98" s="705"/>
      <c r="P98" s="705"/>
      <c r="Q98" s="705"/>
      <c r="R98" s="705"/>
      <c r="T98" s="752"/>
      <c r="V98" s="609">
        <f t="shared" si="13"/>
        <v>0</v>
      </c>
      <c r="W98" s="700"/>
    </row>
    <row r="99" spans="1:23" ht="26.45" outlineLevel="3">
      <c r="A99" s="376"/>
      <c r="B99" s="376" t="s">
        <v>469</v>
      </c>
      <c r="C99" s="376" t="s">
        <v>1049</v>
      </c>
      <c r="D99" s="376" t="s">
        <v>159</v>
      </c>
      <c r="E99" s="387" t="s">
        <v>950</v>
      </c>
      <c r="F99" s="623" t="s">
        <v>1059</v>
      </c>
      <c r="G99" s="695">
        <v>0.9638500000000001</v>
      </c>
      <c r="H99" s="700">
        <v>1</v>
      </c>
      <c r="I99" s="626"/>
      <c r="J99" s="752"/>
      <c r="L99" s="705" t="s">
        <v>950</v>
      </c>
      <c r="M99" s="705" t="s">
        <v>1053</v>
      </c>
      <c r="N99" s="705" t="s">
        <v>1058</v>
      </c>
      <c r="O99" s="705"/>
      <c r="P99" s="705"/>
      <c r="Q99" s="705"/>
      <c r="R99" s="705"/>
      <c r="T99" s="752"/>
      <c r="V99" s="609">
        <f t="shared" si="13"/>
        <v>0</v>
      </c>
      <c r="W99" s="700"/>
    </row>
    <row r="100" spans="1:23" outlineLevel="3">
      <c r="A100" s="376"/>
      <c r="B100" s="376" t="s">
        <v>469</v>
      </c>
      <c r="C100" s="376" t="s">
        <v>1049</v>
      </c>
      <c r="D100" s="376" t="s">
        <v>159</v>
      </c>
      <c r="E100" s="387" t="s">
        <v>950</v>
      </c>
      <c r="F100" s="623" t="s">
        <v>1060</v>
      </c>
      <c r="G100" s="695">
        <v>0.52</v>
      </c>
      <c r="H100" s="700">
        <v>1</v>
      </c>
      <c r="I100" s="626"/>
      <c r="J100" s="752"/>
      <c r="L100" s="705" t="s">
        <v>950</v>
      </c>
      <c r="M100" s="705" t="s">
        <v>1058</v>
      </c>
      <c r="N100" s="705" t="s">
        <v>1061</v>
      </c>
      <c r="O100" s="705"/>
      <c r="P100" s="705"/>
      <c r="Q100" s="705"/>
      <c r="R100" s="705"/>
      <c r="T100" s="752"/>
      <c r="V100" s="609">
        <f t="shared" si="13"/>
        <v>0</v>
      </c>
      <c r="W100" s="700"/>
    </row>
    <row r="101" spans="1:23" outlineLevel="3">
      <c r="A101" s="376"/>
      <c r="B101" s="376" t="s">
        <v>469</v>
      </c>
      <c r="C101" s="376" t="s">
        <v>1049</v>
      </c>
      <c r="D101" s="376" t="s">
        <v>159</v>
      </c>
      <c r="E101" s="387" t="s">
        <v>950</v>
      </c>
      <c r="F101" s="623" t="s">
        <v>1062</v>
      </c>
      <c r="G101" s="695">
        <v>0.52</v>
      </c>
      <c r="H101" s="700">
        <v>1</v>
      </c>
      <c r="I101" s="626"/>
      <c r="J101" s="752"/>
      <c r="L101" s="705" t="s">
        <v>950</v>
      </c>
      <c r="M101" s="705" t="s">
        <v>1063</v>
      </c>
      <c r="N101" s="705" t="s">
        <v>1053</v>
      </c>
      <c r="O101" s="705"/>
      <c r="P101" s="705"/>
      <c r="Q101" s="705"/>
      <c r="R101" s="705"/>
      <c r="T101" s="752"/>
      <c r="V101" s="609">
        <f t="shared" si="13"/>
        <v>0</v>
      </c>
      <c r="W101" s="700"/>
    </row>
    <row r="102" spans="1:23" outlineLevel="3">
      <c r="A102" s="376"/>
      <c r="B102" s="376" t="s">
        <v>469</v>
      </c>
      <c r="C102" s="376" t="s">
        <v>1049</v>
      </c>
      <c r="D102" s="376" t="s">
        <v>159</v>
      </c>
      <c r="E102" s="387" t="s">
        <v>950</v>
      </c>
      <c r="F102" s="623" t="s">
        <v>1064</v>
      </c>
      <c r="G102" s="695">
        <v>0.52</v>
      </c>
      <c r="H102" s="700">
        <v>1</v>
      </c>
      <c r="I102" s="626"/>
      <c r="J102" s="752"/>
      <c r="L102" s="705" t="s">
        <v>950</v>
      </c>
      <c r="M102" s="705" t="s">
        <v>1053</v>
      </c>
      <c r="N102" s="705" t="s">
        <v>1063</v>
      </c>
      <c r="O102" s="705"/>
      <c r="P102" s="705"/>
      <c r="Q102" s="705"/>
      <c r="R102" s="705"/>
      <c r="T102" s="752"/>
      <c r="V102" s="609">
        <f t="shared" si="13"/>
        <v>0</v>
      </c>
      <c r="W102" s="700"/>
    </row>
    <row r="103" spans="1:23" outlineLevel="3">
      <c r="A103" s="376"/>
      <c r="B103" s="376" t="s">
        <v>469</v>
      </c>
      <c r="C103" s="376" t="s">
        <v>1049</v>
      </c>
      <c r="D103" s="376" t="s">
        <v>159</v>
      </c>
      <c r="E103" s="387" t="s">
        <v>950</v>
      </c>
      <c r="F103" s="623" t="s">
        <v>1065</v>
      </c>
      <c r="G103" s="695">
        <v>0.17</v>
      </c>
      <c r="H103" s="700">
        <v>1</v>
      </c>
      <c r="I103" s="626"/>
      <c r="J103" s="752"/>
      <c r="L103" s="705" t="s">
        <v>950</v>
      </c>
      <c r="M103" s="705" t="s">
        <v>1052</v>
      </c>
      <c r="N103" s="705" t="s">
        <v>1053</v>
      </c>
      <c r="O103" s="705"/>
      <c r="P103" s="705"/>
      <c r="Q103" s="705"/>
      <c r="R103" s="705"/>
      <c r="T103" s="752"/>
      <c r="V103" s="609">
        <f t="shared" si="13"/>
        <v>0</v>
      </c>
      <c r="W103" s="700"/>
    </row>
    <row r="104" spans="1:23" outlineLevel="3">
      <c r="A104" s="376"/>
      <c r="B104" s="376" t="s">
        <v>469</v>
      </c>
      <c r="C104" s="376" t="s">
        <v>1049</v>
      </c>
      <c r="D104" s="376" t="s">
        <v>159</v>
      </c>
      <c r="E104" s="387" t="s">
        <v>950</v>
      </c>
      <c r="F104" s="623" t="s">
        <v>1066</v>
      </c>
      <c r="G104" s="695">
        <v>0.48</v>
      </c>
      <c r="H104" s="700">
        <v>1</v>
      </c>
      <c r="I104" s="626"/>
      <c r="J104" s="752"/>
      <c r="L104" s="705" t="s">
        <v>950</v>
      </c>
      <c r="M104" s="705" t="s">
        <v>1053</v>
      </c>
      <c r="N104" s="705" t="s">
        <v>1058</v>
      </c>
      <c r="O104" s="705"/>
      <c r="P104" s="705"/>
      <c r="Q104" s="705"/>
      <c r="R104" s="705"/>
      <c r="T104" s="752"/>
      <c r="V104" s="609">
        <f t="shared" si="13"/>
        <v>0</v>
      </c>
      <c r="W104" s="700"/>
    </row>
    <row r="105" spans="1:23" outlineLevel="3">
      <c r="A105" s="376"/>
      <c r="B105" s="376" t="s">
        <v>469</v>
      </c>
      <c r="C105" s="376" t="s">
        <v>1049</v>
      </c>
      <c r="D105" s="376" t="s">
        <v>159</v>
      </c>
      <c r="E105" s="387" t="s">
        <v>950</v>
      </c>
      <c r="F105" s="623" t="s">
        <v>1067</v>
      </c>
      <c r="G105" s="695">
        <v>0.24</v>
      </c>
      <c r="H105" s="700">
        <v>1</v>
      </c>
      <c r="I105" s="626"/>
      <c r="J105" s="752"/>
      <c r="L105" s="705" t="s">
        <v>950</v>
      </c>
      <c r="M105" s="705" t="s">
        <v>1053</v>
      </c>
      <c r="N105" s="705" t="s">
        <v>1058</v>
      </c>
      <c r="O105" s="705"/>
      <c r="P105" s="705"/>
      <c r="Q105" s="705"/>
      <c r="R105" s="705"/>
      <c r="T105" s="752"/>
      <c r="V105" s="609">
        <f t="shared" si="13"/>
        <v>0</v>
      </c>
      <c r="W105" s="700"/>
    </row>
    <row r="106" spans="1:23" ht="26.45" outlineLevel="3">
      <c r="A106" s="376"/>
      <c r="B106" s="376" t="s">
        <v>469</v>
      </c>
      <c r="C106" s="376" t="s">
        <v>1049</v>
      </c>
      <c r="D106" s="376" t="s">
        <v>159</v>
      </c>
      <c r="E106" s="387" t="s">
        <v>950</v>
      </c>
      <c r="F106" s="623" t="s">
        <v>1068</v>
      </c>
      <c r="G106" s="695">
        <v>0.96</v>
      </c>
      <c r="H106" s="700">
        <v>1</v>
      </c>
      <c r="I106" s="626"/>
      <c r="J106" s="752"/>
      <c r="L106" s="705" t="s">
        <v>950</v>
      </c>
      <c r="M106" s="705" t="s">
        <v>1053</v>
      </c>
      <c r="N106" s="705" t="s">
        <v>1058</v>
      </c>
      <c r="O106" s="705"/>
      <c r="P106" s="705"/>
      <c r="Q106" s="705"/>
      <c r="R106" s="705"/>
      <c r="T106" s="752"/>
      <c r="V106" s="609">
        <f t="shared" si="13"/>
        <v>0</v>
      </c>
      <c r="W106" s="700"/>
    </row>
    <row r="107" spans="1:23" outlineLevel="3">
      <c r="A107" s="376"/>
      <c r="B107" s="376" t="s">
        <v>469</v>
      </c>
      <c r="C107" s="376" t="s">
        <v>1049</v>
      </c>
      <c r="D107" s="376" t="s">
        <v>159</v>
      </c>
      <c r="E107" s="387" t="s">
        <v>950</v>
      </c>
      <c r="F107" s="623" t="s">
        <v>1069</v>
      </c>
      <c r="G107" s="695">
        <v>0.02</v>
      </c>
      <c r="H107" s="700">
        <v>1</v>
      </c>
      <c r="I107" s="626"/>
      <c r="J107" s="752"/>
      <c r="L107" s="705" t="s">
        <v>950</v>
      </c>
      <c r="M107" s="705" t="s">
        <v>1053</v>
      </c>
      <c r="N107" s="705" t="s">
        <v>1058</v>
      </c>
      <c r="O107" s="705"/>
      <c r="P107" s="705"/>
      <c r="Q107" s="705"/>
      <c r="R107" s="705"/>
      <c r="T107" s="752"/>
      <c r="V107" s="609">
        <f t="shared" si="13"/>
        <v>0</v>
      </c>
      <c r="W107" s="700"/>
    </row>
    <row r="108" spans="1:23" outlineLevel="3">
      <c r="A108" s="376"/>
      <c r="B108" s="376" t="s">
        <v>469</v>
      </c>
      <c r="C108" s="376" t="s">
        <v>1049</v>
      </c>
      <c r="D108" s="376" t="s">
        <v>159</v>
      </c>
      <c r="E108" s="387" t="s">
        <v>950</v>
      </c>
      <c r="F108" s="623" t="s">
        <v>1070</v>
      </c>
      <c r="G108" s="695">
        <v>0.03</v>
      </c>
      <c r="H108" s="700">
        <v>1</v>
      </c>
      <c r="I108" s="626"/>
      <c r="J108" s="752"/>
      <c r="L108" s="705" t="s">
        <v>950</v>
      </c>
      <c r="M108" s="705" t="s">
        <v>1052</v>
      </c>
      <c r="N108" s="705" t="s">
        <v>1053</v>
      </c>
      <c r="O108" s="705"/>
      <c r="P108" s="705"/>
      <c r="Q108" s="705"/>
      <c r="R108" s="705"/>
      <c r="T108" s="752"/>
      <c r="V108" s="609">
        <f t="shared" si="13"/>
        <v>0</v>
      </c>
      <c r="W108" s="700"/>
    </row>
    <row r="109" spans="1:23" outlineLevel="3">
      <c r="A109" s="376"/>
      <c r="B109" s="376" t="s">
        <v>469</v>
      </c>
      <c r="C109" s="376" t="s">
        <v>1049</v>
      </c>
      <c r="D109" s="376" t="s">
        <v>159</v>
      </c>
      <c r="E109" s="387" t="s">
        <v>950</v>
      </c>
      <c r="F109" s="623" t="s">
        <v>1041</v>
      </c>
      <c r="G109" s="695">
        <v>0.03</v>
      </c>
      <c r="H109" s="700">
        <v>1</v>
      </c>
      <c r="I109" s="626"/>
      <c r="J109" s="752"/>
      <c r="L109" s="705" t="s">
        <v>950</v>
      </c>
      <c r="M109" s="705" t="s">
        <v>1052</v>
      </c>
      <c r="N109" s="705" t="s">
        <v>1053</v>
      </c>
      <c r="O109" s="705"/>
      <c r="P109" s="705"/>
      <c r="Q109" s="705"/>
      <c r="R109" s="705"/>
      <c r="T109" s="752"/>
      <c r="V109" s="609">
        <f t="shared" si="13"/>
        <v>0</v>
      </c>
      <c r="W109" s="700"/>
    </row>
    <row r="110" spans="1:23" outlineLevel="3">
      <c r="A110" s="376"/>
      <c r="B110" s="376" t="s">
        <v>469</v>
      </c>
      <c r="C110" s="376" t="s">
        <v>1049</v>
      </c>
      <c r="D110" s="376" t="s">
        <v>159</v>
      </c>
      <c r="E110" s="387" t="s">
        <v>950</v>
      </c>
      <c r="F110" s="623" t="s">
        <v>1071</v>
      </c>
      <c r="G110" s="695">
        <v>1.4999999999999999E-2</v>
      </c>
      <c r="H110" s="700">
        <v>1</v>
      </c>
      <c r="I110" s="626"/>
      <c r="J110" s="752"/>
      <c r="L110" s="705" t="s">
        <v>950</v>
      </c>
      <c r="M110" s="705" t="s">
        <v>1052</v>
      </c>
      <c r="N110" s="705" t="s">
        <v>1053</v>
      </c>
      <c r="O110" s="705"/>
      <c r="P110" s="705"/>
      <c r="Q110" s="705"/>
      <c r="R110" s="705"/>
      <c r="T110" s="752"/>
      <c r="V110" s="609">
        <f t="shared" si="13"/>
        <v>0</v>
      </c>
      <c r="W110" s="700"/>
    </row>
    <row r="111" spans="1:23" outlineLevel="3">
      <c r="A111" s="376"/>
      <c r="B111" s="376" t="s">
        <v>469</v>
      </c>
      <c r="C111" s="376" t="s">
        <v>1049</v>
      </c>
      <c r="D111" s="376" t="s">
        <v>159</v>
      </c>
      <c r="E111" s="387" t="s">
        <v>950</v>
      </c>
      <c r="F111" s="623" t="s">
        <v>1072</v>
      </c>
      <c r="G111" s="695">
        <v>1.4999999999999999E-2</v>
      </c>
      <c r="H111" s="700">
        <v>1</v>
      </c>
      <c r="I111" s="626"/>
      <c r="J111" s="752"/>
      <c r="L111" s="705" t="s">
        <v>950</v>
      </c>
      <c r="M111" s="705" t="s">
        <v>1052</v>
      </c>
      <c r="N111" s="705" t="s">
        <v>1053</v>
      </c>
      <c r="O111" s="705"/>
      <c r="P111" s="705"/>
      <c r="Q111" s="705"/>
      <c r="R111" s="705"/>
      <c r="T111" s="752"/>
      <c r="V111" s="609">
        <f t="shared" si="13"/>
        <v>0</v>
      </c>
      <c r="W111" s="700"/>
    </row>
    <row r="112" spans="1:23" outlineLevel="3">
      <c r="A112" s="376"/>
      <c r="B112" s="376" t="s">
        <v>469</v>
      </c>
      <c r="C112" s="376" t="s">
        <v>1049</v>
      </c>
      <c r="D112" s="376" t="s">
        <v>159</v>
      </c>
      <c r="E112" s="387" t="s">
        <v>950</v>
      </c>
      <c r="F112" s="623" t="s">
        <v>1037</v>
      </c>
      <c r="G112" s="695">
        <v>0.1</v>
      </c>
      <c r="H112" s="700">
        <v>1</v>
      </c>
      <c r="I112" s="626"/>
      <c r="J112" s="752"/>
      <c r="L112" s="705" t="s">
        <v>950</v>
      </c>
      <c r="M112" s="705" t="s">
        <v>1052</v>
      </c>
      <c r="N112" s="705" t="s">
        <v>1053</v>
      </c>
      <c r="O112" s="705"/>
      <c r="P112" s="705"/>
      <c r="Q112" s="705"/>
      <c r="R112" s="705"/>
      <c r="T112" s="752"/>
      <c r="V112" s="609">
        <f t="shared" si="13"/>
        <v>0</v>
      </c>
      <c r="W112" s="700"/>
    </row>
    <row r="113" spans="1:23" outlineLevel="3">
      <c r="A113" s="376"/>
      <c r="B113" s="376" t="s">
        <v>469</v>
      </c>
      <c r="C113" s="376" t="s">
        <v>1049</v>
      </c>
      <c r="D113" s="376" t="s">
        <v>159</v>
      </c>
      <c r="E113" s="387" t="s">
        <v>950</v>
      </c>
      <c r="F113" s="623" t="s">
        <v>1073</v>
      </c>
      <c r="G113" s="695">
        <v>0.1</v>
      </c>
      <c r="H113" s="692">
        <v>1</v>
      </c>
      <c r="I113" s="626"/>
      <c r="J113" s="752"/>
      <c r="L113" s="705" t="s">
        <v>950</v>
      </c>
      <c r="M113" s="705" t="s">
        <v>1074</v>
      </c>
      <c r="N113" s="705"/>
      <c r="O113" s="705"/>
      <c r="P113" s="705"/>
      <c r="Q113" s="705"/>
      <c r="R113" s="705"/>
      <c r="T113" s="752"/>
      <c r="V113" s="609">
        <f t="shared" si="13"/>
        <v>0</v>
      </c>
      <c r="W113" s="692"/>
    </row>
    <row r="114" spans="1:23" outlineLevel="2">
      <c r="A114" s="376"/>
      <c r="B114" s="684" t="s">
        <v>469</v>
      </c>
      <c r="C114" s="684" t="s">
        <v>1049</v>
      </c>
      <c r="D114" s="684" t="s">
        <v>518</v>
      </c>
      <c r="E114" s="684"/>
      <c r="F114" s="712" t="s">
        <v>1022</v>
      </c>
      <c r="G114" s="713">
        <f>SUBTOTAL(9,G115:G121)</f>
        <v>1.7000000000000002</v>
      </c>
      <c r="H114" s="714">
        <f>SUBTOTAL(9,H115:H121)</f>
        <v>7</v>
      </c>
      <c r="I114" s="626"/>
      <c r="J114" s="752"/>
      <c r="L114" s="685"/>
      <c r="M114" s="685"/>
      <c r="N114" s="685"/>
      <c r="O114" s="685"/>
      <c r="P114" s="685"/>
      <c r="Q114" s="685"/>
      <c r="R114" s="685"/>
      <c r="T114" s="752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469</v>
      </c>
      <c r="C115" s="376" t="s">
        <v>1049</v>
      </c>
      <c r="D115" s="376" t="s">
        <v>518</v>
      </c>
      <c r="E115" s="376" t="s">
        <v>56</v>
      </c>
      <c r="F115" s="623" t="s">
        <v>1066</v>
      </c>
      <c r="G115" s="720">
        <v>0.2</v>
      </c>
      <c r="H115" s="700">
        <v>1</v>
      </c>
      <c r="I115" s="626"/>
      <c r="J115" s="752"/>
      <c r="L115" s="608" t="s">
        <v>56</v>
      </c>
      <c r="M115" s="608" t="s">
        <v>1038</v>
      </c>
      <c r="N115" s="608" t="s">
        <v>1075</v>
      </c>
      <c r="O115" s="608" t="s">
        <v>1039</v>
      </c>
      <c r="P115" s="608" t="s">
        <v>1040</v>
      </c>
      <c r="Q115" s="608"/>
      <c r="R115" s="608"/>
      <c r="T115" s="752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469</v>
      </c>
      <c r="C116" s="376" t="s">
        <v>1049</v>
      </c>
      <c r="D116" s="376" t="s">
        <v>518</v>
      </c>
      <c r="E116" s="376" t="s">
        <v>56</v>
      </c>
      <c r="F116" s="623" t="s">
        <v>1067</v>
      </c>
      <c r="G116" s="720">
        <v>0.4</v>
      </c>
      <c r="H116" s="692">
        <v>1</v>
      </c>
      <c r="I116" s="626"/>
      <c r="J116" s="752"/>
      <c r="L116" s="608" t="s">
        <v>56</v>
      </c>
      <c r="M116" s="608" t="s">
        <v>1038</v>
      </c>
      <c r="N116" s="608" t="s">
        <v>1075</v>
      </c>
      <c r="O116" s="608" t="s">
        <v>1039</v>
      </c>
      <c r="P116" s="608" t="s">
        <v>1040</v>
      </c>
      <c r="Q116" s="608"/>
      <c r="R116" s="608"/>
      <c r="T116" s="752"/>
      <c r="V116" s="609">
        <f t="shared" si="14"/>
        <v>0</v>
      </c>
      <c r="W116" s="692"/>
    </row>
    <row r="117" spans="1:23" outlineLevel="3">
      <c r="A117" s="376"/>
      <c r="B117" s="376" t="s">
        <v>469</v>
      </c>
      <c r="C117" s="376" t="s">
        <v>1049</v>
      </c>
      <c r="D117" s="376" t="s">
        <v>518</v>
      </c>
      <c r="E117" s="376" t="s">
        <v>56</v>
      </c>
      <c r="F117" s="623" t="s">
        <v>1076</v>
      </c>
      <c r="G117" s="720">
        <v>0.32</v>
      </c>
      <c r="H117" s="692">
        <v>1</v>
      </c>
      <c r="I117" s="626"/>
      <c r="J117" s="752"/>
      <c r="L117" s="608" t="s">
        <v>56</v>
      </c>
      <c r="M117" s="608" t="s">
        <v>1038</v>
      </c>
      <c r="N117" s="608" t="s">
        <v>1077</v>
      </c>
      <c r="O117" s="608" t="s">
        <v>1078</v>
      </c>
      <c r="P117" s="608" t="s">
        <v>1040</v>
      </c>
      <c r="Q117" s="608"/>
      <c r="R117" s="608"/>
      <c r="T117" s="752"/>
      <c r="V117" s="609">
        <f t="shared" si="14"/>
        <v>0</v>
      </c>
      <c r="W117" s="692"/>
    </row>
    <row r="118" spans="1:23" outlineLevel="3">
      <c r="A118" s="376"/>
      <c r="B118" s="376" t="s">
        <v>469</v>
      </c>
      <c r="C118" s="376" t="s">
        <v>1049</v>
      </c>
      <c r="D118" s="376" t="s">
        <v>518</v>
      </c>
      <c r="E118" s="376" t="s">
        <v>56</v>
      </c>
      <c r="F118" s="623" t="s">
        <v>1079</v>
      </c>
      <c r="G118" s="720">
        <v>0.32</v>
      </c>
      <c r="H118" s="692">
        <v>1</v>
      </c>
      <c r="I118" s="626"/>
      <c r="J118" s="752"/>
      <c r="L118" s="608" t="s">
        <v>56</v>
      </c>
      <c r="M118" s="608" t="s">
        <v>1038</v>
      </c>
      <c r="N118" s="608" t="s">
        <v>1077</v>
      </c>
      <c r="O118" s="608" t="s">
        <v>1078</v>
      </c>
      <c r="P118" s="608" t="s">
        <v>1040</v>
      </c>
      <c r="Q118" s="608"/>
      <c r="R118" s="608"/>
      <c r="T118" s="752"/>
      <c r="V118" s="609">
        <f t="shared" si="14"/>
        <v>0</v>
      </c>
      <c r="W118" s="692"/>
    </row>
    <row r="119" spans="1:23" outlineLevel="3">
      <c r="A119" s="376"/>
      <c r="B119" s="376" t="s">
        <v>469</v>
      </c>
      <c r="C119" s="376" t="s">
        <v>1049</v>
      </c>
      <c r="D119" s="376" t="s">
        <v>518</v>
      </c>
      <c r="E119" s="376" t="s">
        <v>56</v>
      </c>
      <c r="F119" s="623" t="s">
        <v>1080</v>
      </c>
      <c r="G119" s="720">
        <v>0.43</v>
      </c>
      <c r="H119" s="692">
        <v>1</v>
      </c>
      <c r="I119" s="626"/>
      <c r="J119" s="752"/>
      <c r="L119" s="608" t="s">
        <v>56</v>
      </c>
      <c r="M119" s="608" t="s">
        <v>1038</v>
      </c>
      <c r="N119" s="608" t="s">
        <v>1077</v>
      </c>
      <c r="O119" s="608" t="s">
        <v>1039</v>
      </c>
      <c r="P119" s="608" t="s">
        <v>1081</v>
      </c>
      <c r="Q119" s="608"/>
      <c r="R119" s="608"/>
      <c r="T119" s="752"/>
      <c r="V119" s="609">
        <f t="shared" si="14"/>
        <v>0</v>
      </c>
      <c r="W119" s="692"/>
    </row>
    <row r="120" spans="1:23" outlineLevel="3">
      <c r="A120" s="376"/>
      <c r="B120" s="376" t="s">
        <v>469</v>
      </c>
      <c r="C120" s="376" t="s">
        <v>1049</v>
      </c>
      <c r="D120" s="376" t="s">
        <v>518</v>
      </c>
      <c r="E120" s="376" t="s">
        <v>56</v>
      </c>
      <c r="F120" s="623" t="s">
        <v>1037</v>
      </c>
      <c r="G120" s="720">
        <v>0.02</v>
      </c>
      <c r="H120" s="700">
        <v>1</v>
      </c>
      <c r="I120" s="626"/>
      <c r="J120" s="752"/>
      <c r="L120" s="608" t="s">
        <v>56</v>
      </c>
      <c r="M120" s="608" t="s">
        <v>1038</v>
      </c>
      <c r="N120" s="608" t="s">
        <v>1039</v>
      </c>
      <c r="O120" s="608" t="s">
        <v>1078</v>
      </c>
      <c r="P120" s="608" t="s">
        <v>1081</v>
      </c>
      <c r="Q120" s="608"/>
      <c r="R120" s="608"/>
      <c r="T120" s="752"/>
      <c r="V120" s="609">
        <f t="shared" si="14"/>
        <v>0</v>
      </c>
      <c r="W120" s="700"/>
    </row>
    <row r="121" spans="1:23" outlineLevel="3">
      <c r="A121" s="376"/>
      <c r="B121" s="376" t="s">
        <v>469</v>
      </c>
      <c r="C121" s="376" t="s">
        <v>1049</v>
      </c>
      <c r="D121" s="376" t="s">
        <v>518</v>
      </c>
      <c r="E121" s="376" t="s">
        <v>56</v>
      </c>
      <c r="F121" s="623" t="s">
        <v>1041</v>
      </c>
      <c r="G121" s="720">
        <v>0.01</v>
      </c>
      <c r="H121" s="700">
        <v>1</v>
      </c>
      <c r="I121" s="626"/>
      <c r="J121" s="752"/>
      <c r="L121" s="608" t="s">
        <v>56</v>
      </c>
      <c r="M121" s="608" t="s">
        <v>1038</v>
      </c>
      <c r="N121" s="608" t="s">
        <v>1039</v>
      </c>
      <c r="O121" s="608" t="s">
        <v>1078</v>
      </c>
      <c r="P121" s="608" t="s">
        <v>1081</v>
      </c>
      <c r="Q121" s="608"/>
      <c r="R121" s="608"/>
      <c r="T121" s="752"/>
      <c r="V121" s="609">
        <f t="shared" si="14"/>
        <v>0</v>
      </c>
      <c r="W121" s="700"/>
    </row>
    <row r="122" spans="1:23" outlineLevel="2">
      <c r="A122" s="376"/>
      <c r="B122" s="684" t="s">
        <v>469</v>
      </c>
      <c r="C122" s="684" t="s">
        <v>1049</v>
      </c>
      <c r="D122" s="684" t="s">
        <v>441</v>
      </c>
      <c r="E122" s="684"/>
      <c r="F122" s="685" t="s">
        <v>1050</v>
      </c>
      <c r="G122" s="713">
        <f>SUBTOTAL(9,G123:G132)</f>
        <v>0.14400000000000002</v>
      </c>
      <c r="H122" s="714">
        <f>SUBTOTAL(9,H123:H132)</f>
        <v>4</v>
      </c>
      <c r="I122" s="626"/>
      <c r="J122" s="752"/>
      <c r="L122" s="685"/>
      <c r="M122" s="685"/>
      <c r="N122" s="685"/>
      <c r="O122" s="685"/>
      <c r="P122" s="685"/>
      <c r="Q122" s="685"/>
      <c r="R122" s="685"/>
      <c r="T122" s="752"/>
      <c r="V122" s="713">
        <f>SUBTOTAL(9,V123:V132)</f>
        <v>0</v>
      </c>
      <c r="W122" s="714">
        <f>SUBTOTAL(9,W123:W132)</f>
        <v>0</v>
      </c>
    </row>
    <row r="123" spans="1:23" ht="39.6" outlineLevel="3">
      <c r="A123" s="376"/>
      <c r="B123" s="376" t="s">
        <v>469</v>
      </c>
      <c r="C123" s="376" t="s">
        <v>1049</v>
      </c>
      <c r="D123" s="376" t="s">
        <v>441</v>
      </c>
      <c r="E123" s="376" t="s">
        <v>437</v>
      </c>
      <c r="F123" s="766" t="s">
        <v>1066</v>
      </c>
      <c r="G123" s="723"/>
      <c r="H123" s="692"/>
      <c r="I123" s="626"/>
      <c r="J123" s="752"/>
      <c r="L123" s="608" t="s">
        <v>437</v>
      </c>
      <c r="M123" s="608" t="s">
        <v>966</v>
      </c>
      <c r="N123" s="608" t="s">
        <v>1082</v>
      </c>
      <c r="O123" s="608" t="s">
        <v>1083</v>
      </c>
      <c r="P123" s="608"/>
      <c r="Q123" s="608"/>
      <c r="R123" s="608"/>
      <c r="T123" s="752"/>
      <c r="V123" s="609">
        <f t="shared" ref="V123:V132" si="15">IF(W123=1,G123,0)</f>
        <v>0</v>
      </c>
      <c r="W123" s="692"/>
    </row>
    <row r="124" spans="1:23" ht="39.6" outlineLevel="3">
      <c r="A124" s="376"/>
      <c r="B124" s="376" t="s">
        <v>469</v>
      </c>
      <c r="C124" s="376" t="s">
        <v>1049</v>
      </c>
      <c r="D124" s="376" t="s">
        <v>441</v>
      </c>
      <c r="E124" s="376" t="s">
        <v>437</v>
      </c>
      <c r="F124" s="766" t="s">
        <v>1067</v>
      </c>
      <c r="G124" s="723"/>
      <c r="H124" s="692"/>
      <c r="I124" s="626"/>
      <c r="J124" s="752"/>
      <c r="L124" s="608" t="s">
        <v>437</v>
      </c>
      <c r="M124" s="608" t="s">
        <v>966</v>
      </c>
      <c r="N124" s="608" t="s">
        <v>1082</v>
      </c>
      <c r="O124" s="608" t="s">
        <v>1083</v>
      </c>
      <c r="P124" s="608"/>
      <c r="Q124" s="608"/>
      <c r="R124" s="608"/>
      <c r="T124" s="752"/>
      <c r="V124" s="609">
        <f t="shared" si="15"/>
        <v>0</v>
      </c>
      <c r="W124" s="692"/>
    </row>
    <row r="125" spans="1:23" ht="39.6" outlineLevel="3">
      <c r="A125" s="376"/>
      <c r="B125" s="376" t="s">
        <v>469</v>
      </c>
      <c r="C125" s="376" t="s">
        <v>1049</v>
      </c>
      <c r="D125" s="376" t="s">
        <v>441</v>
      </c>
      <c r="E125" s="376" t="s">
        <v>437</v>
      </c>
      <c r="F125" s="768" t="s">
        <v>1084</v>
      </c>
      <c r="G125" s="720">
        <v>0.02</v>
      </c>
      <c r="H125" s="700">
        <v>1</v>
      </c>
      <c r="I125" s="626"/>
      <c r="J125" s="752"/>
      <c r="L125" s="608" t="s">
        <v>437</v>
      </c>
      <c r="M125" s="608" t="s">
        <v>966</v>
      </c>
      <c r="N125" s="608" t="s">
        <v>1082</v>
      </c>
      <c r="O125" s="608" t="s">
        <v>1083</v>
      </c>
      <c r="P125" s="608"/>
      <c r="Q125" s="608"/>
      <c r="R125" s="608"/>
      <c r="T125" s="752"/>
      <c r="V125" s="609">
        <f t="shared" si="15"/>
        <v>0</v>
      </c>
      <c r="W125" s="700"/>
    </row>
    <row r="126" spans="1:23" ht="39.6" outlineLevel="3">
      <c r="A126" s="376"/>
      <c r="B126" s="376" t="s">
        <v>469</v>
      </c>
      <c r="C126" s="376" t="s">
        <v>1049</v>
      </c>
      <c r="D126" s="376" t="s">
        <v>441</v>
      </c>
      <c r="E126" s="376" t="s">
        <v>437</v>
      </c>
      <c r="F126" s="767" t="s">
        <v>1085</v>
      </c>
      <c r="G126" s="720">
        <v>0.06</v>
      </c>
      <c r="H126" s="700">
        <v>1</v>
      </c>
      <c r="I126" s="626"/>
      <c r="J126" s="752"/>
      <c r="L126" s="608" t="s">
        <v>437</v>
      </c>
      <c r="M126" s="608" t="s">
        <v>966</v>
      </c>
      <c r="N126" s="608" t="s">
        <v>1082</v>
      </c>
      <c r="O126" s="608" t="s">
        <v>1083</v>
      </c>
      <c r="P126" s="608"/>
      <c r="Q126" s="608"/>
      <c r="R126" s="608"/>
      <c r="T126" s="752"/>
      <c r="V126" s="609">
        <f t="shared" si="15"/>
        <v>0</v>
      </c>
      <c r="W126" s="700"/>
    </row>
    <row r="127" spans="1:23" ht="39.6" outlineLevel="3">
      <c r="A127" s="376"/>
      <c r="B127" s="376" t="s">
        <v>469</v>
      </c>
      <c r="C127" s="376" t="s">
        <v>1049</v>
      </c>
      <c r="D127" s="376" t="s">
        <v>441</v>
      </c>
      <c r="E127" s="376" t="s">
        <v>437</v>
      </c>
      <c r="F127" s="767" t="s">
        <v>1086</v>
      </c>
      <c r="G127" s="720">
        <v>0.06</v>
      </c>
      <c r="H127" s="700">
        <v>1</v>
      </c>
      <c r="I127" s="626"/>
      <c r="J127" s="752"/>
      <c r="L127" s="608" t="s">
        <v>437</v>
      </c>
      <c r="M127" s="608" t="s">
        <v>966</v>
      </c>
      <c r="N127" s="608" t="s">
        <v>1082</v>
      </c>
      <c r="O127" s="608" t="s">
        <v>1083</v>
      </c>
      <c r="P127" s="608"/>
      <c r="Q127" s="608"/>
      <c r="R127" s="608"/>
      <c r="T127" s="752"/>
      <c r="V127" s="609">
        <f t="shared" si="15"/>
        <v>0</v>
      </c>
      <c r="W127" s="700"/>
    </row>
    <row r="128" spans="1:23" ht="39.6" outlineLevel="3">
      <c r="A128" s="376"/>
      <c r="B128" s="376" t="s">
        <v>469</v>
      </c>
      <c r="C128" s="376" t="s">
        <v>1049</v>
      </c>
      <c r="D128" s="376" t="s">
        <v>441</v>
      </c>
      <c r="E128" s="376" t="s">
        <v>437</v>
      </c>
      <c r="F128" s="768" t="s">
        <v>1069</v>
      </c>
      <c r="G128" s="720">
        <v>4.0000000000000001E-3</v>
      </c>
      <c r="H128" s="692">
        <v>1</v>
      </c>
      <c r="I128" s="626"/>
      <c r="J128" s="752"/>
      <c r="L128" s="608" t="s">
        <v>437</v>
      </c>
      <c r="M128" s="608" t="s">
        <v>966</v>
      </c>
      <c r="N128" s="608" t="s">
        <v>1082</v>
      </c>
      <c r="O128" s="608" t="s">
        <v>1083</v>
      </c>
      <c r="P128" s="608"/>
      <c r="Q128" s="608"/>
      <c r="R128" s="608"/>
      <c r="T128" s="752"/>
      <c r="V128" s="609">
        <f t="shared" si="15"/>
        <v>0</v>
      </c>
      <c r="W128" s="692"/>
    </row>
    <row r="129" spans="1:23" ht="39.6" outlineLevel="3">
      <c r="A129" s="376"/>
      <c r="B129" s="376" t="s">
        <v>469</v>
      </c>
      <c r="C129" s="376" t="s">
        <v>1049</v>
      </c>
      <c r="D129" s="376" t="s">
        <v>441</v>
      </c>
      <c r="E129" s="376" t="s">
        <v>437</v>
      </c>
      <c r="F129" s="766" t="s">
        <v>1065</v>
      </c>
      <c r="G129" s="720"/>
      <c r="H129" s="700"/>
      <c r="I129" s="626"/>
      <c r="J129" s="752"/>
      <c r="L129" s="608" t="s">
        <v>437</v>
      </c>
      <c r="M129" s="608" t="s">
        <v>966</v>
      </c>
      <c r="N129" s="608" t="s">
        <v>1082</v>
      </c>
      <c r="O129" s="608" t="s">
        <v>1083</v>
      </c>
      <c r="P129" s="608"/>
      <c r="Q129" s="608"/>
      <c r="R129" s="608"/>
      <c r="T129" s="752"/>
      <c r="V129" s="609">
        <f t="shared" si="15"/>
        <v>0</v>
      </c>
      <c r="W129" s="700"/>
    </row>
    <row r="130" spans="1:23" ht="39.6" outlineLevel="3">
      <c r="A130" s="376"/>
      <c r="B130" s="376" t="s">
        <v>469</v>
      </c>
      <c r="C130" s="376" t="s">
        <v>1049</v>
      </c>
      <c r="D130" s="376" t="s">
        <v>441</v>
      </c>
      <c r="E130" s="376" t="s">
        <v>437</v>
      </c>
      <c r="F130" s="766" t="s">
        <v>1041</v>
      </c>
      <c r="G130" s="720"/>
      <c r="H130" s="700"/>
      <c r="I130" s="626"/>
      <c r="J130" s="752"/>
      <c r="L130" s="608" t="s">
        <v>437</v>
      </c>
      <c r="M130" s="608" t="s">
        <v>966</v>
      </c>
      <c r="N130" s="608" t="s">
        <v>1082</v>
      </c>
      <c r="O130" s="608" t="s">
        <v>1083</v>
      </c>
      <c r="P130" s="608"/>
      <c r="Q130" s="608"/>
      <c r="R130" s="608"/>
      <c r="T130" s="752"/>
      <c r="V130" s="609">
        <f t="shared" si="15"/>
        <v>0</v>
      </c>
      <c r="W130" s="700"/>
    </row>
    <row r="131" spans="1:23" ht="39.6" outlineLevel="3">
      <c r="A131" s="376"/>
      <c r="B131" s="376" t="s">
        <v>469</v>
      </c>
      <c r="C131" s="376" t="s">
        <v>1049</v>
      </c>
      <c r="D131" s="376" t="s">
        <v>441</v>
      </c>
      <c r="E131" s="376" t="s">
        <v>437</v>
      </c>
      <c r="F131" s="766" t="s">
        <v>1087</v>
      </c>
      <c r="G131" s="723"/>
      <c r="H131" s="692"/>
      <c r="I131" s="626"/>
      <c r="J131" s="752"/>
      <c r="L131" s="608" t="s">
        <v>437</v>
      </c>
      <c r="M131" s="608" t="s">
        <v>966</v>
      </c>
      <c r="N131" s="608" t="s">
        <v>1082</v>
      </c>
      <c r="O131" s="608" t="s">
        <v>1083</v>
      </c>
      <c r="P131" s="608"/>
      <c r="Q131" s="608"/>
      <c r="R131" s="608"/>
      <c r="T131" s="752"/>
      <c r="V131" s="609">
        <f t="shared" si="15"/>
        <v>0</v>
      </c>
      <c r="W131" s="692"/>
    </row>
    <row r="132" spans="1:23" ht="39.6" outlineLevel="3">
      <c r="A132" s="376"/>
      <c r="B132" s="376" t="s">
        <v>469</v>
      </c>
      <c r="C132" s="376" t="s">
        <v>1049</v>
      </c>
      <c r="D132" s="376" t="s">
        <v>441</v>
      </c>
      <c r="E132" s="376" t="s">
        <v>437</v>
      </c>
      <c r="F132" s="766" t="s">
        <v>1073</v>
      </c>
      <c r="G132" s="723"/>
      <c r="H132" s="692"/>
      <c r="I132" s="626"/>
      <c r="J132" s="752"/>
      <c r="L132" s="608" t="s">
        <v>437</v>
      </c>
      <c r="M132" s="608" t="s">
        <v>966</v>
      </c>
      <c r="N132" s="608" t="s">
        <v>1082</v>
      </c>
      <c r="O132" s="608" t="s">
        <v>1083</v>
      </c>
      <c r="P132" s="608"/>
      <c r="Q132" s="608"/>
      <c r="R132" s="608"/>
      <c r="T132" s="752"/>
      <c r="V132" s="609">
        <f t="shared" si="15"/>
        <v>0</v>
      </c>
      <c r="W132" s="692"/>
    </row>
    <row r="133" spans="1:23" outlineLevel="2">
      <c r="A133" s="376"/>
      <c r="B133" s="684" t="s">
        <v>469</v>
      </c>
      <c r="C133" s="684" t="s">
        <v>1049</v>
      </c>
      <c r="D133" s="684" t="s">
        <v>860</v>
      </c>
      <c r="E133" s="684"/>
      <c r="F133" s="685" t="s">
        <v>1050</v>
      </c>
      <c r="G133" s="713">
        <f>SUBTOTAL(9,G134:G135)</f>
        <v>0</v>
      </c>
      <c r="H133" s="714">
        <f>SUBTOTAL(9,H134:H135)</f>
        <v>0</v>
      </c>
      <c r="I133" s="626"/>
      <c r="J133" s="752"/>
      <c r="L133" s="685"/>
      <c r="M133" s="685"/>
      <c r="N133" s="685"/>
      <c r="O133" s="685"/>
      <c r="P133" s="685"/>
      <c r="Q133" s="685"/>
      <c r="R133" s="685"/>
      <c r="T133" s="752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469</v>
      </c>
      <c r="C134" s="376" t="s">
        <v>1049</v>
      </c>
      <c r="D134" s="376" t="s">
        <v>860</v>
      </c>
      <c r="E134" s="376" t="s">
        <v>437</v>
      </c>
      <c r="F134" s="760" t="s">
        <v>1088</v>
      </c>
      <c r="G134" s="720"/>
      <c r="H134" s="700"/>
      <c r="I134" s="626"/>
      <c r="J134" s="752"/>
      <c r="L134" s="608" t="s">
        <v>437</v>
      </c>
      <c r="M134" s="608" t="s">
        <v>996</v>
      </c>
      <c r="N134" s="608" t="s">
        <v>1048</v>
      </c>
      <c r="O134" s="608"/>
      <c r="P134" s="608"/>
      <c r="Q134" s="608"/>
      <c r="R134" s="608"/>
      <c r="T134" s="752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469</v>
      </c>
      <c r="C135" s="376" t="s">
        <v>1049</v>
      </c>
      <c r="D135" s="376" t="s">
        <v>860</v>
      </c>
      <c r="E135" s="376" t="s">
        <v>437</v>
      </c>
      <c r="F135" s="760" t="s">
        <v>1073</v>
      </c>
      <c r="G135" s="723"/>
      <c r="H135" s="692"/>
      <c r="I135" s="626"/>
      <c r="J135" s="752"/>
      <c r="L135" s="608" t="s">
        <v>437</v>
      </c>
      <c r="M135" s="608" t="s">
        <v>996</v>
      </c>
      <c r="N135" s="608" t="s">
        <v>1048</v>
      </c>
      <c r="O135" s="608"/>
      <c r="P135" s="608"/>
      <c r="Q135" s="608"/>
      <c r="R135" s="608"/>
      <c r="T135" s="752"/>
      <c r="V135" s="609">
        <f t="shared" si="16"/>
        <v>0</v>
      </c>
      <c r="W135" s="692"/>
    </row>
    <row r="136" spans="1:23" s="612" customFormat="1" ht="26.45" outlineLevel="1">
      <c r="A136" s="380"/>
      <c r="B136" s="665" t="s">
        <v>897</v>
      </c>
      <c r="C136" s="665" t="s">
        <v>1089</v>
      </c>
      <c r="D136" s="665"/>
      <c r="E136" s="665"/>
      <c r="F136" s="681" t="s">
        <v>947</v>
      </c>
      <c r="G136" s="701">
        <f>SUBTOTAL(9,G137:G140)</f>
        <v>8.4072167695988034E-2</v>
      </c>
      <c r="H136" s="702">
        <f>SUBTOTAL(9,H137:H140)</f>
        <v>3</v>
      </c>
      <c r="I136" s="627"/>
      <c r="J136" s="754"/>
      <c r="L136" s="681"/>
      <c r="M136" s="681" t="s">
        <v>1090</v>
      </c>
      <c r="N136" s="681" t="s">
        <v>1091</v>
      </c>
      <c r="O136" s="681" t="s">
        <v>1092</v>
      </c>
      <c r="P136" s="681" t="s">
        <v>1093</v>
      </c>
      <c r="Q136" s="681"/>
      <c r="R136" s="681"/>
      <c r="T136" s="754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897</v>
      </c>
      <c r="C137" s="684" t="s">
        <v>1089</v>
      </c>
      <c r="D137" s="684" t="s">
        <v>518</v>
      </c>
      <c r="E137" s="684"/>
      <c r="F137" s="685" t="s">
        <v>1022</v>
      </c>
      <c r="G137" s="713">
        <f>SUBTOTAL(9,G138:G140)</f>
        <v>8.4072167695988034E-2</v>
      </c>
      <c r="H137" s="714">
        <f>SUBTOTAL(9,H138:H140)</f>
        <v>3</v>
      </c>
      <c r="I137" s="626"/>
      <c r="J137" s="752"/>
      <c r="L137" s="685"/>
      <c r="M137" s="685"/>
      <c r="N137" s="685"/>
      <c r="O137" s="685"/>
      <c r="P137" s="685"/>
      <c r="Q137" s="685"/>
      <c r="R137" s="685"/>
      <c r="T137" s="752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897</v>
      </c>
      <c r="C138" s="376" t="s">
        <v>1089</v>
      </c>
      <c r="D138" s="376" t="s">
        <v>518</v>
      </c>
      <c r="E138" s="376" t="s">
        <v>56</v>
      </c>
      <c r="F138" s="608" t="s">
        <v>1094</v>
      </c>
      <c r="G138" s="695">
        <v>6.0248605439999423E-2</v>
      </c>
      <c r="H138" s="700">
        <v>1</v>
      </c>
      <c r="I138" s="626"/>
      <c r="J138" s="752"/>
      <c r="L138" s="608" t="s">
        <v>56</v>
      </c>
      <c r="M138" s="608" t="s">
        <v>959</v>
      </c>
      <c r="N138" s="608" t="s">
        <v>1095</v>
      </c>
      <c r="O138" s="608"/>
      <c r="P138" s="608" t="s">
        <v>1096</v>
      </c>
      <c r="Q138" s="608"/>
      <c r="R138" s="608"/>
      <c r="T138" s="752"/>
      <c r="V138" s="609">
        <f t="shared" ref="V138:V140" si="17">IF(W138=1,G138,0)</f>
        <v>6.0248605439999423E-2</v>
      </c>
      <c r="W138" s="700">
        <v>1</v>
      </c>
    </row>
    <row r="139" spans="1:23" ht="26.45" outlineLevel="3">
      <c r="A139" s="376"/>
      <c r="B139" s="376" t="s">
        <v>897</v>
      </c>
      <c r="C139" s="376" t="s">
        <v>1089</v>
      </c>
      <c r="D139" s="376" t="s">
        <v>518</v>
      </c>
      <c r="E139" s="376" t="s">
        <v>56</v>
      </c>
      <c r="F139" s="608" t="s">
        <v>1097</v>
      </c>
      <c r="G139" s="695">
        <v>1.1911781127994301E-2</v>
      </c>
      <c r="H139" s="700">
        <v>1</v>
      </c>
      <c r="I139" s="626"/>
      <c r="J139" s="752"/>
      <c r="L139" s="608" t="s">
        <v>56</v>
      </c>
      <c r="M139" s="608" t="s">
        <v>959</v>
      </c>
      <c r="N139" s="608" t="s">
        <v>1095</v>
      </c>
      <c r="O139" s="608"/>
      <c r="P139" s="608" t="s">
        <v>1096</v>
      </c>
      <c r="Q139" s="608"/>
      <c r="R139" s="608"/>
      <c r="T139" s="752"/>
      <c r="V139" s="609">
        <f t="shared" si="17"/>
        <v>0</v>
      </c>
      <c r="W139" s="700"/>
    </row>
    <row r="140" spans="1:23" outlineLevel="3">
      <c r="A140" s="376"/>
      <c r="B140" s="376" t="s">
        <v>897</v>
      </c>
      <c r="C140" s="376" t="s">
        <v>1089</v>
      </c>
      <c r="D140" s="376" t="s">
        <v>518</v>
      </c>
      <c r="E140" s="376" t="s">
        <v>56</v>
      </c>
      <c r="F140" s="608" t="s">
        <v>1098</v>
      </c>
      <c r="G140" s="695">
        <v>1.1911781127994301E-2</v>
      </c>
      <c r="H140" s="700">
        <v>1</v>
      </c>
      <c r="I140" s="626"/>
      <c r="J140" s="752"/>
      <c r="L140" s="608" t="s">
        <v>56</v>
      </c>
      <c r="M140" s="608" t="s">
        <v>959</v>
      </c>
      <c r="N140" s="608" t="s">
        <v>1095</v>
      </c>
      <c r="O140" s="608"/>
      <c r="P140" s="608" t="s">
        <v>1096</v>
      </c>
      <c r="Q140" s="608"/>
      <c r="R140" s="608"/>
      <c r="T140" s="752"/>
      <c r="V140" s="609">
        <f t="shared" si="17"/>
        <v>0</v>
      </c>
      <c r="W140" s="700"/>
    </row>
    <row r="141" spans="1:23" s="612" customFormat="1" outlineLevel="1">
      <c r="A141" s="380"/>
      <c r="B141" s="665" t="s">
        <v>898</v>
      </c>
      <c r="C141" s="665" t="s">
        <v>1099</v>
      </c>
      <c r="D141" s="665"/>
      <c r="E141" s="665"/>
      <c r="F141" s="681" t="s">
        <v>947</v>
      </c>
      <c r="G141" s="701">
        <f>SUBTOTAL(9,G142:G148)</f>
        <v>0.41918995130000003</v>
      </c>
      <c r="H141" s="702">
        <f>SUBTOTAL(9,H142:H148)</f>
        <v>5</v>
      </c>
      <c r="I141" s="627"/>
      <c r="J141" s="754"/>
      <c r="L141" s="681"/>
      <c r="M141" s="681"/>
      <c r="N141" s="681"/>
      <c r="O141" s="681"/>
      <c r="P141" s="681"/>
      <c r="Q141" s="681"/>
      <c r="R141" s="681"/>
      <c r="T141" s="754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898</v>
      </c>
      <c r="C142" s="684" t="s">
        <v>1099</v>
      </c>
      <c r="D142" s="684" t="s">
        <v>159</v>
      </c>
      <c r="E142" s="684"/>
      <c r="F142" s="685" t="s">
        <v>1022</v>
      </c>
      <c r="G142" s="713">
        <f>SUBTOTAL(9,G143:G144)</f>
        <v>0.25</v>
      </c>
      <c r="H142" s="714">
        <f>SUBTOTAL(9,H143:H144)</f>
        <v>2</v>
      </c>
      <c r="I142" s="626"/>
      <c r="J142" s="752"/>
      <c r="L142" s="685"/>
      <c r="M142" s="685"/>
      <c r="N142" s="685"/>
      <c r="O142" s="685"/>
      <c r="P142" s="685"/>
      <c r="Q142" s="685"/>
      <c r="R142" s="685"/>
      <c r="T142" s="752"/>
      <c r="V142" s="713">
        <f>SUBTOTAL(9,V143:V144)</f>
        <v>0.25</v>
      </c>
      <c r="W142" s="714">
        <f>SUBTOTAL(9,W143:W144)</f>
        <v>2</v>
      </c>
    </row>
    <row r="143" spans="1:23" ht="26.45" outlineLevel="3">
      <c r="A143" s="376"/>
      <c r="B143" s="376" t="s">
        <v>898</v>
      </c>
      <c r="C143" s="376" t="s">
        <v>1099</v>
      </c>
      <c r="D143" s="376" t="s">
        <v>159</v>
      </c>
      <c r="E143" s="376" t="s">
        <v>1100</v>
      </c>
      <c r="F143" s="608" t="s">
        <v>1094</v>
      </c>
      <c r="G143" s="695">
        <v>7.0000000000000007E-2</v>
      </c>
      <c r="H143" s="700">
        <v>1</v>
      </c>
      <c r="I143" s="626"/>
      <c r="J143" s="752"/>
      <c r="L143" s="608" t="s">
        <v>1100</v>
      </c>
      <c r="M143" s="608" t="s">
        <v>1090</v>
      </c>
      <c r="N143" s="608" t="s">
        <v>1101</v>
      </c>
      <c r="O143" s="608"/>
      <c r="P143" s="608"/>
      <c r="Q143" s="608"/>
      <c r="R143" s="608"/>
      <c r="T143" s="752"/>
      <c r="V143" s="609">
        <f t="shared" ref="V143:V144" si="18">IF(W143=1,G143,0)</f>
        <v>7.0000000000000007E-2</v>
      </c>
      <c r="W143" s="700">
        <v>1</v>
      </c>
    </row>
    <row r="144" spans="1:23" ht="26.45" outlineLevel="3">
      <c r="A144" s="376"/>
      <c r="B144" s="376" t="s">
        <v>898</v>
      </c>
      <c r="C144" s="376" t="s">
        <v>1099</v>
      </c>
      <c r="D144" s="376" t="s">
        <v>159</v>
      </c>
      <c r="E144" s="376" t="s">
        <v>1100</v>
      </c>
      <c r="F144" s="608" t="s">
        <v>1102</v>
      </c>
      <c r="G144" s="695">
        <v>0.18</v>
      </c>
      <c r="H144" s="700">
        <v>1</v>
      </c>
      <c r="I144" s="626"/>
      <c r="J144" s="752"/>
      <c r="L144" s="608" t="s">
        <v>1100</v>
      </c>
      <c r="M144" s="608" t="s">
        <v>1103</v>
      </c>
      <c r="N144" s="608" t="s">
        <v>1104</v>
      </c>
      <c r="O144" s="608"/>
      <c r="P144" s="608"/>
      <c r="Q144" s="608"/>
      <c r="R144" s="608"/>
      <c r="T144" s="752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898</v>
      </c>
      <c r="C145" s="684" t="s">
        <v>1099</v>
      </c>
      <c r="D145" s="684" t="s">
        <v>518</v>
      </c>
      <c r="E145" s="684"/>
      <c r="F145" s="685" t="s">
        <v>1022</v>
      </c>
      <c r="G145" s="713">
        <f>SUBTOTAL(9,G146:G148)</f>
        <v>0.16918995130000003</v>
      </c>
      <c r="H145" s="714">
        <f>SUBTOTAL(9,H146:H148)</f>
        <v>3</v>
      </c>
      <c r="I145" s="626"/>
      <c r="J145" s="752"/>
      <c r="L145" s="685"/>
      <c r="M145" s="685"/>
      <c r="N145" s="685"/>
      <c r="O145" s="685"/>
      <c r="P145" s="685"/>
      <c r="Q145" s="685"/>
      <c r="R145" s="685"/>
      <c r="T145" s="752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898</v>
      </c>
      <c r="C146" s="376" t="s">
        <v>1099</v>
      </c>
      <c r="D146" s="376" t="s">
        <v>518</v>
      </c>
      <c r="E146" s="376" t="s">
        <v>56</v>
      </c>
      <c r="F146" s="608" t="s">
        <v>1102</v>
      </c>
      <c r="G146" s="609">
        <v>7.0000000000000007E-2</v>
      </c>
      <c r="H146" s="692">
        <v>1</v>
      </c>
      <c r="I146" s="626"/>
      <c r="J146" s="752"/>
      <c r="L146" s="608" t="s">
        <v>56</v>
      </c>
      <c r="M146" s="608" t="s">
        <v>959</v>
      </c>
      <c r="N146" s="608" t="s">
        <v>1095</v>
      </c>
      <c r="O146" s="608">
        <v>0</v>
      </c>
      <c r="P146" s="608" t="s">
        <v>1105</v>
      </c>
      <c r="Q146" s="608"/>
      <c r="R146" s="608"/>
      <c r="T146" s="752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898</v>
      </c>
      <c r="C147" s="376" t="s">
        <v>1099</v>
      </c>
      <c r="D147" s="376" t="s">
        <v>518</v>
      </c>
      <c r="E147" s="376" t="s">
        <v>56</v>
      </c>
      <c r="F147" s="608" t="s">
        <v>1094</v>
      </c>
      <c r="G147" s="695">
        <v>5.4103609800000001E-2</v>
      </c>
      <c r="H147" s="700">
        <v>1</v>
      </c>
      <c r="I147" s="626"/>
      <c r="J147" s="752"/>
      <c r="L147" s="608" t="s">
        <v>56</v>
      </c>
      <c r="M147" s="608" t="s">
        <v>959</v>
      </c>
      <c r="N147" s="608" t="s">
        <v>1095</v>
      </c>
      <c r="O147" s="608">
        <v>0</v>
      </c>
      <c r="P147" s="608" t="s">
        <v>1105</v>
      </c>
      <c r="Q147" s="608"/>
      <c r="R147" s="608"/>
      <c r="T147" s="752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898</v>
      </c>
      <c r="C148" s="376" t="s">
        <v>1099</v>
      </c>
      <c r="D148" s="376" t="s">
        <v>518</v>
      </c>
      <c r="E148" s="376" t="s">
        <v>56</v>
      </c>
      <c r="F148" s="608" t="s">
        <v>1106</v>
      </c>
      <c r="G148" s="695">
        <v>4.5086341500000002E-2</v>
      </c>
      <c r="H148" s="700">
        <v>1</v>
      </c>
      <c r="I148" s="626"/>
      <c r="J148" s="752"/>
      <c r="L148" s="608" t="s">
        <v>56</v>
      </c>
      <c r="M148" s="608" t="s">
        <v>959</v>
      </c>
      <c r="N148" s="608" t="s">
        <v>1095</v>
      </c>
      <c r="O148" s="608">
        <v>0</v>
      </c>
      <c r="P148" s="608" t="s">
        <v>1105</v>
      </c>
      <c r="Q148" s="608"/>
      <c r="R148" s="608"/>
      <c r="T148" s="752"/>
      <c r="V148" s="609">
        <f t="shared" si="19"/>
        <v>0</v>
      </c>
      <c r="W148" s="700"/>
    </row>
    <row r="149" spans="1:23" s="612" customFormat="1" outlineLevel="1">
      <c r="A149" s="380"/>
      <c r="B149" s="665" t="s">
        <v>899</v>
      </c>
      <c r="C149" s="665" t="s">
        <v>1107</v>
      </c>
      <c r="D149" s="665"/>
      <c r="E149" s="665"/>
      <c r="F149" s="681" t="s">
        <v>947</v>
      </c>
      <c r="G149" s="701">
        <f>SUBTOTAL(9,G150:G172)</f>
        <v>3.0199999999999987</v>
      </c>
      <c r="H149" s="702">
        <f>SUBTOTAL(9,H150:H172)</f>
        <v>21</v>
      </c>
      <c r="I149" s="627"/>
      <c r="J149" s="754"/>
      <c r="L149" s="681"/>
      <c r="M149" s="681"/>
      <c r="N149" s="681"/>
      <c r="O149" s="681"/>
      <c r="P149" s="681"/>
      <c r="Q149" s="681"/>
      <c r="R149" s="681"/>
      <c r="T149" s="754"/>
      <c r="V149" s="701">
        <f>SUBTOTAL(9,V150:V172)</f>
        <v>0.28000000000000003</v>
      </c>
      <c r="W149" s="702">
        <f>SUBTOTAL(9,W150:W172)</f>
        <v>4</v>
      </c>
    </row>
    <row r="150" spans="1:23" ht="26.45" outlineLevel="2">
      <c r="A150" s="376"/>
      <c r="B150" s="684" t="s">
        <v>899</v>
      </c>
      <c r="C150" s="684" t="s">
        <v>1107</v>
      </c>
      <c r="D150" s="684" t="s">
        <v>159</v>
      </c>
      <c r="E150" s="684"/>
      <c r="F150" s="685" t="s">
        <v>1108</v>
      </c>
      <c r="G150" s="713">
        <f>SUBTOTAL(9,G151:G160)</f>
        <v>1.9500000000000002</v>
      </c>
      <c r="H150" s="714">
        <f>SUBTOTAL(9,H151:H160)</f>
        <v>10</v>
      </c>
      <c r="I150" s="626"/>
      <c r="J150" s="752"/>
      <c r="L150" s="685"/>
      <c r="M150" s="685"/>
      <c r="N150" s="685"/>
      <c r="O150" s="685"/>
      <c r="P150" s="685"/>
      <c r="Q150" s="685"/>
      <c r="R150" s="685"/>
      <c r="T150" s="752"/>
      <c r="V150" s="713">
        <f>SUBTOTAL(9,V151:V160)</f>
        <v>0</v>
      </c>
      <c r="W150" s="714">
        <f>SUBTOTAL(9,W151:W160)</f>
        <v>0</v>
      </c>
    </row>
    <row r="151" spans="1:23" ht="26.45" outlineLevel="3">
      <c r="A151" s="376"/>
      <c r="B151" s="376" t="s">
        <v>899</v>
      </c>
      <c r="C151" s="376" t="s">
        <v>1107</v>
      </c>
      <c r="D151" s="376" t="s">
        <v>159</v>
      </c>
      <c r="E151" s="376" t="s">
        <v>1100</v>
      </c>
      <c r="F151" s="608" t="s">
        <v>1109</v>
      </c>
      <c r="G151" s="695">
        <v>0.13</v>
      </c>
      <c r="H151" s="700">
        <v>1</v>
      </c>
      <c r="I151" s="626"/>
      <c r="J151" s="752"/>
      <c r="L151" s="608" t="s">
        <v>1100</v>
      </c>
      <c r="M151" s="608" t="s">
        <v>1090</v>
      </c>
      <c r="N151" s="608" t="s">
        <v>1110</v>
      </c>
      <c r="O151" s="608" t="s">
        <v>1111</v>
      </c>
      <c r="P151" s="608" t="s">
        <v>1112</v>
      </c>
      <c r="Q151" s="608"/>
      <c r="R151" s="608"/>
      <c r="T151" s="752"/>
      <c r="V151" s="609">
        <f t="shared" ref="V151:V160" si="20">IF(W151=1,G151,0)</f>
        <v>0</v>
      </c>
      <c r="W151" s="700"/>
    </row>
    <row r="152" spans="1:23" ht="26.45" outlineLevel="3">
      <c r="A152" s="376"/>
      <c r="B152" s="376" t="s">
        <v>899</v>
      </c>
      <c r="C152" s="376" t="s">
        <v>1107</v>
      </c>
      <c r="D152" s="376" t="s">
        <v>159</v>
      </c>
      <c r="E152" s="376" t="s">
        <v>1100</v>
      </c>
      <c r="F152" s="608" t="s">
        <v>1113</v>
      </c>
      <c r="G152" s="695">
        <v>0.13</v>
      </c>
      <c r="H152" s="700">
        <v>1</v>
      </c>
      <c r="I152" s="626"/>
      <c r="J152" s="752"/>
      <c r="L152" s="608" t="s">
        <v>1100</v>
      </c>
      <c r="M152" s="608" t="s">
        <v>1090</v>
      </c>
      <c r="N152" s="608" t="s">
        <v>1110</v>
      </c>
      <c r="O152" s="608" t="s">
        <v>1111</v>
      </c>
      <c r="P152" s="608" t="s">
        <v>1112</v>
      </c>
      <c r="Q152" s="608"/>
      <c r="R152" s="608"/>
      <c r="T152" s="752"/>
      <c r="V152" s="609">
        <f t="shared" si="20"/>
        <v>0</v>
      </c>
      <c r="W152" s="700"/>
    </row>
    <row r="153" spans="1:23" ht="26.45" outlineLevel="3">
      <c r="A153" s="376"/>
      <c r="B153" s="376" t="s">
        <v>899</v>
      </c>
      <c r="C153" s="376" t="s">
        <v>1107</v>
      </c>
      <c r="D153" s="376" t="s">
        <v>159</v>
      </c>
      <c r="E153" s="376" t="s">
        <v>1100</v>
      </c>
      <c r="F153" s="608" t="s">
        <v>1114</v>
      </c>
      <c r="G153" s="695">
        <v>0.22</v>
      </c>
      <c r="H153" s="700">
        <v>1</v>
      </c>
      <c r="I153" s="626"/>
      <c r="J153" s="752"/>
      <c r="L153" s="608" t="s">
        <v>1100</v>
      </c>
      <c r="M153" s="608" t="s">
        <v>1090</v>
      </c>
      <c r="N153" s="608" t="s">
        <v>1110</v>
      </c>
      <c r="O153" s="608" t="s">
        <v>1111</v>
      </c>
      <c r="P153" s="608" t="s">
        <v>1112</v>
      </c>
      <c r="Q153" s="608"/>
      <c r="R153" s="608"/>
      <c r="T153" s="752"/>
      <c r="V153" s="609">
        <f t="shared" si="20"/>
        <v>0</v>
      </c>
      <c r="W153" s="700"/>
    </row>
    <row r="154" spans="1:23" ht="26.45" outlineLevel="3">
      <c r="A154" s="376"/>
      <c r="B154" s="376" t="s">
        <v>899</v>
      </c>
      <c r="C154" s="376" t="s">
        <v>1107</v>
      </c>
      <c r="D154" s="376" t="s">
        <v>159</v>
      </c>
      <c r="E154" s="376" t="s">
        <v>1100</v>
      </c>
      <c r="F154" s="608" t="s">
        <v>1115</v>
      </c>
      <c r="G154" s="695">
        <v>0.22</v>
      </c>
      <c r="H154" s="700">
        <v>1</v>
      </c>
      <c r="I154" s="626"/>
      <c r="J154" s="752"/>
      <c r="L154" s="608" t="s">
        <v>1100</v>
      </c>
      <c r="M154" s="608" t="s">
        <v>1090</v>
      </c>
      <c r="N154" s="608" t="s">
        <v>1110</v>
      </c>
      <c r="O154" s="608" t="s">
        <v>1111</v>
      </c>
      <c r="P154" s="608" t="s">
        <v>1112</v>
      </c>
      <c r="Q154" s="608"/>
      <c r="R154" s="608"/>
      <c r="T154" s="752"/>
      <c r="V154" s="609">
        <f t="shared" si="20"/>
        <v>0</v>
      </c>
      <c r="W154" s="700"/>
    </row>
    <row r="155" spans="1:23" ht="26.45" outlineLevel="3">
      <c r="A155" s="376"/>
      <c r="B155" s="376" t="s">
        <v>899</v>
      </c>
      <c r="C155" s="376" t="s">
        <v>1107</v>
      </c>
      <c r="D155" s="376" t="s">
        <v>159</v>
      </c>
      <c r="E155" s="376" t="s">
        <v>1100</v>
      </c>
      <c r="F155" s="608" t="s">
        <v>1116</v>
      </c>
      <c r="G155" s="695">
        <v>0.22</v>
      </c>
      <c r="H155" s="700">
        <v>1</v>
      </c>
      <c r="I155" s="626"/>
      <c r="J155" s="752"/>
      <c r="L155" s="608" t="s">
        <v>1100</v>
      </c>
      <c r="M155" s="608" t="s">
        <v>1090</v>
      </c>
      <c r="N155" s="608" t="s">
        <v>1110</v>
      </c>
      <c r="O155" s="608" t="s">
        <v>1111</v>
      </c>
      <c r="P155" s="608" t="s">
        <v>1112</v>
      </c>
      <c r="Q155" s="608"/>
      <c r="R155" s="608"/>
      <c r="T155" s="752"/>
      <c r="V155" s="609">
        <f t="shared" si="20"/>
        <v>0</v>
      </c>
      <c r="W155" s="700"/>
    </row>
    <row r="156" spans="1:23" ht="26.45" outlineLevel="3">
      <c r="A156" s="376"/>
      <c r="B156" s="376" t="s">
        <v>899</v>
      </c>
      <c r="C156" s="376" t="s">
        <v>1107</v>
      </c>
      <c r="D156" s="376" t="s">
        <v>159</v>
      </c>
      <c r="E156" s="376" t="s">
        <v>1100</v>
      </c>
      <c r="F156" s="608" t="s">
        <v>1117</v>
      </c>
      <c r="G156" s="695">
        <v>0.03</v>
      </c>
      <c r="H156" s="700">
        <v>1</v>
      </c>
      <c r="I156" s="626"/>
      <c r="J156" s="752"/>
      <c r="L156" s="608" t="s">
        <v>1100</v>
      </c>
      <c r="M156" s="608" t="s">
        <v>1090</v>
      </c>
      <c r="N156" s="608" t="s">
        <v>1110</v>
      </c>
      <c r="O156" s="608" t="s">
        <v>1111</v>
      </c>
      <c r="P156" s="608" t="s">
        <v>1112</v>
      </c>
      <c r="Q156" s="608"/>
      <c r="R156" s="608"/>
      <c r="T156" s="752"/>
      <c r="V156" s="609">
        <f t="shared" si="20"/>
        <v>0</v>
      </c>
      <c r="W156" s="700"/>
    </row>
    <row r="157" spans="1:23" ht="26.45" outlineLevel="3">
      <c r="A157" s="376"/>
      <c r="B157" s="376" t="s">
        <v>899</v>
      </c>
      <c r="C157" s="376" t="s">
        <v>1107</v>
      </c>
      <c r="D157" s="376" t="s">
        <v>159</v>
      </c>
      <c r="E157" s="376" t="s">
        <v>1100</v>
      </c>
      <c r="F157" s="608" t="s">
        <v>1118</v>
      </c>
      <c r="G157" s="695">
        <v>0.1</v>
      </c>
      <c r="H157" s="700">
        <v>1</v>
      </c>
      <c r="I157" s="626"/>
      <c r="J157" s="752"/>
      <c r="L157" s="608" t="s">
        <v>1100</v>
      </c>
      <c r="M157" s="608" t="s">
        <v>1090</v>
      </c>
      <c r="N157" s="608" t="s">
        <v>1110</v>
      </c>
      <c r="O157" s="608" t="s">
        <v>1111</v>
      </c>
      <c r="P157" s="608" t="s">
        <v>1112</v>
      </c>
      <c r="Q157" s="608"/>
      <c r="R157" s="608"/>
      <c r="T157" s="752"/>
      <c r="V157" s="609">
        <f t="shared" si="20"/>
        <v>0</v>
      </c>
      <c r="W157" s="700"/>
    </row>
    <row r="158" spans="1:23" ht="26.45" outlineLevel="3">
      <c r="A158" s="376"/>
      <c r="B158" s="376" t="s">
        <v>899</v>
      </c>
      <c r="C158" s="376" t="s">
        <v>1107</v>
      </c>
      <c r="D158" s="376" t="s">
        <v>159</v>
      </c>
      <c r="E158" s="376" t="s">
        <v>1100</v>
      </c>
      <c r="F158" s="608" t="s">
        <v>1119</v>
      </c>
      <c r="G158" s="695">
        <v>0.1</v>
      </c>
      <c r="H158" s="700">
        <v>1</v>
      </c>
      <c r="I158" s="626"/>
      <c r="J158" s="752"/>
      <c r="L158" s="608" t="s">
        <v>1100</v>
      </c>
      <c r="M158" s="608" t="s">
        <v>1090</v>
      </c>
      <c r="N158" s="608" t="s">
        <v>1110</v>
      </c>
      <c r="O158" s="608" t="s">
        <v>1111</v>
      </c>
      <c r="P158" s="608" t="s">
        <v>1112</v>
      </c>
      <c r="Q158" s="608"/>
      <c r="R158" s="608"/>
      <c r="T158" s="752"/>
      <c r="V158" s="609">
        <f t="shared" si="20"/>
        <v>0</v>
      </c>
      <c r="W158" s="700"/>
    </row>
    <row r="159" spans="1:23" ht="26.45" outlineLevel="3">
      <c r="A159" s="376"/>
      <c r="B159" s="376" t="s">
        <v>899</v>
      </c>
      <c r="C159" s="376" t="s">
        <v>1107</v>
      </c>
      <c r="D159" s="376" t="s">
        <v>159</v>
      </c>
      <c r="E159" s="376" t="s">
        <v>1100</v>
      </c>
      <c r="F159" s="608" t="s">
        <v>1120</v>
      </c>
      <c r="G159" s="695">
        <v>0.4</v>
      </c>
      <c r="H159" s="700">
        <v>1</v>
      </c>
      <c r="I159" s="626"/>
      <c r="J159" s="752"/>
      <c r="L159" s="608" t="s">
        <v>1100</v>
      </c>
      <c r="M159" s="608" t="s">
        <v>1090</v>
      </c>
      <c r="N159" s="608" t="s">
        <v>1110</v>
      </c>
      <c r="O159" s="608" t="s">
        <v>1111</v>
      </c>
      <c r="P159" s="608" t="s">
        <v>1112</v>
      </c>
      <c r="Q159" s="608"/>
      <c r="R159" s="608"/>
      <c r="T159" s="752"/>
      <c r="V159" s="609">
        <f t="shared" si="20"/>
        <v>0</v>
      </c>
      <c r="W159" s="700"/>
    </row>
    <row r="160" spans="1:23" ht="26.45" outlineLevel="3">
      <c r="A160" s="376"/>
      <c r="B160" s="376" t="s">
        <v>899</v>
      </c>
      <c r="C160" s="376" t="s">
        <v>1107</v>
      </c>
      <c r="D160" s="376" t="s">
        <v>159</v>
      </c>
      <c r="E160" s="376" t="s">
        <v>1100</v>
      </c>
      <c r="F160" s="608" t="s">
        <v>1121</v>
      </c>
      <c r="G160" s="695">
        <v>0.4</v>
      </c>
      <c r="H160" s="700">
        <v>1</v>
      </c>
      <c r="I160" s="626"/>
      <c r="J160" s="752"/>
      <c r="L160" s="608" t="s">
        <v>1100</v>
      </c>
      <c r="M160" s="608" t="s">
        <v>1090</v>
      </c>
      <c r="N160" s="608" t="s">
        <v>1110</v>
      </c>
      <c r="O160" s="608" t="s">
        <v>1111</v>
      </c>
      <c r="P160" s="608" t="s">
        <v>1112</v>
      </c>
      <c r="Q160" s="608"/>
      <c r="R160" s="608"/>
      <c r="T160" s="752"/>
      <c r="V160" s="609">
        <f t="shared" si="20"/>
        <v>0</v>
      </c>
      <c r="W160" s="700"/>
    </row>
    <row r="161" spans="1:23" ht="26.45" outlineLevel="2">
      <c r="A161" s="376"/>
      <c r="B161" s="684" t="s">
        <v>899</v>
      </c>
      <c r="C161" s="684" t="s">
        <v>1107</v>
      </c>
      <c r="D161" s="684" t="s">
        <v>518</v>
      </c>
      <c r="E161" s="684"/>
      <c r="F161" s="685" t="s">
        <v>1122</v>
      </c>
      <c r="G161" s="713">
        <f>SUBTOTAL(9,G162:G172)</f>
        <v>1.0699999999999998</v>
      </c>
      <c r="H161" s="714">
        <f>SUBTOTAL(9,H162:H172)</f>
        <v>11</v>
      </c>
      <c r="I161" s="626"/>
      <c r="J161" s="752"/>
      <c r="L161" s="685"/>
      <c r="M161" s="685"/>
      <c r="N161" s="685"/>
      <c r="O161" s="685"/>
      <c r="P161" s="685"/>
      <c r="Q161" s="685"/>
      <c r="R161" s="685"/>
      <c r="T161" s="752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899</v>
      </c>
      <c r="C162" s="376" t="s">
        <v>1107</v>
      </c>
      <c r="D162" s="376" t="s">
        <v>518</v>
      </c>
      <c r="E162" s="376" t="s">
        <v>56</v>
      </c>
      <c r="F162" s="608" t="s">
        <v>1123</v>
      </c>
      <c r="G162" s="695">
        <v>7.0000000000000007E-2</v>
      </c>
      <c r="H162" s="700">
        <v>1</v>
      </c>
      <c r="I162" s="626"/>
      <c r="J162" s="752"/>
      <c r="L162" s="608" t="s">
        <v>56</v>
      </c>
      <c r="M162" s="608" t="s">
        <v>959</v>
      </c>
      <c r="N162" s="608" t="s">
        <v>1124</v>
      </c>
      <c r="O162" s="608"/>
      <c r="P162" s="608" t="s">
        <v>1105</v>
      </c>
      <c r="Q162" s="608"/>
      <c r="R162" s="608" t="s">
        <v>1125</v>
      </c>
      <c r="T162" s="752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899</v>
      </c>
      <c r="C163" s="376" t="s">
        <v>1107</v>
      </c>
      <c r="D163" s="376" t="s">
        <v>518</v>
      </c>
      <c r="E163" s="376" t="s">
        <v>56</v>
      </c>
      <c r="F163" s="608" t="s">
        <v>1126</v>
      </c>
      <c r="G163" s="695">
        <v>7.0000000000000007E-2</v>
      </c>
      <c r="H163" s="700">
        <v>1</v>
      </c>
      <c r="I163" s="626"/>
      <c r="J163" s="752"/>
      <c r="L163" s="608" t="s">
        <v>56</v>
      </c>
      <c r="M163" s="608" t="s">
        <v>959</v>
      </c>
      <c r="N163" s="608" t="s">
        <v>1124</v>
      </c>
      <c r="O163" s="608"/>
      <c r="P163" s="608" t="s">
        <v>1105</v>
      </c>
      <c r="Q163" s="608"/>
      <c r="R163" s="608" t="s">
        <v>1125</v>
      </c>
      <c r="T163" s="752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899</v>
      </c>
      <c r="C164" s="376" t="s">
        <v>1107</v>
      </c>
      <c r="D164" s="376" t="s">
        <v>518</v>
      </c>
      <c r="E164" s="376" t="s">
        <v>56</v>
      </c>
      <c r="F164" s="608" t="s">
        <v>1127</v>
      </c>
      <c r="G164" s="695">
        <v>7.0000000000000007E-2</v>
      </c>
      <c r="H164" s="700">
        <v>1</v>
      </c>
      <c r="I164" s="626"/>
      <c r="J164" s="752"/>
      <c r="L164" s="608" t="s">
        <v>56</v>
      </c>
      <c r="M164" s="608" t="s">
        <v>959</v>
      </c>
      <c r="N164" s="608" t="s">
        <v>1124</v>
      </c>
      <c r="O164" s="608"/>
      <c r="P164" s="608" t="s">
        <v>1105</v>
      </c>
      <c r="Q164" s="608"/>
      <c r="R164" s="608">
        <v>0</v>
      </c>
      <c r="T164" s="752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899</v>
      </c>
      <c r="C165" s="376" t="s">
        <v>1107</v>
      </c>
      <c r="D165" s="376" t="s">
        <v>518</v>
      </c>
      <c r="E165" s="376" t="s">
        <v>56</v>
      </c>
      <c r="F165" s="608" t="s">
        <v>1128</v>
      </c>
      <c r="G165" s="695">
        <v>7.0000000000000007E-2</v>
      </c>
      <c r="H165" s="700">
        <v>1</v>
      </c>
      <c r="I165" s="626"/>
      <c r="J165" s="752"/>
      <c r="L165" s="608" t="s">
        <v>56</v>
      </c>
      <c r="M165" s="608" t="s">
        <v>959</v>
      </c>
      <c r="N165" s="608" t="s">
        <v>1124</v>
      </c>
      <c r="O165" s="608"/>
      <c r="P165" s="608" t="s">
        <v>1105</v>
      </c>
      <c r="Q165" s="608"/>
      <c r="R165" s="608">
        <v>0</v>
      </c>
      <c r="T165" s="752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899</v>
      </c>
      <c r="C166" s="376" t="s">
        <v>1107</v>
      </c>
      <c r="D166" s="376" t="s">
        <v>518</v>
      </c>
      <c r="E166" s="376" t="s">
        <v>56</v>
      </c>
      <c r="F166" s="608" t="s">
        <v>1129</v>
      </c>
      <c r="G166" s="695">
        <v>0.13</v>
      </c>
      <c r="H166" s="700">
        <v>1</v>
      </c>
      <c r="I166" s="626"/>
      <c r="J166" s="752"/>
      <c r="L166" s="608" t="s">
        <v>56</v>
      </c>
      <c r="M166" s="608" t="s">
        <v>959</v>
      </c>
      <c r="N166" s="608" t="s">
        <v>1130</v>
      </c>
      <c r="O166" s="608"/>
      <c r="P166" s="608" t="s">
        <v>1105</v>
      </c>
      <c r="Q166" s="608"/>
      <c r="R166" s="608">
        <v>0</v>
      </c>
      <c r="T166" s="752"/>
      <c r="V166" s="609">
        <f t="shared" si="21"/>
        <v>0</v>
      </c>
      <c r="W166" s="700"/>
    </row>
    <row r="167" spans="1:23" outlineLevel="3">
      <c r="A167" s="376"/>
      <c r="B167" s="376" t="s">
        <v>899</v>
      </c>
      <c r="C167" s="376" t="s">
        <v>1107</v>
      </c>
      <c r="D167" s="376" t="s">
        <v>518</v>
      </c>
      <c r="E167" s="376" t="s">
        <v>56</v>
      </c>
      <c r="F167" s="608" t="s">
        <v>1131</v>
      </c>
      <c r="G167" s="695">
        <v>0.13</v>
      </c>
      <c r="H167" s="700">
        <v>1</v>
      </c>
      <c r="I167" s="626"/>
      <c r="J167" s="752"/>
      <c r="L167" s="608" t="s">
        <v>56</v>
      </c>
      <c r="M167" s="608" t="s">
        <v>959</v>
      </c>
      <c r="N167" s="608" t="s">
        <v>1130</v>
      </c>
      <c r="O167" s="608"/>
      <c r="P167" s="608" t="s">
        <v>1105</v>
      </c>
      <c r="Q167" s="608"/>
      <c r="R167" s="608">
        <v>0</v>
      </c>
      <c r="T167" s="752"/>
      <c r="V167" s="609">
        <f t="shared" si="21"/>
        <v>0</v>
      </c>
      <c r="W167" s="700"/>
    </row>
    <row r="168" spans="1:23" outlineLevel="3">
      <c r="A168" s="376"/>
      <c r="B168" s="376" t="s">
        <v>899</v>
      </c>
      <c r="C168" s="376" t="s">
        <v>1107</v>
      </c>
      <c r="D168" s="376" t="s">
        <v>518</v>
      </c>
      <c r="E168" s="376" t="s">
        <v>56</v>
      </c>
      <c r="F168" s="608" t="s">
        <v>1132</v>
      </c>
      <c r="G168" s="695">
        <v>0.09</v>
      </c>
      <c r="H168" s="700">
        <v>1</v>
      </c>
      <c r="I168" s="626"/>
      <c r="J168" s="752"/>
      <c r="L168" s="608" t="s">
        <v>56</v>
      </c>
      <c r="M168" s="608" t="s">
        <v>959</v>
      </c>
      <c r="N168" s="608" t="s">
        <v>1124</v>
      </c>
      <c r="O168" s="608"/>
      <c r="P168" s="608" t="s">
        <v>1105</v>
      </c>
      <c r="Q168" s="608"/>
      <c r="R168" s="608">
        <v>0</v>
      </c>
      <c r="T168" s="752"/>
      <c r="V168" s="609">
        <f t="shared" si="21"/>
        <v>0</v>
      </c>
      <c r="W168" s="700"/>
    </row>
    <row r="169" spans="1:23" outlineLevel="3">
      <c r="A169" s="376"/>
      <c r="B169" s="376" t="s">
        <v>899</v>
      </c>
      <c r="C169" s="376" t="s">
        <v>1107</v>
      </c>
      <c r="D169" s="376" t="s">
        <v>518</v>
      </c>
      <c r="E169" s="376" t="s">
        <v>56</v>
      </c>
      <c r="F169" s="608" t="s">
        <v>1133</v>
      </c>
      <c r="G169" s="695">
        <v>0.09</v>
      </c>
      <c r="H169" s="700">
        <v>1</v>
      </c>
      <c r="I169" s="626"/>
      <c r="J169" s="752"/>
      <c r="L169" s="608" t="s">
        <v>56</v>
      </c>
      <c r="M169" s="608" t="s">
        <v>959</v>
      </c>
      <c r="N169" s="608" t="s">
        <v>1124</v>
      </c>
      <c r="O169" s="608"/>
      <c r="P169" s="608" t="s">
        <v>1105</v>
      </c>
      <c r="Q169" s="608"/>
      <c r="R169" s="608">
        <v>0</v>
      </c>
      <c r="T169" s="752"/>
      <c r="V169" s="609">
        <f t="shared" si="21"/>
        <v>0</v>
      </c>
      <c r="W169" s="700"/>
    </row>
    <row r="170" spans="1:23" outlineLevel="3">
      <c r="A170" s="376"/>
      <c r="B170" s="376" t="s">
        <v>899</v>
      </c>
      <c r="C170" s="376" t="s">
        <v>1107</v>
      </c>
      <c r="D170" s="376" t="s">
        <v>518</v>
      </c>
      <c r="E170" s="376" t="s">
        <v>56</v>
      </c>
      <c r="F170" s="608" t="s">
        <v>1134</v>
      </c>
      <c r="G170" s="695">
        <v>0.09</v>
      </c>
      <c r="H170" s="700">
        <v>1</v>
      </c>
      <c r="I170" s="626"/>
      <c r="J170" s="752"/>
      <c r="L170" s="608" t="s">
        <v>56</v>
      </c>
      <c r="M170" s="608" t="s">
        <v>959</v>
      </c>
      <c r="N170" s="608" t="s">
        <v>1124</v>
      </c>
      <c r="O170" s="608"/>
      <c r="P170" s="608" t="s">
        <v>1105</v>
      </c>
      <c r="Q170" s="608"/>
      <c r="R170" s="608">
        <v>0</v>
      </c>
      <c r="T170" s="752"/>
      <c r="V170" s="609">
        <f t="shared" si="21"/>
        <v>0</v>
      </c>
      <c r="W170" s="700"/>
    </row>
    <row r="171" spans="1:23" ht="79.150000000000006" outlineLevel="3">
      <c r="A171" s="376"/>
      <c r="B171" s="376" t="s">
        <v>899</v>
      </c>
      <c r="C171" s="376" t="s">
        <v>1107</v>
      </c>
      <c r="D171" s="376" t="s">
        <v>518</v>
      </c>
      <c r="E171" s="376" t="s">
        <v>56</v>
      </c>
      <c r="F171" s="608" t="s">
        <v>1135</v>
      </c>
      <c r="G171" s="695">
        <v>0.13</v>
      </c>
      <c r="H171" s="700">
        <v>1</v>
      </c>
      <c r="I171" s="626"/>
      <c r="J171" s="752"/>
      <c r="L171" s="608" t="s">
        <v>56</v>
      </c>
      <c r="M171" s="608" t="s">
        <v>959</v>
      </c>
      <c r="N171" s="608" t="s">
        <v>1136</v>
      </c>
      <c r="O171" s="608"/>
      <c r="P171" s="608" t="s">
        <v>1105</v>
      </c>
      <c r="Q171" s="608"/>
      <c r="R171" s="608">
        <v>0</v>
      </c>
      <c r="T171" s="752"/>
      <c r="V171" s="609">
        <f t="shared" si="21"/>
        <v>0</v>
      </c>
      <c r="W171" s="700"/>
    </row>
    <row r="172" spans="1:23" ht="79.150000000000006" outlineLevel="3">
      <c r="A172" s="376"/>
      <c r="B172" s="376" t="s">
        <v>899</v>
      </c>
      <c r="C172" s="376" t="s">
        <v>1107</v>
      </c>
      <c r="D172" s="376" t="s">
        <v>518</v>
      </c>
      <c r="E172" s="376" t="s">
        <v>56</v>
      </c>
      <c r="F172" s="608" t="s">
        <v>1119</v>
      </c>
      <c r="G172" s="695">
        <v>0.13</v>
      </c>
      <c r="H172" s="700">
        <v>1</v>
      </c>
      <c r="I172" s="626"/>
      <c r="J172" s="752"/>
      <c r="L172" s="608" t="s">
        <v>56</v>
      </c>
      <c r="M172" s="608" t="s">
        <v>959</v>
      </c>
      <c r="N172" s="608" t="s">
        <v>1136</v>
      </c>
      <c r="O172" s="608"/>
      <c r="P172" s="608" t="s">
        <v>1105</v>
      </c>
      <c r="Q172" s="608"/>
      <c r="R172" s="608">
        <v>0</v>
      </c>
      <c r="T172" s="752"/>
      <c r="V172" s="609">
        <f t="shared" si="21"/>
        <v>0</v>
      </c>
      <c r="W172" s="700"/>
    </row>
    <row r="173" spans="1:23" s="612" customFormat="1" outlineLevel="1">
      <c r="A173" s="380"/>
      <c r="B173" s="666" t="s">
        <v>1137</v>
      </c>
      <c r="C173" s="666" t="s">
        <v>956</v>
      </c>
      <c r="D173" s="666"/>
      <c r="E173" s="666"/>
      <c r="F173" s="681" t="s">
        <v>947</v>
      </c>
      <c r="G173" s="701">
        <f>SUBTOTAL(9,G174:G185)</f>
        <v>0.63298114171514996</v>
      </c>
      <c r="H173" s="702">
        <f>SUBTOTAL(9,H174:H185)</f>
        <v>9</v>
      </c>
      <c r="I173" s="627"/>
      <c r="J173" s="754"/>
      <c r="L173" s="761"/>
      <c r="M173" s="761"/>
      <c r="N173" s="761"/>
      <c r="O173" s="761"/>
      <c r="P173" s="761"/>
      <c r="Q173" s="761"/>
      <c r="R173" s="761"/>
      <c r="T173" s="754"/>
      <c r="V173" s="701">
        <f>SUBTOTAL(9,V174:V185)</f>
        <v>0</v>
      </c>
      <c r="W173" s="702">
        <f>SUBTOTAL(9,W174:W185)</f>
        <v>0</v>
      </c>
    </row>
    <row r="174" spans="1:23" ht="26.45" outlineLevel="2">
      <c r="A174" s="376"/>
      <c r="B174" s="684" t="s">
        <v>1137</v>
      </c>
      <c r="C174" s="684" t="s">
        <v>956</v>
      </c>
      <c r="D174" s="684" t="s">
        <v>159</v>
      </c>
      <c r="E174" s="684"/>
      <c r="F174" s="685" t="s">
        <v>1138</v>
      </c>
      <c r="G174" s="686">
        <f>SUBTOTAL(9,G175:G177)</f>
        <v>0.30105801900000001</v>
      </c>
      <c r="H174" s="691">
        <f>SUBTOTAL(9,H175:H177)</f>
        <v>3</v>
      </c>
      <c r="I174" s="626"/>
      <c r="J174" s="752"/>
      <c r="L174" s="685"/>
      <c r="M174" s="685"/>
      <c r="N174" s="685"/>
      <c r="O174" s="685"/>
      <c r="P174" s="685"/>
      <c r="Q174" s="685"/>
      <c r="R174" s="685"/>
      <c r="T174" s="752"/>
      <c r="V174" s="686">
        <f>SUBTOTAL(9,V175:V177)</f>
        <v>0</v>
      </c>
      <c r="W174" s="691">
        <f>SUBTOTAL(9,W175:W177)</f>
        <v>0</v>
      </c>
    </row>
    <row r="175" spans="1:23" ht="26.45" outlineLevel="3">
      <c r="A175" s="376"/>
      <c r="B175" s="376" t="s">
        <v>1137</v>
      </c>
      <c r="C175" s="376" t="s">
        <v>956</v>
      </c>
      <c r="D175" s="376" t="s">
        <v>159</v>
      </c>
      <c r="E175" s="376" t="s">
        <v>1100</v>
      </c>
      <c r="F175" s="608" t="s">
        <v>1139</v>
      </c>
      <c r="G175" s="609">
        <v>0.13060359000000002</v>
      </c>
      <c r="H175" s="692">
        <v>1</v>
      </c>
      <c r="I175" s="626"/>
      <c r="J175" s="752"/>
      <c r="L175" s="608" t="s">
        <v>1100</v>
      </c>
      <c r="M175" s="608" t="s">
        <v>1090</v>
      </c>
      <c r="N175" s="608" t="s">
        <v>1110</v>
      </c>
      <c r="O175" s="608" t="s">
        <v>1140</v>
      </c>
      <c r="P175" s="608" t="s">
        <v>1111</v>
      </c>
      <c r="Q175" s="608"/>
      <c r="R175" s="608"/>
      <c r="T175" s="752"/>
      <c r="V175" s="609">
        <f t="shared" ref="V175:V177" si="22">IF(W175=1,G175,0)</f>
        <v>0</v>
      </c>
      <c r="W175" s="692"/>
    </row>
    <row r="176" spans="1:23" ht="26.45" outlineLevel="3">
      <c r="A176" s="376"/>
      <c r="B176" s="376" t="s">
        <v>1137</v>
      </c>
      <c r="C176" s="376" t="s">
        <v>956</v>
      </c>
      <c r="D176" s="376" t="s">
        <v>159</v>
      </c>
      <c r="E176" s="376" t="s">
        <v>1100</v>
      </c>
      <c r="F176" s="608" t="s">
        <v>1141</v>
      </c>
      <c r="G176" s="609">
        <v>7.8362154000000003E-2</v>
      </c>
      <c r="H176" s="692">
        <v>1</v>
      </c>
      <c r="I176" s="626"/>
      <c r="J176" s="752"/>
      <c r="L176" s="608" t="s">
        <v>1100</v>
      </c>
      <c r="M176" s="608" t="s">
        <v>1090</v>
      </c>
      <c r="N176" s="608" t="s">
        <v>1110</v>
      </c>
      <c r="O176" s="608" t="s">
        <v>1140</v>
      </c>
      <c r="P176" s="608" t="s">
        <v>1111</v>
      </c>
      <c r="Q176" s="608"/>
      <c r="R176" s="608"/>
      <c r="T176" s="752"/>
      <c r="V176" s="609">
        <f t="shared" si="22"/>
        <v>0</v>
      </c>
      <c r="W176" s="692"/>
    </row>
    <row r="177" spans="1:23" ht="26.45" outlineLevel="3">
      <c r="A177" s="376"/>
      <c r="B177" s="376" t="s">
        <v>1137</v>
      </c>
      <c r="C177" s="376" t="s">
        <v>956</v>
      </c>
      <c r="D177" s="376" t="s">
        <v>159</v>
      </c>
      <c r="E177" s="376" t="s">
        <v>1100</v>
      </c>
      <c r="F177" s="608" t="s">
        <v>1142</v>
      </c>
      <c r="G177" s="609">
        <v>9.2092275000000001E-2</v>
      </c>
      <c r="H177" s="692">
        <v>1</v>
      </c>
      <c r="I177" s="626"/>
      <c r="J177" s="752"/>
      <c r="L177" s="608" t="s">
        <v>1100</v>
      </c>
      <c r="M177" s="608" t="s">
        <v>1090</v>
      </c>
      <c r="N177" s="608" t="s">
        <v>1110</v>
      </c>
      <c r="O177" s="608" t="s">
        <v>1140</v>
      </c>
      <c r="P177" s="608" t="s">
        <v>1111</v>
      </c>
      <c r="Q177" s="608"/>
      <c r="R177" s="608"/>
      <c r="T177" s="752"/>
      <c r="V177" s="609">
        <f t="shared" si="22"/>
        <v>0</v>
      </c>
      <c r="W177" s="692"/>
    </row>
    <row r="178" spans="1:23" ht="26.45" outlineLevel="2">
      <c r="A178" s="376"/>
      <c r="B178" s="684" t="s">
        <v>1137</v>
      </c>
      <c r="C178" s="684" t="s">
        <v>956</v>
      </c>
      <c r="D178" s="684" t="s">
        <v>518</v>
      </c>
      <c r="E178" s="684"/>
      <c r="F178" s="685" t="s">
        <v>1138</v>
      </c>
      <c r="G178" s="686">
        <f>SUBTOTAL(9,G179:G182)</f>
        <v>0.28480034280014982</v>
      </c>
      <c r="H178" s="691">
        <f>SUBTOTAL(9,H179:H182)</f>
        <v>4</v>
      </c>
      <c r="I178" s="626"/>
      <c r="J178" s="752"/>
      <c r="L178" s="685"/>
      <c r="M178" s="685"/>
      <c r="N178" s="685"/>
      <c r="O178" s="685"/>
      <c r="P178" s="685"/>
      <c r="Q178" s="685"/>
      <c r="R178" s="685"/>
      <c r="T178" s="752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1137</v>
      </c>
      <c r="C179" s="376" t="s">
        <v>956</v>
      </c>
      <c r="D179" s="376" t="s">
        <v>518</v>
      </c>
      <c r="E179" s="376" t="s">
        <v>56</v>
      </c>
      <c r="F179" s="608" t="s">
        <v>1139</v>
      </c>
      <c r="G179" s="609">
        <v>0.11799571852507491</v>
      </c>
      <c r="H179" s="692">
        <v>1</v>
      </c>
      <c r="I179" s="626"/>
      <c r="J179" s="752"/>
      <c r="L179" s="608" t="s">
        <v>56</v>
      </c>
      <c r="M179" s="608" t="s">
        <v>959</v>
      </c>
      <c r="N179" s="608" t="s">
        <v>1095</v>
      </c>
      <c r="O179" s="608"/>
      <c r="P179" s="608" t="s">
        <v>1143</v>
      </c>
      <c r="Q179" s="608"/>
      <c r="R179" s="608">
        <v>0</v>
      </c>
      <c r="T179" s="752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1137</v>
      </c>
      <c r="C180" s="376" t="s">
        <v>956</v>
      </c>
      <c r="D180" s="376" t="s">
        <v>518</v>
      </c>
      <c r="E180" s="376" t="s">
        <v>56</v>
      </c>
      <c r="F180" s="608" t="s">
        <v>1141</v>
      </c>
      <c r="G180" s="609">
        <v>0.11799571852507491</v>
      </c>
      <c r="H180" s="692">
        <v>1</v>
      </c>
      <c r="I180" s="626"/>
      <c r="J180" s="752"/>
      <c r="L180" s="608" t="s">
        <v>56</v>
      </c>
      <c r="M180" s="608" t="s">
        <v>959</v>
      </c>
      <c r="N180" s="608" t="s">
        <v>1095</v>
      </c>
      <c r="O180" s="608"/>
      <c r="P180" s="608" t="s">
        <v>1143</v>
      </c>
      <c r="Q180" s="608"/>
      <c r="R180" s="608">
        <v>0</v>
      </c>
      <c r="T180" s="752"/>
      <c r="V180" s="609">
        <f t="shared" si="23"/>
        <v>0</v>
      </c>
      <c r="W180" s="692"/>
    </row>
    <row r="181" spans="1:23" outlineLevel="3">
      <c r="A181" s="376"/>
      <c r="B181" s="376" t="s">
        <v>1137</v>
      </c>
      <c r="C181" s="376" t="s">
        <v>956</v>
      </c>
      <c r="D181" s="376" t="s">
        <v>518</v>
      </c>
      <c r="E181" s="376" t="s">
        <v>56</v>
      </c>
      <c r="F181" s="608" t="s">
        <v>1144</v>
      </c>
      <c r="G181" s="609">
        <v>9.7617811500000009E-3</v>
      </c>
      <c r="H181" s="692">
        <v>1</v>
      </c>
      <c r="I181" s="626"/>
      <c r="J181" s="752"/>
      <c r="L181" s="608" t="s">
        <v>56</v>
      </c>
      <c r="M181" s="608"/>
      <c r="N181" s="608" t="s">
        <v>1145</v>
      </c>
      <c r="O181" s="608"/>
      <c r="P181" s="608"/>
      <c r="Q181" s="608"/>
      <c r="R181" s="608">
        <v>0</v>
      </c>
      <c r="T181" s="752"/>
      <c r="V181" s="609">
        <f t="shared" si="23"/>
        <v>0</v>
      </c>
      <c r="W181" s="692"/>
    </row>
    <row r="182" spans="1:23" outlineLevel="3">
      <c r="A182" s="376"/>
      <c r="B182" s="376" t="s">
        <v>1137</v>
      </c>
      <c r="C182" s="376" t="s">
        <v>956</v>
      </c>
      <c r="D182" s="376" t="s">
        <v>518</v>
      </c>
      <c r="E182" s="376" t="s">
        <v>56</v>
      </c>
      <c r="F182" s="608" t="s">
        <v>1142</v>
      </c>
      <c r="G182" s="609">
        <v>3.9047124600000004E-2</v>
      </c>
      <c r="H182" s="692">
        <v>1</v>
      </c>
      <c r="I182" s="626"/>
      <c r="J182" s="752"/>
      <c r="L182" s="608" t="s">
        <v>56</v>
      </c>
      <c r="M182" s="608"/>
      <c r="N182" s="608" t="s">
        <v>1145</v>
      </c>
      <c r="O182" s="608"/>
      <c r="P182" s="608"/>
      <c r="Q182" s="608"/>
      <c r="R182" s="608">
        <v>0</v>
      </c>
      <c r="T182" s="752"/>
      <c r="V182" s="609">
        <f t="shared" si="23"/>
        <v>0</v>
      </c>
      <c r="W182" s="692"/>
    </row>
    <row r="183" spans="1:23" ht="26.45" outlineLevel="2">
      <c r="A183" s="376"/>
      <c r="B183" s="684" t="s">
        <v>1137</v>
      </c>
      <c r="C183" s="684" t="s">
        <v>956</v>
      </c>
      <c r="D183" s="684" t="s">
        <v>441</v>
      </c>
      <c r="E183" s="684"/>
      <c r="F183" s="685" t="s">
        <v>1146</v>
      </c>
      <c r="G183" s="686">
        <f>SUBTOTAL(9,G184:G185)</f>
        <v>4.7122779914999996E-2</v>
      </c>
      <c r="H183" s="691">
        <f>SUBTOTAL(9,H184:H185)</f>
        <v>2</v>
      </c>
      <c r="I183" s="626"/>
      <c r="J183" s="752"/>
      <c r="L183" s="685"/>
      <c r="M183" s="685"/>
      <c r="N183" s="685"/>
      <c r="O183" s="685"/>
      <c r="P183" s="685"/>
      <c r="Q183" s="685"/>
      <c r="R183" s="685"/>
      <c r="T183" s="752"/>
      <c r="V183" s="686">
        <f>SUBTOTAL(9,V184:V185)</f>
        <v>0</v>
      </c>
      <c r="W183" s="691">
        <f>SUBTOTAL(9,W184:W185)</f>
        <v>0</v>
      </c>
    </row>
    <row r="184" spans="1:23" ht="39.6" outlineLevel="3">
      <c r="A184" s="376"/>
      <c r="B184" s="376" t="s">
        <v>1137</v>
      </c>
      <c r="C184" s="376" t="s">
        <v>956</v>
      </c>
      <c r="D184" s="376" t="s">
        <v>441</v>
      </c>
      <c r="E184" s="376" t="s">
        <v>437</v>
      </c>
      <c r="F184" s="608" t="s">
        <v>1139</v>
      </c>
      <c r="G184" s="609">
        <v>3.0822447240000002E-2</v>
      </c>
      <c r="H184" s="692">
        <v>1</v>
      </c>
      <c r="I184" s="626"/>
      <c r="J184" s="752"/>
      <c r="L184" s="608" t="s">
        <v>437</v>
      </c>
      <c r="M184" s="608" t="s">
        <v>966</v>
      </c>
      <c r="N184" s="608" t="s">
        <v>1147</v>
      </c>
      <c r="O184" s="608" t="s">
        <v>1148</v>
      </c>
      <c r="P184" s="608"/>
      <c r="Q184" s="608"/>
      <c r="R184" s="608"/>
      <c r="T184" s="752"/>
      <c r="V184" s="609">
        <f t="shared" ref="V184:V185" si="24">IF(W184=1,G184,0)</f>
        <v>0</v>
      </c>
      <c r="W184" s="692"/>
    </row>
    <row r="185" spans="1:23" ht="39.6" outlineLevel="3">
      <c r="A185" s="376"/>
      <c r="B185" s="376" t="s">
        <v>1137</v>
      </c>
      <c r="C185" s="376" t="s">
        <v>956</v>
      </c>
      <c r="D185" s="376" t="s">
        <v>441</v>
      </c>
      <c r="E185" s="376" t="s">
        <v>437</v>
      </c>
      <c r="F185" s="608" t="s">
        <v>1142</v>
      </c>
      <c r="G185" s="609">
        <v>1.6300332674999998E-2</v>
      </c>
      <c r="H185" s="692">
        <v>1</v>
      </c>
      <c r="I185" s="626"/>
      <c r="J185" s="752"/>
      <c r="L185" s="608" t="s">
        <v>437</v>
      </c>
      <c r="M185" s="608" t="s">
        <v>966</v>
      </c>
      <c r="N185" s="608" t="s">
        <v>1147</v>
      </c>
      <c r="O185" s="608" t="s">
        <v>1148</v>
      </c>
      <c r="P185" s="608"/>
      <c r="Q185" s="608"/>
      <c r="R185" s="608"/>
      <c r="T185" s="752"/>
      <c r="V185" s="609">
        <f t="shared" si="24"/>
        <v>0</v>
      </c>
      <c r="W185" s="692"/>
    </row>
    <row r="186" spans="1:23" outlineLevel="1">
      <c r="A186" s="376"/>
      <c r="B186" s="665" t="s">
        <v>901</v>
      </c>
      <c r="C186" s="665" t="s">
        <v>1089</v>
      </c>
      <c r="D186" s="665"/>
      <c r="E186" s="665"/>
      <c r="F186" s="681" t="s">
        <v>947</v>
      </c>
      <c r="G186" s="701">
        <f>SUBTOTAL(9,G187:G199)</f>
        <v>0.87000000000000011</v>
      </c>
      <c r="H186" s="702">
        <f>SUBTOTAL(9,H187:H199)</f>
        <v>10</v>
      </c>
      <c r="I186" s="626"/>
      <c r="J186" s="752"/>
      <c r="L186" s="681"/>
      <c r="M186" s="681"/>
      <c r="N186" s="681"/>
      <c r="O186" s="681"/>
      <c r="P186" s="681"/>
      <c r="Q186" s="681"/>
      <c r="R186" s="681"/>
      <c r="T186" s="752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901</v>
      </c>
      <c r="C187" s="684" t="s">
        <v>1089</v>
      </c>
      <c r="D187" s="684" t="s">
        <v>159</v>
      </c>
      <c r="E187" s="684"/>
      <c r="F187" s="685" t="s">
        <v>1022</v>
      </c>
      <c r="G187" s="713">
        <f>SUBTOTAL(9,G188:G191)</f>
        <v>0.45000000000000007</v>
      </c>
      <c r="H187" s="714">
        <f>SUBTOTAL(9,H188:H191)</f>
        <v>4</v>
      </c>
      <c r="I187" s="626"/>
      <c r="J187" s="752"/>
      <c r="L187" s="685"/>
      <c r="M187" s="685"/>
      <c r="N187" s="685"/>
      <c r="O187" s="685"/>
      <c r="P187" s="685"/>
      <c r="Q187" s="685"/>
      <c r="R187" s="685"/>
      <c r="T187" s="752"/>
      <c r="V187" s="713">
        <f>SUBTOTAL(9,V188:V191)</f>
        <v>0</v>
      </c>
      <c r="W187" s="714">
        <f>SUBTOTAL(9,W188:W191)</f>
        <v>0</v>
      </c>
    </row>
    <row r="188" spans="1:23" ht="26.45" outlineLevel="3">
      <c r="A188" s="376"/>
      <c r="B188" s="376" t="s">
        <v>901</v>
      </c>
      <c r="C188" s="376" t="s">
        <v>1089</v>
      </c>
      <c r="D188" s="376" t="s">
        <v>159</v>
      </c>
      <c r="E188" s="376" t="s">
        <v>1100</v>
      </c>
      <c r="F188" s="608" t="s">
        <v>1149</v>
      </c>
      <c r="G188" s="695">
        <v>0.3</v>
      </c>
      <c r="H188" s="700">
        <v>1</v>
      </c>
      <c r="I188" s="626"/>
      <c r="J188" s="752"/>
      <c r="L188" s="608" t="s">
        <v>1100</v>
      </c>
      <c r="M188" s="608" t="s">
        <v>1090</v>
      </c>
      <c r="N188" s="608" t="s">
        <v>1150</v>
      </c>
      <c r="O188" s="608" t="s">
        <v>1151</v>
      </c>
      <c r="P188" s="608" t="s">
        <v>1152</v>
      </c>
      <c r="Q188" s="608"/>
      <c r="R188" s="608"/>
      <c r="T188" s="752"/>
      <c r="V188" s="609">
        <f t="shared" ref="V188:V191" si="25">IF(W188=1,G188,0)</f>
        <v>0</v>
      </c>
      <c r="W188" s="700"/>
    </row>
    <row r="189" spans="1:23" ht="26.45" outlineLevel="3">
      <c r="A189" s="376"/>
      <c r="B189" s="376" t="s">
        <v>901</v>
      </c>
      <c r="C189" s="376" t="s">
        <v>1089</v>
      </c>
      <c r="D189" s="376" t="s">
        <v>159</v>
      </c>
      <c r="E189" s="376" t="s">
        <v>1100</v>
      </c>
      <c r="F189" s="608" t="s">
        <v>1117</v>
      </c>
      <c r="G189" s="695">
        <v>0.09</v>
      </c>
      <c r="H189" s="700">
        <v>1</v>
      </c>
      <c r="I189" s="626"/>
      <c r="J189" s="752"/>
      <c r="L189" s="608" t="s">
        <v>1100</v>
      </c>
      <c r="M189" s="608" t="s">
        <v>1090</v>
      </c>
      <c r="N189" s="608" t="s">
        <v>1150</v>
      </c>
      <c r="O189" s="608" t="s">
        <v>1151</v>
      </c>
      <c r="P189" s="608" t="s">
        <v>1152</v>
      </c>
      <c r="Q189" s="608"/>
      <c r="R189" s="608"/>
      <c r="T189" s="752"/>
      <c r="V189" s="609">
        <f t="shared" si="25"/>
        <v>0</v>
      </c>
      <c r="W189" s="700"/>
    </row>
    <row r="190" spans="1:23" ht="26.45" outlineLevel="3">
      <c r="A190" s="376"/>
      <c r="B190" s="376" t="s">
        <v>901</v>
      </c>
      <c r="C190" s="376" t="s">
        <v>1089</v>
      </c>
      <c r="D190" s="376" t="s">
        <v>159</v>
      </c>
      <c r="E190" s="376" t="s">
        <v>1100</v>
      </c>
      <c r="F190" s="608" t="s">
        <v>1094</v>
      </c>
      <c r="G190" s="695">
        <v>0.03</v>
      </c>
      <c r="H190" s="700">
        <v>1</v>
      </c>
      <c r="I190" s="626"/>
      <c r="J190" s="752"/>
      <c r="L190" s="608" t="s">
        <v>1100</v>
      </c>
      <c r="M190" s="608" t="s">
        <v>1090</v>
      </c>
      <c r="N190" s="608" t="s">
        <v>1150</v>
      </c>
      <c r="O190" s="608" t="s">
        <v>1151</v>
      </c>
      <c r="P190" s="608" t="s">
        <v>1152</v>
      </c>
      <c r="Q190" s="608"/>
      <c r="R190" s="608"/>
      <c r="T190" s="752"/>
      <c r="V190" s="609">
        <f t="shared" si="25"/>
        <v>0</v>
      </c>
      <c r="W190" s="700"/>
    </row>
    <row r="191" spans="1:23" ht="26.45" outlineLevel="3">
      <c r="A191" s="376"/>
      <c r="B191" s="376" t="s">
        <v>901</v>
      </c>
      <c r="C191" s="376" t="s">
        <v>1089</v>
      </c>
      <c r="D191" s="376" t="s">
        <v>159</v>
      </c>
      <c r="E191" s="376" t="s">
        <v>1100</v>
      </c>
      <c r="F191" s="608" t="s">
        <v>1106</v>
      </c>
      <c r="G191" s="695">
        <v>0.03</v>
      </c>
      <c r="H191" s="700">
        <v>1</v>
      </c>
      <c r="I191" s="626"/>
      <c r="J191" s="752"/>
      <c r="L191" s="608" t="s">
        <v>1100</v>
      </c>
      <c r="M191" s="608" t="s">
        <v>1090</v>
      </c>
      <c r="N191" s="608" t="s">
        <v>1150</v>
      </c>
      <c r="O191" s="608" t="s">
        <v>1151</v>
      </c>
      <c r="P191" s="608" t="s">
        <v>1152</v>
      </c>
      <c r="Q191" s="608"/>
      <c r="R191" s="608"/>
      <c r="T191" s="752"/>
      <c r="V191" s="609">
        <f t="shared" si="25"/>
        <v>0</v>
      </c>
      <c r="W191" s="700"/>
    </row>
    <row r="192" spans="1:23" outlineLevel="2">
      <c r="A192" s="376"/>
      <c r="B192" s="684" t="s">
        <v>901</v>
      </c>
      <c r="C192" s="684" t="s">
        <v>1089</v>
      </c>
      <c r="D192" s="684" t="s">
        <v>518</v>
      </c>
      <c r="E192" s="684"/>
      <c r="F192" s="685" t="s">
        <v>1022</v>
      </c>
      <c r="G192" s="713">
        <f>SUBTOTAL(9,G193:G197)</f>
        <v>0.38000000000000006</v>
      </c>
      <c r="H192" s="714">
        <f>SUBTOTAL(9,H193:H197)</f>
        <v>5</v>
      </c>
      <c r="I192" s="626"/>
      <c r="J192" s="752"/>
      <c r="L192" s="685"/>
      <c r="M192" s="685"/>
      <c r="N192" s="685"/>
      <c r="O192" s="685"/>
      <c r="P192" s="685"/>
      <c r="Q192" s="685"/>
      <c r="R192" s="685"/>
      <c r="T192" s="752"/>
      <c r="V192" s="713">
        <f>SUBTOTAL(9,V193:V197)</f>
        <v>0.08</v>
      </c>
      <c r="W192" s="714">
        <f>SUBTOTAL(9,W193:W197)</f>
        <v>1</v>
      </c>
    </row>
    <row r="193" spans="1:23" ht="26.45" outlineLevel="3">
      <c r="A193" s="376"/>
      <c r="B193" s="376" t="s">
        <v>901</v>
      </c>
      <c r="C193" s="376" t="s">
        <v>1089</v>
      </c>
      <c r="D193" s="376" t="s">
        <v>518</v>
      </c>
      <c r="E193" s="376" t="s">
        <v>56</v>
      </c>
      <c r="F193" s="608" t="s">
        <v>1153</v>
      </c>
      <c r="G193" s="695">
        <v>0.08</v>
      </c>
      <c r="H193" s="700">
        <v>1</v>
      </c>
      <c r="I193" s="626"/>
      <c r="J193" s="752"/>
      <c r="L193" s="608" t="s">
        <v>56</v>
      </c>
      <c r="M193" s="608" t="s">
        <v>959</v>
      </c>
      <c r="N193" s="608" t="s">
        <v>1154</v>
      </c>
      <c r="O193" s="608"/>
      <c r="P193" s="608" t="s">
        <v>1155</v>
      </c>
      <c r="Q193" s="608"/>
      <c r="R193" s="608">
        <v>0</v>
      </c>
      <c r="T193" s="752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901</v>
      </c>
      <c r="C194" s="376" t="s">
        <v>1089</v>
      </c>
      <c r="D194" s="376" t="s">
        <v>518</v>
      </c>
      <c r="E194" s="376" t="s">
        <v>56</v>
      </c>
      <c r="F194" s="608" t="s">
        <v>1156</v>
      </c>
      <c r="G194" s="609">
        <v>0.17</v>
      </c>
      <c r="H194" s="700">
        <v>1</v>
      </c>
      <c r="I194" s="626"/>
      <c r="J194" s="752"/>
      <c r="L194" s="608" t="s">
        <v>56</v>
      </c>
      <c r="M194" s="608" t="s">
        <v>959</v>
      </c>
      <c r="N194" s="608" t="s">
        <v>1154</v>
      </c>
      <c r="O194" s="608"/>
      <c r="P194" s="608" t="s">
        <v>1155</v>
      </c>
      <c r="Q194" s="608"/>
      <c r="R194" s="608">
        <v>0</v>
      </c>
      <c r="T194" s="752"/>
      <c r="V194" s="609">
        <f t="shared" si="26"/>
        <v>0</v>
      </c>
      <c r="W194" s="700"/>
    </row>
    <row r="195" spans="1:23" outlineLevel="3">
      <c r="A195" s="376"/>
      <c r="B195" s="376" t="s">
        <v>901</v>
      </c>
      <c r="C195" s="376" t="s">
        <v>1089</v>
      </c>
      <c r="D195" s="376" t="s">
        <v>518</v>
      </c>
      <c r="E195" s="376" t="s">
        <v>56</v>
      </c>
      <c r="F195" s="608" t="s">
        <v>1094</v>
      </c>
      <c r="G195" s="695">
        <v>0.03</v>
      </c>
      <c r="H195" s="700">
        <v>1</v>
      </c>
      <c r="I195" s="626"/>
      <c r="J195" s="752"/>
      <c r="L195" s="608" t="s">
        <v>56</v>
      </c>
      <c r="M195" s="608" t="s">
        <v>959</v>
      </c>
      <c r="N195" s="608" t="s">
        <v>1154</v>
      </c>
      <c r="O195" s="608"/>
      <c r="P195" s="608" t="s">
        <v>1155</v>
      </c>
      <c r="Q195" s="608"/>
      <c r="R195" s="608">
        <v>0</v>
      </c>
      <c r="T195" s="752"/>
      <c r="V195" s="609">
        <f t="shared" si="26"/>
        <v>0</v>
      </c>
      <c r="W195" s="700"/>
    </row>
    <row r="196" spans="1:23" outlineLevel="3">
      <c r="A196" s="376"/>
      <c r="B196" s="376" t="s">
        <v>901</v>
      </c>
      <c r="C196" s="376" t="s">
        <v>1089</v>
      </c>
      <c r="D196" s="376" t="s">
        <v>518</v>
      </c>
      <c r="E196" s="376" t="s">
        <v>56</v>
      </c>
      <c r="F196" s="608" t="s">
        <v>1106</v>
      </c>
      <c r="G196" s="695">
        <v>0.03</v>
      </c>
      <c r="H196" s="700">
        <v>1</v>
      </c>
      <c r="I196" s="626"/>
      <c r="J196" s="752"/>
      <c r="L196" s="608" t="s">
        <v>56</v>
      </c>
      <c r="M196" s="608" t="s">
        <v>959</v>
      </c>
      <c r="N196" s="608" t="s">
        <v>1154</v>
      </c>
      <c r="O196" s="608"/>
      <c r="P196" s="608" t="s">
        <v>1155</v>
      </c>
      <c r="Q196" s="608"/>
      <c r="R196" s="608">
        <v>0</v>
      </c>
      <c r="T196" s="752"/>
      <c r="V196" s="609">
        <f t="shared" si="26"/>
        <v>0</v>
      </c>
      <c r="W196" s="700"/>
    </row>
    <row r="197" spans="1:23" ht="26.45" outlineLevel="3">
      <c r="A197" s="376"/>
      <c r="B197" s="376" t="s">
        <v>901</v>
      </c>
      <c r="C197" s="376" t="s">
        <v>1089</v>
      </c>
      <c r="D197" s="376" t="s">
        <v>518</v>
      </c>
      <c r="E197" s="376" t="s">
        <v>56</v>
      </c>
      <c r="F197" s="608" t="s">
        <v>1157</v>
      </c>
      <c r="G197" s="695">
        <v>7.0000000000000007E-2</v>
      </c>
      <c r="H197" s="700">
        <v>1</v>
      </c>
      <c r="I197" s="626"/>
      <c r="J197" s="752"/>
      <c r="L197" s="608" t="s">
        <v>56</v>
      </c>
      <c r="M197" s="608" t="s">
        <v>959</v>
      </c>
      <c r="N197" s="608" t="s">
        <v>1154</v>
      </c>
      <c r="O197" s="608"/>
      <c r="P197" s="608" t="s">
        <v>1155</v>
      </c>
      <c r="Q197" s="608"/>
      <c r="R197" s="608">
        <v>0</v>
      </c>
      <c r="T197" s="752"/>
      <c r="V197" s="609">
        <f t="shared" si="26"/>
        <v>0</v>
      </c>
      <c r="W197" s="700"/>
    </row>
    <row r="198" spans="1:23" outlineLevel="2">
      <c r="A198" s="376"/>
      <c r="B198" s="684" t="s">
        <v>901</v>
      </c>
      <c r="C198" s="684" t="s">
        <v>1089</v>
      </c>
      <c r="D198" s="684" t="s">
        <v>441</v>
      </c>
      <c r="E198" s="684"/>
      <c r="F198" s="685" t="s">
        <v>1022</v>
      </c>
      <c r="G198" s="713">
        <f>SUBTOTAL(9,G199)</f>
        <v>0.04</v>
      </c>
      <c r="H198" s="714">
        <f>SUBTOTAL(9,H199)</f>
        <v>1</v>
      </c>
      <c r="I198" s="626"/>
      <c r="J198" s="752"/>
      <c r="L198" s="685"/>
      <c r="M198" s="685"/>
      <c r="N198" s="685"/>
      <c r="O198" s="685"/>
      <c r="P198" s="685"/>
      <c r="Q198" s="685"/>
      <c r="R198" s="685"/>
      <c r="T198" s="752"/>
      <c r="V198" s="713">
        <f>SUBTOTAL(9,V199)</f>
        <v>0</v>
      </c>
      <c r="W198" s="714">
        <f>SUBTOTAL(9,W199)</f>
        <v>0</v>
      </c>
    </row>
    <row r="199" spans="1:23" ht="39.6" outlineLevel="3">
      <c r="A199" s="376"/>
      <c r="B199" s="376" t="s">
        <v>901</v>
      </c>
      <c r="C199" s="376" t="s">
        <v>1089</v>
      </c>
      <c r="D199" s="376" t="s">
        <v>441</v>
      </c>
      <c r="E199" s="376" t="s">
        <v>437</v>
      </c>
      <c r="F199" s="608" t="s">
        <v>1106</v>
      </c>
      <c r="G199" s="695">
        <v>0.04</v>
      </c>
      <c r="H199" s="700">
        <v>1</v>
      </c>
      <c r="I199" s="626"/>
      <c r="J199" s="752"/>
      <c r="L199" s="608" t="s">
        <v>437</v>
      </c>
      <c r="M199" s="608" t="s">
        <v>966</v>
      </c>
      <c r="N199" s="608" t="s">
        <v>967</v>
      </c>
      <c r="O199" s="608" t="s">
        <v>995</v>
      </c>
      <c r="P199" s="608"/>
      <c r="Q199" s="608"/>
      <c r="R199" s="608"/>
      <c r="T199" s="752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162</v>
      </c>
      <c r="C200" s="665" t="s">
        <v>162</v>
      </c>
      <c r="D200" s="665"/>
      <c r="E200" s="665"/>
      <c r="F200" s="681" t="s">
        <v>947</v>
      </c>
      <c r="G200" s="701">
        <f>SUBTOTAL(9,G201:G212)</f>
        <v>2.6025837640930845</v>
      </c>
      <c r="H200" s="702">
        <f>SUBTOTAL(9,H201:H212)</f>
        <v>9</v>
      </c>
      <c r="I200" s="626"/>
      <c r="J200" s="752"/>
      <c r="L200" s="681"/>
      <c r="M200" s="681"/>
      <c r="N200" s="681"/>
      <c r="O200" s="681"/>
      <c r="P200" s="681"/>
      <c r="Q200" s="681"/>
      <c r="R200" s="681"/>
      <c r="T200" s="752"/>
      <c r="V200" s="701">
        <f>SUBTOTAL(9,V201:V212)</f>
        <v>0</v>
      </c>
      <c r="W200" s="702">
        <f>SUBTOTAL(9,W201:W212)</f>
        <v>0</v>
      </c>
    </row>
    <row r="201" spans="1:23" ht="26.45" outlineLevel="2">
      <c r="A201" s="376"/>
      <c r="B201" s="684" t="s">
        <v>162</v>
      </c>
      <c r="C201" s="684" t="s">
        <v>162</v>
      </c>
      <c r="D201" s="684" t="s">
        <v>159</v>
      </c>
      <c r="E201" s="684"/>
      <c r="F201" s="685" t="s">
        <v>1158</v>
      </c>
      <c r="G201" s="713">
        <f>SUBTOTAL(9,G202:G205)</f>
        <v>1.547754763030085</v>
      </c>
      <c r="H201" s="714">
        <f>SUBTOTAL(9,H202:H205)</f>
        <v>4</v>
      </c>
      <c r="I201" s="626"/>
      <c r="J201" s="752"/>
      <c r="L201" s="685"/>
      <c r="M201" s="685"/>
      <c r="N201" s="685"/>
      <c r="O201" s="685"/>
      <c r="P201" s="685"/>
      <c r="Q201" s="685"/>
      <c r="R201" s="685"/>
      <c r="T201" s="752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162</v>
      </c>
      <c r="C202" s="376" t="s">
        <v>162</v>
      </c>
      <c r="D202" s="376" t="s">
        <v>159</v>
      </c>
      <c r="E202" s="376" t="s">
        <v>1159</v>
      </c>
      <c r="F202" s="608" t="s">
        <v>1160</v>
      </c>
      <c r="G202" s="695">
        <v>0.61910190521203401</v>
      </c>
      <c r="H202" s="700">
        <v>1</v>
      </c>
      <c r="I202" s="626"/>
      <c r="J202" s="752"/>
      <c r="L202" s="608" t="s">
        <v>1159</v>
      </c>
      <c r="M202" s="608" t="s">
        <v>1161</v>
      </c>
      <c r="N202" s="608" t="s">
        <v>1162</v>
      </c>
      <c r="O202" s="608" t="s">
        <v>1163</v>
      </c>
      <c r="P202" s="608"/>
      <c r="Q202" s="608"/>
      <c r="R202" s="608"/>
      <c r="T202" s="752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162</v>
      </c>
      <c r="C203" s="376" t="s">
        <v>162</v>
      </c>
      <c r="D203" s="376" t="s">
        <v>159</v>
      </c>
      <c r="E203" s="376" t="s">
        <v>1159</v>
      </c>
      <c r="F203" s="608" t="s">
        <v>1164</v>
      </c>
      <c r="G203" s="695">
        <v>0.61910190521203401</v>
      </c>
      <c r="H203" s="700">
        <v>1</v>
      </c>
      <c r="I203" s="626"/>
      <c r="J203" s="752"/>
      <c r="L203" s="608" t="s">
        <v>1159</v>
      </c>
      <c r="M203" s="608" t="s">
        <v>1161</v>
      </c>
      <c r="N203" s="608" t="s">
        <v>1162</v>
      </c>
      <c r="O203" s="608" t="s">
        <v>1163</v>
      </c>
      <c r="P203" s="608"/>
      <c r="Q203" s="608"/>
      <c r="R203" s="608"/>
      <c r="T203" s="752"/>
      <c r="V203" s="609">
        <f t="shared" si="28"/>
        <v>0</v>
      </c>
      <c r="W203" s="700"/>
    </row>
    <row r="204" spans="1:23" outlineLevel="3">
      <c r="A204" s="376"/>
      <c r="B204" s="376" t="s">
        <v>162</v>
      </c>
      <c r="C204" s="376" t="s">
        <v>162</v>
      </c>
      <c r="D204" s="376" t="s">
        <v>159</v>
      </c>
      <c r="E204" s="376" t="s">
        <v>1159</v>
      </c>
      <c r="F204" s="608" t="s">
        <v>1165</v>
      </c>
      <c r="G204" s="695">
        <v>0.1547754763030085</v>
      </c>
      <c r="H204" s="700">
        <v>1</v>
      </c>
      <c r="I204" s="626"/>
      <c r="J204" s="752"/>
      <c r="L204" s="608" t="s">
        <v>1159</v>
      </c>
      <c r="M204" s="608" t="s">
        <v>1161</v>
      </c>
      <c r="N204" s="608" t="s">
        <v>1162</v>
      </c>
      <c r="O204" s="608" t="s">
        <v>1163</v>
      </c>
      <c r="P204" s="608"/>
      <c r="Q204" s="608"/>
      <c r="R204" s="608"/>
      <c r="T204" s="752"/>
      <c r="V204" s="609">
        <f t="shared" si="28"/>
        <v>0</v>
      </c>
      <c r="W204" s="700"/>
    </row>
    <row r="205" spans="1:23" outlineLevel="3">
      <c r="A205" s="376"/>
      <c r="B205" s="376" t="s">
        <v>162</v>
      </c>
      <c r="C205" s="376" t="s">
        <v>162</v>
      </c>
      <c r="D205" s="376" t="s">
        <v>159</v>
      </c>
      <c r="E205" s="376" t="s">
        <v>1159</v>
      </c>
      <c r="F205" s="608" t="s">
        <v>245</v>
      </c>
      <c r="G205" s="609">
        <v>0.1547754763030085</v>
      </c>
      <c r="H205" s="692">
        <v>1</v>
      </c>
      <c r="J205" s="752"/>
      <c r="L205" s="608" t="s">
        <v>1159</v>
      </c>
      <c r="M205" s="608" t="s">
        <v>1161</v>
      </c>
      <c r="N205" s="608" t="s">
        <v>1162</v>
      </c>
      <c r="O205" s="608" t="s">
        <v>1163</v>
      </c>
      <c r="P205" s="608"/>
      <c r="Q205" s="608"/>
      <c r="R205" s="608"/>
      <c r="T205" s="752"/>
      <c r="V205" s="609">
        <f t="shared" si="28"/>
        <v>0</v>
      </c>
      <c r="W205" s="692"/>
    </row>
    <row r="206" spans="1:23" ht="26.45" outlineLevel="2">
      <c r="A206" s="376"/>
      <c r="B206" s="684" t="s">
        <v>162</v>
      </c>
      <c r="C206" s="684" t="s">
        <v>162</v>
      </c>
      <c r="D206" s="684" t="s">
        <v>518</v>
      </c>
      <c r="E206" s="684"/>
      <c r="F206" s="685" t="s">
        <v>1166</v>
      </c>
      <c r="G206" s="713">
        <f>SUBTOTAL(9,G207:G210)</f>
        <v>1.005255014743917</v>
      </c>
      <c r="H206" s="714">
        <f>SUBTOTAL(9,H207:H210)</f>
        <v>4</v>
      </c>
      <c r="I206" s="626"/>
      <c r="J206" s="752"/>
      <c r="L206" s="685"/>
      <c r="M206" s="685"/>
      <c r="N206" s="685"/>
      <c r="O206" s="685"/>
      <c r="P206" s="685"/>
      <c r="Q206" s="685"/>
      <c r="R206" s="685"/>
      <c r="T206" s="752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162</v>
      </c>
      <c r="C207" s="376" t="s">
        <v>162</v>
      </c>
      <c r="D207" s="376" t="s">
        <v>518</v>
      </c>
      <c r="E207" s="376" t="s">
        <v>56</v>
      </c>
      <c r="F207" s="608" t="s">
        <v>1167</v>
      </c>
      <c r="G207" s="695">
        <v>0.40295193575893268</v>
      </c>
      <c r="H207" s="700">
        <v>1</v>
      </c>
      <c r="I207" s="626"/>
      <c r="J207" s="752"/>
      <c r="L207" s="608" t="s">
        <v>56</v>
      </c>
      <c r="M207" s="608" t="s">
        <v>959</v>
      </c>
      <c r="N207" s="608" t="s">
        <v>960</v>
      </c>
      <c r="O207" s="608"/>
      <c r="P207" s="608" t="s">
        <v>1168</v>
      </c>
      <c r="Q207" s="608"/>
      <c r="R207" s="608">
        <v>0</v>
      </c>
      <c r="T207" s="752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162</v>
      </c>
      <c r="C208" s="376" t="s">
        <v>162</v>
      </c>
      <c r="D208" s="376" t="s">
        <v>518</v>
      </c>
      <c r="E208" s="376" t="s">
        <v>56</v>
      </c>
      <c r="F208" s="608" t="s">
        <v>104</v>
      </c>
      <c r="G208" s="695">
        <v>0.33579327979911056</v>
      </c>
      <c r="H208" s="700">
        <v>1</v>
      </c>
      <c r="I208" s="626"/>
      <c r="J208" s="752"/>
      <c r="L208" s="608" t="s">
        <v>56</v>
      </c>
      <c r="M208" s="608" t="s">
        <v>959</v>
      </c>
      <c r="N208" s="608" t="s">
        <v>960</v>
      </c>
      <c r="O208" s="608"/>
      <c r="P208" s="608" t="s">
        <v>1168</v>
      </c>
      <c r="Q208" s="608"/>
      <c r="R208" s="608">
        <v>0</v>
      </c>
      <c r="T208" s="752"/>
      <c r="V208" s="609">
        <f t="shared" si="29"/>
        <v>0</v>
      </c>
      <c r="W208" s="700"/>
    </row>
    <row r="209" spans="1:23" outlineLevel="3">
      <c r="A209" s="376"/>
      <c r="B209" s="376" t="s">
        <v>162</v>
      </c>
      <c r="C209" s="376" t="s">
        <v>162</v>
      </c>
      <c r="D209" s="376" t="s">
        <v>518</v>
      </c>
      <c r="E209" s="376" t="s">
        <v>56</v>
      </c>
      <c r="F209" s="608" t="s">
        <v>1160</v>
      </c>
      <c r="G209" s="695">
        <v>0.21693581286679067</v>
      </c>
      <c r="H209" s="700">
        <v>1</v>
      </c>
      <c r="I209" s="626"/>
      <c r="J209" s="752"/>
      <c r="L209" s="608" t="s">
        <v>56</v>
      </c>
      <c r="M209" s="608" t="s">
        <v>959</v>
      </c>
      <c r="N209" s="608" t="s">
        <v>1169</v>
      </c>
      <c r="O209" s="608"/>
      <c r="P209" s="608" t="s">
        <v>1168</v>
      </c>
      <c r="Q209" s="608"/>
      <c r="R209" s="608">
        <v>0</v>
      </c>
      <c r="T209" s="752"/>
      <c r="V209" s="609">
        <f t="shared" si="29"/>
        <v>0</v>
      </c>
      <c r="W209" s="700"/>
    </row>
    <row r="210" spans="1:23" outlineLevel="3">
      <c r="A210" s="376"/>
      <c r="B210" s="376" t="s">
        <v>162</v>
      </c>
      <c r="C210" s="376" t="s">
        <v>162</v>
      </c>
      <c r="D210" s="376" t="s">
        <v>518</v>
      </c>
      <c r="E210" s="376" t="s">
        <v>56</v>
      </c>
      <c r="F210" s="608" t="s">
        <v>1170</v>
      </c>
      <c r="G210" s="609">
        <v>4.9573986319083066E-2</v>
      </c>
      <c r="H210" s="692">
        <v>1</v>
      </c>
      <c r="I210" s="626"/>
      <c r="J210" s="752"/>
      <c r="L210" s="608" t="s">
        <v>56</v>
      </c>
      <c r="M210" s="608" t="s">
        <v>959</v>
      </c>
      <c r="N210" s="608" t="s">
        <v>1169</v>
      </c>
      <c r="O210" s="608"/>
      <c r="P210" s="608" t="s">
        <v>1168</v>
      </c>
      <c r="Q210" s="608"/>
      <c r="R210" s="608">
        <v>0</v>
      </c>
      <c r="T210" s="752"/>
      <c r="V210" s="609">
        <f t="shared" si="29"/>
        <v>0</v>
      </c>
      <c r="W210" s="692"/>
    </row>
    <row r="211" spans="1:23" outlineLevel="2">
      <c r="A211" s="376"/>
      <c r="B211" s="684" t="s">
        <v>162</v>
      </c>
      <c r="C211" s="684" t="s">
        <v>162</v>
      </c>
      <c r="D211" s="684" t="s">
        <v>441</v>
      </c>
      <c r="E211" s="684"/>
      <c r="F211" s="685" t="s">
        <v>1171</v>
      </c>
      <c r="G211" s="713">
        <f>SUBTOTAL(9,G212)</f>
        <v>4.9573986319083101E-2</v>
      </c>
      <c r="H211" s="714">
        <f>SUBTOTAL(9,H212)</f>
        <v>1</v>
      </c>
      <c r="I211" s="626"/>
      <c r="J211" s="752"/>
      <c r="L211" s="685"/>
      <c r="M211" s="685"/>
      <c r="N211" s="685"/>
      <c r="O211" s="685"/>
      <c r="P211" s="685"/>
      <c r="Q211" s="685"/>
      <c r="R211" s="685"/>
      <c r="T211" s="752"/>
      <c r="V211" s="713">
        <f>SUBTOTAL(9,V212)</f>
        <v>0</v>
      </c>
      <c r="W211" s="714">
        <f>SUBTOTAL(9,W212)</f>
        <v>0</v>
      </c>
    </row>
    <row r="212" spans="1:23" ht="39.6" outlineLevel="3">
      <c r="A212" s="376"/>
      <c r="B212" s="376" t="s">
        <v>162</v>
      </c>
      <c r="C212" s="376" t="s">
        <v>162</v>
      </c>
      <c r="D212" s="376" t="s">
        <v>441</v>
      </c>
      <c r="E212" s="376" t="s">
        <v>437</v>
      </c>
      <c r="F212" s="608" t="s">
        <v>1172</v>
      </c>
      <c r="G212" s="695">
        <v>4.9573986319083101E-2</v>
      </c>
      <c r="H212" s="700">
        <v>1</v>
      </c>
      <c r="I212" s="626"/>
      <c r="J212" s="752"/>
      <c r="L212" s="608" t="s">
        <v>437</v>
      </c>
      <c r="M212" s="608" t="s">
        <v>966</v>
      </c>
      <c r="N212" s="608" t="s">
        <v>1173</v>
      </c>
      <c r="O212" s="608" t="s">
        <v>1174</v>
      </c>
      <c r="P212" s="608"/>
      <c r="Q212" s="608"/>
      <c r="R212" s="608"/>
      <c r="T212" s="752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1175</v>
      </c>
      <c r="C213" s="665" t="s">
        <v>1018</v>
      </c>
      <c r="D213" s="665"/>
      <c r="E213" s="665"/>
      <c r="F213" s="681" t="s">
        <v>947</v>
      </c>
      <c r="G213" s="701">
        <f>SUBTOTAL(9,G214:G215)</f>
        <v>0.03</v>
      </c>
      <c r="H213" s="702">
        <f>SUBTOTAL(9,H214:H215)</f>
        <v>1</v>
      </c>
      <c r="I213" s="626"/>
      <c r="J213" s="752"/>
      <c r="L213" s="681"/>
      <c r="M213" s="681"/>
      <c r="N213" s="681"/>
      <c r="O213" s="681"/>
      <c r="P213" s="681"/>
      <c r="Q213" s="681"/>
      <c r="R213" s="681"/>
      <c r="T213" s="752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1175</v>
      </c>
      <c r="C214" s="684" t="s">
        <v>1018</v>
      </c>
      <c r="D214" s="684" t="s">
        <v>518</v>
      </c>
      <c r="E214" s="684"/>
      <c r="F214" s="685" t="s">
        <v>1022</v>
      </c>
      <c r="G214" s="713">
        <f>SUBTOTAL(9,G215)</f>
        <v>0.03</v>
      </c>
      <c r="H214" s="714">
        <f>SUBTOTAL(9,H215)</f>
        <v>1</v>
      </c>
      <c r="I214" s="626"/>
      <c r="J214" s="752"/>
      <c r="L214" s="685"/>
      <c r="M214" s="685"/>
      <c r="N214" s="685"/>
      <c r="O214" s="685"/>
      <c r="P214" s="685"/>
      <c r="Q214" s="685"/>
      <c r="R214" s="685"/>
      <c r="T214" s="752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1175</v>
      </c>
      <c r="C215" s="376" t="s">
        <v>1018</v>
      </c>
      <c r="D215" s="376" t="s">
        <v>518</v>
      </c>
      <c r="E215" s="376" t="s">
        <v>56</v>
      </c>
      <c r="F215" s="608" t="s">
        <v>1167</v>
      </c>
      <c r="G215" s="695">
        <v>0.03</v>
      </c>
      <c r="H215" s="700">
        <v>1</v>
      </c>
      <c r="I215" s="626"/>
      <c r="J215" s="752"/>
      <c r="L215" s="608" t="s">
        <v>56</v>
      </c>
      <c r="M215" s="608" t="s">
        <v>1008</v>
      </c>
      <c r="N215" s="608" t="s">
        <v>1078</v>
      </c>
      <c r="O215" s="608"/>
      <c r="P215" s="608" t="s">
        <v>1155</v>
      </c>
      <c r="Q215" s="608"/>
      <c r="R215" s="608">
        <v>0</v>
      </c>
      <c r="T215" s="752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252</v>
      </c>
      <c r="C216" s="666" t="s">
        <v>252</v>
      </c>
      <c r="D216" s="666"/>
      <c r="E216" s="666"/>
      <c r="F216" s="681" t="s">
        <v>947</v>
      </c>
      <c r="G216" s="701">
        <f>SUBTOTAL(9,G217:G252)</f>
        <v>7.528195722463928</v>
      </c>
      <c r="H216" s="702">
        <f>SUBTOTAL(9,H217:H252)</f>
        <v>33</v>
      </c>
      <c r="I216" s="626"/>
      <c r="J216" s="752"/>
      <c r="L216" s="761"/>
      <c r="M216" s="761"/>
      <c r="N216" s="761"/>
      <c r="O216" s="761"/>
      <c r="P216" s="761"/>
      <c r="Q216" s="761"/>
      <c r="R216" s="761"/>
      <c r="T216" s="752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252</v>
      </c>
      <c r="C217" s="684" t="s">
        <v>252</v>
      </c>
      <c r="D217" s="684" t="s">
        <v>159</v>
      </c>
      <c r="E217" s="687"/>
      <c r="F217" s="685" t="s">
        <v>1176</v>
      </c>
      <c r="G217" s="713">
        <f>SUBTOTAL(9,G218:G228)</f>
        <v>5.7305795176560004</v>
      </c>
      <c r="H217" s="714">
        <f>SUBTOTAL(9,H218:H228)</f>
        <v>11</v>
      </c>
      <c r="I217" s="626"/>
      <c r="J217" s="752"/>
      <c r="L217" s="717"/>
      <c r="M217" s="717"/>
      <c r="N217" s="717"/>
      <c r="O217" s="717"/>
      <c r="P217" s="717"/>
      <c r="Q217" s="717"/>
      <c r="R217" s="717"/>
      <c r="T217" s="752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252</v>
      </c>
      <c r="C218" s="376" t="s">
        <v>252</v>
      </c>
      <c r="D218" s="376" t="s">
        <v>159</v>
      </c>
      <c r="E218" s="387" t="s">
        <v>1159</v>
      </c>
      <c r="F218" s="608" t="s">
        <v>75</v>
      </c>
      <c r="G218" s="609">
        <v>7.3716905132000007E-2</v>
      </c>
      <c r="H218" s="692">
        <v>1</v>
      </c>
      <c r="I218" s="626"/>
      <c r="J218" s="752"/>
      <c r="L218" s="705" t="s">
        <v>1159</v>
      </c>
      <c r="M218" s="705" t="s">
        <v>1177</v>
      </c>
      <c r="N218" s="705" t="s">
        <v>1178</v>
      </c>
      <c r="O218" s="705" t="s">
        <v>1179</v>
      </c>
      <c r="P218" s="705"/>
      <c r="Q218" s="705"/>
      <c r="R218" s="705"/>
      <c r="T218" s="752"/>
      <c r="V218" s="609">
        <f t="shared" ref="V218:V228" si="32">IF(W218=1,G218,0)</f>
        <v>0</v>
      </c>
      <c r="W218" s="692"/>
    </row>
    <row r="219" spans="1:23" s="728" customFormat="1" outlineLevel="3">
      <c r="A219" s="376" t="s">
        <v>1180</v>
      </c>
      <c r="B219" s="376" t="s">
        <v>252</v>
      </c>
      <c r="C219" s="376" t="s">
        <v>252</v>
      </c>
      <c r="D219" s="376" t="s">
        <v>159</v>
      </c>
      <c r="E219" s="387" t="s">
        <v>1159</v>
      </c>
      <c r="F219" s="608" t="s">
        <v>957</v>
      </c>
      <c r="G219" s="609">
        <v>7.3716905132000007E-2</v>
      </c>
      <c r="H219" s="692">
        <v>1</v>
      </c>
      <c r="I219" s="626"/>
      <c r="J219" s="752"/>
      <c r="K219" s="416"/>
      <c r="L219" s="705" t="s">
        <v>1159</v>
      </c>
      <c r="M219" s="705" t="s">
        <v>1177</v>
      </c>
      <c r="N219" s="705" t="s">
        <v>1178</v>
      </c>
      <c r="O219" s="705" t="s">
        <v>1179</v>
      </c>
      <c r="P219" s="705"/>
      <c r="Q219" s="705"/>
      <c r="R219" s="705"/>
      <c r="S219" s="416"/>
      <c r="T219" s="752"/>
      <c r="U219" s="416"/>
      <c r="V219" s="609">
        <f t="shared" si="32"/>
        <v>0</v>
      </c>
      <c r="W219" s="692"/>
    </row>
    <row r="220" spans="1:23" outlineLevel="3">
      <c r="A220" s="376"/>
      <c r="B220" s="376" t="s">
        <v>252</v>
      </c>
      <c r="C220" s="376" t="s">
        <v>252</v>
      </c>
      <c r="D220" s="376" t="s">
        <v>159</v>
      </c>
      <c r="E220" s="387" t="s">
        <v>1159</v>
      </c>
      <c r="F220" s="608" t="s">
        <v>1004</v>
      </c>
      <c r="G220" s="609">
        <v>7.3716905132000007E-2</v>
      </c>
      <c r="H220" s="700">
        <v>1</v>
      </c>
      <c r="I220" s="626"/>
      <c r="J220" s="752"/>
      <c r="L220" s="705" t="s">
        <v>1159</v>
      </c>
      <c r="M220" s="705" t="s">
        <v>1177</v>
      </c>
      <c r="N220" s="705" t="s">
        <v>1178</v>
      </c>
      <c r="O220" s="705" t="s">
        <v>1179</v>
      </c>
      <c r="P220" s="705"/>
      <c r="Q220" s="705"/>
      <c r="R220" s="705"/>
      <c r="T220" s="752"/>
      <c r="V220" s="609">
        <f t="shared" si="32"/>
        <v>0</v>
      </c>
      <c r="W220" s="700"/>
    </row>
    <row r="221" spans="1:23" outlineLevel="3">
      <c r="A221" s="376"/>
      <c r="B221" s="376" t="s">
        <v>252</v>
      </c>
      <c r="C221" s="376" t="s">
        <v>252</v>
      </c>
      <c r="D221" s="376" t="s">
        <v>159</v>
      </c>
      <c r="E221" s="387" t="s">
        <v>1159</v>
      </c>
      <c r="F221" s="608" t="s">
        <v>1181</v>
      </c>
      <c r="G221" s="609">
        <v>6.4031962499999998E-2</v>
      </c>
      <c r="H221" s="700">
        <v>1</v>
      </c>
      <c r="I221" s="626"/>
      <c r="J221" s="752"/>
      <c r="L221" s="705" t="s">
        <v>1159</v>
      </c>
      <c r="M221" s="705" t="s">
        <v>1177</v>
      </c>
      <c r="N221" s="705" t="s">
        <v>1178</v>
      </c>
      <c r="O221" s="705" t="s">
        <v>1179</v>
      </c>
      <c r="P221" s="705"/>
      <c r="Q221" s="705"/>
      <c r="R221" s="705"/>
      <c r="T221" s="752"/>
      <c r="V221" s="609">
        <f t="shared" si="32"/>
        <v>0</v>
      </c>
      <c r="W221" s="700"/>
    </row>
    <row r="222" spans="1:23" outlineLevel="3">
      <c r="A222" s="376"/>
      <c r="B222" s="376" t="s">
        <v>252</v>
      </c>
      <c r="C222" s="376" t="s">
        <v>252</v>
      </c>
      <c r="D222" s="376" t="s">
        <v>159</v>
      </c>
      <c r="E222" s="387" t="s">
        <v>1159</v>
      </c>
      <c r="F222" s="608" t="s">
        <v>1182</v>
      </c>
      <c r="G222" s="609">
        <v>0.54994955184000005</v>
      </c>
      <c r="H222" s="700">
        <v>1</v>
      </c>
      <c r="I222" s="626"/>
      <c r="J222" s="752"/>
      <c r="L222" s="705" t="s">
        <v>1159</v>
      </c>
      <c r="M222" s="705" t="s">
        <v>1177</v>
      </c>
      <c r="N222" s="705" t="s">
        <v>1178</v>
      </c>
      <c r="O222" s="705" t="s">
        <v>1179</v>
      </c>
      <c r="P222" s="705"/>
      <c r="Q222" s="705"/>
      <c r="R222" s="705"/>
      <c r="T222" s="752"/>
      <c r="V222" s="609">
        <f t="shared" si="32"/>
        <v>0</v>
      </c>
      <c r="W222" s="700"/>
    </row>
    <row r="223" spans="1:23" outlineLevel="3">
      <c r="A223" s="376"/>
      <c r="B223" s="376" t="s">
        <v>252</v>
      </c>
      <c r="C223" s="376" t="s">
        <v>252</v>
      </c>
      <c r="D223" s="376" t="s">
        <v>159</v>
      </c>
      <c r="E223" s="387" t="s">
        <v>1159</v>
      </c>
      <c r="F223" s="608" t="s">
        <v>1183</v>
      </c>
      <c r="G223" s="609">
        <v>0.27497477592000003</v>
      </c>
      <c r="H223" s="700">
        <v>1</v>
      </c>
      <c r="I223" s="626"/>
      <c r="J223" s="752"/>
      <c r="L223" s="705" t="s">
        <v>1159</v>
      </c>
      <c r="M223" s="705" t="s">
        <v>1177</v>
      </c>
      <c r="N223" s="705" t="s">
        <v>1178</v>
      </c>
      <c r="O223" s="705" t="s">
        <v>1179</v>
      </c>
      <c r="P223" s="705"/>
      <c r="Q223" s="705"/>
      <c r="R223" s="705"/>
      <c r="T223" s="752"/>
      <c r="V223" s="609">
        <f t="shared" si="32"/>
        <v>0</v>
      </c>
      <c r="W223" s="700"/>
    </row>
    <row r="224" spans="1:23" outlineLevel="3">
      <c r="A224" s="376"/>
      <c r="B224" s="376" t="s">
        <v>252</v>
      </c>
      <c r="C224" s="376" t="s">
        <v>252</v>
      </c>
      <c r="D224" s="376" t="s">
        <v>159</v>
      </c>
      <c r="E224" s="387" t="s">
        <v>1159</v>
      </c>
      <c r="F224" s="608" t="s">
        <v>1184</v>
      </c>
      <c r="G224" s="609">
        <v>2.2352362560000003</v>
      </c>
      <c r="H224" s="700">
        <v>1</v>
      </c>
      <c r="I224" s="626"/>
      <c r="J224" s="752"/>
      <c r="L224" s="705" t="s">
        <v>1159</v>
      </c>
      <c r="M224" s="705" t="s">
        <v>1177</v>
      </c>
      <c r="N224" s="705" t="s">
        <v>1178</v>
      </c>
      <c r="O224" s="705" t="s">
        <v>1179</v>
      </c>
      <c r="P224" s="705"/>
      <c r="Q224" s="705"/>
      <c r="R224" s="705"/>
      <c r="T224" s="752"/>
      <c r="V224" s="609">
        <f t="shared" si="32"/>
        <v>0</v>
      </c>
      <c r="W224" s="700"/>
    </row>
    <row r="225" spans="1:23" outlineLevel="3">
      <c r="A225" s="376"/>
      <c r="B225" s="376" t="s">
        <v>252</v>
      </c>
      <c r="C225" s="376" t="s">
        <v>252</v>
      </c>
      <c r="D225" s="376" t="s">
        <v>159</v>
      </c>
      <c r="E225" s="387" t="s">
        <v>1159</v>
      </c>
      <c r="F225" s="608" t="s">
        <v>1185</v>
      </c>
      <c r="G225" s="609">
        <v>2.2352362560000003</v>
      </c>
      <c r="H225" s="700">
        <v>1</v>
      </c>
      <c r="I225" s="626"/>
      <c r="J225" s="752"/>
      <c r="L225" s="705" t="s">
        <v>1159</v>
      </c>
      <c r="M225" s="705" t="s">
        <v>1177</v>
      </c>
      <c r="N225" s="705" t="s">
        <v>1178</v>
      </c>
      <c r="O225" s="705" t="s">
        <v>1179</v>
      </c>
      <c r="P225" s="705"/>
      <c r="Q225" s="705"/>
      <c r="R225" s="705"/>
      <c r="T225" s="752"/>
      <c r="V225" s="609">
        <f t="shared" si="32"/>
        <v>0</v>
      </c>
      <c r="W225" s="700"/>
    </row>
    <row r="226" spans="1:23" outlineLevel="3">
      <c r="A226" s="376"/>
      <c r="B226" s="376" t="s">
        <v>252</v>
      </c>
      <c r="C226" s="376" t="s">
        <v>252</v>
      </c>
      <c r="D226" s="376" t="s">
        <v>159</v>
      </c>
      <c r="E226" s="387" t="s">
        <v>1159</v>
      </c>
      <c r="F226" s="608" t="s">
        <v>1186</v>
      </c>
      <c r="G226" s="609"/>
      <c r="H226" s="700">
        <v>1</v>
      </c>
      <c r="I226" s="626"/>
      <c r="J226" s="752"/>
      <c r="L226" s="705" t="s">
        <v>1159</v>
      </c>
      <c r="M226" s="705" t="s">
        <v>1177</v>
      </c>
      <c r="N226" s="705" t="s">
        <v>1178</v>
      </c>
      <c r="O226" s="705" t="s">
        <v>1179</v>
      </c>
      <c r="P226" s="705"/>
      <c r="Q226" s="705"/>
      <c r="R226" s="705"/>
      <c r="T226" s="752"/>
      <c r="V226" s="609">
        <f t="shared" si="32"/>
        <v>0</v>
      </c>
      <c r="W226" s="700"/>
    </row>
    <row r="227" spans="1:23" outlineLevel="3">
      <c r="A227" s="376"/>
      <c r="B227" s="376" t="s">
        <v>252</v>
      </c>
      <c r="C227" s="376" t="s">
        <v>252</v>
      </c>
      <c r="D227" s="376" t="s">
        <v>159</v>
      </c>
      <c r="E227" s="387" t="s">
        <v>1159</v>
      </c>
      <c r="F227" s="608" t="s">
        <v>1160</v>
      </c>
      <c r="G227" s="609">
        <v>0.1125</v>
      </c>
      <c r="H227" s="700">
        <v>1</v>
      </c>
      <c r="I227" s="626"/>
      <c r="J227" s="752"/>
      <c r="L227" s="705" t="s">
        <v>1159</v>
      </c>
      <c r="M227" s="705" t="s">
        <v>1177</v>
      </c>
      <c r="N227" s="705" t="s">
        <v>1178</v>
      </c>
      <c r="O227" s="705" t="s">
        <v>1179</v>
      </c>
      <c r="P227" s="705"/>
      <c r="Q227" s="705"/>
      <c r="R227" s="705"/>
      <c r="T227" s="752"/>
      <c r="V227" s="609">
        <f t="shared" si="32"/>
        <v>0</v>
      </c>
      <c r="W227" s="700"/>
    </row>
    <row r="228" spans="1:23" outlineLevel="3">
      <c r="A228" s="376"/>
      <c r="B228" s="376" t="s">
        <v>252</v>
      </c>
      <c r="C228" s="376" t="s">
        <v>252</v>
      </c>
      <c r="D228" s="376" t="s">
        <v>159</v>
      </c>
      <c r="E228" s="387" t="s">
        <v>1159</v>
      </c>
      <c r="F228" s="608" t="s">
        <v>1170</v>
      </c>
      <c r="G228" s="609">
        <v>3.7499999999999999E-2</v>
      </c>
      <c r="H228" s="700">
        <v>1</v>
      </c>
      <c r="I228" s="626"/>
      <c r="J228" s="752"/>
      <c r="L228" s="705" t="s">
        <v>1159</v>
      </c>
      <c r="M228" s="705" t="s">
        <v>1177</v>
      </c>
      <c r="N228" s="705" t="s">
        <v>1178</v>
      </c>
      <c r="O228" s="705" t="s">
        <v>1179</v>
      </c>
      <c r="P228" s="705"/>
      <c r="Q228" s="705"/>
      <c r="R228" s="705"/>
      <c r="T228" s="752"/>
      <c r="V228" s="609">
        <f t="shared" si="32"/>
        <v>0</v>
      </c>
      <c r="W228" s="700"/>
    </row>
    <row r="229" spans="1:23" outlineLevel="2">
      <c r="A229" s="376"/>
      <c r="B229" s="684" t="s">
        <v>252</v>
      </c>
      <c r="C229" s="684" t="s">
        <v>252</v>
      </c>
      <c r="D229" s="684" t="s">
        <v>518</v>
      </c>
      <c r="E229" s="684"/>
      <c r="F229" s="685" t="s">
        <v>1176</v>
      </c>
      <c r="G229" s="713">
        <f>SUBTOTAL(9,G230:G250)</f>
        <v>1.7607628699200004</v>
      </c>
      <c r="H229" s="714">
        <f>SUBTOTAL(9,H230:H250)</f>
        <v>21</v>
      </c>
      <c r="I229" s="626"/>
      <c r="J229" s="752"/>
      <c r="L229" s="685"/>
      <c r="M229" s="685"/>
      <c r="N229" s="685"/>
      <c r="O229" s="685"/>
      <c r="P229" s="685"/>
      <c r="Q229" s="685"/>
      <c r="R229" s="685"/>
      <c r="T229" s="752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252</v>
      </c>
      <c r="C230" s="376" t="s">
        <v>252</v>
      </c>
      <c r="D230" s="376" t="s">
        <v>518</v>
      </c>
      <c r="E230" s="376" t="s">
        <v>56</v>
      </c>
      <c r="F230" s="608" t="s">
        <v>1182</v>
      </c>
      <c r="G230" s="609">
        <v>0.5295810499200001</v>
      </c>
      <c r="H230" s="700">
        <v>1</v>
      </c>
      <c r="I230" s="626"/>
      <c r="J230" s="752"/>
      <c r="L230" s="608" t="s">
        <v>56</v>
      </c>
      <c r="M230" s="608" t="s">
        <v>959</v>
      </c>
      <c r="N230" s="608" t="s">
        <v>960</v>
      </c>
      <c r="O230" s="608" t="s">
        <v>1187</v>
      </c>
      <c r="P230" s="608" t="s">
        <v>965</v>
      </c>
      <c r="Q230" s="608"/>
      <c r="R230" s="608">
        <v>0</v>
      </c>
      <c r="T230" s="752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252</v>
      </c>
      <c r="C231" s="376" t="s">
        <v>252</v>
      </c>
      <c r="D231" s="376" t="s">
        <v>518</v>
      </c>
      <c r="E231" s="376" t="s">
        <v>56</v>
      </c>
      <c r="F231" s="608" t="s">
        <v>1188</v>
      </c>
      <c r="G231" s="609">
        <v>2.5612785000000002E-2</v>
      </c>
      <c r="H231" s="700">
        <v>1</v>
      </c>
      <c r="I231" s="626"/>
      <c r="J231" s="752"/>
      <c r="L231" s="608" t="s">
        <v>56</v>
      </c>
      <c r="M231" s="608" t="s">
        <v>959</v>
      </c>
      <c r="N231" s="608" t="s">
        <v>960</v>
      </c>
      <c r="O231" s="608" t="s">
        <v>1187</v>
      </c>
      <c r="P231" s="608" t="s">
        <v>965</v>
      </c>
      <c r="Q231" s="608"/>
      <c r="R231" s="608">
        <v>0</v>
      </c>
      <c r="T231" s="752"/>
      <c r="V231" s="609">
        <f t="shared" si="33"/>
        <v>0</v>
      </c>
      <c r="W231" s="700"/>
    </row>
    <row r="232" spans="1:23" outlineLevel="3">
      <c r="A232" s="376"/>
      <c r="B232" s="376" t="s">
        <v>252</v>
      </c>
      <c r="C232" s="376" t="s">
        <v>252</v>
      </c>
      <c r="D232" s="376" t="s">
        <v>518</v>
      </c>
      <c r="E232" s="376" t="s">
        <v>56</v>
      </c>
      <c r="F232" s="608" t="s">
        <v>1189</v>
      </c>
      <c r="G232" s="609">
        <v>2.5612785000000002E-2</v>
      </c>
      <c r="H232" s="700">
        <v>1</v>
      </c>
      <c r="I232" s="626"/>
      <c r="J232" s="752"/>
      <c r="L232" s="608" t="s">
        <v>56</v>
      </c>
      <c r="M232" s="608" t="s">
        <v>959</v>
      </c>
      <c r="N232" s="608" t="s">
        <v>960</v>
      </c>
      <c r="O232" s="608" t="s">
        <v>1187</v>
      </c>
      <c r="P232" s="608" t="s">
        <v>965</v>
      </c>
      <c r="Q232" s="608"/>
      <c r="R232" s="608">
        <v>0</v>
      </c>
      <c r="T232" s="752"/>
      <c r="V232" s="609">
        <f t="shared" si="33"/>
        <v>0</v>
      </c>
      <c r="W232" s="700"/>
    </row>
    <row r="233" spans="1:23" outlineLevel="3">
      <c r="A233" s="376"/>
      <c r="B233" s="376" t="s">
        <v>252</v>
      </c>
      <c r="C233" s="376" t="s">
        <v>252</v>
      </c>
      <c r="D233" s="376" t="s">
        <v>518</v>
      </c>
      <c r="E233" s="376" t="s">
        <v>56</v>
      </c>
      <c r="F233" s="608" t="s">
        <v>1190</v>
      </c>
      <c r="G233" s="609">
        <v>0.10833933000000003</v>
      </c>
      <c r="H233" s="700">
        <v>1</v>
      </c>
      <c r="I233" s="626"/>
      <c r="J233" s="752"/>
      <c r="L233" s="608" t="s">
        <v>56</v>
      </c>
      <c r="M233" s="608" t="s">
        <v>959</v>
      </c>
      <c r="N233" s="608" t="s">
        <v>960</v>
      </c>
      <c r="O233" s="608" t="s">
        <v>1187</v>
      </c>
      <c r="P233" s="608" t="s">
        <v>965</v>
      </c>
      <c r="Q233" s="608"/>
      <c r="R233" s="608">
        <v>0</v>
      </c>
      <c r="T233" s="752"/>
      <c r="V233" s="609">
        <f t="shared" si="33"/>
        <v>0</v>
      </c>
      <c r="W233" s="700"/>
    </row>
    <row r="234" spans="1:23" outlineLevel="3">
      <c r="A234" s="376"/>
      <c r="B234" s="376" t="s">
        <v>252</v>
      </c>
      <c r="C234" s="376" t="s">
        <v>252</v>
      </c>
      <c r="D234" s="376" t="s">
        <v>518</v>
      </c>
      <c r="E234" s="376" t="s">
        <v>56</v>
      </c>
      <c r="F234" s="608" t="s">
        <v>1191</v>
      </c>
      <c r="G234" s="609">
        <v>5.4169665000000013E-2</v>
      </c>
      <c r="H234" s="700">
        <v>1</v>
      </c>
      <c r="I234" s="626"/>
      <c r="J234" s="752"/>
      <c r="L234" s="608" t="s">
        <v>56</v>
      </c>
      <c r="M234" s="608" t="s">
        <v>959</v>
      </c>
      <c r="N234" s="608" t="s">
        <v>960</v>
      </c>
      <c r="O234" s="608" t="s">
        <v>1187</v>
      </c>
      <c r="P234" s="608" t="s">
        <v>965</v>
      </c>
      <c r="Q234" s="608"/>
      <c r="R234" s="608">
        <v>0</v>
      </c>
      <c r="T234" s="752"/>
      <c r="V234" s="609">
        <f t="shared" si="33"/>
        <v>0</v>
      </c>
      <c r="W234" s="700"/>
    </row>
    <row r="235" spans="1:23" outlineLevel="3">
      <c r="A235" s="376"/>
      <c r="B235" s="376" t="s">
        <v>252</v>
      </c>
      <c r="C235" s="376" t="s">
        <v>252</v>
      </c>
      <c r="D235" s="376" t="s">
        <v>518</v>
      </c>
      <c r="E235" s="376" t="s">
        <v>56</v>
      </c>
      <c r="F235" s="608" t="s">
        <v>1192</v>
      </c>
      <c r="G235" s="609">
        <v>5.4169665000000013E-2</v>
      </c>
      <c r="H235" s="700">
        <v>1</v>
      </c>
      <c r="I235" s="626"/>
      <c r="J235" s="752"/>
      <c r="L235" s="608" t="s">
        <v>56</v>
      </c>
      <c r="M235" s="608" t="s">
        <v>959</v>
      </c>
      <c r="N235" s="608" t="s">
        <v>960</v>
      </c>
      <c r="O235" s="608" t="s">
        <v>1187</v>
      </c>
      <c r="P235" s="608" t="s">
        <v>965</v>
      </c>
      <c r="Q235" s="608"/>
      <c r="R235" s="608">
        <v>0</v>
      </c>
      <c r="T235" s="752"/>
      <c r="V235" s="609">
        <f t="shared" si="33"/>
        <v>0</v>
      </c>
      <c r="W235" s="700"/>
    </row>
    <row r="236" spans="1:23" outlineLevel="3">
      <c r="A236" s="376"/>
      <c r="B236" s="376" t="s">
        <v>252</v>
      </c>
      <c r="C236" s="376" t="s">
        <v>252</v>
      </c>
      <c r="D236" s="376" t="s">
        <v>518</v>
      </c>
      <c r="E236" s="376" t="s">
        <v>56</v>
      </c>
      <c r="F236" s="608" t="s">
        <v>1193</v>
      </c>
      <c r="G236" s="609">
        <v>0.10833933000000003</v>
      </c>
      <c r="H236" s="700">
        <v>1</v>
      </c>
      <c r="I236" s="626"/>
      <c r="J236" s="752"/>
      <c r="L236" s="608" t="s">
        <v>56</v>
      </c>
      <c r="M236" s="608" t="s">
        <v>959</v>
      </c>
      <c r="N236" s="608" t="s">
        <v>960</v>
      </c>
      <c r="O236" s="608" t="s">
        <v>1187</v>
      </c>
      <c r="P236" s="608" t="s">
        <v>965</v>
      </c>
      <c r="Q236" s="608"/>
      <c r="R236" s="608">
        <v>0</v>
      </c>
      <c r="T236" s="752"/>
      <c r="V236" s="609">
        <f t="shared" si="33"/>
        <v>0</v>
      </c>
      <c r="W236" s="700"/>
    </row>
    <row r="237" spans="1:23" outlineLevel="3">
      <c r="A237" s="376"/>
      <c r="B237" s="376" t="s">
        <v>252</v>
      </c>
      <c r="C237" s="376" t="s">
        <v>252</v>
      </c>
      <c r="D237" s="376" t="s">
        <v>518</v>
      </c>
      <c r="E237" s="376" t="s">
        <v>56</v>
      </c>
      <c r="F237" s="608" t="s">
        <v>1194</v>
      </c>
      <c r="G237" s="609">
        <v>5.4169665000000013E-2</v>
      </c>
      <c r="H237" s="700">
        <v>1</v>
      </c>
      <c r="I237" s="626"/>
      <c r="J237" s="752"/>
      <c r="L237" s="608" t="s">
        <v>56</v>
      </c>
      <c r="M237" s="608" t="s">
        <v>959</v>
      </c>
      <c r="N237" s="608" t="s">
        <v>960</v>
      </c>
      <c r="O237" s="608" t="s">
        <v>1187</v>
      </c>
      <c r="P237" s="608" t="s">
        <v>965</v>
      </c>
      <c r="Q237" s="608"/>
      <c r="R237" s="608">
        <v>0</v>
      </c>
      <c r="T237" s="752"/>
      <c r="V237" s="609">
        <f t="shared" si="33"/>
        <v>0</v>
      </c>
      <c r="W237" s="700"/>
    </row>
    <row r="238" spans="1:23" outlineLevel="3">
      <c r="A238" s="376"/>
      <c r="B238" s="376" t="s">
        <v>252</v>
      </c>
      <c r="C238" s="376" t="s">
        <v>252</v>
      </c>
      <c r="D238" s="376" t="s">
        <v>518</v>
      </c>
      <c r="E238" s="376" t="s">
        <v>56</v>
      </c>
      <c r="F238" s="608" t="s">
        <v>1195</v>
      </c>
      <c r="G238" s="609">
        <v>5.4169665000000013E-2</v>
      </c>
      <c r="H238" s="700">
        <v>1</v>
      </c>
      <c r="I238" s="626"/>
      <c r="J238" s="752"/>
      <c r="L238" s="608" t="s">
        <v>56</v>
      </c>
      <c r="M238" s="608" t="s">
        <v>959</v>
      </c>
      <c r="N238" s="608" t="s">
        <v>960</v>
      </c>
      <c r="O238" s="608" t="s">
        <v>1187</v>
      </c>
      <c r="P238" s="608" t="s">
        <v>965</v>
      </c>
      <c r="Q238" s="608"/>
      <c r="R238" s="608">
        <v>0</v>
      </c>
      <c r="T238" s="752"/>
      <c r="V238" s="609">
        <f t="shared" si="33"/>
        <v>0</v>
      </c>
      <c r="W238" s="700"/>
    </row>
    <row r="239" spans="1:23" outlineLevel="3">
      <c r="A239" s="376"/>
      <c r="B239" s="376" t="s">
        <v>252</v>
      </c>
      <c r="C239" s="376" t="s">
        <v>252</v>
      </c>
      <c r="D239" s="376" t="s">
        <v>518</v>
      </c>
      <c r="E239" s="376" t="s">
        <v>56</v>
      </c>
      <c r="F239" s="608" t="s">
        <v>1196</v>
      </c>
      <c r="G239" s="609">
        <v>0.10833933000000003</v>
      </c>
      <c r="H239" s="700">
        <v>1</v>
      </c>
      <c r="I239" s="626"/>
      <c r="J239" s="752"/>
      <c r="L239" s="608" t="s">
        <v>56</v>
      </c>
      <c r="M239" s="608" t="s">
        <v>959</v>
      </c>
      <c r="N239" s="608" t="s">
        <v>960</v>
      </c>
      <c r="O239" s="608" t="s">
        <v>1187</v>
      </c>
      <c r="P239" s="608" t="s">
        <v>965</v>
      </c>
      <c r="Q239" s="608"/>
      <c r="R239" s="608">
        <v>0</v>
      </c>
      <c r="T239" s="752"/>
      <c r="V239" s="609">
        <f t="shared" si="33"/>
        <v>0</v>
      </c>
      <c r="W239" s="700"/>
    </row>
    <row r="240" spans="1:23" outlineLevel="3">
      <c r="A240" s="376"/>
      <c r="B240" s="376" t="s">
        <v>252</v>
      </c>
      <c r="C240" s="376" t="s">
        <v>252</v>
      </c>
      <c r="D240" s="376" t="s">
        <v>518</v>
      </c>
      <c r="E240" s="376" t="s">
        <v>56</v>
      </c>
      <c r="F240" s="608" t="s">
        <v>1197</v>
      </c>
      <c r="G240" s="609">
        <v>5.4169665000000013E-2</v>
      </c>
      <c r="H240" s="700">
        <v>1</v>
      </c>
      <c r="I240" s="626"/>
      <c r="J240" s="752"/>
      <c r="L240" s="608" t="s">
        <v>56</v>
      </c>
      <c r="M240" s="608" t="s">
        <v>959</v>
      </c>
      <c r="N240" s="608" t="s">
        <v>960</v>
      </c>
      <c r="O240" s="608" t="s">
        <v>1187</v>
      </c>
      <c r="P240" s="608" t="s">
        <v>1168</v>
      </c>
      <c r="Q240" s="608"/>
      <c r="R240" s="608">
        <v>0</v>
      </c>
      <c r="T240" s="752"/>
      <c r="V240" s="609">
        <f t="shared" si="33"/>
        <v>0</v>
      </c>
      <c r="W240" s="700"/>
    </row>
    <row r="241" spans="1:23" outlineLevel="3">
      <c r="A241" s="376"/>
      <c r="B241" s="376" t="s">
        <v>252</v>
      </c>
      <c r="C241" s="376" t="s">
        <v>252</v>
      </c>
      <c r="D241" s="376" t="s">
        <v>518</v>
      </c>
      <c r="E241" s="376" t="s">
        <v>56</v>
      </c>
      <c r="F241" s="608" t="s">
        <v>1198</v>
      </c>
      <c r="G241" s="609">
        <v>5.4169665000000013E-2</v>
      </c>
      <c r="H241" s="700">
        <v>1</v>
      </c>
      <c r="I241" s="626"/>
      <c r="J241" s="752"/>
      <c r="L241" s="608" t="s">
        <v>56</v>
      </c>
      <c r="M241" s="608" t="s">
        <v>959</v>
      </c>
      <c r="N241" s="608" t="s">
        <v>960</v>
      </c>
      <c r="O241" s="608" t="s">
        <v>1187</v>
      </c>
      <c r="P241" s="608" t="s">
        <v>1168</v>
      </c>
      <c r="Q241" s="608"/>
      <c r="R241" s="608">
        <v>0</v>
      </c>
      <c r="T241" s="752"/>
      <c r="V241" s="609">
        <f t="shared" si="33"/>
        <v>0</v>
      </c>
      <c r="W241" s="700"/>
    </row>
    <row r="242" spans="1:23" outlineLevel="3">
      <c r="A242" s="376"/>
      <c r="B242" s="376" t="s">
        <v>252</v>
      </c>
      <c r="C242" s="376" t="s">
        <v>252</v>
      </c>
      <c r="D242" s="376" t="s">
        <v>518</v>
      </c>
      <c r="E242" s="376" t="s">
        <v>56</v>
      </c>
      <c r="F242" s="608" t="s">
        <v>1199</v>
      </c>
      <c r="G242" s="609">
        <v>0.10833933000000003</v>
      </c>
      <c r="H242" s="700">
        <v>1</v>
      </c>
      <c r="I242" s="626"/>
      <c r="J242" s="752"/>
      <c r="L242" s="608" t="s">
        <v>56</v>
      </c>
      <c r="M242" s="608" t="s">
        <v>959</v>
      </c>
      <c r="N242" s="608" t="s">
        <v>960</v>
      </c>
      <c r="O242" s="608" t="s">
        <v>1187</v>
      </c>
      <c r="P242" s="608" t="s">
        <v>1168</v>
      </c>
      <c r="Q242" s="608"/>
      <c r="R242" s="608">
        <v>0</v>
      </c>
      <c r="T242" s="752"/>
      <c r="V242" s="609">
        <f t="shared" si="33"/>
        <v>0</v>
      </c>
      <c r="W242" s="700"/>
    </row>
    <row r="243" spans="1:23" outlineLevel="3">
      <c r="A243" s="376"/>
      <c r="B243" s="376" t="s">
        <v>252</v>
      </c>
      <c r="C243" s="376" t="s">
        <v>252</v>
      </c>
      <c r="D243" s="376" t="s">
        <v>518</v>
      </c>
      <c r="E243" s="376" t="s">
        <v>56</v>
      </c>
      <c r="F243" s="608" t="s">
        <v>1200</v>
      </c>
      <c r="G243" s="609">
        <v>0.10833933000000003</v>
      </c>
      <c r="H243" s="700">
        <v>1</v>
      </c>
      <c r="I243" s="626"/>
      <c r="J243" s="752"/>
      <c r="L243" s="608" t="s">
        <v>56</v>
      </c>
      <c r="M243" s="608" t="s">
        <v>959</v>
      </c>
      <c r="N243" s="608" t="s">
        <v>960</v>
      </c>
      <c r="O243" s="608" t="s">
        <v>1187</v>
      </c>
      <c r="P243" s="608" t="s">
        <v>1168</v>
      </c>
      <c r="Q243" s="608"/>
      <c r="R243" s="608">
        <v>0</v>
      </c>
      <c r="T243" s="752"/>
      <c r="V243" s="609">
        <f t="shared" si="33"/>
        <v>0</v>
      </c>
      <c r="W243" s="700"/>
    </row>
    <row r="244" spans="1:23" outlineLevel="3">
      <c r="A244" s="376"/>
      <c r="B244" s="376" t="s">
        <v>252</v>
      </c>
      <c r="C244" s="376" t="s">
        <v>252</v>
      </c>
      <c r="D244" s="376" t="s">
        <v>518</v>
      </c>
      <c r="E244" s="376" t="s">
        <v>56</v>
      </c>
      <c r="F244" s="608" t="s">
        <v>1201</v>
      </c>
      <c r="G244" s="609">
        <v>5.4169665000000013E-2</v>
      </c>
      <c r="H244" s="700">
        <v>1</v>
      </c>
      <c r="I244" s="626"/>
      <c r="J244" s="752"/>
      <c r="L244" s="608" t="s">
        <v>56</v>
      </c>
      <c r="M244" s="608" t="s">
        <v>959</v>
      </c>
      <c r="N244" s="608" t="s">
        <v>960</v>
      </c>
      <c r="O244" s="608" t="s">
        <v>1187</v>
      </c>
      <c r="P244" s="608" t="s">
        <v>1168</v>
      </c>
      <c r="Q244" s="608"/>
      <c r="R244" s="608">
        <v>0</v>
      </c>
      <c r="T244" s="752"/>
      <c r="V244" s="609">
        <f t="shared" si="33"/>
        <v>0</v>
      </c>
      <c r="W244" s="700"/>
    </row>
    <row r="245" spans="1:23" outlineLevel="3">
      <c r="A245" s="376"/>
      <c r="B245" s="376" t="s">
        <v>252</v>
      </c>
      <c r="C245" s="376" t="s">
        <v>252</v>
      </c>
      <c r="D245" s="376" t="s">
        <v>518</v>
      </c>
      <c r="E245" s="376" t="s">
        <v>56</v>
      </c>
      <c r="F245" s="608" t="s">
        <v>1202</v>
      </c>
      <c r="G245" s="609">
        <v>5.4169665000000013E-2</v>
      </c>
      <c r="H245" s="700">
        <v>1</v>
      </c>
      <c r="I245" s="626"/>
      <c r="J245" s="752"/>
      <c r="L245" s="608" t="s">
        <v>56</v>
      </c>
      <c r="M245" s="608" t="s">
        <v>959</v>
      </c>
      <c r="N245" s="608" t="s">
        <v>960</v>
      </c>
      <c r="O245" s="608" t="s">
        <v>1187</v>
      </c>
      <c r="P245" s="608" t="s">
        <v>1168</v>
      </c>
      <c r="Q245" s="608"/>
      <c r="R245" s="608">
        <v>0</v>
      </c>
      <c r="T245" s="752"/>
      <c r="V245" s="609">
        <f t="shared" si="33"/>
        <v>0</v>
      </c>
      <c r="W245" s="700"/>
    </row>
    <row r="246" spans="1:23" outlineLevel="3">
      <c r="A246" s="376"/>
      <c r="B246" s="376" t="s">
        <v>252</v>
      </c>
      <c r="C246" s="376" t="s">
        <v>252</v>
      </c>
      <c r="D246" s="376" t="s">
        <v>518</v>
      </c>
      <c r="E246" s="376" t="s">
        <v>56</v>
      </c>
      <c r="F246" s="608" t="s">
        <v>1203</v>
      </c>
      <c r="G246" s="609">
        <v>5.1225570000000005E-2</v>
      </c>
      <c r="H246" s="700">
        <v>1</v>
      </c>
      <c r="I246" s="626"/>
      <c r="J246" s="752"/>
      <c r="L246" s="608" t="s">
        <v>56</v>
      </c>
      <c r="M246" s="608" t="s">
        <v>959</v>
      </c>
      <c r="N246" s="608" t="s">
        <v>960</v>
      </c>
      <c r="O246" s="608" t="s">
        <v>1187</v>
      </c>
      <c r="P246" s="608" t="s">
        <v>1168</v>
      </c>
      <c r="Q246" s="608"/>
      <c r="R246" s="608">
        <v>0</v>
      </c>
      <c r="T246" s="752"/>
      <c r="V246" s="609">
        <f t="shared" si="33"/>
        <v>0</v>
      </c>
      <c r="W246" s="700"/>
    </row>
    <row r="247" spans="1:23" outlineLevel="3">
      <c r="A247" s="376"/>
      <c r="B247" s="376" t="s">
        <v>252</v>
      </c>
      <c r="C247" s="376" t="s">
        <v>252</v>
      </c>
      <c r="D247" s="376" t="s">
        <v>518</v>
      </c>
      <c r="E247" s="376" t="s">
        <v>56</v>
      </c>
      <c r="F247" s="608" t="s">
        <v>1204</v>
      </c>
      <c r="G247" s="609">
        <v>5.1225570000000005E-2</v>
      </c>
      <c r="H247" s="700">
        <v>1</v>
      </c>
      <c r="I247" s="626"/>
      <c r="J247" s="752"/>
      <c r="L247" s="608" t="s">
        <v>56</v>
      </c>
      <c r="M247" s="608" t="s">
        <v>959</v>
      </c>
      <c r="N247" s="608" t="s">
        <v>960</v>
      </c>
      <c r="O247" s="608" t="s">
        <v>1187</v>
      </c>
      <c r="P247" s="608" t="s">
        <v>1168</v>
      </c>
      <c r="Q247" s="608"/>
      <c r="R247" s="608">
        <v>0</v>
      </c>
      <c r="T247" s="752"/>
      <c r="V247" s="609">
        <f t="shared" si="33"/>
        <v>0</v>
      </c>
      <c r="W247" s="700"/>
    </row>
    <row r="248" spans="1:23" outlineLevel="3">
      <c r="A248" s="376"/>
      <c r="B248" s="376" t="s">
        <v>252</v>
      </c>
      <c r="C248" s="376" t="s">
        <v>252</v>
      </c>
      <c r="D248" s="376" t="s">
        <v>518</v>
      </c>
      <c r="E248" s="376" t="s">
        <v>56</v>
      </c>
      <c r="F248" s="608" t="s">
        <v>1205</v>
      </c>
      <c r="G248" s="609">
        <v>5.1225570000000005E-2</v>
      </c>
      <c r="H248" s="700">
        <v>1</v>
      </c>
      <c r="I248" s="626"/>
      <c r="J248" s="752"/>
      <c r="L248" s="608" t="s">
        <v>56</v>
      </c>
      <c r="M248" s="608" t="s">
        <v>959</v>
      </c>
      <c r="N248" s="608" t="s">
        <v>960</v>
      </c>
      <c r="O248" s="608" t="s">
        <v>1187</v>
      </c>
      <c r="P248" s="608" t="s">
        <v>1168</v>
      </c>
      <c r="Q248" s="608"/>
      <c r="R248" s="608">
        <v>0</v>
      </c>
      <c r="T248" s="752"/>
      <c r="V248" s="609">
        <f t="shared" si="33"/>
        <v>0</v>
      </c>
      <c r="W248" s="700"/>
    </row>
    <row r="249" spans="1:23" outlineLevel="3">
      <c r="A249" s="376"/>
      <c r="B249" s="376" t="s">
        <v>252</v>
      </c>
      <c r="C249" s="376" t="s">
        <v>252</v>
      </c>
      <c r="D249" s="376" t="s">
        <v>518</v>
      </c>
      <c r="E249" s="376" t="s">
        <v>56</v>
      </c>
      <c r="F249" s="608" t="s">
        <v>1206</v>
      </c>
      <c r="G249" s="609">
        <v>2.5612785000000002E-2</v>
      </c>
      <c r="H249" s="700">
        <v>1</v>
      </c>
      <c r="I249" s="626"/>
      <c r="J249" s="752"/>
      <c r="L249" s="608" t="s">
        <v>56</v>
      </c>
      <c r="M249" s="608" t="s">
        <v>959</v>
      </c>
      <c r="N249" s="608" t="s">
        <v>960</v>
      </c>
      <c r="O249" s="608" t="s">
        <v>1187</v>
      </c>
      <c r="P249" s="608" t="s">
        <v>1168</v>
      </c>
      <c r="Q249" s="608"/>
      <c r="R249" s="608">
        <v>0</v>
      </c>
      <c r="T249" s="752"/>
      <c r="V249" s="609">
        <f t="shared" si="33"/>
        <v>0</v>
      </c>
      <c r="W249" s="700"/>
    </row>
    <row r="250" spans="1:23" outlineLevel="3">
      <c r="A250" s="376"/>
      <c r="B250" s="376" t="s">
        <v>252</v>
      </c>
      <c r="C250" s="376" t="s">
        <v>252</v>
      </c>
      <c r="D250" s="376" t="s">
        <v>518</v>
      </c>
      <c r="E250" s="376" t="s">
        <v>56</v>
      </c>
      <c r="F250" s="608" t="s">
        <v>1207</v>
      </c>
      <c r="G250" s="609">
        <v>2.5612785000000002E-2</v>
      </c>
      <c r="H250" s="700">
        <v>1</v>
      </c>
      <c r="I250" s="626"/>
      <c r="J250" s="752"/>
      <c r="L250" s="608" t="s">
        <v>56</v>
      </c>
      <c r="M250" s="608" t="s">
        <v>959</v>
      </c>
      <c r="N250" s="608" t="s">
        <v>960</v>
      </c>
      <c r="O250" s="608" t="s">
        <v>1187</v>
      </c>
      <c r="P250" s="608" t="s">
        <v>1168</v>
      </c>
      <c r="Q250" s="608"/>
      <c r="R250" s="608">
        <v>0</v>
      </c>
      <c r="T250" s="752"/>
      <c r="V250" s="609">
        <f t="shared" si="33"/>
        <v>0</v>
      </c>
      <c r="W250" s="700"/>
    </row>
    <row r="251" spans="1:23" outlineLevel="2">
      <c r="A251" s="376"/>
      <c r="B251" s="684" t="s">
        <v>252</v>
      </c>
      <c r="C251" s="684" t="s">
        <v>252</v>
      </c>
      <c r="D251" s="684" t="s">
        <v>441</v>
      </c>
      <c r="E251" s="684"/>
      <c r="F251" s="685" t="s">
        <v>1176</v>
      </c>
      <c r="G251" s="713">
        <f>SUBTOTAL(9,G252)</f>
        <v>3.6853334887931043E-2</v>
      </c>
      <c r="H251" s="714">
        <f>SUBTOTAL(9,H252)</f>
        <v>1</v>
      </c>
      <c r="I251" s="626"/>
      <c r="J251" s="752"/>
      <c r="L251" s="685"/>
      <c r="M251" s="685"/>
      <c r="N251" s="685"/>
      <c r="O251" s="685"/>
      <c r="P251" s="685"/>
      <c r="Q251" s="685"/>
      <c r="R251" s="685"/>
      <c r="T251" s="752"/>
      <c r="V251" s="713">
        <f>SUBTOTAL(9,V252)</f>
        <v>0</v>
      </c>
      <c r="W251" s="714">
        <f>SUBTOTAL(9,W252)</f>
        <v>0</v>
      </c>
    </row>
    <row r="252" spans="1:23" ht="52.9" outlineLevel="3">
      <c r="A252" s="376"/>
      <c r="B252" s="376" t="s">
        <v>252</v>
      </c>
      <c r="C252" s="376" t="s">
        <v>252</v>
      </c>
      <c r="D252" s="376" t="s">
        <v>441</v>
      </c>
      <c r="E252" s="376" t="s">
        <v>437</v>
      </c>
      <c r="F252" s="608" t="s">
        <v>1208</v>
      </c>
      <c r="G252" s="609">
        <v>3.6853334887931043E-2</v>
      </c>
      <c r="H252" s="700">
        <v>1</v>
      </c>
      <c r="I252" s="626"/>
      <c r="J252" s="752"/>
      <c r="L252" s="608" t="s">
        <v>437</v>
      </c>
      <c r="M252" s="608" t="s">
        <v>966</v>
      </c>
      <c r="N252" s="608" t="s">
        <v>1209</v>
      </c>
      <c r="O252" s="608" t="s">
        <v>1210</v>
      </c>
      <c r="P252" s="608"/>
      <c r="Q252" s="608"/>
      <c r="R252" s="608"/>
      <c r="T252" s="752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903</v>
      </c>
      <c r="C253" s="665" t="s">
        <v>903</v>
      </c>
      <c r="D253" s="665"/>
      <c r="E253" s="665"/>
      <c r="F253" s="681" t="s">
        <v>947</v>
      </c>
      <c r="G253" s="701">
        <f>SUBTOTAL(9,G254:G273)</f>
        <v>1.0950933246486447</v>
      </c>
      <c r="H253" s="702">
        <f>SUBTOTAL(9,H254:H273)</f>
        <v>15</v>
      </c>
      <c r="I253" s="626"/>
      <c r="J253" s="752"/>
      <c r="L253" s="681"/>
      <c r="M253" s="681"/>
      <c r="N253" s="681"/>
      <c r="O253" s="681"/>
      <c r="P253" s="681"/>
      <c r="Q253" s="681"/>
      <c r="R253" s="681"/>
      <c r="T253" s="752"/>
      <c r="V253" s="701">
        <f>SUBTOTAL(9,V254:V273)</f>
        <v>0</v>
      </c>
      <c r="W253" s="702">
        <f>SUBTOTAL(9,W254:W273)</f>
        <v>0</v>
      </c>
    </row>
    <row r="254" spans="1:23" ht="26.45" outlineLevel="2">
      <c r="A254" s="376"/>
      <c r="B254" s="684" t="s">
        <v>903</v>
      </c>
      <c r="C254" s="684" t="s">
        <v>903</v>
      </c>
      <c r="D254" s="684" t="s">
        <v>159</v>
      </c>
      <c r="E254" s="684"/>
      <c r="F254" s="685" t="s">
        <v>1211</v>
      </c>
      <c r="G254" s="713">
        <f>SUBTOTAL(9,G255:G263)</f>
        <v>0.72823846611302523</v>
      </c>
      <c r="H254" s="714">
        <f>SUBTOTAL(9,H255:H263)</f>
        <v>7</v>
      </c>
      <c r="I254" s="626"/>
      <c r="J254" s="752"/>
      <c r="L254" s="685"/>
      <c r="M254" s="685"/>
      <c r="N254" s="685"/>
      <c r="O254" s="685"/>
      <c r="P254" s="685"/>
      <c r="Q254" s="685"/>
      <c r="R254" s="685"/>
      <c r="T254" s="752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903</v>
      </c>
      <c r="C255" s="376" t="s">
        <v>903</v>
      </c>
      <c r="D255" s="376" t="s">
        <v>159</v>
      </c>
      <c r="E255" s="376" t="s">
        <v>1159</v>
      </c>
      <c r="F255" s="705" t="s">
        <v>1212</v>
      </c>
      <c r="G255" s="695">
        <v>0.25575333042562204</v>
      </c>
      <c r="H255" s="700">
        <v>1</v>
      </c>
      <c r="I255" s="626"/>
      <c r="J255" s="752"/>
      <c r="L255" s="608" t="s">
        <v>1159</v>
      </c>
      <c r="M255" s="608" t="s">
        <v>1177</v>
      </c>
      <c r="N255" s="608" t="s">
        <v>1179</v>
      </c>
      <c r="O255" s="608" t="s">
        <v>1213</v>
      </c>
      <c r="P255" s="608"/>
      <c r="Q255" s="608"/>
      <c r="R255" s="608"/>
      <c r="T255" s="752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903</v>
      </c>
      <c r="C256" s="376" t="s">
        <v>903</v>
      </c>
      <c r="D256" s="376" t="s">
        <v>159</v>
      </c>
      <c r="E256" s="376" t="s">
        <v>1159</v>
      </c>
      <c r="F256" s="608" t="s">
        <v>1214</v>
      </c>
      <c r="G256" s="695">
        <v>8.1564148364617506E-2</v>
      </c>
      <c r="H256" s="700">
        <v>1</v>
      </c>
      <c r="I256" s="626"/>
      <c r="J256" s="752"/>
      <c r="L256" s="608" t="s">
        <v>1159</v>
      </c>
      <c r="M256" s="608" t="s">
        <v>1177</v>
      </c>
      <c r="N256" s="608" t="s">
        <v>1179</v>
      </c>
      <c r="O256" s="608" t="s">
        <v>1213</v>
      </c>
      <c r="P256" s="608"/>
      <c r="Q256" s="608"/>
      <c r="R256" s="608"/>
      <c r="T256" s="752"/>
      <c r="V256" s="609">
        <f t="shared" si="35"/>
        <v>0</v>
      </c>
      <c r="W256" s="700"/>
    </row>
    <row r="257" spans="1:23" outlineLevel="3">
      <c r="A257" s="376"/>
      <c r="B257" s="376" t="s">
        <v>903</v>
      </c>
      <c r="C257" s="376" t="s">
        <v>903</v>
      </c>
      <c r="D257" s="376" t="s">
        <v>159</v>
      </c>
      <c r="E257" s="376" t="s">
        <v>1159</v>
      </c>
      <c r="F257" s="608" t="s">
        <v>1215</v>
      </c>
      <c r="G257" s="695">
        <v>0.18696938245168926</v>
      </c>
      <c r="H257" s="700">
        <v>1</v>
      </c>
      <c r="I257" s="626"/>
      <c r="J257" s="752"/>
      <c r="L257" s="608" t="s">
        <v>1159</v>
      </c>
      <c r="M257" s="608" t="s">
        <v>1177</v>
      </c>
      <c r="N257" s="608" t="s">
        <v>1179</v>
      </c>
      <c r="O257" s="608" t="s">
        <v>1213</v>
      </c>
      <c r="P257" s="608"/>
      <c r="Q257" s="608"/>
      <c r="R257" s="608"/>
      <c r="T257" s="752"/>
      <c r="V257" s="609">
        <f t="shared" si="35"/>
        <v>0</v>
      </c>
      <c r="W257" s="700"/>
    </row>
    <row r="258" spans="1:23" outlineLevel="3">
      <c r="A258" s="376"/>
      <c r="B258" s="376" t="s">
        <v>903</v>
      </c>
      <c r="C258" s="376" t="s">
        <v>903</v>
      </c>
      <c r="D258" s="376" t="s">
        <v>159</v>
      </c>
      <c r="E258" s="376" t="s">
        <v>1159</v>
      </c>
      <c r="F258" s="608" t="s">
        <v>1216</v>
      </c>
      <c r="G258" s="695">
        <v>2.7188049454872507E-2</v>
      </c>
      <c r="H258" s="700">
        <v>1</v>
      </c>
      <c r="I258" s="626"/>
      <c r="J258" s="752"/>
      <c r="L258" s="608" t="s">
        <v>1159</v>
      </c>
      <c r="M258" s="608" t="s">
        <v>1177</v>
      </c>
      <c r="N258" s="608" t="s">
        <v>1179</v>
      </c>
      <c r="O258" s="608" t="s">
        <v>1213</v>
      </c>
      <c r="P258" s="608"/>
      <c r="Q258" s="608"/>
      <c r="R258" s="608"/>
      <c r="T258" s="752"/>
      <c r="V258" s="609">
        <f t="shared" si="35"/>
        <v>0</v>
      </c>
      <c r="W258" s="700"/>
    </row>
    <row r="259" spans="1:23" outlineLevel="3">
      <c r="A259" s="376"/>
      <c r="B259" s="376" t="s">
        <v>903</v>
      </c>
      <c r="C259" s="376" t="s">
        <v>903</v>
      </c>
      <c r="D259" s="376" t="s">
        <v>159</v>
      </c>
      <c r="E259" s="376" t="s">
        <v>1159</v>
      </c>
      <c r="F259" s="608" t="s">
        <v>1217</v>
      </c>
      <c r="G259" s="695">
        <v>0.11218162947101355</v>
      </c>
      <c r="H259" s="700">
        <v>1</v>
      </c>
      <c r="I259" s="626"/>
      <c r="J259" s="752"/>
      <c r="L259" s="608" t="s">
        <v>1159</v>
      </c>
      <c r="M259" s="608" t="s">
        <v>1177</v>
      </c>
      <c r="N259" s="608" t="s">
        <v>1179</v>
      </c>
      <c r="O259" s="608" t="s">
        <v>1213</v>
      </c>
      <c r="P259" s="608"/>
      <c r="Q259" s="608"/>
      <c r="R259" s="608"/>
      <c r="T259" s="752"/>
      <c r="V259" s="609">
        <f t="shared" si="35"/>
        <v>0</v>
      </c>
      <c r="W259" s="700"/>
    </row>
    <row r="260" spans="1:23" outlineLevel="3">
      <c r="A260" s="376"/>
      <c r="B260" s="376" t="s">
        <v>903</v>
      </c>
      <c r="C260" s="376" t="s">
        <v>903</v>
      </c>
      <c r="D260" s="376" t="s">
        <v>159</v>
      </c>
      <c r="E260" s="376" t="s">
        <v>1159</v>
      </c>
      <c r="F260" s="608" t="s">
        <v>1218</v>
      </c>
      <c r="G260" s="695">
        <v>3.7393876490337853E-2</v>
      </c>
      <c r="H260" s="700">
        <v>1</v>
      </c>
      <c r="I260" s="626"/>
      <c r="J260" s="752"/>
      <c r="L260" s="608" t="s">
        <v>1159</v>
      </c>
      <c r="M260" s="608" t="s">
        <v>1177</v>
      </c>
      <c r="N260" s="608" t="s">
        <v>1179</v>
      </c>
      <c r="O260" s="608" t="s">
        <v>1213</v>
      </c>
      <c r="P260" s="608"/>
      <c r="Q260" s="608"/>
      <c r="R260" s="608"/>
      <c r="T260" s="752"/>
      <c r="V260" s="609">
        <f t="shared" si="35"/>
        <v>0</v>
      </c>
      <c r="W260" s="700"/>
    </row>
    <row r="261" spans="1:23" outlineLevel="3">
      <c r="A261" s="376"/>
      <c r="B261" s="376" t="s">
        <v>903</v>
      </c>
      <c r="C261" s="376" t="s">
        <v>903</v>
      </c>
      <c r="D261" s="376" t="s">
        <v>159</v>
      </c>
      <c r="E261" s="376" t="s">
        <v>1159</v>
      </c>
      <c r="F261" s="760" t="s">
        <v>1219</v>
      </c>
      <c r="G261" s="695"/>
      <c r="H261" s="700"/>
      <c r="I261" s="626"/>
      <c r="J261" s="752"/>
      <c r="L261" s="608" t="s">
        <v>1159</v>
      </c>
      <c r="M261" s="608"/>
      <c r="N261" s="608"/>
      <c r="O261" s="608"/>
      <c r="P261" s="608"/>
      <c r="Q261" s="608"/>
      <c r="R261" s="608"/>
      <c r="T261" s="752"/>
      <c r="V261" s="695"/>
      <c r="W261" s="700"/>
    </row>
    <row r="262" spans="1:23" outlineLevel="3">
      <c r="A262" s="376"/>
      <c r="B262" s="376" t="s">
        <v>903</v>
      </c>
      <c r="C262" s="376" t="s">
        <v>903</v>
      </c>
      <c r="D262" s="376" t="s">
        <v>159</v>
      </c>
      <c r="E262" s="376" t="s">
        <v>1159</v>
      </c>
      <c r="F262" s="608" t="s">
        <v>1220</v>
      </c>
      <c r="G262" s="695">
        <v>2.7188049454872507E-2</v>
      </c>
      <c r="H262" s="700">
        <v>1</v>
      </c>
      <c r="I262" s="626"/>
      <c r="J262" s="752"/>
      <c r="L262" s="608" t="s">
        <v>1159</v>
      </c>
      <c r="M262" s="608" t="s">
        <v>1177</v>
      </c>
      <c r="N262" s="608" t="s">
        <v>1179</v>
      </c>
      <c r="O262" s="608" t="s">
        <v>1213</v>
      </c>
      <c r="P262" s="608"/>
      <c r="Q262" s="608"/>
      <c r="R262" s="608"/>
      <c r="T262" s="752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903</v>
      </c>
      <c r="C263" s="376" t="s">
        <v>903</v>
      </c>
      <c r="D263" s="376" t="s">
        <v>159</v>
      </c>
      <c r="E263" s="376" t="s">
        <v>1159</v>
      </c>
      <c r="F263" s="760" t="s">
        <v>1221</v>
      </c>
      <c r="G263" s="729"/>
      <c r="H263" s="700"/>
      <c r="I263" s="626"/>
      <c r="J263" s="752"/>
      <c r="L263" s="608" t="s">
        <v>1159</v>
      </c>
      <c r="M263" s="608"/>
      <c r="N263" s="608"/>
      <c r="O263" s="608"/>
      <c r="P263" s="608"/>
      <c r="Q263" s="608"/>
      <c r="R263" s="608"/>
      <c r="T263" s="752"/>
      <c r="V263" s="729"/>
      <c r="W263" s="700"/>
    </row>
    <row r="264" spans="1:23" outlineLevel="2">
      <c r="A264" s="376"/>
      <c r="B264" s="684" t="s">
        <v>903</v>
      </c>
      <c r="C264" s="684" t="s">
        <v>903</v>
      </c>
      <c r="D264" s="684" t="s">
        <v>518</v>
      </c>
      <c r="E264" s="684"/>
      <c r="F264" s="685" t="s">
        <v>1222</v>
      </c>
      <c r="G264" s="713">
        <f>SUBTOTAL(9,G265:G270)</f>
        <v>0.34545700083561953</v>
      </c>
      <c r="H264" s="714">
        <f>SUBTOTAL(9,H265:H270)</f>
        <v>6</v>
      </c>
      <c r="I264" s="626"/>
      <c r="J264" s="752"/>
      <c r="L264" s="685"/>
      <c r="M264" s="685"/>
      <c r="N264" s="685"/>
      <c r="O264" s="685"/>
      <c r="P264" s="685"/>
      <c r="Q264" s="685"/>
      <c r="R264" s="685"/>
      <c r="T264" s="752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903</v>
      </c>
      <c r="C265" s="376" t="s">
        <v>903</v>
      </c>
      <c r="D265" s="376" t="s">
        <v>518</v>
      </c>
      <c r="E265" s="376" t="s">
        <v>56</v>
      </c>
      <c r="F265" s="608" t="s">
        <v>1223</v>
      </c>
      <c r="G265" s="695">
        <v>0.20115878538561949</v>
      </c>
      <c r="H265" s="692">
        <v>1</v>
      </c>
      <c r="I265" s="626"/>
      <c r="J265" s="752"/>
      <c r="L265" s="608" t="s">
        <v>56</v>
      </c>
      <c r="M265" s="608" t="s">
        <v>1008</v>
      </c>
      <c r="N265" s="608" t="s">
        <v>1224</v>
      </c>
      <c r="O265" s="608" t="s">
        <v>1012</v>
      </c>
      <c r="P265" s="608" t="s">
        <v>1225</v>
      </c>
      <c r="Q265" s="608"/>
      <c r="R265" s="608">
        <v>0</v>
      </c>
      <c r="T265" s="752"/>
      <c r="V265" s="609">
        <f t="shared" ref="V265:V270" si="37">IF(W265=1,G265,0)</f>
        <v>0</v>
      </c>
      <c r="W265" s="692"/>
    </row>
    <row r="266" spans="1:23" ht="26.45" outlineLevel="3">
      <c r="A266" s="376"/>
      <c r="B266" s="376" t="s">
        <v>903</v>
      </c>
      <c r="C266" s="376" t="s">
        <v>903</v>
      </c>
      <c r="D266" s="376" t="s">
        <v>518</v>
      </c>
      <c r="E266" s="376" t="s">
        <v>56</v>
      </c>
      <c r="F266" s="608" t="s">
        <v>1217</v>
      </c>
      <c r="G266" s="695">
        <v>5.8456730700000001E-2</v>
      </c>
      <c r="H266" s="692">
        <v>1</v>
      </c>
      <c r="I266" s="626"/>
      <c r="J266" s="752"/>
      <c r="L266" s="608" t="s">
        <v>56</v>
      </c>
      <c r="M266" s="608" t="s">
        <v>959</v>
      </c>
      <c r="N266" s="608" t="s">
        <v>1226</v>
      </c>
      <c r="O266" s="608"/>
      <c r="P266" s="608" t="s">
        <v>1225</v>
      </c>
      <c r="Q266" s="608"/>
      <c r="R266" s="608">
        <v>0</v>
      </c>
      <c r="T266" s="752"/>
      <c r="V266" s="609">
        <f t="shared" si="37"/>
        <v>0</v>
      </c>
      <c r="W266" s="692"/>
    </row>
    <row r="267" spans="1:23" ht="26.45" outlineLevel="3">
      <c r="A267" s="376"/>
      <c r="B267" s="376" t="s">
        <v>903</v>
      </c>
      <c r="C267" s="376" t="s">
        <v>903</v>
      </c>
      <c r="D267" s="376" t="s">
        <v>518</v>
      </c>
      <c r="E267" s="376" t="s">
        <v>56</v>
      </c>
      <c r="F267" s="608" t="s">
        <v>1218</v>
      </c>
      <c r="G267" s="695">
        <v>4.8713942250000003E-2</v>
      </c>
      <c r="H267" s="692">
        <v>1</v>
      </c>
      <c r="I267" s="626"/>
      <c r="J267" s="752"/>
      <c r="L267" s="608" t="s">
        <v>56</v>
      </c>
      <c r="M267" s="608" t="s">
        <v>959</v>
      </c>
      <c r="N267" s="608" t="s">
        <v>1226</v>
      </c>
      <c r="O267" s="608"/>
      <c r="P267" s="608" t="s">
        <v>1225</v>
      </c>
      <c r="Q267" s="608"/>
      <c r="R267" s="608">
        <v>0</v>
      </c>
      <c r="T267" s="752"/>
      <c r="V267" s="609">
        <f t="shared" si="37"/>
        <v>0</v>
      </c>
      <c r="W267" s="692"/>
    </row>
    <row r="268" spans="1:23" outlineLevel="3">
      <c r="A268" s="376"/>
      <c r="B268" s="376" t="s">
        <v>903</v>
      </c>
      <c r="C268" s="376" t="s">
        <v>903</v>
      </c>
      <c r="D268" s="376" t="s">
        <v>518</v>
      </c>
      <c r="E268" s="376" t="s">
        <v>56</v>
      </c>
      <c r="F268" s="608" t="s">
        <v>1214</v>
      </c>
      <c r="G268" s="695">
        <v>2.5989279749999997E-2</v>
      </c>
      <c r="H268" s="692">
        <v>1</v>
      </c>
      <c r="I268" s="626"/>
      <c r="J268" s="752"/>
      <c r="L268" s="608" t="s">
        <v>56</v>
      </c>
      <c r="M268" s="608" t="s">
        <v>959</v>
      </c>
      <c r="N268" s="608" t="s">
        <v>1227</v>
      </c>
      <c r="O268" s="608"/>
      <c r="P268" s="608" t="s">
        <v>1096</v>
      </c>
      <c r="Q268" s="608"/>
      <c r="R268" s="608">
        <v>0</v>
      </c>
      <c r="T268" s="752"/>
      <c r="V268" s="609">
        <f t="shared" si="37"/>
        <v>0</v>
      </c>
      <c r="W268" s="692"/>
    </row>
    <row r="269" spans="1:23" outlineLevel="3">
      <c r="A269" s="376"/>
      <c r="B269" s="376" t="s">
        <v>903</v>
      </c>
      <c r="C269" s="376" t="s">
        <v>903</v>
      </c>
      <c r="D269" s="376" t="s">
        <v>518</v>
      </c>
      <c r="E269" s="376" t="s">
        <v>56</v>
      </c>
      <c r="F269" s="608" t="s">
        <v>1216</v>
      </c>
      <c r="G269" s="695">
        <v>3.7127542499999998E-3</v>
      </c>
      <c r="H269" s="692">
        <v>1</v>
      </c>
      <c r="I269" s="626"/>
      <c r="J269" s="752"/>
      <c r="L269" s="608" t="s">
        <v>56</v>
      </c>
      <c r="M269" s="608" t="s">
        <v>959</v>
      </c>
      <c r="N269" s="608" t="s">
        <v>1095</v>
      </c>
      <c r="O269" s="608"/>
      <c r="P269" s="608" t="s">
        <v>1096</v>
      </c>
      <c r="Q269" s="608"/>
      <c r="R269" s="608">
        <v>0</v>
      </c>
      <c r="T269" s="752"/>
      <c r="V269" s="609">
        <f t="shared" si="37"/>
        <v>0</v>
      </c>
      <c r="W269" s="692"/>
    </row>
    <row r="270" spans="1:23" ht="39.6" outlineLevel="3">
      <c r="A270" s="376"/>
      <c r="B270" s="376" t="s">
        <v>903</v>
      </c>
      <c r="C270" s="376" t="s">
        <v>903</v>
      </c>
      <c r="D270" s="376" t="s">
        <v>518</v>
      </c>
      <c r="E270" s="376" t="s">
        <v>56</v>
      </c>
      <c r="F270" s="608" t="s">
        <v>1220</v>
      </c>
      <c r="G270" s="695">
        <v>7.4255085000000005E-3</v>
      </c>
      <c r="H270" s="692">
        <v>1</v>
      </c>
      <c r="I270" s="626"/>
      <c r="J270" s="752"/>
      <c r="L270" s="608" t="s">
        <v>56</v>
      </c>
      <c r="M270" s="608" t="s">
        <v>959</v>
      </c>
      <c r="N270" s="608" t="s">
        <v>1228</v>
      </c>
      <c r="O270" s="608"/>
      <c r="P270" s="608" t="s">
        <v>1096</v>
      </c>
      <c r="Q270" s="608"/>
      <c r="R270" s="608">
        <v>0</v>
      </c>
      <c r="T270" s="752"/>
      <c r="V270" s="609">
        <f t="shared" si="37"/>
        <v>0</v>
      </c>
      <c r="W270" s="692"/>
    </row>
    <row r="271" spans="1:23" outlineLevel="2">
      <c r="A271" s="376"/>
      <c r="B271" s="684" t="s">
        <v>903</v>
      </c>
      <c r="C271" s="684" t="s">
        <v>903</v>
      </c>
      <c r="D271" s="684" t="s">
        <v>441</v>
      </c>
      <c r="E271" s="684"/>
      <c r="F271" s="685" t="s">
        <v>1222</v>
      </c>
      <c r="G271" s="713">
        <f>SUBTOTAL(9,G272:G273)</f>
        <v>2.1397857699999998E-2</v>
      </c>
      <c r="H271" s="714">
        <f>SUBTOTAL(9,H272:H273)</f>
        <v>2</v>
      </c>
      <c r="I271" s="626"/>
      <c r="J271" s="752"/>
      <c r="L271" s="685"/>
      <c r="M271" s="685"/>
      <c r="N271" s="685"/>
      <c r="O271" s="685"/>
      <c r="P271" s="685"/>
      <c r="Q271" s="685"/>
      <c r="R271" s="685"/>
      <c r="T271" s="752"/>
      <c r="V271" s="713">
        <f>SUBTOTAL(9,V272:V273)</f>
        <v>0</v>
      </c>
      <c r="W271" s="714">
        <f>SUBTOTAL(9,W272:W273)</f>
        <v>0</v>
      </c>
    </row>
    <row r="272" spans="1:23" ht="39.6" outlineLevel="3">
      <c r="A272" s="376"/>
      <c r="B272" s="376" t="s">
        <v>903</v>
      </c>
      <c r="C272" s="376" t="s">
        <v>903</v>
      </c>
      <c r="D272" s="376" t="s">
        <v>441</v>
      </c>
      <c r="E272" s="376" t="s">
        <v>437</v>
      </c>
      <c r="F272" s="608" t="s">
        <v>1218</v>
      </c>
      <c r="G272" s="730">
        <v>2.0842521999999999E-2</v>
      </c>
      <c r="H272" s="700">
        <v>1</v>
      </c>
      <c r="I272" s="626"/>
      <c r="J272" s="752"/>
      <c r="L272" s="608" t="s">
        <v>437</v>
      </c>
      <c r="M272" s="608" t="s">
        <v>966</v>
      </c>
      <c r="N272" s="608" t="s">
        <v>1173</v>
      </c>
      <c r="O272" s="608" t="s">
        <v>1229</v>
      </c>
      <c r="P272" s="608"/>
      <c r="Q272" s="608"/>
      <c r="R272" s="608"/>
      <c r="T272" s="752"/>
      <c r="V272" s="609">
        <f t="shared" ref="V272:V273" si="38">IF(W272=1,G272,0)</f>
        <v>0</v>
      </c>
      <c r="W272" s="700"/>
    </row>
    <row r="273" spans="1:23" ht="39.6" outlineLevel="3">
      <c r="A273" s="376"/>
      <c r="B273" s="376" t="s">
        <v>903</v>
      </c>
      <c r="C273" s="376" t="s">
        <v>903</v>
      </c>
      <c r="D273" s="376" t="s">
        <v>441</v>
      </c>
      <c r="E273" s="376" t="s">
        <v>437</v>
      </c>
      <c r="F273" s="608" t="s">
        <v>1220</v>
      </c>
      <c r="G273" s="730">
        <v>5.5533570000000003E-4</v>
      </c>
      <c r="H273" s="700">
        <v>1</v>
      </c>
      <c r="I273" s="626"/>
      <c r="J273" s="752"/>
      <c r="L273" s="608" t="s">
        <v>437</v>
      </c>
      <c r="M273" s="608" t="s">
        <v>966</v>
      </c>
      <c r="N273" s="608" t="s">
        <v>1173</v>
      </c>
      <c r="O273" s="608" t="s">
        <v>1229</v>
      </c>
      <c r="P273" s="608"/>
      <c r="Q273" s="608"/>
      <c r="R273" s="608"/>
      <c r="T273" s="752"/>
      <c r="V273" s="609">
        <f t="shared" si="38"/>
        <v>0</v>
      </c>
      <c r="W273" s="700"/>
    </row>
    <row r="274" spans="1:23" outlineLevel="1">
      <c r="A274" s="376"/>
      <c r="B274" s="665" t="s">
        <v>502</v>
      </c>
      <c r="C274" s="665" t="s">
        <v>502</v>
      </c>
      <c r="D274" s="665"/>
      <c r="E274" s="665"/>
      <c r="F274" s="681" t="s">
        <v>947</v>
      </c>
      <c r="G274" s="701">
        <f>SUBTOTAL(9,G275:G283)</f>
        <v>0.38041780000000003</v>
      </c>
      <c r="H274" s="702">
        <f>SUBTOTAL(9,H275:H283)</f>
        <v>2</v>
      </c>
      <c r="I274" s="626"/>
      <c r="J274" s="752"/>
      <c r="L274" s="681"/>
      <c r="M274" s="681"/>
      <c r="N274" s="681"/>
      <c r="O274" s="681"/>
      <c r="P274" s="681"/>
      <c r="Q274" s="681"/>
      <c r="R274" s="681"/>
      <c r="T274" s="752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502</v>
      </c>
      <c r="C275" s="684" t="s">
        <v>502</v>
      </c>
      <c r="D275" s="684" t="s">
        <v>159</v>
      </c>
      <c r="E275" s="684"/>
      <c r="F275" s="685" t="s">
        <v>1230</v>
      </c>
      <c r="G275" s="686">
        <f>SUBTOTAL(9,G276:G277)</f>
        <v>0.38041780000000003</v>
      </c>
      <c r="H275" s="691">
        <f>SUBTOTAL(9,H276:H277)</f>
        <v>2</v>
      </c>
      <c r="I275" s="626"/>
      <c r="J275" s="752"/>
      <c r="L275" s="685"/>
      <c r="M275" s="685"/>
      <c r="N275" s="685"/>
      <c r="O275" s="685"/>
      <c r="P275" s="685"/>
      <c r="Q275" s="685"/>
      <c r="R275" s="685"/>
      <c r="T275" s="752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502</v>
      </c>
      <c r="C276" s="376" t="s">
        <v>502</v>
      </c>
      <c r="D276" s="376" t="s">
        <v>159</v>
      </c>
      <c r="E276" s="376" t="s">
        <v>1159</v>
      </c>
      <c r="F276" s="608" t="s">
        <v>1231</v>
      </c>
      <c r="G276" s="609">
        <v>0.15216712000000002</v>
      </c>
      <c r="H276" s="692">
        <v>1</v>
      </c>
      <c r="I276" s="626"/>
      <c r="J276" s="752"/>
      <c r="L276" s="608" t="s">
        <v>1159</v>
      </c>
      <c r="M276" s="608" t="s">
        <v>1161</v>
      </c>
      <c r="N276" s="608" t="s">
        <v>1162</v>
      </c>
      <c r="O276" s="608"/>
      <c r="P276" s="608"/>
      <c r="Q276" s="608"/>
      <c r="R276" s="608"/>
      <c r="T276" s="752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502</v>
      </c>
      <c r="C277" s="376" t="s">
        <v>502</v>
      </c>
      <c r="D277" s="376" t="s">
        <v>159</v>
      </c>
      <c r="E277" s="376" t="s">
        <v>1159</v>
      </c>
      <c r="F277" s="608" t="s">
        <v>36</v>
      </c>
      <c r="G277" s="609">
        <v>0.22825067999999998</v>
      </c>
      <c r="H277" s="692">
        <v>1</v>
      </c>
      <c r="I277" s="626"/>
      <c r="J277" s="752"/>
      <c r="L277" s="608" t="s">
        <v>1159</v>
      </c>
      <c r="M277" s="608" t="s">
        <v>1161</v>
      </c>
      <c r="N277" s="608" t="s">
        <v>1162</v>
      </c>
      <c r="O277" s="608"/>
      <c r="P277" s="608"/>
      <c r="Q277" s="608"/>
      <c r="R277" s="608"/>
      <c r="T277" s="752"/>
      <c r="V277" s="609">
        <f t="shared" si="39"/>
        <v>0</v>
      </c>
      <c r="W277" s="692"/>
    </row>
    <row r="278" spans="1:23" outlineLevel="2">
      <c r="A278" s="376"/>
      <c r="B278" s="684" t="s">
        <v>502</v>
      </c>
      <c r="C278" s="684" t="s">
        <v>502</v>
      </c>
      <c r="D278" s="684" t="s">
        <v>518</v>
      </c>
      <c r="E278" s="684"/>
      <c r="F278" s="685" t="s">
        <v>1230</v>
      </c>
      <c r="G278" s="686">
        <f>SUBTOTAL(9,G279)</f>
        <v>0</v>
      </c>
      <c r="H278" s="691">
        <f>SUBTOTAL(9,H279)</f>
        <v>0</v>
      </c>
      <c r="I278" s="626"/>
      <c r="J278" s="752"/>
      <c r="L278" s="685"/>
      <c r="M278" s="685"/>
      <c r="N278" s="685"/>
      <c r="O278" s="685"/>
      <c r="P278" s="685"/>
      <c r="Q278" s="685"/>
      <c r="R278" s="685"/>
      <c r="T278" s="752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502</v>
      </c>
      <c r="C279" s="376" t="s">
        <v>502</v>
      </c>
      <c r="D279" s="376" t="s">
        <v>518</v>
      </c>
      <c r="E279" s="376" t="s">
        <v>56</v>
      </c>
      <c r="F279" s="760" t="s">
        <v>36</v>
      </c>
      <c r="G279" s="609"/>
      <c r="H279" s="692"/>
      <c r="I279" s="626"/>
      <c r="J279" s="752"/>
      <c r="L279" s="608" t="s">
        <v>56</v>
      </c>
      <c r="M279" s="608" t="s">
        <v>1008</v>
      </c>
      <c r="N279" s="608" t="s">
        <v>1232</v>
      </c>
      <c r="O279" s="608" t="s">
        <v>1012</v>
      </c>
      <c r="P279" s="608" t="s">
        <v>1233</v>
      </c>
      <c r="Q279" s="608"/>
      <c r="R279" s="608">
        <v>0</v>
      </c>
      <c r="T279" s="752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502</v>
      </c>
      <c r="C280" s="684" t="s">
        <v>502</v>
      </c>
      <c r="D280" s="684" t="s">
        <v>441</v>
      </c>
      <c r="E280" s="684"/>
      <c r="F280" s="685" t="s">
        <v>1230</v>
      </c>
      <c r="G280" s="686">
        <f>SUBTOTAL(9,G281)</f>
        <v>0</v>
      </c>
      <c r="H280" s="691">
        <f>SUBTOTAL(9,H281)</f>
        <v>0</v>
      </c>
      <c r="I280" s="626"/>
      <c r="J280" s="752"/>
      <c r="L280" s="685"/>
      <c r="M280" s="685"/>
      <c r="N280" s="685"/>
      <c r="O280" s="685"/>
      <c r="P280" s="685"/>
      <c r="Q280" s="685"/>
      <c r="R280" s="685"/>
      <c r="T280" s="752"/>
      <c r="V280" s="686">
        <f>SUBTOTAL(9,V281)</f>
        <v>0</v>
      </c>
      <c r="W280" s="691">
        <f>SUBTOTAL(9,W281)</f>
        <v>0</v>
      </c>
    </row>
    <row r="281" spans="1:23" ht="92.45" outlineLevel="3">
      <c r="A281" s="376"/>
      <c r="B281" s="376" t="s">
        <v>502</v>
      </c>
      <c r="C281" s="376" t="s">
        <v>502</v>
      </c>
      <c r="D281" s="376" t="s">
        <v>441</v>
      </c>
      <c r="E281" s="376" t="s">
        <v>437</v>
      </c>
      <c r="F281" s="760" t="s">
        <v>36</v>
      </c>
      <c r="G281" s="609"/>
      <c r="H281" s="692"/>
      <c r="I281" s="626"/>
      <c r="J281" s="752"/>
      <c r="L281" s="608" t="s">
        <v>437</v>
      </c>
      <c r="M281" s="608" t="s">
        <v>1234</v>
      </c>
      <c r="N281" s="608"/>
      <c r="O281" s="608"/>
      <c r="P281" s="608"/>
      <c r="Q281" s="608"/>
      <c r="R281" s="608"/>
      <c r="T281" s="752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502</v>
      </c>
      <c r="C282" s="684" t="s">
        <v>502</v>
      </c>
      <c r="D282" s="684" t="s">
        <v>860</v>
      </c>
      <c r="E282" s="684"/>
      <c r="F282" s="685" t="s">
        <v>1230</v>
      </c>
      <c r="G282" s="686">
        <f>SUBTOTAL(9,G283)</f>
        <v>0</v>
      </c>
      <c r="H282" s="691">
        <f>SUBTOTAL(9,H283)</f>
        <v>0</v>
      </c>
      <c r="I282" s="626"/>
      <c r="J282" s="752"/>
      <c r="L282" s="685"/>
      <c r="M282" s="685"/>
      <c r="N282" s="685"/>
      <c r="O282" s="685"/>
      <c r="P282" s="685"/>
      <c r="Q282" s="685"/>
      <c r="R282" s="685"/>
      <c r="T282" s="752"/>
      <c r="V282" s="686">
        <f>SUBTOTAL(9,V283)</f>
        <v>0</v>
      </c>
      <c r="W282" s="691">
        <f>SUBTOTAL(9,W283)</f>
        <v>0</v>
      </c>
    </row>
    <row r="283" spans="1:23" ht="92.45" outlineLevel="3">
      <c r="A283" s="376"/>
      <c r="B283" s="376" t="s">
        <v>502</v>
      </c>
      <c r="C283" s="376" t="s">
        <v>502</v>
      </c>
      <c r="D283" s="376" t="s">
        <v>860</v>
      </c>
      <c r="E283" s="376" t="s">
        <v>437</v>
      </c>
      <c r="F283" s="760" t="s">
        <v>36</v>
      </c>
      <c r="G283" s="609"/>
      <c r="H283" s="692"/>
      <c r="I283" s="626"/>
      <c r="J283" s="752"/>
      <c r="L283" s="608" t="s">
        <v>437</v>
      </c>
      <c r="M283" s="608" t="s">
        <v>1234</v>
      </c>
      <c r="N283" s="608"/>
      <c r="O283" s="608"/>
      <c r="P283" s="608"/>
      <c r="Q283" s="608"/>
      <c r="R283" s="608"/>
      <c r="T283" s="752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612</v>
      </c>
      <c r="C284" s="665" t="s">
        <v>612</v>
      </c>
      <c r="D284" s="665"/>
      <c r="E284" s="665"/>
      <c r="F284" s="681" t="s">
        <v>947</v>
      </c>
      <c r="G284" s="701">
        <f>SUBTOTAL(9,G285:G301)</f>
        <v>0.54690124999999989</v>
      </c>
      <c r="H284" s="702">
        <f>SUBTOTAL(9,H285:H301)</f>
        <v>3</v>
      </c>
      <c r="I284" s="626"/>
      <c r="J284" s="752"/>
      <c r="L284" s="681"/>
      <c r="M284" s="681"/>
      <c r="N284" s="681"/>
      <c r="O284" s="681"/>
      <c r="P284" s="681"/>
      <c r="Q284" s="681"/>
      <c r="R284" s="681"/>
      <c r="T284" s="752"/>
      <c r="V284" s="701">
        <f>SUBTOTAL(9,V285:V301)</f>
        <v>0</v>
      </c>
      <c r="W284" s="702">
        <f>SUBTOTAL(9,W285:W301)</f>
        <v>0</v>
      </c>
    </row>
    <row r="285" spans="1:23" outlineLevel="2">
      <c r="A285" s="376"/>
      <c r="B285" s="684" t="s">
        <v>612</v>
      </c>
      <c r="C285" s="684" t="s">
        <v>612</v>
      </c>
      <c r="D285" s="684" t="s">
        <v>159</v>
      </c>
      <c r="E285" s="684"/>
      <c r="F285" s="685" t="s">
        <v>1235</v>
      </c>
      <c r="G285" s="686">
        <f>SUBTOTAL(9,G286:G290)</f>
        <v>0.54690124999999989</v>
      </c>
      <c r="H285" s="691">
        <f>SUBTOTAL(9,H286:H290)</f>
        <v>3</v>
      </c>
      <c r="I285" s="626"/>
      <c r="J285" s="752"/>
      <c r="L285" s="685"/>
      <c r="M285" s="685"/>
      <c r="N285" s="685"/>
      <c r="O285" s="685"/>
      <c r="P285" s="685"/>
      <c r="Q285" s="685"/>
      <c r="R285" s="685"/>
      <c r="T285" s="752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612</v>
      </c>
      <c r="C286" s="376" t="s">
        <v>612</v>
      </c>
      <c r="D286" s="376" t="s">
        <v>159</v>
      </c>
      <c r="E286" s="376" t="s">
        <v>1236</v>
      </c>
      <c r="F286" s="608" t="s">
        <v>1231</v>
      </c>
      <c r="G286" s="609">
        <v>0.15625749999999999</v>
      </c>
      <c r="H286" s="692">
        <v>1</v>
      </c>
      <c r="I286" s="626"/>
      <c r="J286" s="752"/>
      <c r="L286" s="608" t="s">
        <v>1236</v>
      </c>
      <c r="M286" s="608"/>
      <c r="N286" s="608"/>
      <c r="O286" s="608"/>
      <c r="P286" s="608"/>
      <c r="Q286" s="608"/>
      <c r="R286" s="608"/>
      <c r="T286" s="752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612</v>
      </c>
      <c r="C287" s="376" t="s">
        <v>612</v>
      </c>
      <c r="D287" s="376" t="s">
        <v>159</v>
      </c>
      <c r="E287" s="376" t="s">
        <v>1236</v>
      </c>
      <c r="F287" s="608" t="s">
        <v>36</v>
      </c>
      <c r="G287" s="609">
        <v>0.23438624999999996</v>
      </c>
      <c r="H287" s="692">
        <v>1</v>
      </c>
      <c r="I287" s="626"/>
      <c r="J287" s="752"/>
      <c r="L287" s="608" t="s">
        <v>1236</v>
      </c>
      <c r="M287" s="608"/>
      <c r="N287" s="608"/>
      <c r="O287" s="608"/>
      <c r="P287" s="608"/>
      <c r="Q287" s="608"/>
      <c r="R287" s="608"/>
      <c r="T287" s="752"/>
      <c r="V287" s="609">
        <f t="shared" si="43"/>
        <v>0</v>
      </c>
      <c r="W287" s="692"/>
    </row>
    <row r="288" spans="1:23" outlineLevel="3">
      <c r="A288" s="376"/>
      <c r="B288" s="376" t="s">
        <v>612</v>
      </c>
      <c r="C288" s="376" t="s">
        <v>612</v>
      </c>
      <c r="D288" s="376" t="s">
        <v>159</v>
      </c>
      <c r="E288" s="376" t="s">
        <v>1236</v>
      </c>
      <c r="F288" s="608" t="s">
        <v>1237</v>
      </c>
      <c r="G288" s="609">
        <v>0.15625749999999999</v>
      </c>
      <c r="H288" s="692">
        <v>1</v>
      </c>
      <c r="I288" s="626"/>
      <c r="J288" s="752"/>
      <c r="L288" s="608" t="s">
        <v>1236</v>
      </c>
      <c r="M288" s="608"/>
      <c r="N288" s="608"/>
      <c r="O288" s="608"/>
      <c r="P288" s="608"/>
      <c r="Q288" s="608"/>
      <c r="R288" s="608"/>
      <c r="T288" s="752"/>
      <c r="V288" s="609">
        <f t="shared" si="43"/>
        <v>0</v>
      </c>
      <c r="W288" s="692"/>
    </row>
    <row r="289" spans="1:23" outlineLevel="3">
      <c r="A289" s="376"/>
      <c r="B289" s="376" t="s">
        <v>612</v>
      </c>
      <c r="C289" s="376" t="s">
        <v>612</v>
      </c>
      <c r="D289" s="376" t="s">
        <v>159</v>
      </c>
      <c r="E289" s="376" t="s">
        <v>1236</v>
      </c>
      <c r="F289" s="760" t="s">
        <v>1238</v>
      </c>
      <c r="G289" s="609"/>
      <c r="H289" s="692"/>
      <c r="I289" s="626"/>
      <c r="J289" s="752"/>
      <c r="L289" s="608" t="s">
        <v>1236</v>
      </c>
      <c r="M289" s="608"/>
      <c r="N289" s="608"/>
      <c r="O289" s="608"/>
      <c r="P289" s="608"/>
      <c r="Q289" s="608"/>
      <c r="R289" s="608"/>
      <c r="T289" s="752"/>
      <c r="V289" s="609">
        <f t="shared" si="43"/>
        <v>0</v>
      </c>
      <c r="W289" s="692"/>
    </row>
    <row r="290" spans="1:23" outlineLevel="3">
      <c r="A290" s="376"/>
      <c r="B290" s="376" t="s">
        <v>612</v>
      </c>
      <c r="C290" s="376" t="s">
        <v>612</v>
      </c>
      <c r="D290" s="376" t="s">
        <v>159</v>
      </c>
      <c r="E290" s="376" t="s">
        <v>1236</v>
      </c>
      <c r="F290" s="760" t="s">
        <v>1239</v>
      </c>
      <c r="G290" s="609"/>
      <c r="H290" s="692"/>
      <c r="I290" s="626"/>
      <c r="J290" s="752"/>
      <c r="L290" s="608" t="s">
        <v>1236</v>
      </c>
      <c r="M290" s="608"/>
      <c r="N290" s="608"/>
      <c r="O290" s="608"/>
      <c r="P290" s="608"/>
      <c r="Q290" s="608"/>
      <c r="R290" s="608"/>
      <c r="T290" s="752"/>
      <c r="V290" s="609">
        <f t="shared" si="43"/>
        <v>0</v>
      </c>
      <c r="W290" s="692"/>
    </row>
    <row r="291" spans="1:23" outlineLevel="2">
      <c r="A291" s="376"/>
      <c r="B291" s="684" t="s">
        <v>612</v>
      </c>
      <c r="C291" s="684" t="s">
        <v>612</v>
      </c>
      <c r="D291" s="684" t="s">
        <v>518</v>
      </c>
      <c r="E291" s="684"/>
      <c r="F291" s="685" t="s">
        <v>1240</v>
      </c>
      <c r="G291" s="686">
        <f>SUBTOTAL(9,G292:G293)</f>
        <v>0</v>
      </c>
      <c r="H291" s="691">
        <f>SUBTOTAL(9,H292:H293)</f>
        <v>0</v>
      </c>
      <c r="I291" s="626"/>
      <c r="J291" s="752"/>
      <c r="L291" s="685"/>
      <c r="M291" s="685"/>
      <c r="N291" s="685"/>
      <c r="O291" s="685"/>
      <c r="P291" s="685"/>
      <c r="Q291" s="685"/>
      <c r="R291" s="685"/>
      <c r="T291" s="752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612</v>
      </c>
      <c r="C292" s="376" t="s">
        <v>612</v>
      </c>
      <c r="D292" s="376" t="s">
        <v>518</v>
      </c>
      <c r="E292" s="376" t="s">
        <v>1236</v>
      </c>
      <c r="F292" s="760" t="s">
        <v>36</v>
      </c>
      <c r="G292" s="609"/>
      <c r="H292" s="692"/>
      <c r="I292" s="626"/>
      <c r="J292" s="752"/>
      <c r="L292" s="608" t="s">
        <v>1236</v>
      </c>
      <c r="M292" s="608"/>
      <c r="N292" s="608"/>
      <c r="O292" s="608"/>
      <c r="P292" s="608"/>
      <c r="Q292" s="608"/>
      <c r="R292" s="608"/>
      <c r="T292" s="752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612</v>
      </c>
      <c r="C293" s="376" t="s">
        <v>612</v>
      </c>
      <c r="D293" s="376" t="s">
        <v>518</v>
      </c>
      <c r="E293" s="376" t="s">
        <v>1236</v>
      </c>
      <c r="F293" s="760" t="s">
        <v>1238</v>
      </c>
      <c r="G293" s="609"/>
      <c r="H293" s="692"/>
      <c r="I293" s="626"/>
      <c r="J293" s="752"/>
      <c r="L293" s="608" t="s">
        <v>1236</v>
      </c>
      <c r="M293" s="608"/>
      <c r="N293" s="608"/>
      <c r="O293" s="608"/>
      <c r="P293" s="608"/>
      <c r="Q293" s="608"/>
      <c r="R293" s="608"/>
      <c r="T293" s="752"/>
      <c r="V293" s="609">
        <f t="shared" si="44"/>
        <v>0</v>
      </c>
      <c r="W293" s="692"/>
    </row>
    <row r="294" spans="1:23" outlineLevel="2">
      <c r="A294" s="376"/>
      <c r="B294" s="684" t="s">
        <v>612</v>
      </c>
      <c r="C294" s="684" t="s">
        <v>612</v>
      </c>
      <c r="D294" s="684" t="s">
        <v>441</v>
      </c>
      <c r="E294" s="684"/>
      <c r="F294" s="685" t="s">
        <v>1240</v>
      </c>
      <c r="G294" s="686">
        <f>SUBTOTAL(9,G295:G297)</f>
        <v>0</v>
      </c>
      <c r="H294" s="691">
        <f>SUBTOTAL(9,H295:H297)</f>
        <v>0</v>
      </c>
      <c r="I294" s="626"/>
      <c r="J294" s="752"/>
      <c r="L294" s="685"/>
      <c r="M294" s="685"/>
      <c r="N294" s="685"/>
      <c r="O294" s="685"/>
      <c r="P294" s="685"/>
      <c r="Q294" s="685"/>
      <c r="R294" s="685"/>
      <c r="T294" s="752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612</v>
      </c>
      <c r="C295" s="376" t="s">
        <v>612</v>
      </c>
      <c r="D295" s="376" t="s">
        <v>441</v>
      </c>
      <c r="E295" s="376" t="s">
        <v>1236</v>
      </c>
      <c r="F295" s="760" t="s">
        <v>36</v>
      </c>
      <c r="G295" s="609"/>
      <c r="H295" s="692"/>
      <c r="I295" s="626"/>
      <c r="J295" s="752"/>
      <c r="L295" s="608" t="s">
        <v>1236</v>
      </c>
      <c r="M295" s="608"/>
      <c r="N295" s="608"/>
      <c r="O295" s="608"/>
      <c r="P295" s="608"/>
      <c r="Q295" s="608"/>
      <c r="R295" s="608"/>
      <c r="T295" s="752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612</v>
      </c>
      <c r="C296" s="376" t="s">
        <v>612</v>
      </c>
      <c r="D296" s="376" t="s">
        <v>441</v>
      </c>
      <c r="E296" s="376" t="s">
        <v>1236</v>
      </c>
      <c r="F296" s="760" t="s">
        <v>1237</v>
      </c>
      <c r="G296" s="609"/>
      <c r="H296" s="692"/>
      <c r="I296" s="626"/>
      <c r="J296" s="752"/>
      <c r="L296" s="608" t="s">
        <v>1236</v>
      </c>
      <c r="M296" s="608"/>
      <c r="N296" s="608"/>
      <c r="O296" s="608"/>
      <c r="P296" s="608"/>
      <c r="Q296" s="608"/>
      <c r="R296" s="608"/>
      <c r="T296" s="752"/>
      <c r="V296" s="609">
        <f t="shared" si="45"/>
        <v>0</v>
      </c>
      <c r="W296" s="692"/>
    </row>
    <row r="297" spans="1:23" outlineLevel="3">
      <c r="A297" s="376"/>
      <c r="B297" s="376" t="s">
        <v>612</v>
      </c>
      <c r="C297" s="376" t="s">
        <v>612</v>
      </c>
      <c r="D297" s="376" t="s">
        <v>441</v>
      </c>
      <c r="E297" s="376" t="s">
        <v>1236</v>
      </c>
      <c r="F297" s="760" t="s">
        <v>1238</v>
      </c>
      <c r="G297" s="609"/>
      <c r="H297" s="692"/>
      <c r="I297" s="626"/>
      <c r="J297" s="752"/>
      <c r="L297" s="608" t="s">
        <v>1236</v>
      </c>
      <c r="M297" s="608"/>
      <c r="N297" s="608"/>
      <c r="O297" s="608"/>
      <c r="P297" s="608"/>
      <c r="Q297" s="608"/>
      <c r="R297" s="608"/>
      <c r="T297" s="752"/>
      <c r="V297" s="609">
        <f t="shared" si="45"/>
        <v>0</v>
      </c>
      <c r="W297" s="692"/>
    </row>
    <row r="298" spans="1:23" outlineLevel="2">
      <c r="A298" s="376"/>
      <c r="B298" s="684" t="s">
        <v>612</v>
      </c>
      <c r="C298" s="684" t="s">
        <v>612</v>
      </c>
      <c r="D298" s="684" t="s">
        <v>860</v>
      </c>
      <c r="E298" s="684"/>
      <c r="F298" s="685" t="s">
        <v>1240</v>
      </c>
      <c r="G298" s="686">
        <f>SUBTOTAL(9,G299:G301)</f>
        <v>0</v>
      </c>
      <c r="H298" s="691">
        <f>SUBTOTAL(9,H299:H301)</f>
        <v>0</v>
      </c>
      <c r="I298" s="626"/>
      <c r="J298" s="752"/>
      <c r="L298" s="685"/>
      <c r="M298" s="685"/>
      <c r="N298" s="685"/>
      <c r="O298" s="685"/>
      <c r="P298" s="685"/>
      <c r="Q298" s="685"/>
      <c r="R298" s="685"/>
      <c r="T298" s="752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612</v>
      </c>
      <c r="C299" s="376" t="s">
        <v>612</v>
      </c>
      <c r="D299" s="376" t="s">
        <v>860</v>
      </c>
      <c r="E299" s="376" t="s">
        <v>1236</v>
      </c>
      <c r="F299" s="760" t="s">
        <v>36</v>
      </c>
      <c r="G299" s="609"/>
      <c r="H299" s="692"/>
      <c r="I299" s="626"/>
      <c r="J299" s="752"/>
      <c r="L299" s="608" t="s">
        <v>1236</v>
      </c>
      <c r="M299" s="608"/>
      <c r="N299" s="608"/>
      <c r="O299" s="608"/>
      <c r="P299" s="608"/>
      <c r="Q299" s="608"/>
      <c r="R299" s="608"/>
      <c r="T299" s="752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612</v>
      </c>
      <c r="C300" s="376" t="s">
        <v>612</v>
      </c>
      <c r="D300" s="376" t="s">
        <v>860</v>
      </c>
      <c r="E300" s="376" t="s">
        <v>1236</v>
      </c>
      <c r="F300" s="760" t="s">
        <v>1237</v>
      </c>
      <c r="G300" s="609"/>
      <c r="H300" s="692"/>
      <c r="I300" s="626"/>
      <c r="J300" s="752"/>
      <c r="L300" s="608" t="s">
        <v>1236</v>
      </c>
      <c r="M300" s="608"/>
      <c r="N300" s="608"/>
      <c r="O300" s="608"/>
      <c r="P300" s="608"/>
      <c r="Q300" s="608"/>
      <c r="R300" s="608"/>
      <c r="T300" s="752"/>
      <c r="V300" s="609">
        <f t="shared" si="46"/>
        <v>0</v>
      </c>
      <c r="W300" s="692"/>
    </row>
    <row r="301" spans="1:23" outlineLevel="3">
      <c r="A301" s="376"/>
      <c r="B301" s="376" t="s">
        <v>612</v>
      </c>
      <c r="C301" s="376" t="s">
        <v>612</v>
      </c>
      <c r="D301" s="376" t="s">
        <v>860</v>
      </c>
      <c r="E301" s="376" t="s">
        <v>1236</v>
      </c>
      <c r="F301" s="760" t="s">
        <v>1238</v>
      </c>
      <c r="G301" s="609"/>
      <c r="H301" s="692"/>
      <c r="I301" s="626"/>
      <c r="J301" s="752"/>
      <c r="L301" s="608" t="s">
        <v>1236</v>
      </c>
      <c r="M301" s="608"/>
      <c r="N301" s="608"/>
      <c r="O301" s="608"/>
      <c r="P301" s="608"/>
      <c r="Q301" s="608"/>
      <c r="R301" s="608"/>
      <c r="T301" s="752"/>
      <c r="V301" s="609">
        <f t="shared" si="46"/>
        <v>0</v>
      </c>
      <c r="W301" s="692"/>
    </row>
    <row r="302" spans="1:23" outlineLevel="1">
      <c r="A302" s="376"/>
      <c r="B302" s="665" t="s">
        <v>225</v>
      </c>
      <c r="C302" s="665" t="s">
        <v>1241</v>
      </c>
      <c r="D302" s="665"/>
      <c r="E302" s="665"/>
      <c r="F302" s="681" t="s">
        <v>947</v>
      </c>
      <c r="G302" s="701">
        <f>SUBTOTAL(9,G303:G314)</f>
        <v>9.3600000000000003E-2</v>
      </c>
      <c r="H302" s="702">
        <f>SUBTOTAL(9,H303:H314)</f>
        <v>4</v>
      </c>
      <c r="I302" s="626"/>
      <c r="J302" s="752"/>
      <c r="L302" s="681"/>
      <c r="M302" s="681"/>
      <c r="N302" s="681"/>
      <c r="O302" s="681"/>
      <c r="P302" s="681"/>
      <c r="Q302" s="681"/>
      <c r="R302" s="681"/>
      <c r="T302" s="752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225</v>
      </c>
      <c r="C303" s="684" t="s">
        <v>1241</v>
      </c>
      <c r="D303" s="684" t="s">
        <v>159</v>
      </c>
      <c r="E303" s="684"/>
      <c r="F303" s="685" t="s">
        <v>1242</v>
      </c>
      <c r="G303" s="713">
        <f>SUBTOTAL(9,G304:G305)</f>
        <v>6.3E-2</v>
      </c>
      <c r="H303" s="714">
        <f>SUBTOTAL(9,H304:H305)</f>
        <v>1</v>
      </c>
      <c r="I303" s="626"/>
      <c r="J303" s="752"/>
      <c r="L303" s="685"/>
      <c r="M303" s="685"/>
      <c r="N303" s="685"/>
      <c r="O303" s="685"/>
      <c r="P303" s="685"/>
      <c r="Q303" s="685"/>
      <c r="R303" s="685"/>
      <c r="T303" s="752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225</v>
      </c>
      <c r="C304" s="376" t="s">
        <v>1241</v>
      </c>
      <c r="D304" s="376" t="s">
        <v>159</v>
      </c>
      <c r="E304" s="376" t="s">
        <v>1100</v>
      </c>
      <c r="F304" s="608" t="s">
        <v>36</v>
      </c>
      <c r="G304" s="695">
        <v>6.3E-2</v>
      </c>
      <c r="H304" s="700">
        <v>1</v>
      </c>
      <c r="I304" s="626"/>
      <c r="J304" s="752"/>
      <c r="L304" s="608" t="s">
        <v>1100</v>
      </c>
      <c r="M304" s="608" t="s">
        <v>1150</v>
      </c>
      <c r="N304" s="608" t="s">
        <v>1101</v>
      </c>
      <c r="O304" s="608"/>
      <c r="P304" s="608"/>
      <c r="Q304" s="608"/>
      <c r="R304" s="608"/>
      <c r="T304" s="752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225</v>
      </c>
      <c r="C305" s="376" t="s">
        <v>1241</v>
      </c>
      <c r="D305" s="376" t="s">
        <v>159</v>
      </c>
      <c r="E305" s="376" t="s">
        <v>1100</v>
      </c>
      <c r="F305" s="760" t="s">
        <v>1238</v>
      </c>
      <c r="G305" s="695"/>
      <c r="H305" s="700"/>
      <c r="I305" s="626"/>
      <c r="J305" s="752"/>
      <c r="L305" s="608" t="s">
        <v>1100</v>
      </c>
      <c r="M305" s="608" t="s">
        <v>1150</v>
      </c>
      <c r="N305" s="608" t="s">
        <v>1101</v>
      </c>
      <c r="O305" s="608"/>
      <c r="P305" s="608"/>
      <c r="Q305" s="608"/>
      <c r="R305" s="608"/>
      <c r="T305" s="752"/>
      <c r="V305" s="609">
        <f t="shared" si="47"/>
        <v>0</v>
      </c>
      <c r="W305" s="700"/>
    </row>
    <row r="306" spans="1:23" outlineLevel="2">
      <c r="A306" s="376"/>
      <c r="B306" s="684" t="s">
        <v>225</v>
      </c>
      <c r="C306" s="684" t="s">
        <v>1241</v>
      </c>
      <c r="D306" s="684" t="s">
        <v>518</v>
      </c>
      <c r="E306" s="684"/>
      <c r="F306" s="685" t="s">
        <v>1230</v>
      </c>
      <c r="G306" s="713">
        <f>SUBTOTAL(9,G307:G308)</f>
        <v>1.9200000000000002E-2</v>
      </c>
      <c r="H306" s="714">
        <f>SUBTOTAL(9,H307:H308)</f>
        <v>1</v>
      </c>
      <c r="I306" s="626"/>
      <c r="J306" s="752"/>
      <c r="L306" s="685"/>
      <c r="M306" s="685"/>
      <c r="N306" s="685"/>
      <c r="O306" s="685"/>
      <c r="P306" s="685"/>
      <c r="Q306" s="685"/>
      <c r="R306" s="685"/>
      <c r="T306" s="752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225</v>
      </c>
      <c r="C307" s="376" t="s">
        <v>1241</v>
      </c>
      <c r="D307" s="376" t="s">
        <v>518</v>
      </c>
      <c r="E307" s="376" t="s">
        <v>56</v>
      </c>
      <c r="F307" s="608" t="s">
        <v>36</v>
      </c>
      <c r="G307" s="609">
        <v>1.9200000000000002E-2</v>
      </c>
      <c r="H307" s="692">
        <v>1</v>
      </c>
      <c r="I307" s="626"/>
      <c r="J307" s="752"/>
      <c r="L307" s="608" t="s">
        <v>56</v>
      </c>
      <c r="M307" s="608" t="s">
        <v>1038</v>
      </c>
      <c r="N307" s="608" t="s">
        <v>1039</v>
      </c>
      <c r="O307" s="608" t="s">
        <v>1043</v>
      </c>
      <c r="P307" s="608" t="s">
        <v>1040</v>
      </c>
      <c r="Q307" s="608"/>
      <c r="R307" s="608">
        <v>0</v>
      </c>
      <c r="T307" s="752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225</v>
      </c>
      <c r="C308" s="376" t="s">
        <v>1241</v>
      </c>
      <c r="D308" s="376" t="s">
        <v>518</v>
      </c>
      <c r="E308" s="376" t="s">
        <v>56</v>
      </c>
      <c r="F308" s="760" t="s">
        <v>1238</v>
      </c>
      <c r="G308" s="609"/>
      <c r="H308" s="692"/>
      <c r="I308" s="626"/>
      <c r="J308" s="752"/>
      <c r="L308" s="608" t="s">
        <v>56</v>
      </c>
      <c r="M308" s="608" t="s">
        <v>1038</v>
      </c>
      <c r="N308" s="608" t="s">
        <v>1039</v>
      </c>
      <c r="O308" s="608" t="s">
        <v>1043</v>
      </c>
      <c r="P308" s="608" t="s">
        <v>1040</v>
      </c>
      <c r="Q308" s="608"/>
      <c r="R308" s="608">
        <v>0</v>
      </c>
      <c r="T308" s="752"/>
      <c r="V308" s="609">
        <f t="shared" si="48"/>
        <v>0</v>
      </c>
      <c r="W308" s="692"/>
    </row>
    <row r="309" spans="1:23" outlineLevel="2">
      <c r="A309" s="376"/>
      <c r="B309" s="684" t="s">
        <v>225</v>
      </c>
      <c r="C309" s="684" t="s">
        <v>1241</v>
      </c>
      <c r="D309" s="684" t="s">
        <v>441</v>
      </c>
      <c r="E309" s="684"/>
      <c r="F309" s="685" t="s">
        <v>1242</v>
      </c>
      <c r="G309" s="713">
        <f>SUBTOTAL(9,G310:G311)</f>
        <v>5.4000000000000003E-3</v>
      </c>
      <c r="H309" s="714">
        <f>SUBTOTAL(9,H310:H311)</f>
        <v>1</v>
      </c>
      <c r="I309" s="626"/>
      <c r="J309" s="752"/>
      <c r="L309" s="685"/>
      <c r="M309" s="685"/>
      <c r="N309" s="685"/>
      <c r="O309" s="685"/>
      <c r="P309" s="685"/>
      <c r="Q309" s="685"/>
      <c r="R309" s="685"/>
      <c r="T309" s="752"/>
      <c r="V309" s="713">
        <f>SUBTOTAL(9,V310:V311)</f>
        <v>0</v>
      </c>
      <c r="W309" s="714">
        <f>SUBTOTAL(9,W310:W311)</f>
        <v>0</v>
      </c>
    </row>
    <row r="310" spans="1:23" ht="39.6" outlineLevel="3">
      <c r="A310" s="376"/>
      <c r="B310" s="376" t="s">
        <v>225</v>
      </c>
      <c r="C310" s="376" t="s">
        <v>1241</v>
      </c>
      <c r="D310" s="376" t="s">
        <v>441</v>
      </c>
      <c r="E310" s="376" t="s">
        <v>437</v>
      </c>
      <c r="F310" s="608" t="s">
        <v>36</v>
      </c>
      <c r="G310" s="609">
        <v>5.4000000000000003E-3</v>
      </c>
      <c r="H310" s="692">
        <v>1</v>
      </c>
      <c r="I310" s="626"/>
      <c r="J310" s="752"/>
      <c r="L310" s="608" t="s">
        <v>437</v>
      </c>
      <c r="M310" s="608" t="s">
        <v>966</v>
      </c>
      <c r="N310" s="608" t="s">
        <v>967</v>
      </c>
      <c r="O310" s="608" t="s">
        <v>1243</v>
      </c>
      <c r="P310" s="608"/>
      <c r="Q310" s="608"/>
      <c r="R310" s="608"/>
      <c r="T310" s="752"/>
      <c r="V310" s="609">
        <f t="shared" ref="V310:V311" si="49">IF(W310=1,G310,0)</f>
        <v>0</v>
      </c>
      <c r="W310" s="692"/>
    </row>
    <row r="311" spans="1:23" ht="39.6" outlineLevel="3">
      <c r="A311" s="376"/>
      <c r="B311" s="376" t="s">
        <v>225</v>
      </c>
      <c r="C311" s="376" t="s">
        <v>1241</v>
      </c>
      <c r="D311" s="376" t="s">
        <v>441</v>
      </c>
      <c r="E311" s="376" t="s">
        <v>437</v>
      </c>
      <c r="F311" s="760" t="s">
        <v>1238</v>
      </c>
      <c r="G311" s="609"/>
      <c r="H311" s="692"/>
      <c r="I311" s="626"/>
      <c r="J311" s="752"/>
      <c r="L311" s="608" t="s">
        <v>437</v>
      </c>
      <c r="M311" s="608" t="s">
        <v>966</v>
      </c>
      <c r="N311" s="608" t="s">
        <v>967</v>
      </c>
      <c r="O311" s="608" t="s">
        <v>1243</v>
      </c>
      <c r="P311" s="608"/>
      <c r="Q311" s="608"/>
      <c r="R311" s="608"/>
      <c r="T311" s="752"/>
      <c r="V311" s="609">
        <f t="shared" si="49"/>
        <v>0</v>
      </c>
      <c r="W311" s="692"/>
    </row>
    <row r="312" spans="1:23" outlineLevel="2">
      <c r="A312" s="376"/>
      <c r="B312" s="684" t="s">
        <v>225</v>
      </c>
      <c r="C312" s="684" t="s">
        <v>1241</v>
      </c>
      <c r="D312" s="684" t="s">
        <v>860</v>
      </c>
      <c r="E312" s="684"/>
      <c r="F312" s="685" t="s">
        <v>1230</v>
      </c>
      <c r="G312" s="713">
        <f>SUBTOTAL(9,G313:G314)</f>
        <v>6.0000000000000001E-3</v>
      </c>
      <c r="H312" s="714">
        <f>SUBTOTAL(9,H313:H314)</f>
        <v>1</v>
      </c>
      <c r="I312" s="626"/>
      <c r="J312" s="752"/>
      <c r="L312" s="685"/>
      <c r="M312" s="685"/>
      <c r="N312" s="685"/>
      <c r="O312" s="685"/>
      <c r="P312" s="685"/>
      <c r="Q312" s="685"/>
      <c r="R312" s="685"/>
      <c r="T312" s="752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225</v>
      </c>
      <c r="C313" s="376" t="s">
        <v>1241</v>
      </c>
      <c r="D313" s="376" t="s">
        <v>860</v>
      </c>
      <c r="E313" s="376" t="s">
        <v>437</v>
      </c>
      <c r="F313" s="608" t="s">
        <v>36</v>
      </c>
      <c r="G313" s="609">
        <v>6.0000000000000001E-3</v>
      </c>
      <c r="H313" s="692">
        <v>1</v>
      </c>
      <c r="I313" s="626"/>
      <c r="J313" s="752"/>
      <c r="L313" s="608" t="s">
        <v>437</v>
      </c>
      <c r="M313" s="608" t="s">
        <v>996</v>
      </c>
      <c r="N313" s="608" t="s">
        <v>1244</v>
      </c>
      <c r="O313" s="608"/>
      <c r="P313" s="608"/>
      <c r="Q313" s="608"/>
      <c r="R313" s="608"/>
      <c r="T313" s="752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225</v>
      </c>
      <c r="C314" s="376" t="s">
        <v>1241</v>
      </c>
      <c r="D314" s="376" t="s">
        <v>860</v>
      </c>
      <c r="E314" s="376" t="s">
        <v>437</v>
      </c>
      <c r="F314" s="760" t="s">
        <v>1238</v>
      </c>
      <c r="G314" s="609"/>
      <c r="H314" s="692"/>
      <c r="I314" s="626"/>
      <c r="J314" s="752"/>
      <c r="L314" s="608" t="s">
        <v>437</v>
      </c>
      <c r="M314" s="608" t="s">
        <v>996</v>
      </c>
      <c r="N314" s="608" t="s">
        <v>1244</v>
      </c>
      <c r="O314" s="608"/>
      <c r="P314" s="608"/>
      <c r="Q314" s="608"/>
      <c r="R314" s="608"/>
      <c r="T314" s="752"/>
      <c r="V314" s="609">
        <f t="shared" si="50"/>
        <v>0</v>
      </c>
      <c r="W314" s="692"/>
    </row>
    <row r="315" spans="1:23" outlineLevel="1">
      <c r="A315" s="376"/>
      <c r="B315" s="665" t="s">
        <v>229</v>
      </c>
      <c r="C315" s="665" t="s">
        <v>1245</v>
      </c>
      <c r="D315" s="665"/>
      <c r="E315" s="665"/>
      <c r="F315" s="681" t="s">
        <v>947</v>
      </c>
      <c r="G315" s="701">
        <f>SUBTOTAL(9,G316:G332)</f>
        <v>1.1977650000000002</v>
      </c>
      <c r="H315" s="702">
        <f>SUBTOTAL(9,H316:H332)</f>
        <v>13</v>
      </c>
      <c r="I315" s="626"/>
      <c r="J315" s="752"/>
      <c r="L315" s="681"/>
      <c r="M315" s="681"/>
      <c r="N315" s="681"/>
      <c r="O315" s="681"/>
      <c r="P315" s="681"/>
      <c r="Q315" s="681"/>
      <c r="R315" s="681"/>
      <c r="T315" s="752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229</v>
      </c>
      <c r="C316" s="684" t="s">
        <v>1245</v>
      </c>
      <c r="D316" s="684" t="s">
        <v>159</v>
      </c>
      <c r="E316" s="684"/>
      <c r="F316" s="685" t="s">
        <v>1022</v>
      </c>
      <c r="G316" s="713">
        <f>SUBTOTAL(9,G317:G320)</f>
        <v>0.77993999999999997</v>
      </c>
      <c r="H316" s="714">
        <f>SUBTOTAL(9,H317:H320)</f>
        <v>4</v>
      </c>
      <c r="I316" s="626"/>
      <c r="J316" s="752"/>
      <c r="L316" s="685"/>
      <c r="M316" s="685"/>
      <c r="N316" s="685"/>
      <c r="O316" s="685"/>
      <c r="P316" s="685"/>
      <c r="Q316" s="685"/>
      <c r="R316" s="685"/>
      <c r="T316" s="752"/>
      <c r="V316" s="713">
        <f>SUBTOTAL(9,V317:V320)</f>
        <v>0</v>
      </c>
      <c r="W316" s="714">
        <f>SUBTOTAL(9,W317:W320)</f>
        <v>0</v>
      </c>
    </row>
    <row r="317" spans="1:23" ht="26.45" outlineLevel="3">
      <c r="A317" s="376"/>
      <c r="B317" s="376" t="s">
        <v>229</v>
      </c>
      <c r="C317" s="376" t="s">
        <v>1245</v>
      </c>
      <c r="D317" s="376" t="s">
        <v>159</v>
      </c>
      <c r="E317" s="376" t="s">
        <v>1100</v>
      </c>
      <c r="F317" s="608" t="s">
        <v>1238</v>
      </c>
      <c r="G317" s="609">
        <v>0.12999000000000002</v>
      </c>
      <c r="H317" s="700">
        <v>1</v>
      </c>
      <c r="I317" s="626"/>
      <c r="J317" s="752"/>
      <c r="L317" s="608" t="s">
        <v>1100</v>
      </c>
      <c r="M317" s="608" t="s">
        <v>1103</v>
      </c>
      <c r="N317" s="608" t="s">
        <v>1091</v>
      </c>
      <c r="O317" s="608" t="s">
        <v>1104</v>
      </c>
      <c r="P317" s="608"/>
      <c r="Q317" s="608"/>
      <c r="R317" s="608"/>
      <c r="T317" s="752"/>
      <c r="V317" s="609">
        <f t="shared" ref="V317:V320" si="51">IF(W317=1,G317,0)</f>
        <v>0</v>
      </c>
      <c r="W317" s="700"/>
    </row>
    <row r="318" spans="1:23" ht="26.45" outlineLevel="3">
      <c r="A318" s="376"/>
      <c r="B318" s="376" t="s">
        <v>229</v>
      </c>
      <c r="C318" s="376" t="s">
        <v>1245</v>
      </c>
      <c r="D318" s="376" t="s">
        <v>159</v>
      </c>
      <c r="E318" s="376" t="s">
        <v>1100</v>
      </c>
      <c r="F318" s="608" t="s">
        <v>1239</v>
      </c>
      <c r="G318" s="695">
        <v>0.25998000000000004</v>
      </c>
      <c r="H318" s="700">
        <v>1</v>
      </c>
      <c r="I318" s="626"/>
      <c r="J318" s="752"/>
      <c r="L318" s="608" t="s">
        <v>1100</v>
      </c>
      <c r="M318" s="608" t="s">
        <v>1103</v>
      </c>
      <c r="N318" s="608" t="s">
        <v>1091</v>
      </c>
      <c r="O318" s="608" t="s">
        <v>1104</v>
      </c>
      <c r="P318" s="608"/>
      <c r="Q318" s="608"/>
      <c r="R318" s="608"/>
      <c r="T318" s="752"/>
      <c r="V318" s="609">
        <f t="shared" si="51"/>
        <v>0</v>
      </c>
      <c r="W318" s="700"/>
    </row>
    <row r="319" spans="1:23" ht="26.45" outlineLevel="3">
      <c r="A319" s="376"/>
      <c r="B319" s="376" t="s">
        <v>229</v>
      </c>
      <c r="C319" s="376" t="s">
        <v>1245</v>
      </c>
      <c r="D319" s="376" t="s">
        <v>159</v>
      </c>
      <c r="E319" s="376" t="s">
        <v>1100</v>
      </c>
      <c r="F319" s="608" t="s">
        <v>1246</v>
      </c>
      <c r="G319" s="695">
        <v>0.19498499999999999</v>
      </c>
      <c r="H319" s="700">
        <v>1</v>
      </c>
      <c r="I319" s="626"/>
      <c r="J319" s="752"/>
      <c r="L319" s="608" t="s">
        <v>1100</v>
      </c>
      <c r="M319" s="608" t="s">
        <v>1103</v>
      </c>
      <c r="N319" s="608" t="s">
        <v>1091</v>
      </c>
      <c r="O319" s="608" t="s">
        <v>1104</v>
      </c>
      <c r="P319" s="608"/>
      <c r="Q319" s="608"/>
      <c r="R319" s="608"/>
      <c r="T319" s="752"/>
      <c r="V319" s="609">
        <f t="shared" si="51"/>
        <v>0</v>
      </c>
      <c r="W319" s="700"/>
    </row>
    <row r="320" spans="1:23" ht="26.45" outlineLevel="3">
      <c r="A320" s="376"/>
      <c r="B320" s="376" t="s">
        <v>229</v>
      </c>
      <c r="C320" s="376" t="s">
        <v>1245</v>
      </c>
      <c r="D320" s="376" t="s">
        <v>159</v>
      </c>
      <c r="E320" s="376" t="s">
        <v>1100</v>
      </c>
      <c r="F320" s="608" t="s">
        <v>1247</v>
      </c>
      <c r="G320" s="695">
        <v>0.19498499999999999</v>
      </c>
      <c r="H320" s="700">
        <v>1</v>
      </c>
      <c r="I320" s="626"/>
      <c r="J320" s="752"/>
      <c r="L320" s="608" t="s">
        <v>1100</v>
      </c>
      <c r="M320" s="608" t="s">
        <v>1103</v>
      </c>
      <c r="N320" s="608" t="s">
        <v>1091</v>
      </c>
      <c r="O320" s="608" t="s">
        <v>1104</v>
      </c>
      <c r="P320" s="608"/>
      <c r="Q320" s="608"/>
      <c r="R320" s="608"/>
      <c r="T320" s="752"/>
      <c r="V320" s="609">
        <f t="shared" si="51"/>
        <v>0</v>
      </c>
      <c r="W320" s="700"/>
    </row>
    <row r="321" spans="1:23" outlineLevel="2">
      <c r="A321" s="376"/>
      <c r="B321" s="684" t="s">
        <v>229</v>
      </c>
      <c r="C321" s="684" t="s">
        <v>1245</v>
      </c>
      <c r="D321" s="684" t="s">
        <v>518</v>
      </c>
      <c r="E321" s="684"/>
      <c r="F321" s="685" t="s">
        <v>1022</v>
      </c>
      <c r="G321" s="713">
        <f>SUBTOTAL(9,G322:G324)</f>
        <v>0.22284000000000001</v>
      </c>
      <c r="H321" s="714">
        <f>SUBTOTAL(9,H322:H324)</f>
        <v>3</v>
      </c>
      <c r="I321" s="626"/>
      <c r="J321" s="752"/>
      <c r="L321" s="685"/>
      <c r="M321" s="685"/>
      <c r="N321" s="685"/>
      <c r="O321" s="685"/>
      <c r="P321" s="685"/>
      <c r="Q321" s="685"/>
      <c r="R321" s="685"/>
      <c r="T321" s="752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229</v>
      </c>
      <c r="C322" s="376" t="s">
        <v>1245</v>
      </c>
      <c r="D322" s="376" t="s">
        <v>518</v>
      </c>
      <c r="E322" s="376" t="s">
        <v>56</v>
      </c>
      <c r="F322" s="608" t="s">
        <v>1238</v>
      </c>
      <c r="G322" s="609">
        <v>5.9424000000000005E-2</v>
      </c>
      <c r="H322" s="692">
        <v>1</v>
      </c>
      <c r="I322" s="626"/>
      <c r="J322" s="752"/>
      <c r="L322" s="608" t="s">
        <v>56</v>
      </c>
      <c r="M322" s="608" t="s">
        <v>1038</v>
      </c>
      <c r="N322" s="608" t="s">
        <v>1043</v>
      </c>
      <c r="O322" s="608" t="s">
        <v>1039</v>
      </c>
      <c r="P322" s="608" t="s">
        <v>1040</v>
      </c>
      <c r="Q322" s="608"/>
      <c r="R322" s="608">
        <v>0</v>
      </c>
      <c r="T322" s="752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229</v>
      </c>
      <c r="C323" s="376" t="s">
        <v>1245</v>
      </c>
      <c r="D323" s="376" t="s">
        <v>518</v>
      </c>
      <c r="E323" s="376" t="s">
        <v>56</v>
      </c>
      <c r="F323" s="608" t="s">
        <v>1239</v>
      </c>
      <c r="G323" s="609">
        <v>0.14856</v>
      </c>
      <c r="H323" s="692">
        <v>1</v>
      </c>
      <c r="I323" s="626"/>
      <c r="J323" s="752"/>
      <c r="L323" s="608" t="s">
        <v>56</v>
      </c>
      <c r="M323" s="608" t="s">
        <v>1038</v>
      </c>
      <c r="N323" s="608" t="s">
        <v>1043</v>
      </c>
      <c r="O323" s="608" t="s">
        <v>1039</v>
      </c>
      <c r="P323" s="608" t="s">
        <v>1040</v>
      </c>
      <c r="Q323" s="608"/>
      <c r="R323" s="608">
        <v>0</v>
      </c>
      <c r="T323" s="752"/>
      <c r="V323" s="609">
        <f t="shared" si="52"/>
        <v>0</v>
      </c>
      <c r="W323" s="692"/>
    </row>
    <row r="324" spans="1:23" outlineLevel="3">
      <c r="A324" s="376"/>
      <c r="B324" s="376" t="s">
        <v>229</v>
      </c>
      <c r="C324" s="376" t="s">
        <v>1245</v>
      </c>
      <c r="D324" s="376" t="s">
        <v>518</v>
      </c>
      <c r="E324" s="376" t="s">
        <v>56</v>
      </c>
      <c r="F324" s="608" t="s">
        <v>1246</v>
      </c>
      <c r="G324" s="609">
        <v>1.4856000000000001E-2</v>
      </c>
      <c r="H324" s="692">
        <v>1</v>
      </c>
      <c r="I324" s="626"/>
      <c r="J324" s="752"/>
      <c r="L324" s="608" t="s">
        <v>56</v>
      </c>
      <c r="M324" s="608" t="s">
        <v>1038</v>
      </c>
      <c r="N324" s="608" t="s">
        <v>1043</v>
      </c>
      <c r="O324" s="608" t="s">
        <v>1039</v>
      </c>
      <c r="P324" s="608" t="s">
        <v>1040</v>
      </c>
      <c r="Q324" s="608"/>
      <c r="R324" s="608">
        <v>0</v>
      </c>
      <c r="T324" s="752"/>
      <c r="V324" s="609">
        <f t="shared" si="52"/>
        <v>0</v>
      </c>
      <c r="W324" s="692"/>
    </row>
    <row r="325" spans="1:23" outlineLevel="2">
      <c r="A325" s="376"/>
      <c r="B325" s="684" t="s">
        <v>229</v>
      </c>
      <c r="C325" s="684" t="s">
        <v>1245</v>
      </c>
      <c r="D325" s="684" t="s">
        <v>441</v>
      </c>
      <c r="E325" s="684"/>
      <c r="F325" s="685" t="s">
        <v>1022</v>
      </c>
      <c r="G325" s="713">
        <f>SUBTOTAL(9,G326:G329)</f>
        <v>0.1253475</v>
      </c>
      <c r="H325" s="714">
        <f>SUBTOTAL(9,H326:H329)</f>
        <v>4</v>
      </c>
      <c r="I325" s="626"/>
      <c r="J325" s="752"/>
      <c r="L325" s="685"/>
      <c r="M325" s="685"/>
      <c r="N325" s="685"/>
      <c r="O325" s="685"/>
      <c r="P325" s="685"/>
      <c r="Q325" s="685"/>
      <c r="R325" s="685"/>
      <c r="T325" s="752"/>
      <c r="V325" s="713">
        <f>SUBTOTAL(9,V326:V329)</f>
        <v>0</v>
      </c>
      <c r="W325" s="714">
        <f>SUBTOTAL(9,W326:W329)</f>
        <v>0</v>
      </c>
    </row>
    <row r="326" spans="1:23" ht="39.6" outlineLevel="3">
      <c r="A326" s="376"/>
      <c r="B326" s="376" t="s">
        <v>229</v>
      </c>
      <c r="C326" s="376" t="s">
        <v>1245</v>
      </c>
      <c r="D326" s="376" t="s">
        <v>441</v>
      </c>
      <c r="E326" s="376" t="s">
        <v>437</v>
      </c>
      <c r="F326" s="608" t="s">
        <v>1238</v>
      </c>
      <c r="G326" s="609">
        <v>1.6713000000000002E-2</v>
      </c>
      <c r="H326" s="692">
        <v>1</v>
      </c>
      <c r="I326" s="626"/>
      <c r="J326" s="752"/>
      <c r="L326" s="608" t="s">
        <v>437</v>
      </c>
      <c r="M326" s="608" t="s">
        <v>966</v>
      </c>
      <c r="N326" s="608" t="s">
        <v>1173</v>
      </c>
      <c r="O326" s="608" t="s">
        <v>1248</v>
      </c>
      <c r="P326" s="608"/>
      <c r="Q326" s="608"/>
      <c r="R326" s="608"/>
      <c r="T326" s="752"/>
      <c r="V326" s="609">
        <f t="shared" ref="V326:V329" si="53">IF(W326=1,G326,0)</f>
        <v>0</v>
      </c>
      <c r="W326" s="692"/>
    </row>
    <row r="327" spans="1:23" ht="39.6" outlineLevel="3">
      <c r="A327" s="376"/>
      <c r="B327" s="376" t="s">
        <v>229</v>
      </c>
      <c r="C327" s="376" t="s">
        <v>1245</v>
      </c>
      <c r="D327" s="376" t="s">
        <v>441</v>
      </c>
      <c r="E327" s="376" t="s">
        <v>437</v>
      </c>
      <c r="F327" s="608" t="s">
        <v>1239</v>
      </c>
      <c r="G327" s="609">
        <v>5.8495499999999999E-2</v>
      </c>
      <c r="H327" s="692">
        <v>1</v>
      </c>
      <c r="I327" s="626"/>
      <c r="J327" s="752"/>
      <c r="L327" s="608" t="s">
        <v>437</v>
      </c>
      <c r="M327" s="608" t="s">
        <v>966</v>
      </c>
      <c r="N327" s="608" t="s">
        <v>1173</v>
      </c>
      <c r="O327" s="608" t="s">
        <v>1248</v>
      </c>
      <c r="P327" s="608"/>
      <c r="Q327" s="608"/>
      <c r="R327" s="608"/>
      <c r="T327" s="752"/>
      <c r="V327" s="609">
        <f t="shared" si="53"/>
        <v>0</v>
      </c>
      <c r="W327" s="692"/>
    </row>
    <row r="328" spans="1:23" ht="39.6" outlineLevel="3">
      <c r="A328" s="376"/>
      <c r="B328" s="376" t="s">
        <v>229</v>
      </c>
      <c r="C328" s="376" t="s">
        <v>1245</v>
      </c>
      <c r="D328" s="376" t="s">
        <v>441</v>
      </c>
      <c r="E328" s="376" t="s">
        <v>437</v>
      </c>
      <c r="F328" s="608" t="s">
        <v>1246</v>
      </c>
      <c r="G328" s="609">
        <v>2.5069499999999998E-2</v>
      </c>
      <c r="H328" s="692">
        <v>1</v>
      </c>
      <c r="I328" s="626"/>
      <c r="J328" s="752"/>
      <c r="L328" s="608" t="s">
        <v>437</v>
      </c>
      <c r="M328" s="608" t="s">
        <v>966</v>
      </c>
      <c r="N328" s="608" t="s">
        <v>1173</v>
      </c>
      <c r="O328" s="608" t="s">
        <v>1248</v>
      </c>
      <c r="P328" s="608"/>
      <c r="Q328" s="608"/>
      <c r="R328" s="608"/>
      <c r="T328" s="752"/>
      <c r="V328" s="609">
        <f t="shared" si="53"/>
        <v>0</v>
      </c>
      <c r="W328" s="692"/>
    </row>
    <row r="329" spans="1:23" ht="39.6" outlineLevel="3">
      <c r="A329" s="376"/>
      <c r="B329" s="376" t="s">
        <v>229</v>
      </c>
      <c r="C329" s="376" t="s">
        <v>1245</v>
      </c>
      <c r="D329" s="376" t="s">
        <v>441</v>
      </c>
      <c r="E329" s="376" t="s">
        <v>437</v>
      </c>
      <c r="F329" s="608" t="s">
        <v>1247</v>
      </c>
      <c r="G329" s="609">
        <v>2.5069499999999998E-2</v>
      </c>
      <c r="H329" s="692">
        <v>1</v>
      </c>
      <c r="I329" s="626"/>
      <c r="J329" s="752"/>
      <c r="L329" s="608" t="s">
        <v>437</v>
      </c>
      <c r="M329" s="608" t="s">
        <v>966</v>
      </c>
      <c r="N329" s="608" t="s">
        <v>1173</v>
      </c>
      <c r="O329" s="608" t="s">
        <v>1248</v>
      </c>
      <c r="P329" s="608"/>
      <c r="Q329" s="608"/>
      <c r="R329" s="608"/>
      <c r="T329" s="752"/>
      <c r="V329" s="609">
        <f t="shared" si="53"/>
        <v>0</v>
      </c>
      <c r="W329" s="692"/>
    </row>
    <row r="330" spans="1:23" outlineLevel="2">
      <c r="A330" s="376"/>
      <c r="B330" s="684" t="s">
        <v>229</v>
      </c>
      <c r="C330" s="684" t="s">
        <v>1245</v>
      </c>
      <c r="D330" s="684" t="s">
        <v>860</v>
      </c>
      <c r="E330" s="684"/>
      <c r="F330" s="685" t="s">
        <v>1022</v>
      </c>
      <c r="G330" s="713">
        <f>SUBTOTAL(9,G331:G332)</f>
        <v>6.9637500000000005E-2</v>
      </c>
      <c r="H330" s="714">
        <f>SUBTOTAL(9,H331:H332)</f>
        <v>2</v>
      </c>
      <c r="I330" s="626"/>
      <c r="J330" s="752"/>
      <c r="L330" s="685"/>
      <c r="M330" s="685"/>
      <c r="N330" s="685"/>
      <c r="O330" s="685"/>
      <c r="P330" s="685"/>
      <c r="Q330" s="685"/>
      <c r="R330" s="685"/>
      <c r="T330" s="752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229</v>
      </c>
      <c r="C331" s="376" t="s">
        <v>1245</v>
      </c>
      <c r="D331" s="376" t="s">
        <v>860</v>
      </c>
      <c r="E331" s="376" t="s">
        <v>437</v>
      </c>
      <c r="F331" s="608" t="s">
        <v>1238</v>
      </c>
      <c r="G331" s="609">
        <v>1.857E-2</v>
      </c>
      <c r="H331" s="692">
        <v>1</v>
      </c>
      <c r="I331" s="626"/>
      <c r="J331" s="752"/>
      <c r="L331" s="608" t="s">
        <v>437</v>
      </c>
      <c r="M331" s="608" t="s">
        <v>996</v>
      </c>
      <c r="N331" s="608" t="s">
        <v>1244</v>
      </c>
      <c r="O331" s="608" t="s">
        <v>1249</v>
      </c>
      <c r="P331" s="608"/>
      <c r="Q331" s="608"/>
      <c r="R331" s="608"/>
      <c r="T331" s="752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229</v>
      </c>
      <c r="C332" s="376" t="s">
        <v>1245</v>
      </c>
      <c r="D332" s="376" t="s">
        <v>860</v>
      </c>
      <c r="E332" s="376" t="s">
        <v>437</v>
      </c>
      <c r="F332" s="608" t="s">
        <v>1246</v>
      </c>
      <c r="G332" s="609">
        <v>5.1067500000000002E-2</v>
      </c>
      <c r="H332" s="692">
        <v>1</v>
      </c>
      <c r="I332" s="626"/>
      <c r="J332" s="752"/>
      <c r="L332" s="608" t="s">
        <v>437</v>
      </c>
      <c r="M332" s="608" t="s">
        <v>996</v>
      </c>
      <c r="N332" s="608" t="s">
        <v>1244</v>
      </c>
      <c r="O332" s="608" t="s">
        <v>1249</v>
      </c>
      <c r="P332" s="608"/>
      <c r="Q332" s="608"/>
      <c r="R332" s="608"/>
      <c r="T332" s="752"/>
      <c r="V332" s="609">
        <f t="shared" si="54"/>
        <v>0</v>
      </c>
      <c r="W332" s="692"/>
    </row>
    <row r="333" spans="1:23" outlineLevel="1">
      <c r="A333" s="376"/>
      <c r="B333" s="665" t="s">
        <v>918</v>
      </c>
      <c r="C333" s="665" t="s">
        <v>1250</v>
      </c>
      <c r="D333" s="665"/>
      <c r="E333" s="665"/>
      <c r="F333" s="681" t="s">
        <v>947</v>
      </c>
      <c r="G333" s="701">
        <f>SUBTOTAL(9,G334:G342)</f>
        <v>4.9130000000000007E-3</v>
      </c>
      <c r="H333" s="702">
        <f>SUBTOTAL(9,H334:H342)</f>
        <v>6</v>
      </c>
      <c r="I333" s="626"/>
      <c r="J333" s="752"/>
      <c r="L333" s="681"/>
      <c r="M333" s="681"/>
      <c r="N333" s="681"/>
      <c r="O333" s="681"/>
      <c r="P333" s="681"/>
      <c r="Q333" s="681"/>
      <c r="R333" s="681"/>
      <c r="T333" s="752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918</v>
      </c>
      <c r="C334" s="684" t="s">
        <v>1250</v>
      </c>
      <c r="D334" s="684" t="s">
        <v>159</v>
      </c>
      <c r="E334" s="684"/>
      <c r="F334" s="685" t="s">
        <v>1251</v>
      </c>
      <c r="G334" s="713">
        <f>SUBTOTAL(9,G335:G338)</f>
        <v>4.0000000000000001E-3</v>
      </c>
      <c r="H334" s="714">
        <f>SUBTOTAL(9,H335:H338)</f>
        <v>4</v>
      </c>
      <c r="I334" s="626"/>
      <c r="J334" s="752"/>
      <c r="L334" s="685"/>
      <c r="M334" s="685"/>
      <c r="N334" s="685"/>
      <c r="O334" s="685"/>
      <c r="P334" s="685"/>
      <c r="Q334" s="685"/>
      <c r="R334" s="685"/>
      <c r="T334" s="752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918</v>
      </c>
      <c r="C335" s="376" t="s">
        <v>1250</v>
      </c>
      <c r="D335" s="376" t="s">
        <v>159</v>
      </c>
      <c r="E335" s="376" t="s">
        <v>1236</v>
      </c>
      <c r="F335" s="608" t="s">
        <v>1252</v>
      </c>
      <c r="G335" s="609">
        <v>2.0999999999999999E-3</v>
      </c>
      <c r="H335" s="700">
        <v>1</v>
      </c>
      <c r="I335" s="626"/>
      <c r="J335" s="752"/>
      <c r="L335" s="608" t="s">
        <v>1236</v>
      </c>
      <c r="M335" s="608"/>
      <c r="N335" s="608"/>
      <c r="O335" s="608"/>
      <c r="P335" s="608"/>
      <c r="Q335" s="608"/>
      <c r="R335" s="608"/>
      <c r="T335" s="752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918</v>
      </c>
      <c r="C336" s="376" t="s">
        <v>1250</v>
      </c>
      <c r="D336" s="376" t="s">
        <v>159</v>
      </c>
      <c r="E336" s="376" t="s">
        <v>1236</v>
      </c>
      <c r="F336" s="608" t="s">
        <v>1253</v>
      </c>
      <c r="G336" s="609">
        <v>8.7500000000000002E-4</v>
      </c>
      <c r="H336" s="700">
        <v>1</v>
      </c>
      <c r="I336" s="626"/>
      <c r="J336" s="752"/>
      <c r="L336" s="608" t="s">
        <v>1236</v>
      </c>
      <c r="M336" s="608"/>
      <c r="N336" s="608"/>
      <c r="O336" s="608"/>
      <c r="P336" s="608"/>
      <c r="Q336" s="608"/>
      <c r="R336" s="608"/>
      <c r="T336" s="752"/>
      <c r="V336" s="609">
        <f t="shared" si="55"/>
        <v>0</v>
      </c>
      <c r="W336" s="700"/>
    </row>
    <row r="337" spans="1:23" outlineLevel="3">
      <c r="A337" s="376"/>
      <c r="B337" s="376" t="s">
        <v>918</v>
      </c>
      <c r="C337" s="376" t="s">
        <v>1250</v>
      </c>
      <c r="D337" s="376" t="s">
        <v>159</v>
      </c>
      <c r="E337" s="376" t="s">
        <v>1236</v>
      </c>
      <c r="F337" s="608" t="s">
        <v>1254</v>
      </c>
      <c r="G337" s="609">
        <v>5.2499999999999997E-4</v>
      </c>
      <c r="H337" s="700">
        <v>1</v>
      </c>
      <c r="I337" s="626"/>
      <c r="J337" s="752"/>
      <c r="L337" s="608" t="s">
        <v>1236</v>
      </c>
      <c r="M337" s="608"/>
      <c r="N337" s="608"/>
      <c r="O337" s="608"/>
      <c r="P337" s="608"/>
      <c r="Q337" s="608"/>
      <c r="R337" s="608"/>
      <c r="T337" s="752"/>
      <c r="V337" s="609">
        <f t="shared" si="55"/>
        <v>0</v>
      </c>
      <c r="W337" s="700"/>
    </row>
    <row r="338" spans="1:23" outlineLevel="3">
      <c r="A338" s="376"/>
      <c r="B338" s="376" t="s">
        <v>918</v>
      </c>
      <c r="C338" s="376" t="s">
        <v>1250</v>
      </c>
      <c r="D338" s="376" t="s">
        <v>159</v>
      </c>
      <c r="E338" s="376" t="s">
        <v>1236</v>
      </c>
      <c r="F338" s="608" t="s">
        <v>1255</v>
      </c>
      <c r="G338" s="609">
        <v>5.0000000000000001E-4</v>
      </c>
      <c r="H338" s="700">
        <v>1</v>
      </c>
      <c r="I338" s="626"/>
      <c r="J338" s="752"/>
      <c r="L338" s="608" t="s">
        <v>1236</v>
      </c>
      <c r="M338" s="608"/>
      <c r="N338" s="608"/>
      <c r="O338" s="608"/>
      <c r="P338" s="608"/>
      <c r="Q338" s="608"/>
      <c r="R338" s="608"/>
      <c r="T338" s="752"/>
      <c r="V338" s="609">
        <f t="shared" si="55"/>
        <v>0</v>
      </c>
      <c r="W338" s="700"/>
    </row>
    <row r="339" spans="1:23" outlineLevel="2">
      <c r="A339" s="376"/>
      <c r="B339" s="684" t="s">
        <v>918</v>
      </c>
      <c r="C339" s="684" t="s">
        <v>1250</v>
      </c>
      <c r="D339" s="684" t="s">
        <v>860</v>
      </c>
      <c r="E339" s="684"/>
      <c r="F339" s="685" t="s">
        <v>1251</v>
      </c>
      <c r="G339" s="713">
        <f>SUBTOTAL(9,G340)</f>
        <v>1.13E-4</v>
      </c>
      <c r="H339" s="714">
        <f>SUBTOTAL(9,H340)</f>
        <v>1</v>
      </c>
      <c r="I339" s="626"/>
      <c r="J339" s="752"/>
      <c r="L339" s="685"/>
      <c r="M339" s="685"/>
      <c r="N339" s="685"/>
      <c r="O339" s="685"/>
      <c r="P339" s="685"/>
      <c r="Q339" s="685"/>
      <c r="R339" s="685"/>
      <c r="T339" s="752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918</v>
      </c>
      <c r="C340" s="376" t="s">
        <v>1250</v>
      </c>
      <c r="D340" s="376" t="s">
        <v>860</v>
      </c>
      <c r="E340" s="376" t="s">
        <v>437</v>
      </c>
      <c r="F340" s="608" t="s">
        <v>1256</v>
      </c>
      <c r="G340" s="609">
        <v>1.13E-4</v>
      </c>
      <c r="H340" s="700">
        <v>1</v>
      </c>
      <c r="I340" s="626"/>
      <c r="J340" s="752"/>
      <c r="L340" s="608" t="s">
        <v>437</v>
      </c>
      <c r="M340" s="608" t="s">
        <v>996</v>
      </c>
      <c r="N340" s="608" t="s">
        <v>1249</v>
      </c>
      <c r="O340" s="608"/>
      <c r="P340" s="608"/>
      <c r="Q340" s="608"/>
      <c r="R340" s="608"/>
      <c r="T340" s="752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918</v>
      </c>
      <c r="C341" s="684" t="s">
        <v>1250</v>
      </c>
      <c r="D341" s="684" t="s">
        <v>518</v>
      </c>
      <c r="E341" s="684"/>
      <c r="F341" s="685" t="s">
        <v>1251</v>
      </c>
      <c r="G341" s="713">
        <f>SUBTOTAL(9,G342)</f>
        <v>8.0000000000000004E-4</v>
      </c>
      <c r="H341" s="714">
        <f>SUBTOTAL(9,H342)</f>
        <v>1</v>
      </c>
      <c r="I341" s="626"/>
      <c r="J341" s="752"/>
      <c r="L341" s="685"/>
      <c r="M341" s="685"/>
      <c r="N341" s="685"/>
      <c r="O341" s="685"/>
      <c r="P341" s="685"/>
      <c r="Q341" s="685"/>
      <c r="R341" s="685"/>
      <c r="T341" s="752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918</v>
      </c>
      <c r="C342" s="376" t="s">
        <v>1250</v>
      </c>
      <c r="D342" s="376" t="s">
        <v>518</v>
      </c>
      <c r="E342" s="376" t="s">
        <v>56</v>
      </c>
      <c r="F342" s="608" t="s">
        <v>1255</v>
      </c>
      <c r="G342" s="609">
        <v>8.0000000000000004E-4</v>
      </c>
      <c r="H342" s="700">
        <v>1</v>
      </c>
      <c r="I342" s="626"/>
      <c r="J342" s="752"/>
      <c r="L342" s="608" t="s">
        <v>56</v>
      </c>
      <c r="M342" s="608" t="s">
        <v>1257</v>
      </c>
      <c r="N342" s="608"/>
      <c r="O342" s="608">
        <v>0</v>
      </c>
      <c r="P342" s="608" t="s">
        <v>1096</v>
      </c>
      <c r="Q342" s="608"/>
      <c r="R342" s="608">
        <v>0</v>
      </c>
      <c r="T342" s="752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498</v>
      </c>
      <c r="C343" s="665" t="s">
        <v>1258</v>
      </c>
      <c r="D343" s="665"/>
      <c r="E343" s="665"/>
      <c r="F343" s="681" t="s">
        <v>947</v>
      </c>
      <c r="G343" s="701">
        <f>SUBTOTAL(9,G344:G352)</f>
        <v>0.43996002400000001</v>
      </c>
      <c r="H343" s="702">
        <f>SUBTOTAL(9,H344:H352)</f>
        <v>2</v>
      </c>
      <c r="I343" s="626"/>
      <c r="J343" s="752"/>
      <c r="L343" s="681"/>
      <c r="M343" s="681"/>
      <c r="N343" s="681"/>
      <c r="O343" s="681"/>
      <c r="P343" s="681"/>
      <c r="Q343" s="681"/>
      <c r="R343" s="681"/>
      <c r="T343" s="752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498</v>
      </c>
      <c r="C344" s="684" t="s">
        <v>1258</v>
      </c>
      <c r="D344" s="684" t="s">
        <v>159</v>
      </c>
      <c r="E344" s="684"/>
      <c r="F344" s="685" t="s">
        <v>1259</v>
      </c>
      <c r="G344" s="686">
        <f>SUBTOTAL(9,G345:G346)</f>
        <v>0.43996002400000001</v>
      </c>
      <c r="H344" s="691">
        <f>SUBTOTAL(9,H345:H346)</f>
        <v>2</v>
      </c>
      <c r="I344" s="626"/>
      <c r="J344" s="752"/>
      <c r="L344" s="685"/>
      <c r="M344" s="685"/>
      <c r="N344" s="685"/>
      <c r="O344" s="685"/>
      <c r="P344" s="685"/>
      <c r="Q344" s="685"/>
      <c r="R344" s="685"/>
      <c r="T344" s="752"/>
      <c r="V344" s="686">
        <f>SUBTOTAL(9,V345:V346)</f>
        <v>0</v>
      </c>
      <c r="W344" s="691">
        <f>SUBTOTAL(9,W345:W346)</f>
        <v>0</v>
      </c>
    </row>
    <row r="345" spans="1:23" ht="26.45" outlineLevel="3">
      <c r="A345" s="376"/>
      <c r="B345" s="376" t="s">
        <v>498</v>
      </c>
      <c r="C345" s="376" t="s">
        <v>1258</v>
      </c>
      <c r="D345" s="376" t="s">
        <v>159</v>
      </c>
      <c r="E345" s="376" t="s">
        <v>1100</v>
      </c>
      <c r="F345" s="608" t="s">
        <v>1231</v>
      </c>
      <c r="G345" s="609">
        <v>0.17598400959999999</v>
      </c>
      <c r="H345" s="692">
        <v>1</v>
      </c>
      <c r="I345" s="626"/>
      <c r="J345" s="752"/>
      <c r="L345" s="608" t="s">
        <v>1100</v>
      </c>
      <c r="M345" s="608" t="s">
        <v>1090</v>
      </c>
      <c r="N345" s="608" t="s">
        <v>1150</v>
      </c>
      <c r="O345" s="608" t="s">
        <v>1152</v>
      </c>
      <c r="P345" s="608"/>
      <c r="Q345" s="608"/>
      <c r="R345" s="608"/>
      <c r="T345" s="752"/>
      <c r="V345" s="609">
        <f t="shared" ref="V345:V346" si="58">IF(W345=1,G345,0)</f>
        <v>0</v>
      </c>
      <c r="W345" s="692"/>
    </row>
    <row r="346" spans="1:23" ht="26.45" outlineLevel="3">
      <c r="A346" s="376"/>
      <c r="B346" s="376" t="s">
        <v>498</v>
      </c>
      <c r="C346" s="376" t="s">
        <v>1258</v>
      </c>
      <c r="D346" s="376" t="s">
        <v>159</v>
      </c>
      <c r="E346" s="376" t="s">
        <v>1100</v>
      </c>
      <c r="F346" s="608" t="s">
        <v>36</v>
      </c>
      <c r="G346" s="609">
        <v>0.26397601440000001</v>
      </c>
      <c r="H346" s="692">
        <v>1</v>
      </c>
      <c r="I346" s="626"/>
      <c r="J346" s="752"/>
      <c r="L346" s="608" t="s">
        <v>1100</v>
      </c>
      <c r="M346" s="608" t="s">
        <v>1090</v>
      </c>
      <c r="N346" s="608" t="s">
        <v>1150</v>
      </c>
      <c r="O346" s="608" t="s">
        <v>1152</v>
      </c>
      <c r="P346" s="608"/>
      <c r="Q346" s="608"/>
      <c r="R346" s="608"/>
      <c r="T346" s="752"/>
      <c r="V346" s="609">
        <f t="shared" si="58"/>
        <v>0</v>
      </c>
      <c r="W346" s="692"/>
    </row>
    <row r="347" spans="1:23" outlineLevel="2">
      <c r="A347" s="376"/>
      <c r="B347" s="684" t="s">
        <v>498</v>
      </c>
      <c r="C347" s="684" t="s">
        <v>1258</v>
      </c>
      <c r="D347" s="684" t="s">
        <v>518</v>
      </c>
      <c r="E347" s="684"/>
      <c r="F347" s="685" t="s">
        <v>1259</v>
      </c>
      <c r="G347" s="686">
        <f>SUBTOTAL(9,G348)</f>
        <v>0</v>
      </c>
      <c r="H347" s="691">
        <f>SUBTOTAL(9,H348)</f>
        <v>0</v>
      </c>
      <c r="I347" s="626"/>
      <c r="J347" s="752"/>
      <c r="L347" s="685"/>
      <c r="M347" s="685"/>
      <c r="N347" s="685"/>
      <c r="O347" s="685"/>
      <c r="P347" s="685"/>
      <c r="Q347" s="685"/>
      <c r="R347" s="685"/>
      <c r="T347" s="752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498</v>
      </c>
      <c r="C348" s="376" t="s">
        <v>1258</v>
      </c>
      <c r="D348" s="376" t="s">
        <v>518</v>
      </c>
      <c r="E348" s="376" t="s">
        <v>56</v>
      </c>
      <c r="F348" s="760" t="s">
        <v>36</v>
      </c>
      <c r="G348" s="609"/>
      <c r="H348" s="692"/>
      <c r="I348" s="626"/>
      <c r="J348" s="752"/>
      <c r="L348" s="608" t="s">
        <v>56</v>
      </c>
      <c r="M348" s="608" t="s">
        <v>959</v>
      </c>
      <c r="N348" s="608" t="s">
        <v>1154</v>
      </c>
      <c r="O348" s="608"/>
      <c r="P348" s="608"/>
      <c r="Q348" s="608"/>
      <c r="R348" s="608"/>
      <c r="T348" s="752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498</v>
      </c>
      <c r="C349" s="684" t="s">
        <v>1258</v>
      </c>
      <c r="D349" s="684" t="s">
        <v>441</v>
      </c>
      <c r="E349" s="684"/>
      <c r="F349" s="685" t="s">
        <v>1259</v>
      </c>
      <c r="G349" s="686">
        <f>SUBTOTAL(9,G350)</f>
        <v>0</v>
      </c>
      <c r="H349" s="691">
        <f>SUBTOTAL(9,H350)</f>
        <v>0</v>
      </c>
      <c r="I349" s="626"/>
      <c r="J349" s="752"/>
      <c r="L349" s="685"/>
      <c r="M349" s="685"/>
      <c r="N349" s="685"/>
      <c r="O349" s="685"/>
      <c r="P349" s="685"/>
      <c r="Q349" s="685"/>
      <c r="R349" s="685"/>
      <c r="T349" s="752"/>
      <c r="V349" s="686">
        <f>SUBTOTAL(9,V350)</f>
        <v>0</v>
      </c>
      <c r="W349" s="691">
        <f>SUBTOTAL(9,W350)</f>
        <v>0</v>
      </c>
    </row>
    <row r="350" spans="1:23" ht="92.45" outlineLevel="3">
      <c r="A350" s="376"/>
      <c r="B350" s="376" t="s">
        <v>498</v>
      </c>
      <c r="C350" s="376" t="s">
        <v>1258</v>
      </c>
      <c r="D350" s="376" t="s">
        <v>441</v>
      </c>
      <c r="E350" s="376" t="s">
        <v>437</v>
      </c>
      <c r="F350" s="760" t="s">
        <v>36</v>
      </c>
      <c r="G350" s="609"/>
      <c r="H350" s="692"/>
      <c r="I350" s="626"/>
      <c r="J350" s="752"/>
      <c r="L350" s="608" t="s">
        <v>437</v>
      </c>
      <c r="M350" s="608" t="s">
        <v>1234</v>
      </c>
      <c r="N350" s="608"/>
      <c r="O350" s="608"/>
      <c r="P350" s="608"/>
      <c r="Q350" s="608"/>
      <c r="R350" s="608"/>
      <c r="T350" s="752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498</v>
      </c>
      <c r="C351" s="684" t="s">
        <v>1258</v>
      </c>
      <c r="D351" s="684" t="s">
        <v>860</v>
      </c>
      <c r="E351" s="684"/>
      <c r="F351" s="685" t="s">
        <v>1259</v>
      </c>
      <c r="G351" s="686">
        <f>SUBTOTAL(9,G352)</f>
        <v>0</v>
      </c>
      <c r="H351" s="691">
        <f>SUBTOTAL(9,H352)</f>
        <v>0</v>
      </c>
      <c r="I351" s="626"/>
      <c r="J351" s="752"/>
      <c r="L351" s="685"/>
      <c r="M351" s="685"/>
      <c r="N351" s="685"/>
      <c r="O351" s="685"/>
      <c r="P351" s="685"/>
      <c r="Q351" s="685"/>
      <c r="R351" s="685"/>
      <c r="T351" s="752"/>
      <c r="V351" s="686">
        <f>SUBTOTAL(9,V352)</f>
        <v>0</v>
      </c>
      <c r="W351" s="691">
        <f>SUBTOTAL(9,W352)</f>
        <v>0</v>
      </c>
    </row>
    <row r="352" spans="1:23" ht="92.45" outlineLevel="3">
      <c r="A352" s="376"/>
      <c r="B352" s="376" t="s">
        <v>498</v>
      </c>
      <c r="C352" s="376" t="s">
        <v>1258</v>
      </c>
      <c r="D352" s="376" t="s">
        <v>860</v>
      </c>
      <c r="E352" s="376" t="s">
        <v>437</v>
      </c>
      <c r="F352" s="760" t="s">
        <v>36</v>
      </c>
      <c r="G352" s="609"/>
      <c r="H352" s="692"/>
      <c r="I352" s="626"/>
      <c r="J352" s="752"/>
      <c r="L352" s="608" t="s">
        <v>437</v>
      </c>
      <c r="M352" s="608" t="s">
        <v>1234</v>
      </c>
      <c r="N352" s="608"/>
      <c r="O352" s="608"/>
      <c r="P352" s="608"/>
      <c r="Q352" s="608"/>
      <c r="R352" s="608"/>
      <c r="T352" s="752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1260</v>
      </c>
      <c r="C353" s="666" t="s">
        <v>160</v>
      </c>
      <c r="D353" s="666"/>
      <c r="E353" s="666"/>
      <c r="F353" s="681" t="s">
        <v>947</v>
      </c>
      <c r="G353" s="724">
        <f>SUBTOTAL(9,G354:G390)</f>
        <v>0</v>
      </c>
      <c r="H353" s="725">
        <f>SUBTOTAL(9,H354:H390)</f>
        <v>26</v>
      </c>
      <c r="I353" s="626"/>
      <c r="J353" s="752"/>
      <c r="L353" s="761"/>
      <c r="M353" s="761"/>
      <c r="N353" s="761"/>
      <c r="O353" s="761"/>
      <c r="P353" s="761"/>
      <c r="Q353" s="761"/>
      <c r="R353" s="761"/>
      <c r="T353" s="752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162</v>
      </c>
      <c r="C354" s="684" t="s">
        <v>1261</v>
      </c>
      <c r="D354" s="684" t="s">
        <v>159</v>
      </c>
      <c r="E354" s="684"/>
      <c r="F354" s="685" t="s">
        <v>1261</v>
      </c>
      <c r="G354" s="691">
        <f>SUBTOTAL(9,G355:G357)</f>
        <v>0</v>
      </c>
      <c r="H354" s="714">
        <f>SUBTOTAL(9,H355:H357)</f>
        <v>3</v>
      </c>
      <c r="I354" s="626"/>
      <c r="J354" s="752"/>
      <c r="L354" s="685"/>
      <c r="M354" s="685"/>
      <c r="N354" s="685"/>
      <c r="O354" s="685"/>
      <c r="P354" s="685"/>
      <c r="Q354" s="685"/>
      <c r="R354" s="685"/>
      <c r="T354" s="752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162</v>
      </c>
      <c r="C355" s="387" t="s">
        <v>160</v>
      </c>
      <c r="D355" s="376" t="s">
        <v>159</v>
      </c>
      <c r="E355" s="376" t="s">
        <v>47</v>
      </c>
      <c r="F355" s="705" t="s">
        <v>1262</v>
      </c>
      <c r="H355" s="696">
        <v>1</v>
      </c>
      <c r="I355" s="626"/>
      <c r="J355" s="752"/>
      <c r="L355" s="608" t="s">
        <v>47</v>
      </c>
      <c r="M355" s="608"/>
      <c r="N355" s="608"/>
      <c r="O355" s="608"/>
      <c r="P355" s="608"/>
      <c r="Q355" s="608"/>
      <c r="R355" s="608"/>
      <c r="T355" s="752"/>
      <c r="W355" s="696"/>
    </row>
    <row r="356" spans="1:23" outlineLevel="3">
      <c r="A356" s="376"/>
      <c r="B356" s="376" t="s">
        <v>162</v>
      </c>
      <c r="C356" s="387" t="s">
        <v>160</v>
      </c>
      <c r="D356" s="376" t="s">
        <v>159</v>
      </c>
      <c r="E356" s="376" t="s">
        <v>47</v>
      </c>
      <c r="F356" s="705" t="s">
        <v>1263</v>
      </c>
      <c r="H356" s="696">
        <v>1</v>
      </c>
      <c r="I356" s="626"/>
      <c r="J356" s="752"/>
      <c r="L356" s="608" t="s">
        <v>47</v>
      </c>
      <c r="M356" s="608"/>
      <c r="N356" s="608"/>
      <c r="O356" s="608"/>
      <c r="P356" s="608"/>
      <c r="Q356" s="608"/>
      <c r="R356" s="608"/>
      <c r="T356" s="752"/>
      <c r="W356" s="696"/>
    </row>
    <row r="357" spans="1:23" outlineLevel="3">
      <c r="A357" s="376"/>
      <c r="B357" s="376" t="s">
        <v>162</v>
      </c>
      <c r="C357" s="387" t="s">
        <v>160</v>
      </c>
      <c r="D357" s="376" t="s">
        <v>159</v>
      </c>
      <c r="E357" s="376" t="s">
        <v>47</v>
      </c>
      <c r="F357" s="705" t="s">
        <v>1264</v>
      </c>
      <c r="H357" s="696">
        <v>1</v>
      </c>
      <c r="I357" s="626"/>
      <c r="J357" s="752"/>
      <c r="L357" s="608" t="s">
        <v>47</v>
      </c>
      <c r="M357" s="608"/>
      <c r="N357" s="608"/>
      <c r="O357" s="608"/>
      <c r="P357" s="608"/>
      <c r="Q357" s="608"/>
      <c r="R357" s="608"/>
      <c r="T357" s="752"/>
      <c r="W357" s="696"/>
    </row>
    <row r="358" spans="1:23" outlineLevel="2">
      <c r="A358" s="376"/>
      <c r="B358" s="684" t="s">
        <v>162</v>
      </c>
      <c r="C358" s="684" t="s">
        <v>1265</v>
      </c>
      <c r="D358" s="684" t="s">
        <v>159</v>
      </c>
      <c r="E358" s="684"/>
      <c r="F358" s="685" t="s">
        <v>1265</v>
      </c>
      <c r="G358" s="691"/>
      <c r="H358" s="714">
        <f>SUBTOTAL(9,H359:H361)</f>
        <v>3</v>
      </c>
      <c r="I358" s="626"/>
      <c r="J358" s="752"/>
      <c r="L358" s="685"/>
      <c r="M358" s="685"/>
      <c r="N358" s="685"/>
      <c r="O358" s="685"/>
      <c r="P358" s="685"/>
      <c r="Q358" s="685"/>
      <c r="R358" s="685"/>
      <c r="T358" s="752"/>
      <c r="V358" s="691"/>
      <c r="W358" s="714">
        <f>SUBTOTAL(9,W359:W361)</f>
        <v>0</v>
      </c>
    </row>
    <row r="359" spans="1:23" outlineLevel="3">
      <c r="A359" s="376"/>
      <c r="B359" s="376" t="s">
        <v>162</v>
      </c>
      <c r="C359" s="387" t="s">
        <v>160</v>
      </c>
      <c r="D359" s="376" t="s">
        <v>159</v>
      </c>
      <c r="E359" s="376" t="s">
        <v>47</v>
      </c>
      <c r="F359" s="705" t="s">
        <v>1262</v>
      </c>
      <c r="G359" s="695"/>
      <c r="H359" s="696">
        <v>1</v>
      </c>
      <c r="I359" s="626"/>
      <c r="J359" s="752"/>
      <c r="L359" s="608" t="s">
        <v>47</v>
      </c>
      <c r="M359" s="608"/>
      <c r="N359" s="608"/>
      <c r="O359" s="608"/>
      <c r="P359" s="608"/>
      <c r="Q359" s="608"/>
      <c r="R359" s="608"/>
      <c r="T359" s="752"/>
      <c r="V359" s="695"/>
      <c r="W359" s="696"/>
    </row>
    <row r="360" spans="1:23" outlineLevel="3">
      <c r="A360" s="376"/>
      <c r="B360" s="376" t="s">
        <v>162</v>
      </c>
      <c r="C360" s="387" t="s">
        <v>160</v>
      </c>
      <c r="D360" s="376" t="s">
        <v>159</v>
      </c>
      <c r="E360" s="376" t="s">
        <v>47</v>
      </c>
      <c r="F360" s="705" t="s">
        <v>1263</v>
      </c>
      <c r="G360" s="695"/>
      <c r="H360" s="696">
        <v>1</v>
      </c>
      <c r="I360" s="626"/>
      <c r="J360" s="752"/>
      <c r="L360" s="608" t="s">
        <v>47</v>
      </c>
      <c r="M360" s="608"/>
      <c r="N360" s="608"/>
      <c r="O360" s="608"/>
      <c r="P360" s="608"/>
      <c r="Q360" s="608"/>
      <c r="R360" s="608"/>
      <c r="T360" s="752"/>
      <c r="V360" s="695"/>
      <c r="W360" s="696"/>
    </row>
    <row r="361" spans="1:23" outlineLevel="3">
      <c r="A361" s="376"/>
      <c r="B361" s="376" t="s">
        <v>162</v>
      </c>
      <c r="C361" s="387" t="s">
        <v>160</v>
      </c>
      <c r="D361" s="376" t="s">
        <v>159</v>
      </c>
      <c r="E361" s="376" t="s">
        <v>47</v>
      </c>
      <c r="F361" s="705" t="s">
        <v>1264</v>
      </c>
      <c r="G361" s="695"/>
      <c r="H361" s="696">
        <v>1</v>
      </c>
      <c r="I361" s="626"/>
      <c r="J361" s="752"/>
      <c r="L361" s="608" t="s">
        <v>47</v>
      </c>
      <c r="M361" s="608"/>
      <c r="N361" s="608"/>
      <c r="O361" s="608"/>
      <c r="P361" s="608"/>
      <c r="Q361" s="608"/>
      <c r="R361" s="608"/>
      <c r="T361" s="752"/>
      <c r="V361" s="695"/>
      <c r="W361" s="696"/>
    </row>
    <row r="362" spans="1:23" outlineLevel="2">
      <c r="A362" s="376"/>
      <c r="B362" s="684" t="s">
        <v>162</v>
      </c>
      <c r="C362" s="684" t="s">
        <v>1266</v>
      </c>
      <c r="D362" s="684" t="s">
        <v>159</v>
      </c>
      <c r="E362" s="684"/>
      <c r="F362" s="685" t="s">
        <v>1266</v>
      </c>
      <c r="G362" s="691"/>
      <c r="H362" s="714">
        <f>SUBTOTAL(9,H363:H365)</f>
        <v>3</v>
      </c>
      <c r="I362" s="626"/>
      <c r="J362" s="752"/>
      <c r="L362" s="685"/>
      <c r="M362" s="685"/>
      <c r="N362" s="685"/>
      <c r="O362" s="685"/>
      <c r="P362" s="685"/>
      <c r="Q362" s="685"/>
      <c r="R362" s="685"/>
      <c r="T362" s="752"/>
      <c r="V362" s="691"/>
      <c r="W362" s="714">
        <f>SUBTOTAL(9,W363:W365)</f>
        <v>0</v>
      </c>
    </row>
    <row r="363" spans="1:23" outlineLevel="3">
      <c r="A363" s="376"/>
      <c r="B363" s="376" t="s">
        <v>162</v>
      </c>
      <c r="C363" s="387" t="s">
        <v>160</v>
      </c>
      <c r="D363" s="376" t="s">
        <v>159</v>
      </c>
      <c r="E363" s="376" t="s">
        <v>47</v>
      </c>
      <c r="F363" s="705" t="s">
        <v>1262</v>
      </c>
      <c r="G363" s="695"/>
      <c r="H363" s="696">
        <v>1</v>
      </c>
      <c r="I363" s="626"/>
      <c r="J363" s="752"/>
      <c r="L363" s="608" t="s">
        <v>47</v>
      </c>
      <c r="M363" s="608"/>
      <c r="N363" s="608"/>
      <c r="O363" s="608"/>
      <c r="P363" s="608"/>
      <c r="Q363" s="608"/>
      <c r="R363" s="608"/>
      <c r="T363" s="752"/>
      <c r="V363" s="695"/>
      <c r="W363" s="696"/>
    </row>
    <row r="364" spans="1:23" outlineLevel="3">
      <c r="A364" s="376"/>
      <c r="B364" s="376" t="s">
        <v>162</v>
      </c>
      <c r="C364" s="387" t="s">
        <v>160</v>
      </c>
      <c r="D364" s="376" t="s">
        <v>159</v>
      </c>
      <c r="E364" s="376" t="s">
        <v>47</v>
      </c>
      <c r="F364" s="705" t="s">
        <v>1263</v>
      </c>
      <c r="G364" s="695"/>
      <c r="H364" s="696">
        <v>1</v>
      </c>
      <c r="I364" s="626"/>
      <c r="J364" s="752"/>
      <c r="L364" s="608" t="s">
        <v>47</v>
      </c>
      <c r="M364" s="608"/>
      <c r="N364" s="608"/>
      <c r="O364" s="608"/>
      <c r="P364" s="608"/>
      <c r="Q364" s="608"/>
      <c r="R364" s="608"/>
      <c r="T364" s="752"/>
      <c r="V364" s="695"/>
      <c r="W364" s="696"/>
    </row>
    <row r="365" spans="1:23" outlineLevel="3">
      <c r="A365" s="376"/>
      <c r="B365" s="376" t="s">
        <v>162</v>
      </c>
      <c r="C365" s="387" t="s">
        <v>160</v>
      </c>
      <c r="D365" s="376" t="s">
        <v>159</v>
      </c>
      <c r="E365" s="376" t="s">
        <v>47</v>
      </c>
      <c r="F365" s="705" t="s">
        <v>1264</v>
      </c>
      <c r="G365" s="695"/>
      <c r="H365" s="696">
        <v>1</v>
      </c>
      <c r="I365" s="626"/>
      <c r="J365" s="752"/>
      <c r="L365" s="608" t="s">
        <v>47</v>
      </c>
      <c r="M365" s="608"/>
      <c r="N365" s="608"/>
      <c r="O365" s="608"/>
      <c r="P365" s="608"/>
      <c r="Q365" s="608"/>
      <c r="R365" s="608"/>
      <c r="T365" s="752"/>
      <c r="V365" s="695"/>
      <c r="W365" s="696"/>
    </row>
    <row r="366" spans="1:23" outlineLevel="2">
      <c r="A366" s="376"/>
      <c r="B366" s="684" t="s">
        <v>163</v>
      </c>
      <c r="C366" s="685" t="s">
        <v>1267</v>
      </c>
      <c r="D366" s="684" t="s">
        <v>159</v>
      </c>
      <c r="E366" s="684"/>
      <c r="F366" s="685" t="s">
        <v>1267</v>
      </c>
      <c r="G366" s="691">
        <f>SUBTOTAL(9,G367:G368)</f>
        <v>0</v>
      </c>
      <c r="H366" s="714">
        <f>SUBTOTAL(9,H367:H368)</f>
        <v>2</v>
      </c>
      <c r="I366" s="626"/>
      <c r="J366" s="752"/>
      <c r="L366" s="685"/>
      <c r="M366" s="685"/>
      <c r="N366" s="685"/>
      <c r="O366" s="685"/>
      <c r="P366" s="685"/>
      <c r="Q366" s="685"/>
      <c r="R366" s="685"/>
      <c r="T366" s="752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163</v>
      </c>
      <c r="C367" s="387" t="s">
        <v>160</v>
      </c>
      <c r="D367" s="376" t="s">
        <v>159</v>
      </c>
      <c r="E367" s="376" t="s">
        <v>47</v>
      </c>
      <c r="F367" s="705" t="s">
        <v>1262</v>
      </c>
      <c r="H367" s="696">
        <v>1</v>
      </c>
      <c r="I367" s="626"/>
      <c r="J367" s="752"/>
      <c r="L367" s="608" t="s">
        <v>47</v>
      </c>
      <c r="M367" s="608"/>
      <c r="N367" s="608"/>
      <c r="O367" s="608"/>
      <c r="P367" s="608"/>
      <c r="Q367" s="608"/>
      <c r="R367" s="608"/>
      <c r="T367" s="752"/>
      <c r="W367" s="696"/>
    </row>
    <row r="368" spans="1:23" outlineLevel="3">
      <c r="A368" s="376"/>
      <c r="B368" s="376" t="s">
        <v>163</v>
      </c>
      <c r="C368" s="387" t="s">
        <v>160</v>
      </c>
      <c r="D368" s="376" t="s">
        <v>159</v>
      </c>
      <c r="E368" s="376" t="s">
        <v>47</v>
      </c>
      <c r="F368" s="705" t="s">
        <v>1263</v>
      </c>
      <c r="H368" s="696">
        <v>1</v>
      </c>
      <c r="I368" s="626"/>
      <c r="J368" s="752"/>
      <c r="L368" s="608" t="s">
        <v>47</v>
      </c>
      <c r="M368" s="608"/>
      <c r="N368" s="608"/>
      <c r="O368" s="608"/>
      <c r="P368" s="608"/>
      <c r="Q368" s="608"/>
      <c r="R368" s="608"/>
      <c r="T368" s="752"/>
      <c r="W368" s="696"/>
    </row>
    <row r="369" spans="1:23" outlineLevel="2">
      <c r="A369" s="376"/>
      <c r="B369" s="684" t="s">
        <v>163</v>
      </c>
      <c r="C369" s="685" t="s">
        <v>1268</v>
      </c>
      <c r="D369" s="684" t="s">
        <v>159</v>
      </c>
      <c r="E369" s="684"/>
      <c r="F369" s="685" t="s">
        <v>1268</v>
      </c>
      <c r="G369" s="691"/>
      <c r="H369" s="714">
        <f>SUBTOTAL(9,H370:H371)</f>
        <v>2</v>
      </c>
      <c r="I369" s="626"/>
      <c r="J369" s="752"/>
      <c r="L369" s="685"/>
      <c r="M369" s="685"/>
      <c r="N369" s="685"/>
      <c r="O369" s="685"/>
      <c r="P369" s="685"/>
      <c r="Q369" s="685"/>
      <c r="R369" s="685"/>
      <c r="T369" s="752"/>
      <c r="V369" s="691"/>
      <c r="W369" s="714">
        <f>SUBTOTAL(9,W370:W371)</f>
        <v>0</v>
      </c>
    </row>
    <row r="370" spans="1:23" outlineLevel="3">
      <c r="A370" s="376"/>
      <c r="B370" s="376" t="s">
        <v>163</v>
      </c>
      <c r="C370" s="387" t="s">
        <v>160</v>
      </c>
      <c r="D370" s="376" t="s">
        <v>159</v>
      </c>
      <c r="E370" s="376" t="s">
        <v>47</v>
      </c>
      <c r="F370" s="705" t="s">
        <v>1262</v>
      </c>
      <c r="G370" s="695"/>
      <c r="H370" s="696">
        <v>1</v>
      </c>
      <c r="I370" s="626"/>
      <c r="J370" s="752"/>
      <c r="L370" s="608" t="s">
        <v>47</v>
      </c>
      <c r="M370" s="608"/>
      <c r="N370" s="608"/>
      <c r="O370" s="608"/>
      <c r="P370" s="608"/>
      <c r="Q370" s="608"/>
      <c r="R370" s="608"/>
      <c r="T370" s="752"/>
      <c r="V370" s="695"/>
      <c r="W370" s="696"/>
    </row>
    <row r="371" spans="1:23" outlineLevel="3">
      <c r="A371" s="376"/>
      <c r="B371" s="376" t="s">
        <v>163</v>
      </c>
      <c r="C371" s="387" t="s">
        <v>160</v>
      </c>
      <c r="D371" s="376" t="s">
        <v>159</v>
      </c>
      <c r="E371" s="376" t="s">
        <v>47</v>
      </c>
      <c r="F371" s="705" t="s">
        <v>1263</v>
      </c>
      <c r="G371" s="695"/>
      <c r="H371" s="696">
        <v>1</v>
      </c>
      <c r="I371" s="626"/>
      <c r="J371" s="752"/>
      <c r="L371" s="608" t="s">
        <v>47</v>
      </c>
      <c r="M371" s="608"/>
      <c r="N371" s="608"/>
      <c r="O371" s="608"/>
      <c r="P371" s="608"/>
      <c r="Q371" s="608"/>
      <c r="R371" s="608"/>
      <c r="T371" s="752"/>
      <c r="V371" s="695"/>
      <c r="W371" s="696"/>
    </row>
    <row r="372" spans="1:23" outlineLevel="2">
      <c r="A372" s="376"/>
      <c r="B372" s="684" t="s">
        <v>163</v>
      </c>
      <c r="C372" s="685" t="s">
        <v>1269</v>
      </c>
      <c r="D372" s="684" t="s">
        <v>159</v>
      </c>
      <c r="E372" s="684"/>
      <c r="F372" s="685" t="s">
        <v>1269</v>
      </c>
      <c r="G372" s="691"/>
      <c r="H372" s="714">
        <f>SUBTOTAL(9,H373:H374)</f>
        <v>2</v>
      </c>
      <c r="I372" s="626"/>
      <c r="J372" s="752"/>
      <c r="L372" s="685"/>
      <c r="M372" s="685"/>
      <c r="N372" s="685"/>
      <c r="O372" s="685"/>
      <c r="P372" s="685"/>
      <c r="Q372" s="685"/>
      <c r="R372" s="685"/>
      <c r="T372" s="752"/>
      <c r="V372" s="691"/>
      <c r="W372" s="714">
        <f>SUBTOTAL(9,W373:W374)</f>
        <v>0</v>
      </c>
    </row>
    <row r="373" spans="1:23" outlineLevel="3">
      <c r="A373" s="376"/>
      <c r="B373" s="376" t="s">
        <v>163</v>
      </c>
      <c r="C373" s="387" t="s">
        <v>160</v>
      </c>
      <c r="D373" s="376" t="s">
        <v>159</v>
      </c>
      <c r="E373" s="376" t="s">
        <v>47</v>
      </c>
      <c r="F373" s="705" t="s">
        <v>1262</v>
      </c>
      <c r="G373" s="695"/>
      <c r="H373" s="696">
        <v>1</v>
      </c>
      <c r="I373" s="626"/>
      <c r="J373" s="752"/>
      <c r="L373" s="608" t="s">
        <v>47</v>
      </c>
      <c r="M373" s="608"/>
      <c r="N373" s="608"/>
      <c r="O373" s="608"/>
      <c r="P373" s="608"/>
      <c r="Q373" s="608"/>
      <c r="R373" s="608"/>
      <c r="T373" s="752"/>
      <c r="V373" s="695"/>
      <c r="W373" s="696"/>
    </row>
    <row r="374" spans="1:23" outlineLevel="3">
      <c r="A374" s="376"/>
      <c r="B374" s="376" t="s">
        <v>163</v>
      </c>
      <c r="C374" s="387" t="s">
        <v>160</v>
      </c>
      <c r="D374" s="376" t="s">
        <v>159</v>
      </c>
      <c r="E374" s="376" t="s">
        <v>47</v>
      </c>
      <c r="F374" s="705" t="s">
        <v>1263</v>
      </c>
      <c r="G374" s="695"/>
      <c r="H374" s="696">
        <v>1</v>
      </c>
      <c r="I374" s="626"/>
      <c r="J374" s="752"/>
      <c r="L374" s="608" t="s">
        <v>47</v>
      </c>
      <c r="M374" s="608"/>
      <c r="N374" s="608"/>
      <c r="O374" s="608"/>
      <c r="P374" s="608"/>
      <c r="Q374" s="608"/>
      <c r="R374" s="608"/>
      <c r="T374" s="752"/>
      <c r="V374" s="695"/>
      <c r="W374" s="696"/>
    </row>
    <row r="375" spans="1:23" outlineLevel="2">
      <c r="A375" s="376"/>
      <c r="B375" s="684" t="s">
        <v>164</v>
      </c>
      <c r="C375" s="685" t="s">
        <v>1270</v>
      </c>
      <c r="D375" s="684" t="s">
        <v>159</v>
      </c>
      <c r="E375" s="684"/>
      <c r="F375" s="685" t="s">
        <v>1270</v>
      </c>
      <c r="G375" s="691"/>
      <c r="H375" s="714">
        <f>SUBTOTAL(9,H376:H378)</f>
        <v>3</v>
      </c>
      <c r="I375" s="626"/>
      <c r="J375" s="752"/>
      <c r="L375" s="685"/>
      <c r="M375" s="685"/>
      <c r="N375" s="685"/>
      <c r="O375" s="685"/>
      <c r="P375" s="685"/>
      <c r="Q375" s="685"/>
      <c r="R375" s="685"/>
      <c r="T375" s="752"/>
      <c r="V375" s="691"/>
      <c r="W375" s="714">
        <f>SUBTOTAL(9,W376:W378)</f>
        <v>0</v>
      </c>
    </row>
    <row r="376" spans="1:23" outlineLevel="3">
      <c r="A376" s="376"/>
      <c r="B376" s="376" t="s">
        <v>164</v>
      </c>
      <c r="C376" s="387" t="s">
        <v>160</v>
      </c>
      <c r="D376" s="376" t="s">
        <v>159</v>
      </c>
      <c r="E376" s="376" t="s">
        <v>47</v>
      </c>
      <c r="F376" s="705" t="s">
        <v>1262</v>
      </c>
      <c r="G376" s="695"/>
      <c r="H376" s="696">
        <v>1</v>
      </c>
      <c r="I376" s="626"/>
      <c r="J376" s="752"/>
      <c r="L376" s="608" t="s">
        <v>47</v>
      </c>
      <c r="M376" s="608"/>
      <c r="N376" s="608"/>
      <c r="O376" s="608"/>
      <c r="P376" s="608"/>
      <c r="Q376" s="608"/>
      <c r="R376" s="608"/>
      <c r="T376" s="752"/>
      <c r="V376" s="695"/>
      <c r="W376" s="696"/>
    </row>
    <row r="377" spans="1:23" outlineLevel="3">
      <c r="A377" s="376"/>
      <c r="B377" s="376" t="s">
        <v>164</v>
      </c>
      <c r="C377" s="387" t="s">
        <v>160</v>
      </c>
      <c r="D377" s="376" t="s">
        <v>159</v>
      </c>
      <c r="E377" s="376" t="s">
        <v>47</v>
      </c>
      <c r="F377" s="705" t="s">
        <v>1263</v>
      </c>
      <c r="G377" s="695"/>
      <c r="H377" s="696">
        <v>1</v>
      </c>
      <c r="I377" s="626"/>
      <c r="J377" s="752"/>
      <c r="L377" s="608" t="s">
        <v>47</v>
      </c>
      <c r="M377" s="608"/>
      <c r="N377" s="608"/>
      <c r="O377" s="608"/>
      <c r="P377" s="608"/>
      <c r="Q377" s="608"/>
      <c r="R377" s="608"/>
      <c r="T377" s="752"/>
      <c r="V377" s="695"/>
      <c r="W377" s="696"/>
    </row>
    <row r="378" spans="1:23" s="732" customFormat="1" outlineLevel="3">
      <c r="A378" s="376"/>
      <c r="B378" s="376" t="s">
        <v>164</v>
      </c>
      <c r="C378" s="387" t="s">
        <v>160</v>
      </c>
      <c r="D378" s="376" t="s">
        <v>159</v>
      </c>
      <c r="E378" s="376" t="s">
        <v>47</v>
      </c>
      <c r="F378" s="705" t="s">
        <v>1264</v>
      </c>
      <c r="G378" s="609"/>
      <c r="H378" s="727">
        <v>1</v>
      </c>
      <c r="I378" s="626"/>
      <c r="J378" s="752"/>
      <c r="K378" s="416"/>
      <c r="L378" s="608" t="s">
        <v>47</v>
      </c>
      <c r="M378" s="608"/>
      <c r="N378" s="608"/>
      <c r="O378" s="608"/>
      <c r="P378" s="608"/>
      <c r="Q378" s="608"/>
      <c r="R378" s="608"/>
      <c r="S378" s="416"/>
      <c r="T378" s="752"/>
      <c r="U378" s="416"/>
      <c r="V378" s="609"/>
      <c r="W378" s="727"/>
    </row>
    <row r="379" spans="1:23" outlineLevel="2">
      <c r="A379" s="376"/>
      <c r="B379" s="684" t="s">
        <v>164</v>
      </c>
      <c r="C379" s="685" t="s">
        <v>1271</v>
      </c>
      <c r="D379" s="684" t="s">
        <v>159</v>
      </c>
      <c r="E379" s="684"/>
      <c r="F379" s="685" t="s">
        <v>1271</v>
      </c>
      <c r="G379" s="691"/>
      <c r="H379" s="714">
        <f>SUBTOTAL(9,H380:H382)</f>
        <v>3</v>
      </c>
      <c r="I379" s="626"/>
      <c r="J379" s="752"/>
      <c r="L379" s="685"/>
      <c r="M379" s="685"/>
      <c r="N379" s="685"/>
      <c r="O379" s="685"/>
      <c r="P379" s="685"/>
      <c r="Q379" s="685"/>
      <c r="R379" s="685"/>
      <c r="T379" s="752"/>
      <c r="V379" s="691"/>
      <c r="W379" s="714">
        <f>SUBTOTAL(9,W380:W382)</f>
        <v>0</v>
      </c>
    </row>
    <row r="380" spans="1:23" outlineLevel="3">
      <c r="A380" s="376"/>
      <c r="B380" s="376" t="s">
        <v>164</v>
      </c>
      <c r="C380" s="387" t="s">
        <v>160</v>
      </c>
      <c r="D380" s="376" t="s">
        <v>159</v>
      </c>
      <c r="E380" s="376" t="s">
        <v>47</v>
      </c>
      <c r="F380" s="705" t="s">
        <v>1262</v>
      </c>
      <c r="G380" s="695"/>
      <c r="H380" s="696">
        <v>1</v>
      </c>
      <c r="I380" s="626"/>
      <c r="J380" s="752"/>
      <c r="L380" s="608" t="s">
        <v>47</v>
      </c>
      <c r="M380" s="608"/>
      <c r="N380" s="608"/>
      <c r="O380" s="608"/>
      <c r="P380" s="608"/>
      <c r="Q380" s="608"/>
      <c r="R380" s="608"/>
      <c r="T380" s="752"/>
      <c r="V380" s="695"/>
      <c r="W380" s="696"/>
    </row>
    <row r="381" spans="1:23" outlineLevel="3">
      <c r="A381" s="376"/>
      <c r="B381" s="376" t="s">
        <v>164</v>
      </c>
      <c r="C381" s="387" t="s">
        <v>160</v>
      </c>
      <c r="D381" s="376" t="s">
        <v>159</v>
      </c>
      <c r="E381" s="376" t="s">
        <v>47</v>
      </c>
      <c r="F381" s="705" t="s">
        <v>1263</v>
      </c>
      <c r="G381" s="695"/>
      <c r="H381" s="696">
        <v>1</v>
      </c>
      <c r="I381" s="626"/>
      <c r="J381" s="752"/>
      <c r="L381" s="608" t="s">
        <v>47</v>
      </c>
      <c r="M381" s="608"/>
      <c r="N381" s="608"/>
      <c r="O381" s="608"/>
      <c r="P381" s="608"/>
      <c r="Q381" s="608"/>
      <c r="R381" s="608"/>
      <c r="T381" s="752"/>
      <c r="V381" s="695"/>
      <c r="W381" s="696"/>
    </row>
    <row r="382" spans="1:23" s="732" customFormat="1" outlineLevel="3">
      <c r="A382" s="376"/>
      <c r="B382" s="376" t="s">
        <v>164</v>
      </c>
      <c r="C382" s="387" t="s">
        <v>160</v>
      </c>
      <c r="D382" s="376" t="s">
        <v>159</v>
      </c>
      <c r="E382" s="376" t="s">
        <v>47</v>
      </c>
      <c r="F382" s="705" t="s">
        <v>1264</v>
      </c>
      <c r="G382" s="609"/>
      <c r="H382" s="727">
        <v>1</v>
      </c>
      <c r="I382" s="626"/>
      <c r="J382" s="752"/>
      <c r="K382" s="416"/>
      <c r="L382" s="608" t="s">
        <v>47</v>
      </c>
      <c r="M382" s="608"/>
      <c r="N382" s="608"/>
      <c r="O382" s="608"/>
      <c r="P382" s="608"/>
      <c r="Q382" s="608"/>
      <c r="R382" s="608"/>
      <c r="S382" s="416"/>
      <c r="T382" s="752"/>
      <c r="U382" s="416"/>
      <c r="V382" s="609"/>
      <c r="W382" s="727"/>
    </row>
    <row r="383" spans="1:23" ht="18" customHeight="1" outlineLevel="2">
      <c r="A383" s="376"/>
      <c r="B383" s="684" t="s">
        <v>165</v>
      </c>
      <c r="C383" s="685" t="s">
        <v>1272</v>
      </c>
      <c r="D383" s="684" t="s">
        <v>159</v>
      </c>
      <c r="E383" s="684"/>
      <c r="F383" s="685" t="s">
        <v>1272</v>
      </c>
      <c r="G383" s="691"/>
      <c r="H383" s="731">
        <f>SUBTOTAL(9,H384)</f>
        <v>1</v>
      </c>
      <c r="I383" s="626"/>
      <c r="J383" s="752"/>
      <c r="L383" s="685"/>
      <c r="M383" s="685"/>
      <c r="N383" s="685"/>
      <c r="O383" s="685"/>
      <c r="P383" s="685"/>
      <c r="Q383" s="685"/>
      <c r="R383" s="685"/>
      <c r="T383" s="752"/>
      <c r="V383" s="691"/>
      <c r="W383" s="731">
        <f>SUBTOTAL(9,W384)</f>
        <v>0</v>
      </c>
    </row>
    <row r="384" spans="1:23" outlineLevel="3">
      <c r="A384" s="376"/>
      <c r="B384" s="376" t="s">
        <v>165</v>
      </c>
      <c r="C384" s="387" t="s">
        <v>160</v>
      </c>
      <c r="D384" s="376" t="s">
        <v>159</v>
      </c>
      <c r="E384" s="376" t="s">
        <v>47</v>
      </c>
      <c r="F384" s="705" t="s">
        <v>1262</v>
      </c>
      <c r="G384" s="695"/>
      <c r="H384" s="696">
        <v>1</v>
      </c>
      <c r="I384" s="626"/>
      <c r="J384" s="752"/>
      <c r="L384" s="608" t="s">
        <v>47</v>
      </c>
      <c r="M384" s="608"/>
      <c r="N384" s="608"/>
      <c r="O384" s="608"/>
      <c r="P384" s="608"/>
      <c r="Q384" s="608"/>
      <c r="R384" s="608"/>
      <c r="T384" s="752"/>
      <c r="V384" s="695"/>
      <c r="W384" s="696"/>
    </row>
    <row r="385" spans="1:23" outlineLevel="2">
      <c r="A385" s="376"/>
      <c r="B385" s="684" t="s">
        <v>1273</v>
      </c>
      <c r="C385" s="684" t="s">
        <v>1274</v>
      </c>
      <c r="D385" s="684" t="s">
        <v>159</v>
      </c>
      <c r="E385" s="684"/>
      <c r="F385" s="685" t="s">
        <v>1274</v>
      </c>
      <c r="G385" s="686"/>
      <c r="H385" s="714">
        <f>SUBTOTAL(9,H386:H387)</f>
        <v>2</v>
      </c>
      <c r="I385" s="626"/>
      <c r="J385" s="752"/>
      <c r="L385" s="685"/>
      <c r="M385" s="685"/>
      <c r="N385" s="685"/>
      <c r="O385" s="685"/>
      <c r="P385" s="685"/>
      <c r="Q385" s="685"/>
      <c r="R385" s="685"/>
      <c r="T385" s="752"/>
      <c r="V385" s="686"/>
      <c r="W385" s="714">
        <f>SUBTOTAL(9,W386:W387)</f>
        <v>0</v>
      </c>
    </row>
    <row r="386" spans="1:23" outlineLevel="3">
      <c r="A386" s="376"/>
      <c r="B386" s="376" t="s">
        <v>1273</v>
      </c>
      <c r="C386" s="387" t="s">
        <v>160</v>
      </c>
      <c r="D386" s="376" t="s">
        <v>159</v>
      </c>
      <c r="E386" s="376" t="s">
        <v>47</v>
      </c>
      <c r="F386" s="705" t="s">
        <v>1262</v>
      </c>
      <c r="H386" s="727">
        <v>1</v>
      </c>
      <c r="I386" s="626"/>
      <c r="J386" s="752"/>
      <c r="L386" s="608" t="s">
        <v>47</v>
      </c>
      <c r="M386" s="608"/>
      <c r="N386" s="608"/>
      <c r="O386" s="608"/>
      <c r="P386" s="608"/>
      <c r="Q386" s="608"/>
      <c r="R386" s="608"/>
      <c r="T386" s="752"/>
      <c r="W386" s="727"/>
    </row>
    <row r="387" spans="1:23" outlineLevel="3">
      <c r="A387" s="376"/>
      <c r="B387" s="376" t="s">
        <v>1273</v>
      </c>
      <c r="C387" s="387" t="s">
        <v>160</v>
      </c>
      <c r="D387" s="376" t="s">
        <v>159</v>
      </c>
      <c r="E387" s="376" t="s">
        <v>47</v>
      </c>
      <c r="F387" s="705" t="s">
        <v>1263</v>
      </c>
      <c r="H387" s="727">
        <v>1</v>
      </c>
      <c r="I387" s="626"/>
      <c r="J387" s="752"/>
      <c r="L387" s="608" t="s">
        <v>47</v>
      </c>
      <c r="M387" s="608"/>
      <c r="N387" s="608"/>
      <c r="O387" s="608"/>
      <c r="P387" s="608"/>
      <c r="Q387" s="608"/>
      <c r="R387" s="608"/>
      <c r="T387" s="752"/>
      <c r="W387" s="727"/>
    </row>
    <row r="388" spans="1:23" outlineLevel="2">
      <c r="A388" s="376"/>
      <c r="B388" s="684" t="s">
        <v>1273</v>
      </c>
      <c r="C388" s="684" t="s">
        <v>1275</v>
      </c>
      <c r="D388" s="684" t="s">
        <v>159</v>
      </c>
      <c r="E388" s="684"/>
      <c r="F388" s="685" t="s">
        <v>1275</v>
      </c>
      <c r="G388" s="686"/>
      <c r="H388" s="714">
        <f>SUBTOTAL(9,H389:H390)</f>
        <v>2</v>
      </c>
      <c r="I388" s="626"/>
      <c r="J388" s="752"/>
      <c r="L388" s="685"/>
      <c r="M388" s="685"/>
      <c r="N388" s="685"/>
      <c r="O388" s="685"/>
      <c r="P388" s="685"/>
      <c r="Q388" s="685"/>
      <c r="R388" s="685"/>
      <c r="T388" s="752"/>
      <c r="V388" s="686"/>
      <c r="W388" s="714">
        <f>SUBTOTAL(9,W389:W390)</f>
        <v>0</v>
      </c>
    </row>
    <row r="389" spans="1:23" outlineLevel="3">
      <c r="A389" s="376"/>
      <c r="B389" s="376" t="s">
        <v>1273</v>
      </c>
      <c r="C389" s="387" t="s">
        <v>160</v>
      </c>
      <c r="D389" s="376" t="s">
        <v>159</v>
      </c>
      <c r="E389" s="376" t="s">
        <v>47</v>
      </c>
      <c r="F389" s="705" t="s">
        <v>1262</v>
      </c>
      <c r="G389" s="609"/>
      <c r="H389" s="727">
        <v>1</v>
      </c>
      <c r="I389" s="626"/>
      <c r="J389" s="752"/>
      <c r="L389" s="608" t="s">
        <v>47</v>
      </c>
      <c r="M389" s="608"/>
      <c r="N389" s="608"/>
      <c r="O389" s="608"/>
      <c r="P389" s="608"/>
      <c r="Q389" s="608"/>
      <c r="R389" s="608"/>
      <c r="T389" s="752"/>
      <c r="V389" s="609"/>
      <c r="W389" s="727"/>
    </row>
    <row r="390" spans="1:23" outlineLevel="3">
      <c r="A390" s="376"/>
      <c r="B390" s="376" t="s">
        <v>1273</v>
      </c>
      <c r="C390" s="387" t="s">
        <v>160</v>
      </c>
      <c r="D390" s="376" t="s">
        <v>159</v>
      </c>
      <c r="E390" s="376" t="s">
        <v>47</v>
      </c>
      <c r="F390" s="705" t="s">
        <v>1263</v>
      </c>
      <c r="G390" s="609"/>
      <c r="H390" s="727">
        <v>1</v>
      </c>
      <c r="I390" s="626"/>
      <c r="J390" s="752"/>
      <c r="L390" s="608" t="s">
        <v>47</v>
      </c>
      <c r="M390" s="608"/>
      <c r="N390" s="608"/>
      <c r="O390" s="608"/>
      <c r="P390" s="608"/>
      <c r="Q390" s="608"/>
      <c r="R390" s="608"/>
      <c r="T390" s="752"/>
      <c r="V390" s="609"/>
      <c r="W390" s="727"/>
    </row>
    <row r="391" spans="1:23" outlineLevel="1">
      <c r="A391" s="376"/>
      <c r="B391" s="667" t="s">
        <v>1276</v>
      </c>
      <c r="C391" s="665" t="s">
        <v>1277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2"/>
      <c r="L391" s="681"/>
      <c r="M391" s="681"/>
      <c r="N391" s="681"/>
      <c r="O391" s="681"/>
      <c r="P391" s="681"/>
      <c r="Q391" s="681"/>
      <c r="R391" s="681"/>
      <c r="T391" s="752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469</v>
      </c>
      <c r="C392" s="376" t="s">
        <v>1049</v>
      </c>
      <c r="D392" s="376" t="s">
        <v>518</v>
      </c>
      <c r="E392" s="376" t="s">
        <v>56</v>
      </c>
      <c r="F392" s="608" t="s">
        <v>1278</v>
      </c>
      <c r="G392" s="695">
        <v>0.4</v>
      </c>
      <c r="H392" s="700">
        <v>1</v>
      </c>
      <c r="I392" s="626"/>
      <c r="J392" s="752"/>
      <c r="L392" s="608" t="s">
        <v>56</v>
      </c>
      <c r="M392" s="608" t="s">
        <v>1038</v>
      </c>
      <c r="N392" s="608" t="s">
        <v>1279</v>
      </c>
      <c r="O392" s="608"/>
      <c r="P392" s="608" t="s">
        <v>1040</v>
      </c>
      <c r="Q392" s="608"/>
      <c r="R392" s="608"/>
      <c r="T392" s="752"/>
      <c r="V392" s="609">
        <f t="shared" ref="V392:V393" si="62">IF(W392=1,G392,0)</f>
        <v>0</v>
      </c>
      <c r="W392" s="700"/>
    </row>
    <row r="393" spans="1:23" outlineLevel="2">
      <c r="A393" s="733" t="s">
        <v>1280</v>
      </c>
      <c r="B393" s="733" t="s">
        <v>1281</v>
      </c>
      <c r="C393" s="733" t="s">
        <v>1282</v>
      </c>
      <c r="D393" s="733" t="s">
        <v>518</v>
      </c>
      <c r="E393" s="733" t="s">
        <v>56</v>
      </c>
      <c r="F393" s="734" t="s">
        <v>1283</v>
      </c>
      <c r="G393" s="735">
        <v>0.04</v>
      </c>
      <c r="H393" s="736">
        <v>1</v>
      </c>
      <c r="I393" s="737"/>
      <c r="J393" s="757"/>
      <c r="K393" s="738"/>
      <c r="L393" s="734" t="s">
        <v>56</v>
      </c>
      <c r="M393" s="734" t="s">
        <v>1284</v>
      </c>
      <c r="N393" s="734" t="s">
        <v>1124</v>
      </c>
      <c r="O393" s="734"/>
      <c r="P393" s="734" t="s">
        <v>1168</v>
      </c>
      <c r="Q393" s="734"/>
      <c r="R393" s="734"/>
      <c r="S393" s="738"/>
      <c r="T393" s="757"/>
      <c r="U393" s="738"/>
      <c r="V393" s="609">
        <f t="shared" si="62"/>
        <v>0</v>
      </c>
      <c r="W393" s="736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2"/>
      <c r="L394" s="760"/>
      <c r="M394" s="760"/>
      <c r="N394" s="760"/>
      <c r="O394" s="760"/>
      <c r="P394" s="760"/>
      <c r="Q394" s="760"/>
      <c r="R394" s="760"/>
      <c r="T394" s="752"/>
      <c r="V394" s="695"/>
      <c r="W394" s="700"/>
    </row>
    <row r="395" spans="1:23" ht="15">
      <c r="A395" s="376"/>
      <c r="B395" s="430" t="s">
        <v>1285</v>
      </c>
      <c r="C395" s="430"/>
      <c r="D395" s="430"/>
      <c r="E395" s="430"/>
      <c r="F395" s="697"/>
      <c r="G395" s="739">
        <f>SUBTOTAL(9,G397:G653)</f>
        <v>120.03613465041319</v>
      </c>
      <c r="H395" s="740">
        <f>SUBTOTAL(9,H397:H653)</f>
        <v>97</v>
      </c>
      <c r="I395" s="626"/>
      <c r="J395" s="752"/>
      <c r="L395" s="697"/>
      <c r="M395" s="697"/>
      <c r="N395" s="697"/>
      <c r="O395" s="697"/>
      <c r="P395" s="697"/>
      <c r="Q395" s="697"/>
      <c r="R395" s="697"/>
      <c r="T395" s="752"/>
      <c r="V395" s="739">
        <f>SUBTOTAL(9,V397:V653)</f>
        <v>0</v>
      </c>
      <c r="W395" s="740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2"/>
      <c r="L396" s="608"/>
      <c r="M396" s="608"/>
      <c r="N396" s="608"/>
      <c r="O396" s="608"/>
      <c r="P396" s="608"/>
      <c r="Q396" s="608"/>
      <c r="R396" s="608"/>
      <c r="T396" s="752"/>
      <c r="V396" s="609"/>
      <c r="W396" s="692"/>
    </row>
    <row r="397" spans="1:23" outlineLevel="1">
      <c r="A397" s="376"/>
      <c r="B397" s="665" t="s">
        <v>902</v>
      </c>
      <c r="C397" s="665" t="s">
        <v>1018</v>
      </c>
      <c r="D397" s="665"/>
      <c r="E397" s="665"/>
      <c r="F397" s="681" t="s">
        <v>947</v>
      </c>
      <c r="G397" s="724">
        <f>SUBTOTAL(9,G398:G411)</f>
        <v>1.35</v>
      </c>
      <c r="H397" s="725">
        <f>SUBTOTAL(9,H398:H411)</f>
        <v>5</v>
      </c>
      <c r="I397" s="626"/>
      <c r="J397" s="752"/>
      <c r="L397" s="681"/>
      <c r="M397" s="681"/>
      <c r="N397" s="681"/>
      <c r="O397" s="681"/>
      <c r="P397" s="681"/>
      <c r="Q397" s="681"/>
      <c r="R397" s="681"/>
      <c r="T397" s="752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902</v>
      </c>
      <c r="C398" s="684" t="s">
        <v>1018</v>
      </c>
      <c r="D398" s="684" t="s">
        <v>159</v>
      </c>
      <c r="E398" s="684"/>
      <c r="F398" s="685" t="s">
        <v>1286</v>
      </c>
      <c r="G398" s="686">
        <f>SUBTOTAL(9,G399:G403)</f>
        <v>1.35</v>
      </c>
      <c r="H398" s="691">
        <f>SUBTOTAL(9,H399:H403)</f>
        <v>5</v>
      </c>
      <c r="I398" s="626"/>
      <c r="J398" s="752"/>
      <c r="L398" s="685"/>
      <c r="M398" s="685"/>
      <c r="N398" s="685"/>
      <c r="O398" s="685"/>
      <c r="P398" s="685"/>
      <c r="Q398" s="685"/>
      <c r="R398" s="685"/>
      <c r="T398" s="752"/>
      <c r="V398" s="686">
        <f>SUBTOTAL(9,V399:V403)</f>
        <v>0</v>
      </c>
      <c r="W398" s="691">
        <f>SUBTOTAL(9,W399:W403)</f>
        <v>0</v>
      </c>
    </row>
    <row r="399" spans="1:23" ht="26.45" outlineLevel="3">
      <c r="A399" s="376"/>
      <c r="B399" s="376" t="s">
        <v>902</v>
      </c>
      <c r="C399" s="376" t="s">
        <v>1018</v>
      </c>
      <c r="D399" s="376" t="s">
        <v>159</v>
      </c>
      <c r="E399" s="376" t="s">
        <v>1100</v>
      </c>
      <c r="F399" s="608" t="s">
        <v>17</v>
      </c>
      <c r="G399" s="609">
        <v>0.54</v>
      </c>
      <c r="H399" s="692">
        <v>1</v>
      </c>
      <c r="I399" s="626"/>
      <c r="J399" s="752"/>
      <c r="L399" s="608" t="s">
        <v>1100</v>
      </c>
      <c r="M399" s="608" t="s">
        <v>1090</v>
      </c>
      <c r="N399" s="608" t="s">
        <v>1150</v>
      </c>
      <c r="O399" s="608" t="s">
        <v>1152</v>
      </c>
      <c r="P399" s="608"/>
      <c r="Q399" s="608"/>
      <c r="R399" s="608"/>
      <c r="T399" s="752"/>
      <c r="V399" s="609">
        <f t="shared" ref="V399:V403" si="63">IF(W399=1,G399,0)</f>
        <v>0</v>
      </c>
      <c r="W399" s="692"/>
    </row>
    <row r="400" spans="1:23" ht="26.45" outlineLevel="3">
      <c r="A400" s="376"/>
      <c r="B400" s="376" t="s">
        <v>902</v>
      </c>
      <c r="C400" s="376" t="s">
        <v>1018</v>
      </c>
      <c r="D400" s="376" t="s">
        <v>159</v>
      </c>
      <c r="E400" s="376" t="s">
        <v>1100</v>
      </c>
      <c r="F400" s="608" t="s">
        <v>36</v>
      </c>
      <c r="G400" s="609">
        <v>0.43</v>
      </c>
      <c r="H400" s="692">
        <v>1</v>
      </c>
      <c r="I400" s="626"/>
      <c r="J400" s="752"/>
      <c r="L400" s="608" t="s">
        <v>1100</v>
      </c>
      <c r="M400" s="608" t="s">
        <v>1090</v>
      </c>
      <c r="N400" s="608" t="s">
        <v>1150</v>
      </c>
      <c r="O400" s="608" t="s">
        <v>1152</v>
      </c>
      <c r="P400" s="608"/>
      <c r="Q400" s="608"/>
      <c r="R400" s="608"/>
      <c r="T400" s="752"/>
      <c r="V400" s="609">
        <f t="shared" si="63"/>
        <v>0</v>
      </c>
      <c r="W400" s="692"/>
    </row>
    <row r="401" spans="1:23" ht="26.45" outlineLevel="3">
      <c r="A401" s="376"/>
      <c r="B401" s="376" t="s">
        <v>902</v>
      </c>
      <c r="C401" s="376" t="s">
        <v>1018</v>
      </c>
      <c r="D401" s="376" t="s">
        <v>159</v>
      </c>
      <c r="E401" s="376" t="s">
        <v>1100</v>
      </c>
      <c r="F401" s="608" t="s">
        <v>208</v>
      </c>
      <c r="G401" s="609">
        <v>0.21</v>
      </c>
      <c r="H401" s="692">
        <v>1</v>
      </c>
      <c r="I401" s="626"/>
      <c r="J401" s="752"/>
      <c r="L401" s="608" t="s">
        <v>1100</v>
      </c>
      <c r="M401" s="608" t="s">
        <v>1090</v>
      </c>
      <c r="N401" s="608" t="s">
        <v>1150</v>
      </c>
      <c r="O401" s="608" t="s">
        <v>1152</v>
      </c>
      <c r="P401" s="608"/>
      <c r="Q401" s="608"/>
      <c r="R401" s="608"/>
      <c r="T401" s="752"/>
      <c r="V401" s="609">
        <f t="shared" si="63"/>
        <v>0</v>
      </c>
      <c r="W401" s="692"/>
    </row>
    <row r="402" spans="1:23" ht="26.45" outlineLevel="3">
      <c r="A402" s="376"/>
      <c r="B402" s="376" t="s">
        <v>902</v>
      </c>
      <c r="C402" s="376" t="s">
        <v>1018</v>
      </c>
      <c r="D402" s="376" t="s">
        <v>159</v>
      </c>
      <c r="E402" s="376" t="s">
        <v>1159</v>
      </c>
      <c r="F402" s="608" t="s">
        <v>38</v>
      </c>
      <c r="G402" s="609">
        <v>0.11</v>
      </c>
      <c r="H402" s="692">
        <v>1</v>
      </c>
      <c r="I402" s="626"/>
      <c r="J402" s="752"/>
      <c r="L402" s="608" t="s">
        <v>1159</v>
      </c>
      <c r="M402" s="608" t="s">
        <v>1090</v>
      </c>
      <c r="N402" s="608" t="s">
        <v>1150</v>
      </c>
      <c r="O402" s="608" t="s">
        <v>1152</v>
      </c>
      <c r="P402" s="608"/>
      <c r="Q402" s="608"/>
      <c r="R402" s="608"/>
      <c r="T402" s="752"/>
      <c r="V402" s="609">
        <f t="shared" si="63"/>
        <v>0</v>
      </c>
      <c r="W402" s="692"/>
    </row>
    <row r="403" spans="1:23" ht="26.45" outlineLevel="3">
      <c r="A403" s="376"/>
      <c r="B403" s="376" t="s">
        <v>902</v>
      </c>
      <c r="C403" s="376" t="s">
        <v>1018</v>
      </c>
      <c r="D403" s="376" t="s">
        <v>159</v>
      </c>
      <c r="E403" s="376" t="s">
        <v>1159</v>
      </c>
      <c r="F403" s="608" t="s">
        <v>1287</v>
      </c>
      <c r="G403" s="609">
        <v>0.06</v>
      </c>
      <c r="H403" s="692">
        <v>1</v>
      </c>
      <c r="I403" s="626"/>
      <c r="J403" s="752"/>
      <c r="L403" s="608" t="s">
        <v>1159</v>
      </c>
      <c r="M403" s="608" t="s">
        <v>1090</v>
      </c>
      <c r="N403" s="608" t="s">
        <v>1150</v>
      </c>
      <c r="O403" s="608" t="s">
        <v>1152</v>
      </c>
      <c r="P403" s="608"/>
      <c r="Q403" s="608"/>
      <c r="R403" s="608"/>
      <c r="T403" s="752"/>
      <c r="V403" s="609">
        <f t="shared" si="63"/>
        <v>0</v>
      </c>
      <c r="W403" s="692"/>
    </row>
    <row r="404" spans="1:23" outlineLevel="2">
      <c r="A404" s="376"/>
      <c r="B404" s="684" t="s">
        <v>902</v>
      </c>
      <c r="C404" s="684" t="s">
        <v>1018</v>
      </c>
      <c r="D404" s="684" t="s">
        <v>518</v>
      </c>
      <c r="E404" s="684"/>
      <c r="F404" s="685" t="s">
        <v>1259</v>
      </c>
      <c r="G404" s="686">
        <f>SUBTOTAL(9,G405)</f>
        <v>0</v>
      </c>
      <c r="H404" s="691">
        <f>SUBTOTAL(9,H405)</f>
        <v>0</v>
      </c>
      <c r="I404" s="626"/>
      <c r="J404" s="752"/>
      <c r="L404" s="685"/>
      <c r="M404" s="685"/>
      <c r="N404" s="685"/>
      <c r="O404" s="685"/>
      <c r="P404" s="685"/>
      <c r="Q404" s="685"/>
      <c r="R404" s="685"/>
      <c r="T404" s="752"/>
      <c r="V404" s="686">
        <f>SUBTOTAL(9,V405)</f>
        <v>0</v>
      </c>
      <c r="W404" s="691">
        <f>SUBTOTAL(9,W405)</f>
        <v>0</v>
      </c>
    </row>
    <row r="405" spans="1:23" ht="66" outlineLevel="4">
      <c r="A405" s="376"/>
      <c r="B405" s="376" t="s">
        <v>902</v>
      </c>
      <c r="C405" s="376" t="s">
        <v>1018</v>
      </c>
      <c r="D405" s="376" t="s">
        <v>518</v>
      </c>
      <c r="E405" s="376" t="s">
        <v>56</v>
      </c>
      <c r="F405" s="760" t="s">
        <v>36</v>
      </c>
      <c r="G405" s="609"/>
      <c r="H405" s="692"/>
      <c r="I405" s="626"/>
      <c r="J405" s="752"/>
      <c r="L405" s="608" t="s">
        <v>56</v>
      </c>
      <c r="M405" s="608" t="s">
        <v>1284</v>
      </c>
      <c r="N405" s="608" t="s">
        <v>1288</v>
      </c>
      <c r="O405" s="608"/>
      <c r="P405" s="608" t="s">
        <v>1155</v>
      </c>
      <c r="Q405" s="608"/>
      <c r="R405" s="608">
        <v>0</v>
      </c>
      <c r="T405" s="752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902</v>
      </c>
      <c r="C406" s="684" t="s">
        <v>1018</v>
      </c>
      <c r="D406" s="684" t="s">
        <v>441</v>
      </c>
      <c r="E406" s="684"/>
      <c r="F406" s="685" t="s">
        <v>1286</v>
      </c>
      <c r="G406" s="686">
        <f>SUBTOTAL(9,G407:G408)</f>
        <v>0</v>
      </c>
      <c r="H406" s="691">
        <f>SUBTOTAL(9,H407:H408)</f>
        <v>0</v>
      </c>
      <c r="I406" s="626"/>
      <c r="J406" s="752"/>
      <c r="L406" s="685"/>
      <c r="M406" s="685"/>
      <c r="N406" s="685"/>
      <c r="O406" s="685"/>
      <c r="P406" s="685"/>
      <c r="Q406" s="685"/>
      <c r="R406" s="685"/>
      <c r="T406" s="752"/>
      <c r="V406" s="686">
        <f>SUBTOTAL(9,V407:V408)</f>
        <v>0</v>
      </c>
      <c r="W406" s="691">
        <f>SUBTOTAL(9,W407:W408)</f>
        <v>0</v>
      </c>
    </row>
    <row r="407" spans="1:23" ht="39.6" outlineLevel="4">
      <c r="A407" s="376"/>
      <c r="B407" s="376" t="s">
        <v>902</v>
      </c>
      <c r="C407" s="376" t="s">
        <v>1018</v>
      </c>
      <c r="D407" s="376" t="s">
        <v>441</v>
      </c>
      <c r="E407" s="376" t="s">
        <v>437</v>
      </c>
      <c r="F407" s="760" t="s">
        <v>36</v>
      </c>
      <c r="G407" s="609"/>
      <c r="H407" s="692"/>
      <c r="I407" s="626"/>
      <c r="J407" s="752"/>
      <c r="L407" s="608" t="s">
        <v>437</v>
      </c>
      <c r="M407" s="608" t="s">
        <v>966</v>
      </c>
      <c r="N407" s="608" t="s">
        <v>967</v>
      </c>
      <c r="O407" s="608" t="s">
        <v>1289</v>
      </c>
      <c r="P407" s="608"/>
      <c r="Q407" s="608"/>
      <c r="R407" s="608"/>
      <c r="T407" s="752"/>
      <c r="V407" s="609">
        <f t="shared" ref="V407:V408" si="65">IF(W407=1,G407,0)</f>
        <v>0</v>
      </c>
      <c r="W407" s="692"/>
    </row>
    <row r="408" spans="1:23" ht="39.6" outlineLevel="4">
      <c r="A408" s="376"/>
      <c r="B408" s="376" t="s">
        <v>902</v>
      </c>
      <c r="C408" s="376" t="s">
        <v>1018</v>
      </c>
      <c r="D408" s="376" t="s">
        <v>441</v>
      </c>
      <c r="E408" s="376" t="s">
        <v>437</v>
      </c>
      <c r="F408" s="760" t="s">
        <v>208</v>
      </c>
      <c r="G408" s="609"/>
      <c r="H408" s="692"/>
      <c r="I408" s="626"/>
      <c r="J408" s="752"/>
      <c r="L408" s="608" t="s">
        <v>437</v>
      </c>
      <c r="M408" s="608" t="s">
        <v>966</v>
      </c>
      <c r="N408" s="608" t="s">
        <v>967</v>
      </c>
      <c r="O408" s="608" t="s">
        <v>1289</v>
      </c>
      <c r="P408" s="608"/>
      <c r="Q408" s="608"/>
      <c r="R408" s="608"/>
      <c r="T408" s="752"/>
      <c r="V408" s="609">
        <f t="shared" si="65"/>
        <v>0</v>
      </c>
      <c r="W408" s="692"/>
    </row>
    <row r="409" spans="1:23" outlineLevel="2">
      <c r="A409" s="376"/>
      <c r="B409" s="684" t="s">
        <v>902</v>
      </c>
      <c r="C409" s="684" t="s">
        <v>1018</v>
      </c>
      <c r="D409" s="684" t="s">
        <v>860</v>
      </c>
      <c r="E409" s="684"/>
      <c r="F409" s="685" t="s">
        <v>1286</v>
      </c>
      <c r="G409" s="686">
        <f>SUBTOTAL(9,G410:G411)</f>
        <v>0</v>
      </c>
      <c r="H409" s="691">
        <f>SUBTOTAL(9,H410:H411)</f>
        <v>0</v>
      </c>
      <c r="I409" s="626"/>
      <c r="J409" s="752"/>
      <c r="L409" s="685"/>
      <c r="M409" s="685"/>
      <c r="N409" s="685"/>
      <c r="O409" s="685"/>
      <c r="P409" s="685"/>
      <c r="Q409" s="685"/>
      <c r="R409" s="685"/>
      <c r="T409" s="752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902</v>
      </c>
      <c r="C410" s="376" t="s">
        <v>1018</v>
      </c>
      <c r="D410" s="376" t="s">
        <v>860</v>
      </c>
      <c r="E410" s="376" t="s">
        <v>437</v>
      </c>
      <c r="F410" s="760" t="s">
        <v>36</v>
      </c>
      <c r="G410" s="609"/>
      <c r="H410" s="692"/>
      <c r="I410" s="626"/>
      <c r="J410" s="752"/>
      <c r="L410" s="608" t="s">
        <v>437</v>
      </c>
      <c r="M410" s="608" t="s">
        <v>996</v>
      </c>
      <c r="N410" s="608" t="s">
        <v>1048</v>
      </c>
      <c r="O410" s="608"/>
      <c r="P410" s="608"/>
      <c r="Q410" s="608"/>
      <c r="R410" s="608"/>
      <c r="T410" s="752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902</v>
      </c>
      <c r="C411" s="376" t="s">
        <v>1018</v>
      </c>
      <c r="D411" s="376" t="s">
        <v>860</v>
      </c>
      <c r="E411" s="376" t="s">
        <v>437</v>
      </c>
      <c r="F411" s="760" t="s">
        <v>208</v>
      </c>
      <c r="G411" s="609"/>
      <c r="H411" s="692"/>
      <c r="I411" s="626"/>
      <c r="J411" s="752"/>
      <c r="L411" s="608" t="s">
        <v>437</v>
      </c>
      <c r="M411" s="608" t="s">
        <v>996</v>
      </c>
      <c r="N411" s="608" t="s">
        <v>1048</v>
      </c>
      <c r="O411" s="608"/>
      <c r="P411" s="608"/>
      <c r="Q411" s="608"/>
      <c r="R411" s="608"/>
      <c r="T411" s="752"/>
      <c r="V411" s="609">
        <f t="shared" si="66"/>
        <v>0</v>
      </c>
      <c r="W411" s="692"/>
    </row>
    <row r="412" spans="1:23" outlineLevel="1">
      <c r="A412" s="376"/>
      <c r="B412" s="665" t="s">
        <v>1290</v>
      </c>
      <c r="C412" s="665" t="s">
        <v>969</v>
      </c>
      <c r="D412" s="665"/>
      <c r="E412" s="665"/>
      <c r="F412" s="681" t="s">
        <v>947</v>
      </c>
      <c r="G412" s="724">
        <f>SUBTOTAL(9,G413:G421)</f>
        <v>0.24728000000000006</v>
      </c>
      <c r="H412" s="725">
        <f>SUBTOTAL(9,H413:H421)</f>
        <v>1</v>
      </c>
      <c r="I412" s="626"/>
      <c r="J412" s="752"/>
      <c r="L412" s="681"/>
      <c r="M412" s="681"/>
      <c r="N412" s="681"/>
      <c r="O412" s="681"/>
      <c r="P412" s="681"/>
      <c r="Q412" s="681"/>
      <c r="R412" s="681"/>
      <c r="T412" s="752"/>
      <c r="V412" s="724">
        <f>SUBTOTAL(9,V413:V421)</f>
        <v>0</v>
      </c>
      <c r="W412" s="725">
        <f>SUBTOTAL(9,W413:W421)</f>
        <v>0</v>
      </c>
    </row>
    <row r="413" spans="1:23" ht="79.150000000000006" outlineLevel="2">
      <c r="A413" s="376"/>
      <c r="B413" s="684" t="s">
        <v>1290</v>
      </c>
      <c r="C413" s="684" t="s">
        <v>969</v>
      </c>
      <c r="D413" s="684" t="s">
        <v>159</v>
      </c>
      <c r="E413" s="684"/>
      <c r="F413" s="685" t="s">
        <v>1291</v>
      </c>
      <c r="G413" s="686">
        <f>SUBTOTAL(9,G414:G415)</f>
        <v>0.24728000000000006</v>
      </c>
      <c r="H413" s="691">
        <f>SUBTOTAL(9,H414:H415)</f>
        <v>1</v>
      </c>
      <c r="I413" s="626"/>
      <c r="J413" s="752"/>
      <c r="L413" s="685"/>
      <c r="M413" s="685" t="s">
        <v>1292</v>
      </c>
      <c r="N413" s="685"/>
      <c r="O413" s="685"/>
      <c r="P413" s="685"/>
      <c r="Q413" s="685"/>
      <c r="R413" s="685"/>
      <c r="T413" s="752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1290</v>
      </c>
      <c r="C414" s="376" t="s">
        <v>969</v>
      </c>
      <c r="D414" s="376" t="s">
        <v>159</v>
      </c>
      <c r="E414" s="376" t="s">
        <v>664</v>
      </c>
      <c r="F414" s="608" t="s">
        <v>17</v>
      </c>
      <c r="G414" s="609">
        <v>0.24728000000000006</v>
      </c>
      <c r="H414" s="692">
        <v>1</v>
      </c>
      <c r="I414" s="626"/>
      <c r="J414" s="752"/>
      <c r="L414" s="608" t="s">
        <v>1159</v>
      </c>
      <c r="M414" s="608"/>
      <c r="N414" s="608"/>
      <c r="O414" s="608"/>
      <c r="P414" s="608"/>
      <c r="Q414" s="608"/>
      <c r="R414" s="608"/>
      <c r="T414" s="752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1290</v>
      </c>
      <c r="C415" s="376" t="s">
        <v>969</v>
      </c>
      <c r="D415" s="376" t="s">
        <v>159</v>
      </c>
      <c r="E415" s="376" t="s">
        <v>664</v>
      </c>
      <c r="F415" s="760" t="s">
        <v>36</v>
      </c>
      <c r="G415" s="609"/>
      <c r="H415" s="692"/>
      <c r="I415" s="626"/>
      <c r="J415" s="752"/>
      <c r="L415" s="608" t="s">
        <v>1159</v>
      </c>
      <c r="M415" s="608"/>
      <c r="N415" s="608"/>
      <c r="O415" s="608"/>
      <c r="P415" s="608"/>
      <c r="Q415" s="608"/>
      <c r="R415" s="608"/>
      <c r="T415" s="752"/>
      <c r="V415" s="609">
        <f t="shared" si="67"/>
        <v>0</v>
      </c>
      <c r="W415" s="692"/>
    </row>
    <row r="416" spans="1:23" outlineLevel="2">
      <c r="A416" s="376"/>
      <c r="B416" s="684" t="s">
        <v>1290</v>
      </c>
      <c r="C416" s="684" t="s">
        <v>969</v>
      </c>
      <c r="D416" s="684" t="s">
        <v>518</v>
      </c>
      <c r="E416" s="684"/>
      <c r="F416" s="685" t="s">
        <v>1293</v>
      </c>
      <c r="G416" s="686">
        <f>SUBTOTAL(9,G417)</f>
        <v>0</v>
      </c>
      <c r="H416" s="691">
        <f>SUBTOTAL(9,H417)</f>
        <v>0</v>
      </c>
      <c r="I416" s="626"/>
      <c r="J416" s="752"/>
      <c r="L416" s="685"/>
      <c r="M416" s="685"/>
      <c r="N416" s="685"/>
      <c r="O416" s="685"/>
      <c r="P416" s="685"/>
      <c r="Q416" s="685"/>
      <c r="R416" s="685"/>
      <c r="T416" s="752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1290</v>
      </c>
      <c r="C417" s="376" t="s">
        <v>969</v>
      </c>
      <c r="D417" s="376" t="s">
        <v>518</v>
      </c>
      <c r="E417" s="376" t="s">
        <v>56</v>
      </c>
      <c r="F417" s="760" t="s">
        <v>36</v>
      </c>
      <c r="G417" s="609"/>
      <c r="H417" s="692"/>
      <c r="I417" s="626"/>
      <c r="J417" s="752"/>
      <c r="L417" s="608" t="s">
        <v>56</v>
      </c>
      <c r="M417" s="608" t="s">
        <v>1008</v>
      </c>
      <c r="N417" s="608" t="s">
        <v>1294</v>
      </c>
      <c r="O417" s="608" t="s">
        <v>1010</v>
      </c>
      <c r="P417" s="608" t="s">
        <v>1295</v>
      </c>
      <c r="Q417" s="608"/>
      <c r="R417" s="608">
        <v>0</v>
      </c>
      <c r="T417" s="752"/>
      <c r="V417" s="609">
        <f t="shared" ref="V417" si="68">IF(W417=1,G417,0)</f>
        <v>0</v>
      </c>
      <c r="W417" s="692"/>
    </row>
    <row r="418" spans="1:23" ht="92.45" outlineLevel="2">
      <c r="A418" s="376"/>
      <c r="B418" s="684" t="s">
        <v>1290</v>
      </c>
      <c r="C418" s="684" t="s">
        <v>969</v>
      </c>
      <c r="D418" s="684" t="s">
        <v>441</v>
      </c>
      <c r="E418" s="684"/>
      <c r="F418" s="685" t="s">
        <v>1296</v>
      </c>
      <c r="G418" s="686">
        <f>SUBTOTAL(9,G419)</f>
        <v>0</v>
      </c>
      <c r="H418" s="691">
        <f>SUBTOTAL(9,H419)</f>
        <v>0</v>
      </c>
      <c r="I418" s="626"/>
      <c r="J418" s="752"/>
      <c r="L418" s="685"/>
      <c r="M418" s="685" t="s">
        <v>1234</v>
      </c>
      <c r="N418" s="685"/>
      <c r="O418" s="685"/>
      <c r="P418" s="685"/>
      <c r="Q418" s="685"/>
      <c r="R418" s="685"/>
      <c r="T418" s="752"/>
      <c r="V418" s="686">
        <f>SUBTOTAL(9,V419)</f>
        <v>0</v>
      </c>
      <c r="W418" s="691">
        <f>SUBTOTAL(9,W419)</f>
        <v>0</v>
      </c>
    </row>
    <row r="419" spans="1:23" ht="39.6" outlineLevel="3" collapsed="1">
      <c r="A419" s="376"/>
      <c r="B419" s="376" t="s">
        <v>1290</v>
      </c>
      <c r="C419" s="376" t="s">
        <v>969</v>
      </c>
      <c r="D419" s="376" t="s">
        <v>441</v>
      </c>
      <c r="E419" s="376" t="s">
        <v>437</v>
      </c>
      <c r="F419" s="760" t="s">
        <v>36</v>
      </c>
      <c r="G419" s="609"/>
      <c r="H419" s="692"/>
      <c r="I419" s="626"/>
      <c r="J419" s="752"/>
      <c r="L419" s="608" t="s">
        <v>437</v>
      </c>
      <c r="M419" s="608" t="s">
        <v>966</v>
      </c>
      <c r="N419" s="608" t="s">
        <v>1173</v>
      </c>
      <c r="O419" s="608" t="s">
        <v>1297</v>
      </c>
      <c r="P419" s="608"/>
      <c r="Q419" s="608"/>
      <c r="R419" s="608"/>
      <c r="T419" s="752"/>
      <c r="V419" s="609">
        <f t="shared" ref="V419" si="69">IF(W419=1,G419,0)</f>
        <v>0</v>
      </c>
      <c r="W419" s="692"/>
    </row>
    <row r="420" spans="1:23" ht="92.45" outlineLevel="2">
      <c r="A420" s="376"/>
      <c r="B420" s="684" t="s">
        <v>1290</v>
      </c>
      <c r="C420" s="684" t="s">
        <v>969</v>
      </c>
      <c r="D420" s="684" t="s">
        <v>860</v>
      </c>
      <c r="E420" s="684"/>
      <c r="F420" s="685" t="s">
        <v>1298</v>
      </c>
      <c r="G420" s="686">
        <f>SUBTOTAL(9,G421)</f>
        <v>0</v>
      </c>
      <c r="H420" s="691">
        <f>SUBTOTAL(9,H421)</f>
        <v>0</v>
      </c>
      <c r="I420" s="626"/>
      <c r="J420" s="752"/>
      <c r="L420" s="685"/>
      <c r="M420" s="685" t="s">
        <v>1234</v>
      </c>
      <c r="N420" s="685"/>
      <c r="O420" s="685"/>
      <c r="P420" s="685"/>
      <c r="Q420" s="685"/>
      <c r="R420" s="685"/>
      <c r="T420" s="752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1290</v>
      </c>
      <c r="C421" s="376" t="s">
        <v>969</v>
      </c>
      <c r="D421" s="376" t="s">
        <v>860</v>
      </c>
      <c r="E421" s="376" t="s">
        <v>437</v>
      </c>
      <c r="F421" s="760" t="s">
        <v>36</v>
      </c>
      <c r="G421" s="609"/>
      <c r="H421" s="692"/>
      <c r="I421" s="626"/>
      <c r="J421" s="752"/>
      <c r="L421" s="608" t="s">
        <v>437</v>
      </c>
      <c r="M421" s="608" t="s">
        <v>996</v>
      </c>
      <c r="N421" s="608" t="s">
        <v>1249</v>
      </c>
      <c r="O421" s="608"/>
      <c r="P421" s="608"/>
      <c r="Q421" s="608"/>
      <c r="R421" s="608"/>
      <c r="T421" s="752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1299</v>
      </c>
      <c r="C422" s="666" t="s">
        <v>1300</v>
      </c>
      <c r="D422" s="666"/>
      <c r="E422" s="666"/>
      <c r="F422" s="681" t="s">
        <v>947</v>
      </c>
      <c r="G422" s="724">
        <f>SUBTOTAL(9,G423:G433)</f>
        <v>12.816445667435737</v>
      </c>
      <c r="H422" s="725">
        <f>SUBTOTAL(9,H423:H433)</f>
        <v>7</v>
      </c>
      <c r="I422" s="627"/>
      <c r="J422" s="754"/>
      <c r="L422" s="761"/>
      <c r="M422" s="761"/>
      <c r="N422" s="761"/>
      <c r="O422" s="761"/>
      <c r="P422" s="761"/>
      <c r="Q422" s="761"/>
      <c r="R422" s="761"/>
      <c r="T422" s="754"/>
      <c r="V422" s="724">
        <f>SUBTOTAL(9,V423:V433)</f>
        <v>0</v>
      </c>
      <c r="W422" s="725">
        <f>SUBTOTAL(9,W423:W433)</f>
        <v>0</v>
      </c>
    </row>
    <row r="423" spans="1:23" ht="26.45" outlineLevel="2">
      <c r="A423" s="376"/>
      <c r="B423" s="684" t="s">
        <v>1299</v>
      </c>
      <c r="C423" s="684" t="s">
        <v>1300</v>
      </c>
      <c r="D423" s="684" t="s">
        <v>159</v>
      </c>
      <c r="E423" s="684"/>
      <c r="F423" s="685" t="s">
        <v>1301</v>
      </c>
      <c r="G423" s="686">
        <f>SUBTOTAL(9,G424:G426)</f>
        <v>8.7813947704253064</v>
      </c>
      <c r="H423" s="691">
        <f>SUBTOTAL(9,H424:H426)</f>
        <v>3</v>
      </c>
      <c r="I423" s="626"/>
      <c r="J423" s="752"/>
      <c r="L423" s="685"/>
      <c r="M423" s="685"/>
      <c r="N423" s="685"/>
      <c r="O423" s="685"/>
      <c r="P423" s="685"/>
      <c r="Q423" s="685"/>
      <c r="R423" s="685"/>
      <c r="T423" s="752"/>
      <c r="V423" s="686">
        <f>SUBTOTAL(9,V424:V426)</f>
        <v>0</v>
      </c>
      <c r="W423" s="691">
        <f>SUBTOTAL(9,W424:W426)</f>
        <v>0</v>
      </c>
    </row>
    <row r="424" spans="1:23" ht="26.45" outlineLevel="3">
      <c r="A424" s="376"/>
      <c r="B424" s="376" t="s">
        <v>1299</v>
      </c>
      <c r="C424" s="376" t="s">
        <v>1300</v>
      </c>
      <c r="D424" s="376" t="s">
        <v>159</v>
      </c>
      <c r="E424" s="376" t="s">
        <v>1100</v>
      </c>
      <c r="F424" s="608" t="s">
        <v>971</v>
      </c>
      <c r="G424" s="609">
        <v>4.3906973852126532</v>
      </c>
      <c r="H424" s="692">
        <v>1</v>
      </c>
      <c r="I424" s="626"/>
      <c r="J424" s="752"/>
      <c r="L424" s="608" t="s">
        <v>1100</v>
      </c>
      <c r="M424" s="608" t="s">
        <v>1090</v>
      </c>
      <c r="N424" s="608" t="s">
        <v>1110</v>
      </c>
      <c r="O424" s="608" t="s">
        <v>1302</v>
      </c>
      <c r="P424" s="608" t="s">
        <v>1111</v>
      </c>
      <c r="Q424" s="608"/>
      <c r="R424" s="608"/>
      <c r="T424" s="752"/>
      <c r="V424" s="609">
        <f t="shared" ref="V424:V426" si="71">IF(W424=1,G424,0)</f>
        <v>0</v>
      </c>
      <c r="W424" s="692"/>
    </row>
    <row r="425" spans="1:23" ht="26.45" outlineLevel="3">
      <c r="A425" s="376"/>
      <c r="B425" s="376" t="s">
        <v>1299</v>
      </c>
      <c r="C425" s="376" t="s">
        <v>1300</v>
      </c>
      <c r="D425" s="376" t="s">
        <v>159</v>
      </c>
      <c r="E425" s="376" t="s">
        <v>1100</v>
      </c>
      <c r="F425" s="608" t="s">
        <v>1303</v>
      </c>
      <c r="G425" s="609">
        <v>2.1953486926063266</v>
      </c>
      <c r="H425" s="692">
        <v>1</v>
      </c>
      <c r="I425" s="626"/>
      <c r="J425" s="752"/>
      <c r="L425" s="608" t="s">
        <v>1100</v>
      </c>
      <c r="M425" s="608" t="s">
        <v>1090</v>
      </c>
      <c r="N425" s="608" t="s">
        <v>1110</v>
      </c>
      <c r="O425" s="608" t="s">
        <v>1302</v>
      </c>
      <c r="P425" s="608" t="s">
        <v>1111</v>
      </c>
      <c r="Q425" s="608"/>
      <c r="R425" s="608"/>
      <c r="T425" s="752"/>
      <c r="V425" s="609">
        <f t="shared" si="71"/>
        <v>0</v>
      </c>
      <c r="W425" s="692"/>
    </row>
    <row r="426" spans="1:23" ht="26.45" outlineLevel="3">
      <c r="A426" s="376"/>
      <c r="B426" s="376" t="s">
        <v>1299</v>
      </c>
      <c r="C426" s="376" t="s">
        <v>1300</v>
      </c>
      <c r="D426" s="376" t="s">
        <v>159</v>
      </c>
      <c r="E426" s="376" t="s">
        <v>1100</v>
      </c>
      <c r="F426" s="608" t="s">
        <v>1304</v>
      </c>
      <c r="G426" s="609">
        <v>2.1953486926063266</v>
      </c>
      <c r="H426" s="692">
        <v>1</v>
      </c>
      <c r="I426" s="626"/>
      <c r="J426" s="752"/>
      <c r="L426" s="608" t="s">
        <v>1100</v>
      </c>
      <c r="M426" s="608" t="s">
        <v>1090</v>
      </c>
      <c r="N426" s="608" t="s">
        <v>1110</v>
      </c>
      <c r="O426" s="608" t="s">
        <v>1302</v>
      </c>
      <c r="P426" s="608" t="s">
        <v>1111</v>
      </c>
      <c r="Q426" s="608"/>
      <c r="R426" s="608"/>
      <c r="T426" s="752"/>
      <c r="V426" s="609">
        <f t="shared" si="71"/>
        <v>0</v>
      </c>
      <c r="W426" s="692"/>
    </row>
    <row r="427" spans="1:23" ht="26.45" outlineLevel="2">
      <c r="A427" s="376"/>
      <c r="B427" s="684" t="s">
        <v>1299</v>
      </c>
      <c r="C427" s="684" t="s">
        <v>1300</v>
      </c>
      <c r="D427" s="684" t="s">
        <v>518</v>
      </c>
      <c r="E427" s="684"/>
      <c r="F427" s="685" t="s">
        <v>1305</v>
      </c>
      <c r="G427" s="686">
        <f>SUBTOTAL(9,G428:G429)</f>
        <v>3.257897459827789</v>
      </c>
      <c r="H427" s="691">
        <f>SUBTOTAL(9,H428:H429)</f>
        <v>2</v>
      </c>
      <c r="I427" s="626"/>
      <c r="J427" s="752"/>
      <c r="L427" s="685"/>
      <c r="M427" s="685"/>
      <c r="N427" s="685"/>
      <c r="O427" s="685"/>
      <c r="P427" s="685"/>
      <c r="Q427" s="685"/>
      <c r="R427" s="685"/>
      <c r="T427" s="752"/>
      <c r="V427" s="686">
        <f>SUBTOTAL(9,V428:V429)</f>
        <v>0</v>
      </c>
      <c r="W427" s="691">
        <f>SUBTOTAL(9,W428:W429)</f>
        <v>0</v>
      </c>
    </row>
    <row r="428" spans="1:23" ht="26.45" outlineLevel="3">
      <c r="A428" s="376"/>
      <c r="B428" s="376" t="s">
        <v>1299</v>
      </c>
      <c r="C428" s="376" t="s">
        <v>1300</v>
      </c>
      <c r="D428" s="376" t="s">
        <v>518</v>
      </c>
      <c r="E428" s="376" t="s">
        <v>56</v>
      </c>
      <c r="F428" s="608" t="s">
        <v>36</v>
      </c>
      <c r="G428" s="609">
        <v>1.3962417684976238</v>
      </c>
      <c r="H428" s="692">
        <v>1</v>
      </c>
      <c r="I428" s="626"/>
      <c r="J428" s="752"/>
      <c r="L428" s="608" t="s">
        <v>56</v>
      </c>
      <c r="M428" s="608" t="s">
        <v>1284</v>
      </c>
      <c r="N428" s="608" t="s">
        <v>1306</v>
      </c>
      <c r="O428" s="608"/>
      <c r="P428" s="608" t="s">
        <v>1096</v>
      </c>
      <c r="Q428" s="608"/>
      <c r="R428" s="608">
        <v>0</v>
      </c>
      <c r="T428" s="752"/>
      <c r="V428" s="609">
        <f t="shared" ref="V428:V429" si="72">IF(W428=1,G428,0)</f>
        <v>0</v>
      </c>
      <c r="W428" s="692"/>
    </row>
    <row r="429" spans="1:23" ht="26.45" outlineLevel="3">
      <c r="A429" s="376"/>
      <c r="B429" s="376" t="s">
        <v>1299</v>
      </c>
      <c r="C429" s="376" t="s">
        <v>1300</v>
      </c>
      <c r="D429" s="376" t="s">
        <v>518</v>
      </c>
      <c r="E429" s="376" t="s">
        <v>56</v>
      </c>
      <c r="F429" s="608" t="s">
        <v>971</v>
      </c>
      <c r="G429" s="609">
        <v>1.8616556913301652</v>
      </c>
      <c r="H429" s="692">
        <v>1</v>
      </c>
      <c r="I429" s="626"/>
      <c r="J429" s="752"/>
      <c r="L429" s="608" t="s">
        <v>56</v>
      </c>
      <c r="M429" s="608" t="s">
        <v>1284</v>
      </c>
      <c r="N429" s="608" t="s">
        <v>1306</v>
      </c>
      <c r="O429" s="608"/>
      <c r="P429" s="608" t="s">
        <v>1096</v>
      </c>
      <c r="Q429" s="608"/>
      <c r="R429" s="608">
        <v>0</v>
      </c>
      <c r="T429" s="752"/>
      <c r="V429" s="609">
        <f t="shared" si="72"/>
        <v>0</v>
      </c>
      <c r="W429" s="692"/>
    </row>
    <row r="430" spans="1:23" ht="39.6" outlineLevel="2">
      <c r="A430" s="376"/>
      <c r="B430" s="684" t="s">
        <v>1299</v>
      </c>
      <c r="C430" s="684" t="s">
        <v>1300</v>
      </c>
      <c r="D430" s="684" t="s">
        <v>441</v>
      </c>
      <c r="E430" s="684"/>
      <c r="F430" s="685" t="s">
        <v>1307</v>
      </c>
      <c r="G430" s="686">
        <f>SUBTOTAL(9,G431:G433)</f>
        <v>0.77715343718264007</v>
      </c>
      <c r="H430" s="691">
        <f>SUBTOTAL(9,H431:H433)</f>
        <v>2</v>
      </c>
      <c r="I430" s="626"/>
      <c r="J430" s="752"/>
      <c r="L430" s="685"/>
      <c r="M430" s="685"/>
      <c r="N430" s="685"/>
      <c r="O430" s="685"/>
      <c r="P430" s="685"/>
      <c r="Q430" s="685"/>
      <c r="R430" s="685"/>
      <c r="T430" s="752"/>
      <c r="V430" s="686">
        <f>SUBTOTAL(9,V431:V433)</f>
        <v>0</v>
      </c>
      <c r="W430" s="691">
        <f>SUBTOTAL(9,W431:W433)</f>
        <v>0</v>
      </c>
    </row>
    <row r="431" spans="1:23" ht="39.6" outlineLevel="3">
      <c r="A431" s="376"/>
      <c r="B431" s="376" t="s">
        <v>1299</v>
      </c>
      <c r="C431" s="376" t="s">
        <v>1300</v>
      </c>
      <c r="D431" s="376" t="s">
        <v>441</v>
      </c>
      <c r="E431" s="376" t="s">
        <v>437</v>
      </c>
      <c r="F431" s="608" t="s">
        <v>36</v>
      </c>
      <c r="G431" s="609">
        <v>0.51810229145509312</v>
      </c>
      <c r="H431" s="692">
        <v>1</v>
      </c>
      <c r="I431" s="626"/>
      <c r="J431" s="752"/>
      <c r="L431" s="608" t="s">
        <v>437</v>
      </c>
      <c r="M431" s="608" t="s">
        <v>966</v>
      </c>
      <c r="N431" s="608" t="s">
        <v>1209</v>
      </c>
      <c r="O431" s="608" t="s">
        <v>1308</v>
      </c>
      <c r="P431" s="608"/>
      <c r="Q431" s="608"/>
      <c r="R431" s="608"/>
      <c r="T431" s="752"/>
      <c r="V431" s="609">
        <f t="shared" ref="V431:V433" si="73">IF(W431=1,G431,0)</f>
        <v>0</v>
      </c>
      <c r="W431" s="692"/>
    </row>
    <row r="432" spans="1:23" ht="39.6" outlineLevel="3">
      <c r="A432" s="376"/>
      <c r="B432" s="376" t="s">
        <v>1299</v>
      </c>
      <c r="C432" s="376" t="s">
        <v>1300</v>
      </c>
      <c r="D432" s="376" t="s">
        <v>441</v>
      </c>
      <c r="E432" s="376" t="s">
        <v>437</v>
      </c>
      <c r="F432" s="760" t="s">
        <v>971</v>
      </c>
      <c r="G432" s="609"/>
      <c r="H432" s="692"/>
      <c r="I432" s="626"/>
      <c r="J432" s="752"/>
      <c r="L432" s="608" t="s">
        <v>437</v>
      </c>
      <c r="M432" s="608" t="s">
        <v>966</v>
      </c>
      <c r="N432" s="608" t="s">
        <v>1209</v>
      </c>
      <c r="O432" s="608" t="s">
        <v>1308</v>
      </c>
      <c r="P432" s="608"/>
      <c r="Q432" s="608"/>
      <c r="R432" s="608"/>
      <c r="T432" s="752"/>
      <c r="V432" s="609">
        <f t="shared" si="73"/>
        <v>0</v>
      </c>
      <c r="W432" s="692"/>
    </row>
    <row r="433" spans="1:23" ht="39.6" outlineLevel="3">
      <c r="A433" s="376"/>
      <c r="B433" s="376" t="s">
        <v>1299</v>
      </c>
      <c r="C433" s="376" t="s">
        <v>1300</v>
      </c>
      <c r="D433" s="376" t="s">
        <v>441</v>
      </c>
      <c r="E433" s="376" t="s">
        <v>437</v>
      </c>
      <c r="F433" s="608" t="s">
        <v>1303</v>
      </c>
      <c r="G433" s="609">
        <v>0.25905114572754701</v>
      </c>
      <c r="H433" s="692">
        <v>1</v>
      </c>
      <c r="I433" s="626"/>
      <c r="J433" s="752"/>
      <c r="L433" s="608" t="s">
        <v>437</v>
      </c>
      <c r="M433" s="608" t="s">
        <v>966</v>
      </c>
      <c r="N433" s="608" t="s">
        <v>1209</v>
      </c>
      <c r="O433" s="608" t="s">
        <v>1308</v>
      </c>
      <c r="P433" s="608"/>
      <c r="Q433" s="608"/>
      <c r="R433" s="608"/>
      <c r="T433" s="752"/>
      <c r="V433" s="609">
        <f t="shared" si="73"/>
        <v>0</v>
      </c>
      <c r="W433" s="692"/>
    </row>
    <row r="434" spans="1:23" s="742" customFormat="1" outlineLevel="1">
      <c r="A434" s="392"/>
      <c r="B434" s="666" t="s">
        <v>1309</v>
      </c>
      <c r="C434" s="666" t="s">
        <v>1310</v>
      </c>
      <c r="D434" s="666"/>
      <c r="E434" s="666"/>
      <c r="F434" s="681" t="s">
        <v>947</v>
      </c>
      <c r="G434" s="724">
        <f>SUBTOTAL(9,G435:G451)</f>
        <v>17.475036000000003</v>
      </c>
      <c r="H434" s="725">
        <f>SUBTOTAL(9,H435:H451)</f>
        <v>11</v>
      </c>
      <c r="I434" s="741"/>
      <c r="J434" s="758"/>
      <c r="K434" s="749"/>
      <c r="L434" s="761"/>
      <c r="M434" s="761"/>
      <c r="N434" s="761"/>
      <c r="O434" s="761"/>
      <c r="P434" s="761"/>
      <c r="Q434" s="761"/>
      <c r="R434" s="761"/>
      <c r="S434" s="749"/>
      <c r="T434" s="758"/>
      <c r="U434" s="749"/>
      <c r="V434" s="724">
        <f>SUBTOTAL(9,V435:V451)</f>
        <v>0</v>
      </c>
      <c r="W434" s="725">
        <f>SUBTOTAL(9,W435:W451)</f>
        <v>0</v>
      </c>
    </row>
    <row r="435" spans="1:23" s="742" customFormat="1" ht="26.45" outlineLevel="2">
      <c r="A435" s="392"/>
      <c r="B435" s="687" t="s">
        <v>1310</v>
      </c>
      <c r="C435" s="687" t="s">
        <v>1310</v>
      </c>
      <c r="D435" s="687" t="s">
        <v>159</v>
      </c>
      <c r="E435" s="687"/>
      <c r="F435" s="717" t="s">
        <v>1311</v>
      </c>
      <c r="G435" s="743">
        <f>SUBTOTAL(9,G436:G441)</f>
        <v>14.323800000000004</v>
      </c>
      <c r="H435" s="744">
        <f>SUBTOTAL(9,H436:H441)</f>
        <v>6</v>
      </c>
      <c r="I435" s="741"/>
      <c r="J435" s="758"/>
      <c r="K435" s="749"/>
      <c r="L435" s="717"/>
      <c r="M435" s="717" t="s">
        <v>1312</v>
      </c>
      <c r="N435" s="717"/>
      <c r="O435" s="717"/>
      <c r="P435" s="717"/>
      <c r="Q435" s="717"/>
      <c r="R435" s="717"/>
      <c r="S435" s="749"/>
      <c r="T435" s="758"/>
      <c r="U435" s="749"/>
      <c r="V435" s="743">
        <f>SUBTOTAL(9,V436:V441)</f>
        <v>0</v>
      </c>
      <c r="W435" s="744">
        <f>SUBTOTAL(9,W436:W441)</f>
        <v>0</v>
      </c>
    </row>
    <row r="436" spans="1:23" s="742" customFormat="1" ht="26.45" outlineLevel="3">
      <c r="A436" s="392"/>
      <c r="B436" s="387" t="s">
        <v>1310</v>
      </c>
      <c r="C436" s="387" t="s">
        <v>1310</v>
      </c>
      <c r="D436" s="387" t="s">
        <v>159</v>
      </c>
      <c r="E436" s="387" t="s">
        <v>1100</v>
      </c>
      <c r="F436" s="705" t="s">
        <v>17</v>
      </c>
      <c r="G436" s="706">
        <v>4.7746000000000013</v>
      </c>
      <c r="H436" s="707">
        <v>1</v>
      </c>
      <c r="I436" s="741"/>
      <c r="J436" s="758"/>
      <c r="K436" s="749"/>
      <c r="L436" s="705" t="s">
        <v>1100</v>
      </c>
      <c r="M436" s="705" t="s">
        <v>1103</v>
      </c>
      <c r="N436" s="705" t="s">
        <v>1313</v>
      </c>
      <c r="O436" s="705" t="s">
        <v>1314</v>
      </c>
      <c r="P436" s="705"/>
      <c r="Q436" s="705"/>
      <c r="R436" s="705"/>
      <c r="S436" s="749"/>
      <c r="T436" s="758"/>
      <c r="U436" s="749"/>
      <c r="V436" s="609">
        <f t="shared" ref="V436:V441" si="74">IF(W436=1,G436,0)</f>
        <v>0</v>
      </c>
      <c r="W436" s="707"/>
    </row>
    <row r="437" spans="1:23" s="742" customFormat="1" ht="26.45" outlineLevel="3">
      <c r="A437" s="392"/>
      <c r="B437" s="387" t="s">
        <v>1310</v>
      </c>
      <c r="C437" s="387" t="s">
        <v>1310</v>
      </c>
      <c r="D437" s="387" t="s">
        <v>159</v>
      </c>
      <c r="E437" s="387" t="s">
        <v>1100</v>
      </c>
      <c r="F437" s="705" t="s">
        <v>36</v>
      </c>
      <c r="G437" s="706">
        <v>4.3640000000000008</v>
      </c>
      <c r="H437" s="707">
        <v>1</v>
      </c>
      <c r="I437" s="741"/>
      <c r="J437" s="758"/>
      <c r="K437" s="749"/>
      <c r="L437" s="705" t="s">
        <v>1100</v>
      </c>
      <c r="M437" s="705" t="s">
        <v>1103</v>
      </c>
      <c r="N437" s="705" t="s">
        <v>1313</v>
      </c>
      <c r="O437" s="705" t="s">
        <v>1314</v>
      </c>
      <c r="P437" s="705"/>
      <c r="Q437" s="705"/>
      <c r="R437" s="705"/>
      <c r="S437" s="749"/>
      <c r="T437" s="758"/>
      <c r="U437" s="749"/>
      <c r="V437" s="609">
        <f t="shared" si="74"/>
        <v>0</v>
      </c>
      <c r="W437" s="707"/>
    </row>
    <row r="438" spans="1:23" s="742" customFormat="1" ht="26.45" outlineLevel="3">
      <c r="A438" s="392"/>
      <c r="B438" s="387" t="s">
        <v>1310</v>
      </c>
      <c r="C438" s="387" t="s">
        <v>1310</v>
      </c>
      <c r="D438" s="387" t="s">
        <v>159</v>
      </c>
      <c r="E438" s="387" t="s">
        <v>1100</v>
      </c>
      <c r="F438" s="705" t="s">
        <v>1237</v>
      </c>
      <c r="G438" s="706">
        <v>2.2846500000000005</v>
      </c>
      <c r="H438" s="707">
        <v>1</v>
      </c>
      <c r="I438" s="741"/>
      <c r="J438" s="758"/>
      <c r="K438" s="749"/>
      <c r="L438" s="705" t="s">
        <v>1100</v>
      </c>
      <c r="M438" s="705" t="s">
        <v>1103</v>
      </c>
      <c r="N438" s="705" t="s">
        <v>1313</v>
      </c>
      <c r="O438" s="705" t="s">
        <v>1314</v>
      </c>
      <c r="P438" s="705"/>
      <c r="Q438" s="705"/>
      <c r="R438" s="705"/>
      <c r="S438" s="749"/>
      <c r="T438" s="758"/>
      <c r="U438" s="749"/>
      <c r="V438" s="609">
        <f t="shared" si="74"/>
        <v>0</v>
      </c>
      <c r="W438" s="707"/>
    </row>
    <row r="439" spans="1:23" s="742" customFormat="1" ht="26.45" outlineLevel="3">
      <c r="A439" s="392"/>
      <c r="B439" s="387" t="s">
        <v>1310</v>
      </c>
      <c r="C439" s="387" t="s">
        <v>1310</v>
      </c>
      <c r="D439" s="387" t="s">
        <v>159</v>
      </c>
      <c r="E439" s="387" t="s">
        <v>1100</v>
      </c>
      <c r="F439" s="705" t="s">
        <v>1303</v>
      </c>
      <c r="G439" s="706">
        <v>2.3873000000000006</v>
      </c>
      <c r="H439" s="707">
        <v>1</v>
      </c>
      <c r="I439" s="741"/>
      <c r="J439" s="758"/>
      <c r="K439" s="749"/>
      <c r="L439" s="705" t="s">
        <v>1100</v>
      </c>
      <c r="M439" s="705" t="s">
        <v>1103</v>
      </c>
      <c r="N439" s="705" t="s">
        <v>1313</v>
      </c>
      <c r="O439" s="705" t="s">
        <v>1314</v>
      </c>
      <c r="P439" s="705"/>
      <c r="Q439" s="705"/>
      <c r="R439" s="705"/>
      <c r="S439" s="749"/>
      <c r="T439" s="758"/>
      <c r="U439" s="749"/>
      <c r="V439" s="609">
        <f t="shared" si="74"/>
        <v>0</v>
      </c>
      <c r="W439" s="707"/>
    </row>
    <row r="440" spans="1:23" s="742" customFormat="1" outlineLevel="3">
      <c r="A440" s="392"/>
      <c r="B440" s="387" t="s">
        <v>1310</v>
      </c>
      <c r="C440" s="387" t="s">
        <v>1310</v>
      </c>
      <c r="D440" s="387" t="s">
        <v>159</v>
      </c>
      <c r="E440" s="387" t="s">
        <v>1159</v>
      </c>
      <c r="F440" s="705" t="s">
        <v>1315</v>
      </c>
      <c r="G440" s="706">
        <v>0.41060000000000008</v>
      </c>
      <c r="H440" s="707">
        <v>1</v>
      </c>
      <c r="I440" s="741"/>
      <c r="J440" s="758"/>
      <c r="K440" s="749"/>
      <c r="L440" s="705" t="s">
        <v>1159</v>
      </c>
      <c r="M440" s="705"/>
      <c r="N440" s="705"/>
      <c r="O440" s="705"/>
      <c r="P440" s="705"/>
      <c r="Q440" s="705"/>
      <c r="R440" s="705"/>
      <c r="S440" s="749"/>
      <c r="T440" s="758"/>
      <c r="U440" s="749"/>
      <c r="V440" s="609">
        <f t="shared" si="74"/>
        <v>0</v>
      </c>
      <c r="W440" s="707"/>
    </row>
    <row r="441" spans="1:23" s="742" customFormat="1" outlineLevel="3">
      <c r="A441" s="392"/>
      <c r="B441" s="387" t="s">
        <v>1310</v>
      </c>
      <c r="C441" s="387" t="s">
        <v>1310</v>
      </c>
      <c r="D441" s="387" t="s">
        <v>159</v>
      </c>
      <c r="E441" s="387" t="s">
        <v>1159</v>
      </c>
      <c r="F441" s="705" t="s">
        <v>1316</v>
      </c>
      <c r="G441" s="706">
        <v>0.10265000000000002</v>
      </c>
      <c r="H441" s="707">
        <v>1</v>
      </c>
      <c r="I441" s="741"/>
      <c r="J441" s="758"/>
      <c r="K441" s="749"/>
      <c r="L441" s="705" t="s">
        <v>1159</v>
      </c>
      <c r="M441" s="705"/>
      <c r="N441" s="705"/>
      <c r="O441" s="705"/>
      <c r="P441" s="705"/>
      <c r="Q441" s="705"/>
      <c r="R441" s="705"/>
      <c r="S441" s="749"/>
      <c r="T441" s="758"/>
      <c r="U441" s="749"/>
      <c r="V441" s="609">
        <f t="shared" si="74"/>
        <v>0</v>
      </c>
      <c r="W441" s="707"/>
    </row>
    <row r="442" spans="1:23" s="742" customFormat="1" outlineLevel="2">
      <c r="A442" s="392"/>
      <c r="B442" s="687" t="s">
        <v>1310</v>
      </c>
      <c r="C442" s="687" t="s">
        <v>1310</v>
      </c>
      <c r="D442" s="687" t="s">
        <v>518</v>
      </c>
      <c r="E442" s="687"/>
      <c r="F442" s="717" t="s">
        <v>1317</v>
      </c>
      <c r="G442" s="743">
        <f>SUBTOTAL(9,G443:G444)</f>
        <v>2.0244304000000004</v>
      </c>
      <c r="H442" s="744">
        <f>SUBTOTAL(9,H443:H444)</f>
        <v>2</v>
      </c>
      <c r="I442" s="741"/>
      <c r="J442" s="758"/>
      <c r="K442" s="749"/>
      <c r="L442" s="717"/>
      <c r="M442" s="717"/>
      <c r="N442" s="717"/>
      <c r="O442" s="717"/>
      <c r="P442" s="717"/>
      <c r="Q442" s="717"/>
      <c r="R442" s="717"/>
      <c r="S442" s="749"/>
      <c r="T442" s="758"/>
      <c r="U442" s="749"/>
      <c r="V442" s="743">
        <f>SUBTOTAL(9,V443:V444)</f>
        <v>0</v>
      </c>
      <c r="W442" s="744">
        <f>SUBTOTAL(9,W443:W444)</f>
        <v>0</v>
      </c>
    </row>
    <row r="443" spans="1:23" s="742" customFormat="1" outlineLevel="3">
      <c r="A443" s="392"/>
      <c r="B443" s="387" t="s">
        <v>1310</v>
      </c>
      <c r="C443" s="387" t="s">
        <v>1310</v>
      </c>
      <c r="D443" s="387" t="s">
        <v>518</v>
      </c>
      <c r="E443" s="387" t="s">
        <v>56</v>
      </c>
      <c r="F443" s="705" t="s">
        <v>36</v>
      </c>
      <c r="G443" s="706">
        <v>1.5183228000000002</v>
      </c>
      <c r="H443" s="707">
        <v>1</v>
      </c>
      <c r="I443" s="741"/>
      <c r="J443" s="758"/>
      <c r="K443" s="749"/>
      <c r="L443" s="705" t="s">
        <v>56</v>
      </c>
      <c r="M443" s="705" t="s">
        <v>1038</v>
      </c>
      <c r="N443" s="705" t="s">
        <v>1075</v>
      </c>
      <c r="O443" s="705" t="s">
        <v>1279</v>
      </c>
      <c r="P443" s="705" t="s">
        <v>1040</v>
      </c>
      <c r="Q443" s="705"/>
      <c r="R443" s="705">
        <v>0</v>
      </c>
      <c r="S443" s="749"/>
      <c r="T443" s="758"/>
      <c r="U443" s="749"/>
      <c r="V443" s="609">
        <f t="shared" ref="V443:V444" si="75">IF(W443=1,G443,0)</f>
        <v>0</v>
      </c>
      <c r="W443" s="707"/>
    </row>
    <row r="444" spans="1:23" s="742" customFormat="1" outlineLevel="3">
      <c r="A444" s="392"/>
      <c r="B444" s="387" t="s">
        <v>1310</v>
      </c>
      <c r="C444" s="387" t="s">
        <v>1310</v>
      </c>
      <c r="D444" s="387" t="s">
        <v>518</v>
      </c>
      <c r="E444" s="387" t="s">
        <v>56</v>
      </c>
      <c r="F444" s="705" t="s">
        <v>1303</v>
      </c>
      <c r="G444" s="706">
        <v>0.5061076000000001</v>
      </c>
      <c r="H444" s="707">
        <v>1</v>
      </c>
      <c r="I444" s="741"/>
      <c r="J444" s="758"/>
      <c r="K444" s="749"/>
      <c r="L444" s="705" t="s">
        <v>56</v>
      </c>
      <c r="M444" s="705" t="s">
        <v>1038</v>
      </c>
      <c r="N444" s="705" t="s">
        <v>1075</v>
      </c>
      <c r="O444" s="705" t="s">
        <v>1279</v>
      </c>
      <c r="P444" s="705" t="s">
        <v>1040</v>
      </c>
      <c r="Q444" s="705"/>
      <c r="R444" s="705">
        <v>0</v>
      </c>
      <c r="S444" s="749"/>
      <c r="T444" s="758"/>
      <c r="U444" s="749"/>
      <c r="V444" s="609">
        <f t="shared" si="75"/>
        <v>0</v>
      </c>
      <c r="W444" s="707"/>
    </row>
    <row r="445" spans="1:23" s="742" customFormat="1" ht="26.45" outlineLevel="2">
      <c r="A445" s="392"/>
      <c r="B445" s="687" t="s">
        <v>1310</v>
      </c>
      <c r="C445" s="687" t="s">
        <v>1310</v>
      </c>
      <c r="D445" s="687" t="s">
        <v>441</v>
      </c>
      <c r="E445" s="687"/>
      <c r="F445" s="717" t="s">
        <v>1311</v>
      </c>
      <c r="G445" s="743">
        <f>SUBTOTAL(9,G446:G448)</f>
        <v>1.1268056000000002</v>
      </c>
      <c r="H445" s="744">
        <f>SUBTOTAL(9,H446:H448)</f>
        <v>3</v>
      </c>
      <c r="I445" s="741"/>
      <c r="J445" s="758"/>
      <c r="K445" s="749"/>
      <c r="L445" s="717"/>
      <c r="M445" s="717"/>
      <c r="N445" s="717"/>
      <c r="O445" s="717"/>
      <c r="P445" s="717"/>
      <c r="Q445" s="717"/>
      <c r="R445" s="717"/>
      <c r="S445" s="749"/>
      <c r="T445" s="758"/>
      <c r="U445" s="749"/>
      <c r="V445" s="743">
        <f>SUBTOTAL(9,V446:V448)</f>
        <v>0</v>
      </c>
      <c r="W445" s="744">
        <f>SUBTOTAL(9,W446:W448)</f>
        <v>0</v>
      </c>
    </row>
    <row r="446" spans="1:23" s="742" customFormat="1" ht="66" outlineLevel="3">
      <c r="A446" s="392"/>
      <c r="B446" s="387" t="s">
        <v>1310</v>
      </c>
      <c r="C446" s="387" t="s">
        <v>1310</v>
      </c>
      <c r="D446" s="387" t="s">
        <v>441</v>
      </c>
      <c r="E446" s="387" t="s">
        <v>437</v>
      </c>
      <c r="F446" s="705" t="s">
        <v>36</v>
      </c>
      <c r="G446" s="706">
        <v>0.56340280000000009</v>
      </c>
      <c r="H446" s="707">
        <v>1</v>
      </c>
      <c r="I446" s="741"/>
      <c r="J446" s="758"/>
      <c r="K446" s="749"/>
      <c r="L446" s="705" t="s">
        <v>437</v>
      </c>
      <c r="M446" s="705" t="s">
        <v>966</v>
      </c>
      <c r="N446" s="705" t="s">
        <v>1318</v>
      </c>
      <c r="O446" s="705" t="s">
        <v>1319</v>
      </c>
      <c r="P446" s="705"/>
      <c r="Q446" s="705"/>
      <c r="R446" s="705"/>
      <c r="S446" s="749"/>
      <c r="T446" s="758"/>
      <c r="U446" s="749"/>
      <c r="V446" s="609">
        <f t="shared" ref="V446:V448" si="76">IF(W446=1,G446,0)</f>
        <v>0</v>
      </c>
      <c r="W446" s="707"/>
    </row>
    <row r="447" spans="1:23" s="742" customFormat="1" ht="66" outlineLevel="3">
      <c r="A447" s="392"/>
      <c r="B447" s="387" t="s">
        <v>1310</v>
      </c>
      <c r="C447" s="387" t="s">
        <v>1310</v>
      </c>
      <c r="D447" s="387" t="s">
        <v>441</v>
      </c>
      <c r="E447" s="387" t="s">
        <v>437</v>
      </c>
      <c r="F447" s="705" t="s">
        <v>1237</v>
      </c>
      <c r="G447" s="706">
        <v>0.28170140000000005</v>
      </c>
      <c r="H447" s="707">
        <v>1</v>
      </c>
      <c r="I447" s="741"/>
      <c r="J447" s="758"/>
      <c r="K447" s="749"/>
      <c r="L447" s="705" t="s">
        <v>437</v>
      </c>
      <c r="M447" s="705" t="s">
        <v>966</v>
      </c>
      <c r="N447" s="705" t="s">
        <v>1318</v>
      </c>
      <c r="O447" s="705" t="s">
        <v>1319</v>
      </c>
      <c r="P447" s="705"/>
      <c r="Q447" s="705"/>
      <c r="R447" s="705"/>
      <c r="S447" s="749"/>
      <c r="T447" s="758"/>
      <c r="U447" s="749"/>
      <c r="V447" s="609">
        <f t="shared" si="76"/>
        <v>0</v>
      </c>
      <c r="W447" s="707"/>
    </row>
    <row r="448" spans="1:23" s="742" customFormat="1" ht="66" outlineLevel="3">
      <c r="A448" s="392"/>
      <c r="B448" s="387" t="s">
        <v>1310</v>
      </c>
      <c r="C448" s="387" t="s">
        <v>1310</v>
      </c>
      <c r="D448" s="387" t="s">
        <v>441</v>
      </c>
      <c r="E448" s="387" t="s">
        <v>437</v>
      </c>
      <c r="F448" s="705" t="s">
        <v>1303</v>
      </c>
      <c r="G448" s="706">
        <v>0.28170140000000005</v>
      </c>
      <c r="H448" s="707">
        <v>1</v>
      </c>
      <c r="I448" s="741"/>
      <c r="J448" s="758"/>
      <c r="K448" s="749"/>
      <c r="L448" s="705" t="s">
        <v>437</v>
      </c>
      <c r="M448" s="705" t="s">
        <v>966</v>
      </c>
      <c r="N448" s="705" t="s">
        <v>1318</v>
      </c>
      <c r="O448" s="705" t="s">
        <v>1319</v>
      </c>
      <c r="P448" s="705"/>
      <c r="Q448" s="705"/>
      <c r="R448" s="705"/>
      <c r="S448" s="749"/>
      <c r="T448" s="758"/>
      <c r="U448" s="749"/>
      <c r="V448" s="609">
        <f t="shared" si="76"/>
        <v>0</v>
      </c>
      <c r="W448" s="707"/>
    </row>
    <row r="449" spans="1:23" s="742" customFormat="1" outlineLevel="2">
      <c r="A449" s="392">
        <v>2</v>
      </c>
      <c r="B449" s="687" t="s">
        <v>1310</v>
      </c>
      <c r="C449" s="687" t="s">
        <v>1310</v>
      </c>
      <c r="D449" s="687" t="s">
        <v>860</v>
      </c>
      <c r="E449" s="687"/>
      <c r="F449" s="717" t="s">
        <v>1317</v>
      </c>
      <c r="G449" s="743">
        <f>SUBTOTAL(9,G450:G451)</f>
        <v>0</v>
      </c>
      <c r="H449" s="744">
        <f>SUBTOTAL(9,H450:H451)</f>
        <v>0</v>
      </c>
      <c r="I449" s="741"/>
      <c r="J449" s="758"/>
      <c r="K449" s="749"/>
      <c r="L449" s="717"/>
      <c r="M449" s="717"/>
      <c r="N449" s="717"/>
      <c r="O449" s="717"/>
      <c r="P449" s="717"/>
      <c r="Q449" s="717"/>
      <c r="R449" s="717"/>
      <c r="S449" s="749"/>
      <c r="T449" s="758"/>
      <c r="U449" s="749"/>
      <c r="V449" s="743">
        <f>SUBTOTAL(9,V450:V451)</f>
        <v>0</v>
      </c>
      <c r="W449" s="744">
        <f>SUBTOTAL(9,W450:W451)</f>
        <v>0</v>
      </c>
    </row>
    <row r="450" spans="1:23" s="742" customFormat="1" outlineLevel="3">
      <c r="A450" s="392"/>
      <c r="B450" s="387" t="s">
        <v>1310</v>
      </c>
      <c r="C450" s="387" t="s">
        <v>1310</v>
      </c>
      <c r="D450" s="387" t="s">
        <v>860</v>
      </c>
      <c r="E450" s="387" t="s">
        <v>437</v>
      </c>
      <c r="F450" s="760" t="s">
        <v>36</v>
      </c>
      <c r="G450" s="706"/>
      <c r="H450" s="707"/>
      <c r="I450" s="741"/>
      <c r="J450" s="758"/>
      <c r="K450" s="749"/>
      <c r="L450" s="705" t="s">
        <v>437</v>
      </c>
      <c r="M450" s="705" t="s">
        <v>996</v>
      </c>
      <c r="N450" s="705" t="s">
        <v>1048</v>
      </c>
      <c r="O450" s="705" t="s">
        <v>1249</v>
      </c>
      <c r="P450" s="705"/>
      <c r="Q450" s="705"/>
      <c r="R450" s="705"/>
      <c r="S450" s="749"/>
      <c r="T450" s="758"/>
      <c r="U450" s="749"/>
      <c r="V450" s="609">
        <f t="shared" ref="V450:V451" si="77">IF(W450=1,G450,0)</f>
        <v>0</v>
      </c>
      <c r="W450" s="707"/>
    </row>
    <row r="451" spans="1:23" s="742" customFormat="1" outlineLevel="3">
      <c r="A451" s="392"/>
      <c r="B451" s="387" t="s">
        <v>1310</v>
      </c>
      <c r="C451" s="387" t="s">
        <v>1310</v>
      </c>
      <c r="D451" s="387" t="s">
        <v>860</v>
      </c>
      <c r="E451" s="387" t="s">
        <v>437</v>
      </c>
      <c r="F451" s="760" t="s">
        <v>1303</v>
      </c>
      <c r="G451" s="706"/>
      <c r="H451" s="707"/>
      <c r="I451" s="741"/>
      <c r="J451" s="758"/>
      <c r="K451" s="749"/>
      <c r="L451" s="705" t="s">
        <v>437</v>
      </c>
      <c r="M451" s="705" t="s">
        <v>996</v>
      </c>
      <c r="N451" s="705" t="s">
        <v>1048</v>
      </c>
      <c r="O451" s="705" t="s">
        <v>1249</v>
      </c>
      <c r="P451" s="705"/>
      <c r="Q451" s="705"/>
      <c r="R451" s="705"/>
      <c r="S451" s="749"/>
      <c r="T451" s="758"/>
      <c r="U451" s="749"/>
      <c r="V451" s="609">
        <f t="shared" si="77"/>
        <v>0</v>
      </c>
      <c r="W451" s="707"/>
    </row>
    <row r="452" spans="1:23" s="742" customFormat="1" outlineLevel="1">
      <c r="A452" s="392"/>
      <c r="B452" s="666" t="s">
        <v>1320</v>
      </c>
      <c r="C452" s="666" t="s">
        <v>1321</v>
      </c>
      <c r="D452" s="666"/>
      <c r="E452" s="666"/>
      <c r="F452" s="681" t="s">
        <v>947</v>
      </c>
      <c r="G452" s="724">
        <f>SUBTOTAL(9,G453:G464)</f>
        <v>14.457493385999999</v>
      </c>
      <c r="H452" s="725">
        <f>SUBTOTAL(9,H453:H464)</f>
        <v>5</v>
      </c>
      <c r="I452" s="741"/>
      <c r="J452" s="758"/>
      <c r="K452" s="749"/>
      <c r="L452" s="761"/>
      <c r="M452" s="761"/>
      <c r="N452" s="761"/>
      <c r="O452" s="761"/>
      <c r="P452" s="761"/>
      <c r="Q452" s="761"/>
      <c r="R452" s="761"/>
      <c r="S452" s="749"/>
      <c r="T452" s="758"/>
      <c r="U452" s="749"/>
      <c r="V452" s="724">
        <f>SUBTOTAL(9,V453:V464)</f>
        <v>0</v>
      </c>
      <c r="W452" s="725">
        <f>SUBTOTAL(9,W453:W464)</f>
        <v>0</v>
      </c>
    </row>
    <row r="453" spans="1:23" s="742" customFormat="1" ht="26.45" outlineLevel="2">
      <c r="A453" s="392"/>
      <c r="B453" s="687" t="s">
        <v>1321</v>
      </c>
      <c r="C453" s="687" t="s">
        <v>1321</v>
      </c>
      <c r="D453" s="687" t="s">
        <v>159</v>
      </c>
      <c r="E453" s="687"/>
      <c r="F453" s="717" t="s">
        <v>1322</v>
      </c>
      <c r="G453" s="743">
        <f>SUBTOTAL(9,G454:G457)</f>
        <v>12.89531775</v>
      </c>
      <c r="H453" s="744">
        <f>SUBTOTAL(9,H454:H457)</f>
        <v>4</v>
      </c>
      <c r="I453" s="741"/>
      <c r="J453" s="758"/>
      <c r="K453" s="749"/>
      <c r="L453" s="717"/>
      <c r="M453" s="717"/>
      <c r="N453" s="717"/>
      <c r="O453" s="717"/>
      <c r="P453" s="717"/>
      <c r="Q453" s="717"/>
      <c r="R453" s="717"/>
      <c r="S453" s="749"/>
      <c r="T453" s="758"/>
      <c r="U453" s="749"/>
      <c r="V453" s="743">
        <f>SUBTOTAL(9,V454:V457)</f>
        <v>0</v>
      </c>
      <c r="W453" s="744">
        <f>SUBTOTAL(9,W454:W457)</f>
        <v>0</v>
      </c>
    </row>
    <row r="454" spans="1:23" s="742" customFormat="1" outlineLevel="3" collapsed="1">
      <c r="A454" s="392"/>
      <c r="B454" s="387" t="s">
        <v>1321</v>
      </c>
      <c r="C454" s="387" t="s">
        <v>1321</v>
      </c>
      <c r="D454" s="387" t="s">
        <v>159</v>
      </c>
      <c r="E454" s="387" t="s">
        <v>664</v>
      </c>
      <c r="F454" s="705" t="s">
        <v>17</v>
      </c>
      <c r="G454" s="706">
        <v>3.6843765000000008</v>
      </c>
      <c r="H454" s="707">
        <v>1</v>
      </c>
      <c r="I454" s="741"/>
      <c r="J454" s="758"/>
      <c r="K454" s="749"/>
      <c r="L454" s="705" t="s">
        <v>664</v>
      </c>
      <c r="M454" s="705" t="s">
        <v>664</v>
      </c>
      <c r="N454" s="705" t="s">
        <v>1323</v>
      </c>
      <c r="O454" s="705"/>
      <c r="P454" s="705"/>
      <c r="Q454" s="705"/>
      <c r="R454" s="705"/>
      <c r="S454" s="749"/>
      <c r="T454" s="758"/>
      <c r="U454" s="749"/>
      <c r="V454" s="609">
        <f t="shared" ref="V454:V457" si="78">IF(W454=1,G454,0)</f>
        <v>0</v>
      </c>
      <c r="W454" s="707"/>
    </row>
    <row r="455" spans="1:23" s="742" customFormat="1" outlineLevel="3">
      <c r="A455" s="392"/>
      <c r="B455" s="387" t="s">
        <v>1321</v>
      </c>
      <c r="C455" s="387" t="s">
        <v>1321</v>
      </c>
      <c r="D455" s="387" t="s">
        <v>159</v>
      </c>
      <c r="E455" s="387" t="s">
        <v>664</v>
      </c>
      <c r="F455" s="705" t="s">
        <v>36</v>
      </c>
      <c r="G455" s="706">
        <v>3.6843765000000008</v>
      </c>
      <c r="H455" s="707">
        <v>1</v>
      </c>
      <c r="I455" s="741"/>
      <c r="J455" s="758"/>
      <c r="K455" s="749"/>
      <c r="L455" s="705" t="s">
        <v>664</v>
      </c>
      <c r="M455" s="705" t="s">
        <v>664</v>
      </c>
      <c r="N455" s="705" t="s">
        <v>1323</v>
      </c>
      <c r="O455" s="705"/>
      <c r="P455" s="705"/>
      <c r="Q455" s="705"/>
      <c r="R455" s="705"/>
      <c r="S455" s="749"/>
      <c r="T455" s="758"/>
      <c r="U455" s="749"/>
      <c r="V455" s="609">
        <f t="shared" si="78"/>
        <v>0</v>
      </c>
      <c r="W455" s="707"/>
    </row>
    <row r="456" spans="1:23" s="742" customFormat="1" outlineLevel="3">
      <c r="A456" s="392"/>
      <c r="B456" s="387" t="s">
        <v>1321</v>
      </c>
      <c r="C456" s="387" t="s">
        <v>1321</v>
      </c>
      <c r="D456" s="387" t="s">
        <v>159</v>
      </c>
      <c r="E456" s="387" t="s">
        <v>664</v>
      </c>
      <c r="F456" s="705" t="s">
        <v>1237</v>
      </c>
      <c r="G456" s="706">
        <v>3.6843764999999999</v>
      </c>
      <c r="H456" s="707">
        <v>1</v>
      </c>
      <c r="I456" s="741"/>
      <c r="J456" s="758"/>
      <c r="K456" s="749"/>
      <c r="L456" s="705" t="s">
        <v>664</v>
      </c>
      <c r="M456" s="705" t="s">
        <v>1324</v>
      </c>
      <c r="N456" s="705" t="s">
        <v>1323</v>
      </c>
      <c r="O456" s="705" t="s">
        <v>1325</v>
      </c>
      <c r="P456" s="705"/>
      <c r="Q456" s="705"/>
      <c r="R456" s="705"/>
      <c r="S456" s="749"/>
      <c r="T456" s="758"/>
      <c r="U456" s="749"/>
      <c r="V456" s="609">
        <f t="shared" si="78"/>
        <v>0</v>
      </c>
      <c r="W456" s="707"/>
    </row>
    <row r="457" spans="1:23" s="742" customFormat="1" outlineLevel="3">
      <c r="A457" s="392"/>
      <c r="B457" s="387" t="s">
        <v>1321</v>
      </c>
      <c r="C457" s="387" t="s">
        <v>1321</v>
      </c>
      <c r="D457" s="387" t="s">
        <v>159</v>
      </c>
      <c r="E457" s="387" t="s">
        <v>664</v>
      </c>
      <c r="F457" s="705" t="s">
        <v>1326</v>
      </c>
      <c r="G457" s="706">
        <v>1.8421882500000004</v>
      </c>
      <c r="H457" s="707">
        <v>1</v>
      </c>
      <c r="I457" s="741"/>
      <c r="J457" s="758"/>
      <c r="K457" s="749"/>
      <c r="L457" s="705" t="s">
        <v>664</v>
      </c>
      <c r="M457" s="705" t="s">
        <v>1324</v>
      </c>
      <c r="N457" s="705" t="s">
        <v>1323</v>
      </c>
      <c r="O457" s="705" t="s">
        <v>1325</v>
      </c>
      <c r="P457" s="705"/>
      <c r="Q457" s="705"/>
      <c r="R457" s="705"/>
      <c r="S457" s="749"/>
      <c r="T457" s="758"/>
      <c r="U457" s="749"/>
      <c r="V457" s="609">
        <f t="shared" si="78"/>
        <v>0</v>
      </c>
      <c r="W457" s="707"/>
    </row>
    <row r="458" spans="1:23" s="742" customFormat="1" outlineLevel="2">
      <c r="A458" s="392"/>
      <c r="B458" s="687" t="s">
        <v>1321</v>
      </c>
      <c r="C458" s="687" t="s">
        <v>1321</v>
      </c>
      <c r="D458" s="687" t="s">
        <v>518</v>
      </c>
      <c r="E458" s="687"/>
      <c r="F458" s="717" t="s">
        <v>1230</v>
      </c>
      <c r="G458" s="743">
        <f>SUBTOTAL(9,G459)</f>
        <v>1.5621756360000001</v>
      </c>
      <c r="H458" s="744">
        <f>SUBTOTAL(9,H459)</f>
        <v>1</v>
      </c>
      <c r="I458" s="741"/>
      <c r="J458" s="758"/>
      <c r="K458" s="749"/>
      <c r="L458" s="717"/>
      <c r="M458" s="717"/>
      <c r="N458" s="717"/>
      <c r="O458" s="717"/>
      <c r="P458" s="717"/>
      <c r="Q458" s="717"/>
      <c r="R458" s="717"/>
      <c r="S458" s="749"/>
      <c r="T458" s="758"/>
      <c r="U458" s="749"/>
      <c r="V458" s="743">
        <f>SUBTOTAL(9,V459)</f>
        <v>0</v>
      </c>
      <c r="W458" s="744">
        <f>SUBTOTAL(9,W459)</f>
        <v>0</v>
      </c>
    </row>
    <row r="459" spans="1:23" s="742" customFormat="1" outlineLevel="3">
      <c r="A459" s="392"/>
      <c r="B459" s="387" t="s">
        <v>1321</v>
      </c>
      <c r="C459" s="387" t="s">
        <v>1321</v>
      </c>
      <c r="D459" s="387" t="s">
        <v>518</v>
      </c>
      <c r="E459" s="387" t="s">
        <v>56</v>
      </c>
      <c r="F459" s="705" t="s">
        <v>36</v>
      </c>
      <c r="G459" s="706">
        <v>1.5621756360000001</v>
      </c>
      <c r="H459" s="707">
        <v>1</v>
      </c>
      <c r="I459" s="741"/>
      <c r="J459" s="758"/>
      <c r="K459" s="749"/>
      <c r="L459" s="705" t="s">
        <v>56</v>
      </c>
      <c r="M459" s="705" t="s">
        <v>1038</v>
      </c>
      <c r="N459" s="705" t="s">
        <v>1078</v>
      </c>
      <c r="O459" s="705" t="s">
        <v>1078</v>
      </c>
      <c r="P459" s="705" t="s">
        <v>1040</v>
      </c>
      <c r="Q459" s="705"/>
      <c r="R459" s="705">
        <v>0</v>
      </c>
      <c r="S459" s="749"/>
      <c r="T459" s="758"/>
      <c r="U459" s="749"/>
      <c r="V459" s="609">
        <f t="shared" ref="V459" si="79">IF(W459=1,G459,0)</f>
        <v>0</v>
      </c>
      <c r="W459" s="707"/>
    </row>
    <row r="460" spans="1:23" s="742" customFormat="1" outlineLevel="2">
      <c r="A460" s="392"/>
      <c r="B460" s="687" t="s">
        <v>1321</v>
      </c>
      <c r="C460" s="687" t="s">
        <v>1321</v>
      </c>
      <c r="D460" s="687" t="s">
        <v>441</v>
      </c>
      <c r="E460" s="687"/>
      <c r="F460" s="717" t="s">
        <v>1327</v>
      </c>
      <c r="G460" s="743">
        <f>SUBTOTAL(9,G461:G462)</f>
        <v>0</v>
      </c>
      <c r="H460" s="744">
        <f>SUBTOTAL(9,H461:H462)</f>
        <v>0</v>
      </c>
      <c r="I460" s="741"/>
      <c r="J460" s="758"/>
      <c r="K460" s="749"/>
      <c r="L460" s="717"/>
      <c r="M460" s="717"/>
      <c r="N460" s="717"/>
      <c r="O460" s="717"/>
      <c r="P460" s="717"/>
      <c r="Q460" s="717"/>
      <c r="R460" s="717"/>
      <c r="S460" s="749"/>
      <c r="T460" s="758"/>
      <c r="U460" s="749"/>
      <c r="V460" s="743">
        <f>SUBTOTAL(9,V461:V462)</f>
        <v>0</v>
      </c>
      <c r="W460" s="744">
        <f>SUBTOTAL(9,W461:W462)</f>
        <v>0</v>
      </c>
    </row>
    <row r="461" spans="1:23" s="742" customFormat="1" ht="39.6" outlineLevel="3">
      <c r="A461" s="392"/>
      <c r="B461" s="387" t="s">
        <v>1321</v>
      </c>
      <c r="C461" s="387" t="s">
        <v>1321</v>
      </c>
      <c r="D461" s="387" t="s">
        <v>441</v>
      </c>
      <c r="E461" s="387" t="s">
        <v>437</v>
      </c>
      <c r="F461" s="760" t="s">
        <v>36</v>
      </c>
      <c r="G461" s="706"/>
      <c r="H461" s="707"/>
      <c r="I461" s="741"/>
      <c r="J461" s="758"/>
      <c r="K461" s="749"/>
      <c r="L461" s="705" t="s">
        <v>437</v>
      </c>
      <c r="M461" s="705" t="s">
        <v>966</v>
      </c>
      <c r="N461" s="705" t="s">
        <v>1318</v>
      </c>
      <c r="O461" s="705" t="s">
        <v>1328</v>
      </c>
      <c r="P461" s="705"/>
      <c r="Q461" s="705"/>
      <c r="R461" s="705"/>
      <c r="S461" s="749"/>
      <c r="T461" s="758"/>
      <c r="U461" s="749"/>
      <c r="V461" s="609">
        <f t="shared" ref="V461:V462" si="80">IF(W461=1,G461,0)</f>
        <v>0</v>
      </c>
      <c r="W461" s="707"/>
    </row>
    <row r="462" spans="1:23" s="742" customFormat="1" ht="39.6" outlineLevel="3">
      <c r="A462" s="392"/>
      <c r="B462" s="387" t="s">
        <v>1321</v>
      </c>
      <c r="C462" s="387" t="s">
        <v>1321</v>
      </c>
      <c r="D462" s="387" t="s">
        <v>441</v>
      </c>
      <c r="E462" s="387" t="s">
        <v>437</v>
      </c>
      <c r="F462" s="760" t="s">
        <v>1237</v>
      </c>
      <c r="G462" s="706"/>
      <c r="H462" s="707"/>
      <c r="I462" s="741"/>
      <c r="J462" s="758"/>
      <c r="K462" s="749"/>
      <c r="L462" s="705" t="s">
        <v>437</v>
      </c>
      <c r="M462" s="705" t="s">
        <v>966</v>
      </c>
      <c r="N462" s="705" t="s">
        <v>1318</v>
      </c>
      <c r="O462" s="705" t="s">
        <v>1328</v>
      </c>
      <c r="P462" s="705"/>
      <c r="Q462" s="705"/>
      <c r="R462" s="705"/>
      <c r="S462" s="749"/>
      <c r="T462" s="758"/>
      <c r="U462" s="749"/>
      <c r="V462" s="609">
        <f t="shared" si="80"/>
        <v>0</v>
      </c>
      <c r="W462" s="707"/>
    </row>
    <row r="463" spans="1:23" s="742" customFormat="1" outlineLevel="2">
      <c r="A463" s="392"/>
      <c r="B463" s="687" t="s">
        <v>1321</v>
      </c>
      <c r="C463" s="687" t="s">
        <v>1321</v>
      </c>
      <c r="D463" s="687" t="s">
        <v>860</v>
      </c>
      <c r="E463" s="687"/>
      <c r="F463" s="717" t="s">
        <v>1230</v>
      </c>
      <c r="G463" s="743">
        <f>SUBTOTAL(9,G464)</f>
        <v>0</v>
      </c>
      <c r="H463" s="744">
        <f>SUBTOTAL(9,H464)</f>
        <v>0</v>
      </c>
      <c r="I463" s="741"/>
      <c r="J463" s="758"/>
      <c r="K463" s="749"/>
      <c r="L463" s="717"/>
      <c r="M463" s="717"/>
      <c r="N463" s="717"/>
      <c r="O463" s="717"/>
      <c r="P463" s="717"/>
      <c r="Q463" s="717"/>
      <c r="R463" s="717"/>
      <c r="S463" s="749"/>
      <c r="T463" s="758"/>
      <c r="U463" s="749"/>
      <c r="V463" s="743">
        <f>SUBTOTAL(9,V464)</f>
        <v>0</v>
      </c>
      <c r="W463" s="744">
        <f>SUBTOTAL(9,W464)</f>
        <v>0</v>
      </c>
    </row>
    <row r="464" spans="1:23" s="742" customFormat="1" outlineLevel="3">
      <c r="A464" s="392"/>
      <c r="B464" s="387" t="s">
        <v>1321</v>
      </c>
      <c r="C464" s="387" t="s">
        <v>1321</v>
      </c>
      <c r="D464" s="387" t="s">
        <v>860</v>
      </c>
      <c r="E464" s="387" t="s">
        <v>437</v>
      </c>
      <c r="F464" s="760" t="s">
        <v>36</v>
      </c>
      <c r="G464" s="706"/>
      <c r="H464" s="707"/>
      <c r="I464" s="741"/>
      <c r="J464" s="758"/>
      <c r="K464" s="749"/>
      <c r="L464" s="705" t="s">
        <v>437</v>
      </c>
      <c r="M464" s="705"/>
      <c r="N464" s="705"/>
      <c r="O464" s="705"/>
      <c r="P464" s="705"/>
      <c r="Q464" s="705"/>
      <c r="R464" s="705"/>
      <c r="S464" s="749"/>
      <c r="T464" s="758"/>
      <c r="U464" s="749"/>
      <c r="V464" s="609">
        <f t="shared" ref="V464" si="81">IF(W464=1,G464,0)</f>
        <v>0</v>
      </c>
      <c r="W464" s="707"/>
    </row>
    <row r="465" spans="1:23" s="742" customFormat="1" outlineLevel="1">
      <c r="A465" s="392"/>
      <c r="B465" s="666" t="s">
        <v>1329</v>
      </c>
      <c r="C465" s="666" t="s">
        <v>1330</v>
      </c>
      <c r="D465" s="666"/>
      <c r="E465" s="666"/>
      <c r="F465" s="681" t="s">
        <v>947</v>
      </c>
      <c r="G465" s="724">
        <f>SUBTOTAL(9,G466:G477)</f>
        <v>5.1090020800000007</v>
      </c>
      <c r="H465" s="725">
        <f>SUBTOTAL(9,H466:H477)</f>
        <v>7</v>
      </c>
      <c r="I465" s="741"/>
      <c r="J465" s="758"/>
      <c r="K465" s="749"/>
      <c r="L465" s="761"/>
      <c r="M465" s="761"/>
      <c r="N465" s="761"/>
      <c r="O465" s="761"/>
      <c r="P465" s="761"/>
      <c r="Q465" s="761"/>
      <c r="R465" s="761"/>
      <c r="S465" s="749"/>
      <c r="T465" s="758"/>
      <c r="U465" s="749"/>
      <c r="V465" s="724">
        <f>SUBTOTAL(9,V466:V477)</f>
        <v>0</v>
      </c>
      <c r="W465" s="725">
        <f>SUBTOTAL(9,W466:W477)</f>
        <v>0</v>
      </c>
    </row>
    <row r="466" spans="1:23" ht="26.45" outlineLevel="2">
      <c r="A466" s="376"/>
      <c r="B466" s="687" t="s">
        <v>1330</v>
      </c>
      <c r="C466" s="687" t="s">
        <v>1330</v>
      </c>
      <c r="D466" s="684" t="s">
        <v>159</v>
      </c>
      <c r="E466" s="687"/>
      <c r="F466" s="717" t="s">
        <v>1322</v>
      </c>
      <c r="G466" s="743">
        <f>SUBTOTAL(9,G467:G470)</f>
        <v>4.2984392500000004</v>
      </c>
      <c r="H466" s="744">
        <f>SUBTOTAL(9,H467:H470)</f>
        <v>4</v>
      </c>
      <c r="I466" s="626"/>
      <c r="J466" s="752"/>
      <c r="L466" s="717"/>
      <c r="M466" s="717"/>
      <c r="N466" s="717"/>
      <c r="O466" s="717"/>
      <c r="P466" s="717"/>
      <c r="Q466" s="717"/>
      <c r="R466" s="717"/>
      <c r="T466" s="752"/>
      <c r="V466" s="743">
        <f>SUBTOTAL(9,V467:V470)</f>
        <v>0</v>
      </c>
      <c r="W466" s="744">
        <f>SUBTOTAL(9,W467:W470)</f>
        <v>0</v>
      </c>
    </row>
    <row r="467" spans="1:23" outlineLevel="3" collapsed="1">
      <c r="A467" s="376"/>
      <c r="B467" s="387" t="s">
        <v>1330</v>
      </c>
      <c r="C467" s="387" t="s">
        <v>1330</v>
      </c>
      <c r="D467" s="376" t="s">
        <v>159</v>
      </c>
      <c r="E467" s="387" t="s">
        <v>664</v>
      </c>
      <c r="F467" s="705" t="s">
        <v>17</v>
      </c>
      <c r="G467" s="706">
        <v>1.2281255000000002</v>
      </c>
      <c r="H467" s="707">
        <v>1</v>
      </c>
      <c r="I467" s="626"/>
      <c r="J467" s="752"/>
      <c r="L467" s="705" t="s">
        <v>664</v>
      </c>
      <c r="M467" s="705" t="s">
        <v>664</v>
      </c>
      <c r="N467" s="705" t="s">
        <v>1331</v>
      </c>
      <c r="O467" s="705"/>
      <c r="P467" s="705"/>
      <c r="Q467" s="705"/>
      <c r="R467" s="705"/>
      <c r="T467" s="752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1330</v>
      </c>
      <c r="C468" s="387" t="s">
        <v>1330</v>
      </c>
      <c r="D468" s="376" t="s">
        <v>159</v>
      </c>
      <c r="E468" s="387" t="s">
        <v>664</v>
      </c>
      <c r="F468" s="705" t="s">
        <v>36</v>
      </c>
      <c r="G468" s="706">
        <v>1.2281255000000002</v>
      </c>
      <c r="H468" s="707">
        <v>1</v>
      </c>
      <c r="I468" s="626"/>
      <c r="J468" s="752"/>
      <c r="L468" s="705" t="s">
        <v>664</v>
      </c>
      <c r="M468" s="705" t="s">
        <v>664</v>
      </c>
      <c r="N468" s="705" t="s">
        <v>1331</v>
      </c>
      <c r="O468" s="705"/>
      <c r="P468" s="705"/>
      <c r="Q468" s="705"/>
      <c r="R468" s="705"/>
      <c r="T468" s="752"/>
      <c r="V468" s="609">
        <f t="shared" si="82"/>
        <v>0</v>
      </c>
      <c r="W468" s="707"/>
    </row>
    <row r="469" spans="1:23" outlineLevel="3">
      <c r="A469" s="376"/>
      <c r="B469" s="387" t="s">
        <v>1330</v>
      </c>
      <c r="C469" s="387" t="s">
        <v>1330</v>
      </c>
      <c r="D469" s="376" t="s">
        <v>159</v>
      </c>
      <c r="E469" s="387" t="s">
        <v>664</v>
      </c>
      <c r="F469" s="705" t="s">
        <v>1237</v>
      </c>
      <c r="G469" s="706">
        <v>1.2281255</v>
      </c>
      <c r="H469" s="707">
        <v>1</v>
      </c>
      <c r="I469" s="626"/>
      <c r="J469" s="752"/>
      <c r="L469" s="705" t="s">
        <v>664</v>
      </c>
      <c r="M469" s="705" t="s">
        <v>1324</v>
      </c>
      <c r="N469" s="705" t="s">
        <v>1331</v>
      </c>
      <c r="O469" s="705" t="s">
        <v>1332</v>
      </c>
      <c r="P469" s="705"/>
      <c r="Q469" s="705"/>
      <c r="R469" s="705"/>
      <c r="T469" s="752"/>
      <c r="V469" s="609">
        <f t="shared" si="82"/>
        <v>0</v>
      </c>
      <c r="W469" s="707"/>
    </row>
    <row r="470" spans="1:23" outlineLevel="3">
      <c r="A470" s="376"/>
      <c r="B470" s="387" t="s">
        <v>1330</v>
      </c>
      <c r="C470" s="387" t="s">
        <v>1330</v>
      </c>
      <c r="D470" s="376" t="s">
        <v>159</v>
      </c>
      <c r="E470" s="387" t="s">
        <v>664</v>
      </c>
      <c r="F470" s="705" t="s">
        <v>1326</v>
      </c>
      <c r="G470" s="706">
        <v>0.6140627500000001</v>
      </c>
      <c r="H470" s="707">
        <v>1</v>
      </c>
      <c r="I470" s="626"/>
      <c r="J470" s="752"/>
      <c r="L470" s="705" t="s">
        <v>664</v>
      </c>
      <c r="M470" s="705" t="s">
        <v>1324</v>
      </c>
      <c r="N470" s="705" t="s">
        <v>1331</v>
      </c>
      <c r="O470" s="705" t="s">
        <v>1332</v>
      </c>
      <c r="P470" s="705"/>
      <c r="Q470" s="705"/>
      <c r="R470" s="705"/>
      <c r="T470" s="752"/>
      <c r="V470" s="609">
        <f t="shared" si="82"/>
        <v>0</v>
      </c>
      <c r="W470" s="707"/>
    </row>
    <row r="471" spans="1:23" outlineLevel="2">
      <c r="A471" s="376"/>
      <c r="B471" s="687" t="s">
        <v>1330</v>
      </c>
      <c r="C471" s="687" t="s">
        <v>1330</v>
      </c>
      <c r="D471" s="684" t="s">
        <v>518</v>
      </c>
      <c r="E471" s="684"/>
      <c r="F471" s="717" t="s">
        <v>1230</v>
      </c>
      <c r="G471" s="743">
        <f>SUBTOTAL(9,G472)</f>
        <v>0.52072521199999999</v>
      </c>
      <c r="H471" s="744">
        <f>SUBTOTAL(9,H472)</f>
        <v>1</v>
      </c>
      <c r="I471" s="626"/>
      <c r="J471" s="752"/>
      <c r="L471" s="685"/>
      <c r="M471" s="685"/>
      <c r="N471" s="685"/>
      <c r="O471" s="685"/>
      <c r="P471" s="685"/>
      <c r="Q471" s="685"/>
      <c r="R471" s="685"/>
      <c r="T471" s="752"/>
      <c r="V471" s="743">
        <f>SUBTOTAL(9,V472)</f>
        <v>0</v>
      </c>
      <c r="W471" s="744">
        <f>SUBTOTAL(9,W472)</f>
        <v>0</v>
      </c>
    </row>
    <row r="472" spans="1:23" outlineLevel="3">
      <c r="A472" s="376"/>
      <c r="B472" s="387" t="s">
        <v>1330</v>
      </c>
      <c r="C472" s="387" t="s">
        <v>1330</v>
      </c>
      <c r="D472" s="376" t="s">
        <v>518</v>
      </c>
      <c r="E472" s="376" t="s">
        <v>56</v>
      </c>
      <c r="F472" s="705" t="s">
        <v>36</v>
      </c>
      <c r="G472" s="706">
        <v>0.52072521199999999</v>
      </c>
      <c r="H472" s="707">
        <v>1</v>
      </c>
      <c r="I472" s="626"/>
      <c r="J472" s="752"/>
      <c r="L472" s="608" t="s">
        <v>56</v>
      </c>
      <c r="M472" s="608" t="s">
        <v>1038</v>
      </c>
      <c r="N472" s="608" t="s">
        <v>1333</v>
      </c>
      <c r="O472" s="608" t="s">
        <v>1078</v>
      </c>
      <c r="P472" s="608" t="s">
        <v>1040</v>
      </c>
      <c r="Q472" s="608"/>
      <c r="R472" s="608">
        <v>0</v>
      </c>
      <c r="T472" s="752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1330</v>
      </c>
      <c r="C473" s="687" t="s">
        <v>1330</v>
      </c>
      <c r="D473" s="684" t="s">
        <v>441</v>
      </c>
      <c r="E473" s="684"/>
      <c r="F473" s="717" t="s">
        <v>1327</v>
      </c>
      <c r="G473" s="743">
        <f>SUBTOTAL(9,G474:G475)</f>
        <v>0.28983761800000002</v>
      </c>
      <c r="H473" s="744">
        <f>SUBTOTAL(9,H474:H475)</f>
        <v>2</v>
      </c>
      <c r="I473" s="626"/>
      <c r="J473" s="752"/>
      <c r="L473" s="685"/>
      <c r="M473" s="685"/>
      <c r="N473" s="685"/>
      <c r="O473" s="685"/>
      <c r="P473" s="685"/>
      <c r="Q473" s="685"/>
      <c r="R473" s="685"/>
      <c r="T473" s="752"/>
      <c r="V473" s="743">
        <f>SUBTOTAL(9,V474:V475)</f>
        <v>0</v>
      </c>
      <c r="W473" s="744">
        <f>SUBTOTAL(9,W474:W475)</f>
        <v>0</v>
      </c>
    </row>
    <row r="474" spans="1:23" ht="39.6" outlineLevel="3">
      <c r="A474" s="376"/>
      <c r="B474" s="387" t="s">
        <v>1330</v>
      </c>
      <c r="C474" s="387" t="s">
        <v>1330</v>
      </c>
      <c r="D474" s="376" t="s">
        <v>441</v>
      </c>
      <c r="E474" s="376" t="s">
        <v>437</v>
      </c>
      <c r="F474" s="705" t="s">
        <v>36</v>
      </c>
      <c r="G474" s="706">
        <v>0.14491880900000001</v>
      </c>
      <c r="H474" s="707">
        <v>1</v>
      </c>
      <c r="I474" s="626"/>
      <c r="J474" s="752"/>
      <c r="L474" s="608" t="s">
        <v>437</v>
      </c>
      <c r="M474" s="608" t="s">
        <v>966</v>
      </c>
      <c r="N474" s="608" t="s">
        <v>1318</v>
      </c>
      <c r="O474" s="608" t="s">
        <v>1334</v>
      </c>
      <c r="P474" s="608"/>
      <c r="Q474" s="608"/>
      <c r="R474" s="608"/>
      <c r="T474" s="752"/>
      <c r="V474" s="609">
        <f t="shared" ref="V474:V475" si="84">IF(W474=1,G474,0)</f>
        <v>0</v>
      </c>
      <c r="W474" s="707"/>
    </row>
    <row r="475" spans="1:23" ht="39.6" outlineLevel="3">
      <c r="A475" s="376"/>
      <c r="B475" s="387" t="s">
        <v>1330</v>
      </c>
      <c r="C475" s="387" t="s">
        <v>1330</v>
      </c>
      <c r="D475" s="376" t="s">
        <v>441</v>
      </c>
      <c r="E475" s="376" t="s">
        <v>437</v>
      </c>
      <c r="F475" s="705" t="s">
        <v>1237</v>
      </c>
      <c r="G475" s="706">
        <v>0.14491880900000001</v>
      </c>
      <c r="H475" s="707">
        <v>1</v>
      </c>
      <c r="I475" s="626"/>
      <c r="J475" s="752"/>
      <c r="L475" s="608" t="s">
        <v>437</v>
      </c>
      <c r="M475" s="608" t="s">
        <v>966</v>
      </c>
      <c r="N475" s="608" t="s">
        <v>1318</v>
      </c>
      <c r="O475" s="608" t="s">
        <v>1334</v>
      </c>
      <c r="P475" s="608"/>
      <c r="Q475" s="608"/>
      <c r="R475" s="608"/>
      <c r="T475" s="752"/>
      <c r="V475" s="609">
        <f t="shared" si="84"/>
        <v>0</v>
      </c>
      <c r="W475" s="707"/>
    </row>
    <row r="476" spans="1:23" outlineLevel="2">
      <c r="A476" s="376"/>
      <c r="B476" s="687" t="s">
        <v>1330</v>
      </c>
      <c r="C476" s="687" t="s">
        <v>1330</v>
      </c>
      <c r="D476" s="684" t="s">
        <v>860</v>
      </c>
      <c r="E476" s="684"/>
      <c r="F476" s="717" t="s">
        <v>1230</v>
      </c>
      <c r="G476" s="743">
        <f>SUBTOTAL(9,G477)</f>
        <v>0</v>
      </c>
      <c r="H476" s="744">
        <f>SUBTOTAL(9,H477)</f>
        <v>0</v>
      </c>
      <c r="I476" s="626"/>
      <c r="J476" s="752"/>
      <c r="L476" s="685"/>
      <c r="M476" s="685"/>
      <c r="N476" s="685"/>
      <c r="O476" s="685"/>
      <c r="P476" s="685"/>
      <c r="Q476" s="685"/>
      <c r="R476" s="685"/>
      <c r="T476" s="752"/>
      <c r="V476" s="743">
        <f>SUBTOTAL(9,V477)</f>
        <v>0</v>
      </c>
      <c r="W476" s="744">
        <f>SUBTOTAL(9,W477)</f>
        <v>0</v>
      </c>
    </row>
    <row r="477" spans="1:23" outlineLevel="3">
      <c r="A477" s="376"/>
      <c r="B477" s="387" t="s">
        <v>1330</v>
      </c>
      <c r="C477" s="387" t="s">
        <v>1330</v>
      </c>
      <c r="D477" s="376" t="s">
        <v>860</v>
      </c>
      <c r="E477" s="376" t="s">
        <v>437</v>
      </c>
      <c r="F477" s="760" t="s">
        <v>36</v>
      </c>
      <c r="G477" s="706"/>
      <c r="H477" s="707"/>
      <c r="I477" s="626"/>
      <c r="J477" s="752"/>
      <c r="L477" s="608" t="s">
        <v>437</v>
      </c>
      <c r="M477" s="608"/>
      <c r="N477" s="608"/>
      <c r="O477" s="608"/>
      <c r="P477" s="608"/>
      <c r="Q477" s="608"/>
      <c r="R477" s="608"/>
      <c r="T477" s="752"/>
      <c r="V477" s="609">
        <f t="shared" ref="V477" si="85">IF(W477=1,G477,0)</f>
        <v>0</v>
      </c>
      <c r="W477" s="707"/>
    </row>
    <row r="478" spans="1:23" ht="26.45" outlineLevel="1">
      <c r="A478" s="376"/>
      <c r="B478" s="665" t="s">
        <v>1273</v>
      </c>
      <c r="C478" s="665" t="s">
        <v>1273</v>
      </c>
      <c r="D478" s="665"/>
      <c r="E478" s="665"/>
      <c r="F478" s="681" t="s">
        <v>947</v>
      </c>
      <c r="G478" s="724">
        <f>SUBTOTAL(9,G479:G501)</f>
        <v>3.6990000000000007</v>
      </c>
      <c r="H478" s="725">
        <f>SUBTOTAL(9,H479:H501)</f>
        <v>15</v>
      </c>
      <c r="I478" s="626"/>
      <c r="J478" s="752"/>
      <c r="L478" s="681"/>
      <c r="M478" s="681" t="s">
        <v>1312</v>
      </c>
      <c r="N478" s="681"/>
      <c r="O478" s="681"/>
      <c r="P478" s="681"/>
      <c r="Q478" s="681"/>
      <c r="R478" s="681"/>
      <c r="T478" s="752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1273</v>
      </c>
      <c r="C479" s="684" t="s">
        <v>1273</v>
      </c>
      <c r="D479" s="684" t="s">
        <v>1335</v>
      </c>
      <c r="E479" s="684"/>
      <c r="F479" s="685" t="s">
        <v>1336</v>
      </c>
      <c r="G479" s="686">
        <f>SUBTOTAL(9,G480:G485)</f>
        <v>2.7524999999999999</v>
      </c>
      <c r="H479" s="691">
        <f>SUBTOTAL(9,H480:H485)</f>
        <v>6</v>
      </c>
      <c r="I479" s="626"/>
      <c r="J479" s="752"/>
      <c r="L479" s="685"/>
      <c r="M479" s="685"/>
      <c r="N479" s="685"/>
      <c r="O479" s="685"/>
      <c r="P479" s="685"/>
      <c r="Q479" s="685"/>
      <c r="R479" s="685"/>
      <c r="T479" s="752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1273</v>
      </c>
      <c r="C480" s="376" t="s">
        <v>1273</v>
      </c>
      <c r="D480" s="376" t="s">
        <v>1335</v>
      </c>
      <c r="E480" s="376" t="s">
        <v>664</v>
      </c>
      <c r="F480" s="608" t="s">
        <v>1337</v>
      </c>
      <c r="G480" s="609">
        <v>0.33750000000000002</v>
      </c>
      <c r="H480" s="692">
        <v>1</v>
      </c>
      <c r="I480" s="626"/>
      <c r="J480" s="752"/>
      <c r="L480" s="608" t="s">
        <v>664</v>
      </c>
      <c r="M480" s="608" t="s">
        <v>664</v>
      </c>
      <c r="N480" s="608" t="s">
        <v>1338</v>
      </c>
      <c r="O480" s="608"/>
      <c r="P480" s="608"/>
      <c r="Q480" s="608"/>
      <c r="R480" s="608"/>
      <c r="T480" s="752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1273</v>
      </c>
      <c r="C481" s="376" t="s">
        <v>1273</v>
      </c>
      <c r="D481" s="376" t="s">
        <v>1335</v>
      </c>
      <c r="E481" s="376" t="s">
        <v>664</v>
      </c>
      <c r="F481" s="608" t="s">
        <v>36</v>
      </c>
      <c r="G481" s="609">
        <v>0.58000000000000007</v>
      </c>
      <c r="H481" s="692">
        <v>1</v>
      </c>
      <c r="I481" s="626"/>
      <c r="J481" s="752"/>
      <c r="L481" s="608" t="s">
        <v>664</v>
      </c>
      <c r="M481" s="608" t="s">
        <v>664</v>
      </c>
      <c r="N481" s="608" t="s">
        <v>1338</v>
      </c>
      <c r="O481" s="608"/>
      <c r="P481" s="608"/>
      <c r="Q481" s="608"/>
      <c r="R481" s="608"/>
      <c r="T481" s="752"/>
      <c r="V481" s="609">
        <f t="shared" si="86"/>
        <v>0</v>
      </c>
      <c r="W481" s="692"/>
    </row>
    <row r="482" spans="1:23" outlineLevel="3">
      <c r="A482" s="376"/>
      <c r="B482" s="376" t="s">
        <v>1273</v>
      </c>
      <c r="C482" s="376" t="s">
        <v>1273</v>
      </c>
      <c r="D482" s="376" t="s">
        <v>1335</v>
      </c>
      <c r="E482" s="376" t="s">
        <v>664</v>
      </c>
      <c r="F482" s="608" t="s">
        <v>1339</v>
      </c>
      <c r="G482" s="609">
        <v>0.58000000000000007</v>
      </c>
      <c r="H482" s="692">
        <v>1</v>
      </c>
      <c r="I482" s="626"/>
      <c r="J482" s="752"/>
      <c r="L482" s="608" t="s">
        <v>664</v>
      </c>
      <c r="M482" s="608" t="s">
        <v>1338</v>
      </c>
      <c r="N482" s="608" t="s">
        <v>1340</v>
      </c>
      <c r="O482" s="608"/>
      <c r="P482" s="608"/>
      <c r="Q482" s="608"/>
      <c r="R482" s="608"/>
      <c r="T482" s="752"/>
      <c r="V482" s="609">
        <f t="shared" si="86"/>
        <v>0</v>
      </c>
      <c r="W482" s="692"/>
    </row>
    <row r="483" spans="1:23" outlineLevel="3">
      <c r="A483" s="376"/>
      <c r="B483" s="376" t="s">
        <v>1273</v>
      </c>
      <c r="C483" s="376" t="s">
        <v>1273</v>
      </c>
      <c r="D483" s="376" t="s">
        <v>1335</v>
      </c>
      <c r="E483" s="376" t="s">
        <v>664</v>
      </c>
      <c r="F483" s="608" t="s">
        <v>1341</v>
      </c>
      <c r="G483" s="609">
        <v>0.58000000000000007</v>
      </c>
      <c r="H483" s="692">
        <v>1</v>
      </c>
      <c r="I483" s="626"/>
      <c r="J483" s="752"/>
      <c r="L483" s="608" t="s">
        <v>664</v>
      </c>
      <c r="M483" s="608" t="s">
        <v>1338</v>
      </c>
      <c r="N483" s="608" t="s">
        <v>1340</v>
      </c>
      <c r="O483" s="608"/>
      <c r="P483" s="608"/>
      <c r="Q483" s="608"/>
      <c r="R483" s="608"/>
      <c r="T483" s="752"/>
      <c r="V483" s="609">
        <f t="shared" si="86"/>
        <v>0</v>
      </c>
      <c r="W483" s="692"/>
    </row>
    <row r="484" spans="1:23" outlineLevel="3">
      <c r="A484" s="376"/>
      <c r="B484" s="376" t="s">
        <v>1273</v>
      </c>
      <c r="C484" s="376" t="s">
        <v>1273</v>
      </c>
      <c r="D484" s="376" t="s">
        <v>1335</v>
      </c>
      <c r="E484" s="376" t="s">
        <v>664</v>
      </c>
      <c r="F484" s="608" t="s">
        <v>1326</v>
      </c>
      <c r="G484" s="609">
        <v>0.33750000000000002</v>
      </c>
      <c r="H484" s="692">
        <v>1</v>
      </c>
      <c r="I484" s="626"/>
      <c r="J484" s="752"/>
      <c r="L484" s="608" t="s">
        <v>664</v>
      </c>
      <c r="M484" s="608" t="s">
        <v>1338</v>
      </c>
      <c r="N484" s="608" t="s">
        <v>1340</v>
      </c>
      <c r="O484" s="608"/>
      <c r="P484" s="608"/>
      <c r="Q484" s="608"/>
      <c r="R484" s="608"/>
      <c r="T484" s="752"/>
      <c r="V484" s="609">
        <f t="shared" si="86"/>
        <v>0</v>
      </c>
      <c r="W484" s="692"/>
    </row>
    <row r="485" spans="1:23" outlineLevel="3">
      <c r="A485" s="376"/>
      <c r="B485" s="376" t="s">
        <v>1273</v>
      </c>
      <c r="C485" s="376" t="s">
        <v>1273</v>
      </c>
      <c r="D485" s="376" t="s">
        <v>1335</v>
      </c>
      <c r="E485" s="376" t="s">
        <v>664</v>
      </c>
      <c r="F485" s="608" t="s">
        <v>1342</v>
      </c>
      <c r="G485" s="609">
        <v>0.33750000000000002</v>
      </c>
      <c r="H485" s="692">
        <v>1</v>
      </c>
      <c r="I485" s="626"/>
      <c r="J485" s="752"/>
      <c r="L485" s="608" t="s">
        <v>664</v>
      </c>
      <c r="M485" s="608" t="s">
        <v>1338</v>
      </c>
      <c r="N485" s="608" t="s">
        <v>1340</v>
      </c>
      <c r="O485" s="608"/>
      <c r="P485" s="608"/>
      <c r="Q485" s="608"/>
      <c r="R485" s="608"/>
      <c r="T485" s="752"/>
      <c r="V485" s="609">
        <f t="shared" si="86"/>
        <v>0</v>
      </c>
      <c r="W485" s="692"/>
    </row>
    <row r="486" spans="1:23" outlineLevel="2">
      <c r="A486" s="376"/>
      <c r="B486" s="684" t="s">
        <v>1273</v>
      </c>
      <c r="C486" s="684" t="s">
        <v>1273</v>
      </c>
      <c r="D486" s="684" t="s">
        <v>159</v>
      </c>
      <c r="E486" s="684"/>
      <c r="F486" s="685" t="s">
        <v>1336</v>
      </c>
      <c r="G486" s="686">
        <f>SUBTOTAL(9,G487:G489)</f>
        <v>0.28500000000000003</v>
      </c>
      <c r="H486" s="691">
        <f>SUBTOTAL(9,H487:H489)</f>
        <v>3</v>
      </c>
      <c r="I486" s="626"/>
      <c r="J486" s="752"/>
      <c r="L486" s="685"/>
      <c r="M486" s="685"/>
      <c r="N486" s="685"/>
      <c r="O486" s="685"/>
      <c r="P486" s="685"/>
      <c r="Q486" s="685"/>
      <c r="R486" s="685"/>
      <c r="T486" s="752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1273</v>
      </c>
      <c r="C487" s="376" t="s">
        <v>1273</v>
      </c>
      <c r="D487" s="376" t="s">
        <v>159</v>
      </c>
      <c r="E487" s="376" t="s">
        <v>1159</v>
      </c>
      <c r="F487" s="628" t="s">
        <v>38</v>
      </c>
      <c r="G487" s="609">
        <v>9.5000000000000015E-2</v>
      </c>
      <c r="H487" s="692">
        <v>1</v>
      </c>
      <c r="I487" s="626"/>
      <c r="J487" s="752"/>
      <c r="L487" s="608" t="s">
        <v>1159</v>
      </c>
      <c r="M487" s="608"/>
      <c r="N487" s="608"/>
      <c r="O487" s="608"/>
      <c r="P487" s="608"/>
      <c r="Q487" s="608"/>
      <c r="R487" s="608"/>
      <c r="T487" s="752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1273</v>
      </c>
      <c r="C488" s="376" t="s">
        <v>1273</v>
      </c>
      <c r="D488" s="376" t="s">
        <v>159</v>
      </c>
      <c r="E488" s="376" t="s">
        <v>1159</v>
      </c>
      <c r="F488" s="628" t="s">
        <v>1287</v>
      </c>
      <c r="G488" s="609">
        <v>9.5000000000000015E-2</v>
      </c>
      <c r="H488" s="692">
        <v>1</v>
      </c>
      <c r="I488" s="626"/>
      <c r="J488" s="752"/>
      <c r="L488" s="608" t="s">
        <v>1159</v>
      </c>
      <c r="M488" s="608"/>
      <c r="N488" s="608"/>
      <c r="O488" s="608"/>
      <c r="P488" s="608"/>
      <c r="Q488" s="608"/>
      <c r="R488" s="608"/>
      <c r="T488" s="752"/>
      <c r="V488" s="609">
        <f t="shared" si="87"/>
        <v>0</v>
      </c>
      <c r="W488" s="692"/>
    </row>
    <row r="489" spans="1:23" outlineLevel="3">
      <c r="A489" s="376"/>
      <c r="B489" s="376" t="s">
        <v>1273</v>
      </c>
      <c r="C489" s="376" t="s">
        <v>1273</v>
      </c>
      <c r="D489" s="376" t="s">
        <v>159</v>
      </c>
      <c r="E489" s="376" t="s">
        <v>1159</v>
      </c>
      <c r="F489" s="628" t="s">
        <v>1343</v>
      </c>
      <c r="G489" s="609">
        <v>9.5000000000000015E-2</v>
      </c>
      <c r="H489" s="692">
        <v>1</v>
      </c>
      <c r="I489" s="626"/>
      <c r="J489" s="752"/>
      <c r="L489" s="608" t="s">
        <v>1159</v>
      </c>
      <c r="M489" s="608"/>
      <c r="N489" s="608"/>
      <c r="O489" s="608"/>
      <c r="P489" s="608"/>
      <c r="Q489" s="608"/>
      <c r="R489" s="608"/>
      <c r="T489" s="752"/>
      <c r="V489" s="609">
        <f t="shared" si="87"/>
        <v>0</v>
      </c>
      <c r="W489" s="692"/>
    </row>
    <row r="490" spans="1:23" outlineLevel="2">
      <c r="A490" s="376"/>
      <c r="B490" s="684" t="s">
        <v>1273</v>
      </c>
      <c r="C490" s="684" t="s">
        <v>1273</v>
      </c>
      <c r="D490" s="684" t="s">
        <v>518</v>
      </c>
      <c r="E490" s="684"/>
      <c r="F490" s="685" t="s">
        <v>1336</v>
      </c>
      <c r="G490" s="686">
        <f>SUBTOTAL(9,G491:G493)</f>
        <v>0.57240000000000002</v>
      </c>
      <c r="H490" s="691">
        <f>SUBTOTAL(9,H491:H493)</f>
        <v>3</v>
      </c>
      <c r="I490" s="626"/>
      <c r="J490" s="752"/>
      <c r="L490" s="685"/>
      <c r="M490" s="685"/>
      <c r="N490" s="685"/>
      <c r="O490" s="685"/>
      <c r="P490" s="685"/>
      <c r="Q490" s="685"/>
      <c r="R490" s="685"/>
      <c r="T490" s="752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1273</v>
      </c>
      <c r="C491" s="376" t="s">
        <v>1273</v>
      </c>
      <c r="D491" s="376" t="s">
        <v>518</v>
      </c>
      <c r="E491" s="376" t="s">
        <v>56</v>
      </c>
      <c r="F491" s="608" t="s">
        <v>36</v>
      </c>
      <c r="G491" s="609">
        <v>0.1431</v>
      </c>
      <c r="H491" s="692">
        <v>1</v>
      </c>
      <c r="I491" s="626"/>
      <c r="J491" s="752"/>
      <c r="L491" s="608" t="s">
        <v>56</v>
      </c>
      <c r="M491" s="608" t="s">
        <v>1284</v>
      </c>
      <c r="N491" s="608" t="s">
        <v>960</v>
      </c>
      <c r="O491" s="608" t="s">
        <v>1344</v>
      </c>
      <c r="P491" s="608" t="s">
        <v>1040</v>
      </c>
      <c r="Q491" s="608"/>
      <c r="R491" s="608">
        <v>0</v>
      </c>
      <c r="T491" s="752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1273</v>
      </c>
      <c r="C492" s="376" t="s">
        <v>1273</v>
      </c>
      <c r="D492" s="376" t="s">
        <v>518</v>
      </c>
      <c r="E492" s="376" t="s">
        <v>56</v>
      </c>
      <c r="F492" s="608" t="s">
        <v>971</v>
      </c>
      <c r="G492" s="609">
        <v>0.28620000000000001</v>
      </c>
      <c r="H492" s="692">
        <v>1</v>
      </c>
      <c r="I492" s="626"/>
      <c r="J492" s="752"/>
      <c r="L492" s="608" t="s">
        <v>56</v>
      </c>
      <c r="M492" s="608" t="s">
        <v>1284</v>
      </c>
      <c r="N492" s="608" t="s">
        <v>960</v>
      </c>
      <c r="O492" s="608" t="s">
        <v>1344</v>
      </c>
      <c r="P492" s="608" t="s">
        <v>1040</v>
      </c>
      <c r="Q492" s="608"/>
      <c r="R492" s="608">
        <v>0</v>
      </c>
      <c r="T492" s="752"/>
      <c r="V492" s="609">
        <f t="shared" si="88"/>
        <v>0</v>
      </c>
      <c r="W492" s="692"/>
    </row>
    <row r="493" spans="1:23" outlineLevel="3">
      <c r="A493" s="376"/>
      <c r="B493" s="376" t="s">
        <v>1273</v>
      </c>
      <c r="C493" s="376" t="s">
        <v>1273</v>
      </c>
      <c r="D493" s="376" t="s">
        <v>518</v>
      </c>
      <c r="E493" s="376" t="s">
        <v>56</v>
      </c>
      <c r="F493" s="608" t="s">
        <v>1342</v>
      </c>
      <c r="G493" s="609">
        <v>0.1431</v>
      </c>
      <c r="H493" s="692">
        <v>1</v>
      </c>
      <c r="I493" s="626"/>
      <c r="J493" s="752"/>
      <c r="L493" s="608" t="s">
        <v>56</v>
      </c>
      <c r="M493" s="608" t="s">
        <v>1284</v>
      </c>
      <c r="N493" s="608" t="s">
        <v>960</v>
      </c>
      <c r="O493" s="608" t="s">
        <v>1344</v>
      </c>
      <c r="P493" s="608" t="s">
        <v>1040</v>
      </c>
      <c r="Q493" s="608"/>
      <c r="R493" s="608">
        <v>0</v>
      </c>
      <c r="T493" s="752"/>
      <c r="V493" s="609">
        <f t="shared" si="88"/>
        <v>0</v>
      </c>
      <c r="W493" s="692"/>
    </row>
    <row r="494" spans="1:23" outlineLevel="2">
      <c r="A494" s="376"/>
      <c r="B494" s="684" t="s">
        <v>1273</v>
      </c>
      <c r="C494" s="684" t="s">
        <v>1273</v>
      </c>
      <c r="D494" s="684" t="s">
        <v>441</v>
      </c>
      <c r="E494" s="684"/>
      <c r="F494" s="685" t="s">
        <v>1336</v>
      </c>
      <c r="G494" s="686">
        <f>SUBTOTAL(9,G495:G497)</f>
        <v>0</v>
      </c>
      <c r="H494" s="691">
        <f>SUBTOTAL(9,H495:H497)</f>
        <v>0</v>
      </c>
      <c r="I494" s="626"/>
      <c r="J494" s="752"/>
      <c r="L494" s="685"/>
      <c r="M494" s="685"/>
      <c r="N494" s="685"/>
      <c r="O494" s="685"/>
      <c r="P494" s="685"/>
      <c r="Q494" s="685"/>
      <c r="R494" s="685"/>
      <c r="T494" s="752"/>
      <c r="V494" s="686">
        <f>SUBTOTAL(9,V495:V497)</f>
        <v>0</v>
      </c>
      <c r="W494" s="691">
        <f>SUBTOTAL(9,W495:W497)</f>
        <v>0</v>
      </c>
    </row>
    <row r="495" spans="1:23" ht="39.6" outlineLevel="3">
      <c r="A495" s="376"/>
      <c r="B495" s="376" t="s">
        <v>1273</v>
      </c>
      <c r="C495" s="376" t="s">
        <v>1273</v>
      </c>
      <c r="D495" s="376" t="s">
        <v>441</v>
      </c>
      <c r="E495" s="376" t="s">
        <v>437</v>
      </c>
      <c r="F495" s="760" t="s">
        <v>36</v>
      </c>
      <c r="G495" s="609"/>
      <c r="H495" s="692"/>
      <c r="I495" s="626"/>
      <c r="J495" s="752"/>
      <c r="L495" s="608" t="s">
        <v>437</v>
      </c>
      <c r="M495" s="608" t="s">
        <v>966</v>
      </c>
      <c r="N495" s="608" t="s">
        <v>1173</v>
      </c>
      <c r="O495" s="608" t="s">
        <v>1345</v>
      </c>
      <c r="P495" s="608"/>
      <c r="Q495" s="608"/>
      <c r="R495" s="608"/>
      <c r="T495" s="752"/>
      <c r="V495" s="609">
        <f t="shared" ref="V495:V497" si="89">IF(W495=1,G495,0)</f>
        <v>0</v>
      </c>
      <c r="W495" s="692"/>
    </row>
    <row r="496" spans="1:23" ht="39.6" outlineLevel="3">
      <c r="A496" s="376"/>
      <c r="B496" s="376" t="s">
        <v>1273</v>
      </c>
      <c r="C496" s="376" t="s">
        <v>1273</v>
      </c>
      <c r="D496" s="376" t="s">
        <v>441</v>
      </c>
      <c r="E496" s="376" t="s">
        <v>437</v>
      </c>
      <c r="F496" s="760" t="s">
        <v>971</v>
      </c>
      <c r="G496" s="609"/>
      <c r="H496" s="692"/>
      <c r="I496" s="626"/>
      <c r="J496" s="752"/>
      <c r="L496" s="608" t="s">
        <v>437</v>
      </c>
      <c r="M496" s="608" t="s">
        <v>966</v>
      </c>
      <c r="N496" s="608" t="s">
        <v>1173</v>
      </c>
      <c r="O496" s="608" t="s">
        <v>1345</v>
      </c>
      <c r="P496" s="608"/>
      <c r="Q496" s="608"/>
      <c r="R496" s="608"/>
      <c r="T496" s="752"/>
      <c r="V496" s="609">
        <f t="shared" si="89"/>
        <v>0</v>
      </c>
      <c r="W496" s="692"/>
    </row>
    <row r="497" spans="1:23" ht="39.6" outlineLevel="3" collapsed="1">
      <c r="A497" s="376"/>
      <c r="B497" s="376" t="s">
        <v>1273</v>
      </c>
      <c r="C497" s="376" t="s">
        <v>1273</v>
      </c>
      <c r="D497" s="376" t="s">
        <v>441</v>
      </c>
      <c r="E497" s="376" t="s">
        <v>437</v>
      </c>
      <c r="F497" s="760" t="s">
        <v>1342</v>
      </c>
      <c r="G497" s="609"/>
      <c r="H497" s="692"/>
      <c r="I497" s="626"/>
      <c r="J497" s="752"/>
      <c r="L497" s="608" t="s">
        <v>437</v>
      </c>
      <c r="M497" s="608" t="s">
        <v>966</v>
      </c>
      <c r="N497" s="608" t="s">
        <v>1173</v>
      </c>
      <c r="O497" s="608" t="s">
        <v>1345</v>
      </c>
      <c r="P497" s="608"/>
      <c r="Q497" s="608"/>
      <c r="R497" s="608"/>
      <c r="T497" s="752"/>
      <c r="V497" s="609">
        <f t="shared" si="89"/>
        <v>0</v>
      </c>
      <c r="W497" s="692"/>
    </row>
    <row r="498" spans="1:23" outlineLevel="2">
      <c r="A498" s="376"/>
      <c r="B498" s="684" t="s">
        <v>1273</v>
      </c>
      <c r="C498" s="684" t="s">
        <v>1273</v>
      </c>
      <c r="D498" s="684" t="s">
        <v>860</v>
      </c>
      <c r="E498" s="684"/>
      <c r="F498" s="685" t="s">
        <v>1336</v>
      </c>
      <c r="G498" s="686">
        <f>SUBTOTAL(9,G499:G501)</f>
        <v>8.9100000000000013E-2</v>
      </c>
      <c r="H498" s="691">
        <f>SUBTOTAL(9,H499:H501)</f>
        <v>3</v>
      </c>
      <c r="I498" s="626"/>
      <c r="J498" s="752"/>
      <c r="L498" s="685"/>
      <c r="M498" s="685"/>
      <c r="N498" s="685"/>
      <c r="O498" s="685"/>
      <c r="P498" s="685"/>
      <c r="Q498" s="685"/>
      <c r="R498" s="685"/>
      <c r="T498" s="752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1273</v>
      </c>
      <c r="C499" s="376" t="s">
        <v>1273</v>
      </c>
      <c r="D499" s="376" t="s">
        <v>860</v>
      </c>
      <c r="E499" s="376" t="s">
        <v>437</v>
      </c>
      <c r="F499" s="629" t="s">
        <v>36</v>
      </c>
      <c r="G499" s="609">
        <v>4.4550000000000006E-2</v>
      </c>
      <c r="H499" s="692">
        <v>1</v>
      </c>
      <c r="I499" s="626"/>
      <c r="J499" s="752"/>
      <c r="L499" s="608" t="s">
        <v>437</v>
      </c>
      <c r="M499" s="608" t="s">
        <v>996</v>
      </c>
      <c r="N499" s="608" t="s">
        <v>1346</v>
      </c>
      <c r="O499" s="608" t="s">
        <v>1249</v>
      </c>
      <c r="P499" s="608"/>
      <c r="Q499" s="608"/>
      <c r="R499" s="608"/>
      <c r="T499" s="752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1273</v>
      </c>
      <c r="C500" s="376" t="s">
        <v>1273</v>
      </c>
      <c r="D500" s="376" t="s">
        <v>860</v>
      </c>
      <c r="E500" s="376" t="s">
        <v>437</v>
      </c>
      <c r="F500" s="608" t="s">
        <v>971</v>
      </c>
      <c r="G500" s="609">
        <v>2.2275000000000003E-2</v>
      </c>
      <c r="H500" s="692">
        <v>1</v>
      </c>
      <c r="I500" s="626"/>
      <c r="J500" s="752"/>
      <c r="L500" s="608" t="s">
        <v>437</v>
      </c>
      <c r="M500" s="608" t="s">
        <v>996</v>
      </c>
      <c r="N500" s="608" t="s">
        <v>1346</v>
      </c>
      <c r="O500" s="608" t="s">
        <v>1249</v>
      </c>
      <c r="P500" s="608"/>
      <c r="Q500" s="608"/>
      <c r="R500" s="608"/>
      <c r="T500" s="752"/>
      <c r="V500" s="609">
        <f t="shared" si="90"/>
        <v>0</v>
      </c>
      <c r="W500" s="692"/>
    </row>
    <row r="501" spans="1:23" outlineLevel="3">
      <c r="A501" s="376"/>
      <c r="B501" s="376" t="s">
        <v>1273</v>
      </c>
      <c r="C501" s="376" t="s">
        <v>1273</v>
      </c>
      <c r="D501" s="376" t="s">
        <v>860</v>
      </c>
      <c r="E501" s="376" t="s">
        <v>437</v>
      </c>
      <c r="F501" s="608" t="s">
        <v>1342</v>
      </c>
      <c r="G501" s="609">
        <v>2.2275000000000003E-2</v>
      </c>
      <c r="H501" s="692">
        <v>1</v>
      </c>
      <c r="I501" s="626"/>
      <c r="J501" s="752"/>
      <c r="L501" s="608" t="s">
        <v>437</v>
      </c>
      <c r="M501" s="608" t="s">
        <v>996</v>
      </c>
      <c r="N501" s="608" t="s">
        <v>1346</v>
      </c>
      <c r="O501" s="608" t="s">
        <v>1249</v>
      </c>
      <c r="P501" s="608"/>
      <c r="Q501" s="608"/>
      <c r="R501" s="608"/>
      <c r="T501" s="752"/>
      <c r="V501" s="609">
        <f t="shared" si="90"/>
        <v>0</v>
      </c>
      <c r="W501" s="692"/>
    </row>
    <row r="502" spans="1:23" outlineLevel="1">
      <c r="A502" s="376"/>
      <c r="B502" s="665" t="s">
        <v>1347</v>
      </c>
      <c r="C502" s="665" t="s">
        <v>163</v>
      </c>
      <c r="D502" s="665"/>
      <c r="E502" s="665"/>
      <c r="F502" s="681" t="s">
        <v>947</v>
      </c>
      <c r="G502" s="724">
        <f>SUBTOTAL(9,G503:G521)</f>
        <v>6.27508</v>
      </c>
      <c r="H502" s="725">
        <f>SUBTOTAL(9,H503:H521)</f>
        <v>8</v>
      </c>
      <c r="I502" s="626"/>
      <c r="J502" s="752"/>
      <c r="L502" s="681"/>
      <c r="M502" s="681"/>
      <c r="N502" s="681"/>
      <c r="O502" s="681"/>
      <c r="P502" s="681"/>
      <c r="Q502" s="681"/>
      <c r="R502" s="681"/>
      <c r="T502" s="752"/>
      <c r="V502" s="724">
        <f>SUBTOTAL(9,V503:V521)</f>
        <v>0</v>
      </c>
      <c r="W502" s="725">
        <f>SUBTOTAL(9,W503:W521)</f>
        <v>0</v>
      </c>
    </row>
    <row r="503" spans="1:23" ht="26.45" outlineLevel="2">
      <c r="A503" s="376"/>
      <c r="B503" s="684" t="s">
        <v>1347</v>
      </c>
      <c r="C503" s="684" t="s">
        <v>1089</v>
      </c>
      <c r="D503" s="684" t="s">
        <v>1335</v>
      </c>
      <c r="E503" s="684"/>
      <c r="F503" s="685" t="s">
        <v>1348</v>
      </c>
      <c r="G503" s="686">
        <f>SUBTOTAL(9,G504:G507)</f>
        <v>4.5200000000000005</v>
      </c>
      <c r="H503" s="691">
        <f>SUBTOTAL(9,H504:H507)</f>
        <v>4</v>
      </c>
      <c r="I503" s="626"/>
      <c r="J503" s="752"/>
      <c r="L503" s="685"/>
      <c r="M503" s="685"/>
      <c r="N503" s="685"/>
      <c r="O503" s="685"/>
      <c r="P503" s="685"/>
      <c r="Q503" s="685"/>
      <c r="R503" s="685"/>
      <c r="T503" s="752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1347</v>
      </c>
      <c r="C504" s="376" t="s">
        <v>1089</v>
      </c>
      <c r="D504" s="376" t="s">
        <v>1335</v>
      </c>
      <c r="E504" s="376" t="s">
        <v>437</v>
      </c>
      <c r="F504" s="608" t="s">
        <v>17</v>
      </c>
      <c r="G504" s="609">
        <v>0.85500000000000009</v>
      </c>
      <c r="H504" s="692">
        <v>1</v>
      </c>
      <c r="I504" s="626"/>
      <c r="J504" s="752"/>
      <c r="L504" s="608" t="s">
        <v>437</v>
      </c>
      <c r="M504" s="608" t="s">
        <v>1349</v>
      </c>
      <c r="N504" s="608" t="s">
        <v>1350</v>
      </c>
      <c r="O504" s="608"/>
      <c r="P504" s="608"/>
      <c r="Q504" s="608"/>
      <c r="R504" s="608"/>
      <c r="T504" s="752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1347</v>
      </c>
      <c r="C505" s="376" t="s">
        <v>1089</v>
      </c>
      <c r="D505" s="376" t="s">
        <v>1335</v>
      </c>
      <c r="E505" s="376" t="s">
        <v>437</v>
      </c>
      <c r="F505" s="608" t="s">
        <v>36</v>
      </c>
      <c r="G505" s="609">
        <v>1.4050000000000002</v>
      </c>
      <c r="H505" s="692">
        <v>1</v>
      </c>
      <c r="I505" s="626"/>
      <c r="J505" s="752"/>
      <c r="L505" s="608" t="s">
        <v>437</v>
      </c>
      <c r="M505" s="608" t="s">
        <v>1349</v>
      </c>
      <c r="N505" s="608" t="s">
        <v>1350</v>
      </c>
      <c r="O505" s="608"/>
      <c r="P505" s="608"/>
      <c r="Q505" s="608"/>
      <c r="R505" s="608"/>
      <c r="T505" s="752"/>
      <c r="V505" s="609">
        <f t="shared" si="91"/>
        <v>0</v>
      </c>
      <c r="W505" s="692"/>
    </row>
    <row r="506" spans="1:23" outlineLevel="3">
      <c r="A506" s="376"/>
      <c r="B506" s="376" t="s">
        <v>1347</v>
      </c>
      <c r="C506" s="376" t="s">
        <v>1089</v>
      </c>
      <c r="D506" s="376" t="s">
        <v>1335</v>
      </c>
      <c r="E506" s="376" t="s">
        <v>437</v>
      </c>
      <c r="F506" s="608" t="s">
        <v>208</v>
      </c>
      <c r="G506" s="609">
        <v>1.4050000000000002</v>
      </c>
      <c r="H506" s="692">
        <v>1</v>
      </c>
      <c r="I506" s="626"/>
      <c r="J506" s="752"/>
      <c r="L506" s="608" t="s">
        <v>437</v>
      </c>
      <c r="M506" s="608" t="s">
        <v>1349</v>
      </c>
      <c r="N506" s="608" t="s">
        <v>1350</v>
      </c>
      <c r="O506" s="608"/>
      <c r="P506" s="608"/>
      <c r="Q506" s="608"/>
      <c r="R506" s="608"/>
      <c r="T506" s="752"/>
      <c r="V506" s="609">
        <f t="shared" si="91"/>
        <v>0</v>
      </c>
      <c r="W506" s="692"/>
    </row>
    <row r="507" spans="1:23" outlineLevel="3">
      <c r="A507" s="376"/>
      <c r="B507" s="376" t="s">
        <v>1347</v>
      </c>
      <c r="C507" s="376" t="s">
        <v>1089</v>
      </c>
      <c r="D507" s="376" t="s">
        <v>1335</v>
      </c>
      <c r="E507" s="376" t="s">
        <v>437</v>
      </c>
      <c r="F507" s="608" t="s">
        <v>1351</v>
      </c>
      <c r="G507" s="609">
        <v>0.85500000000000009</v>
      </c>
      <c r="H507" s="692">
        <v>1</v>
      </c>
      <c r="I507" s="626"/>
      <c r="J507" s="752"/>
      <c r="L507" s="608" t="s">
        <v>437</v>
      </c>
      <c r="M507" s="608" t="s">
        <v>1349</v>
      </c>
      <c r="N507" s="608" t="s">
        <v>1350</v>
      </c>
      <c r="O507" s="608"/>
      <c r="P507" s="608"/>
      <c r="Q507" s="608"/>
      <c r="R507" s="608"/>
      <c r="T507" s="752"/>
      <c r="V507" s="609">
        <f t="shared" si="91"/>
        <v>0</v>
      </c>
      <c r="W507" s="692"/>
    </row>
    <row r="508" spans="1:23" ht="26.45" outlineLevel="2">
      <c r="A508" s="376"/>
      <c r="B508" s="684" t="s">
        <v>1347</v>
      </c>
      <c r="C508" s="684" t="s">
        <v>1089</v>
      </c>
      <c r="D508" s="684" t="s">
        <v>159</v>
      </c>
      <c r="E508" s="684"/>
      <c r="F508" s="685" t="s">
        <v>1352</v>
      </c>
      <c r="G508" s="686">
        <f>SUBTOTAL(9,G509)</f>
        <v>0.30500000000000005</v>
      </c>
      <c r="H508" s="691">
        <f>SUBTOTAL(9,H509)</f>
        <v>1</v>
      </c>
      <c r="I508" s="626"/>
      <c r="J508" s="752"/>
      <c r="L508" s="685"/>
      <c r="M508" s="685" t="s">
        <v>1312</v>
      </c>
      <c r="N508" s="685"/>
      <c r="O508" s="685"/>
      <c r="P508" s="685"/>
      <c r="Q508" s="685"/>
      <c r="R508" s="685"/>
      <c r="T508" s="752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1347</v>
      </c>
      <c r="C509" s="376" t="s">
        <v>1089</v>
      </c>
      <c r="D509" s="376" t="s">
        <v>159</v>
      </c>
      <c r="E509" s="376" t="s">
        <v>1159</v>
      </c>
      <c r="F509" s="608" t="s">
        <v>36</v>
      </c>
      <c r="G509" s="609">
        <v>0.30500000000000005</v>
      </c>
      <c r="H509" s="692">
        <v>1</v>
      </c>
      <c r="I509" s="626"/>
      <c r="J509" s="752"/>
      <c r="L509" s="608" t="s">
        <v>1159</v>
      </c>
      <c r="M509" s="608"/>
      <c r="N509" s="608"/>
      <c r="O509" s="608"/>
      <c r="P509" s="608"/>
      <c r="Q509" s="608"/>
      <c r="R509" s="608"/>
      <c r="T509" s="752"/>
      <c r="V509" s="609">
        <f t="shared" ref="V509" si="92">IF(W509=1,G509,0)</f>
        <v>0</v>
      </c>
      <c r="W509" s="692"/>
    </row>
    <row r="510" spans="1:23" ht="26.45" outlineLevel="2">
      <c r="A510" s="376"/>
      <c r="B510" s="684" t="s">
        <v>1347</v>
      </c>
      <c r="C510" s="684" t="s">
        <v>1089</v>
      </c>
      <c r="D510" s="684" t="s">
        <v>518</v>
      </c>
      <c r="E510" s="684"/>
      <c r="F510" s="685" t="s">
        <v>1353</v>
      </c>
      <c r="G510" s="686">
        <f>SUBTOTAL(9,G511:G513)</f>
        <v>1.45008</v>
      </c>
      <c r="H510" s="691">
        <f>SUBTOTAL(9,H511:H513)</f>
        <v>3</v>
      </c>
      <c r="I510" s="626"/>
      <c r="J510" s="752"/>
      <c r="L510" s="685"/>
      <c r="M510" s="685"/>
      <c r="N510" s="685"/>
      <c r="O510" s="685"/>
      <c r="P510" s="685"/>
      <c r="Q510" s="685"/>
      <c r="R510" s="685"/>
      <c r="T510" s="752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1347</v>
      </c>
      <c r="C511" s="376" t="s">
        <v>1089</v>
      </c>
      <c r="D511" s="376" t="s">
        <v>518</v>
      </c>
      <c r="E511" s="376" t="s">
        <v>56</v>
      </c>
      <c r="F511" s="608" t="s">
        <v>36</v>
      </c>
      <c r="G511" s="609">
        <v>0.36252000000000001</v>
      </c>
      <c r="H511" s="692">
        <v>1</v>
      </c>
      <c r="I511" s="626"/>
      <c r="J511" s="752"/>
      <c r="L511" s="608" t="s">
        <v>56</v>
      </c>
      <c r="M511" s="608" t="s">
        <v>1284</v>
      </c>
      <c r="N511" s="608" t="s">
        <v>960</v>
      </c>
      <c r="O511" s="608" t="s">
        <v>1344</v>
      </c>
      <c r="P511" s="608" t="s">
        <v>965</v>
      </c>
      <c r="Q511" s="608"/>
      <c r="R511" s="608">
        <v>0</v>
      </c>
      <c r="T511" s="752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1347</v>
      </c>
      <c r="C512" s="376" t="s">
        <v>1089</v>
      </c>
      <c r="D512" s="376" t="s">
        <v>518</v>
      </c>
      <c r="E512" s="376" t="s">
        <v>56</v>
      </c>
      <c r="F512" s="608" t="s">
        <v>1354</v>
      </c>
      <c r="G512" s="609">
        <v>0.72504000000000002</v>
      </c>
      <c r="H512" s="692">
        <v>1</v>
      </c>
      <c r="I512" s="626"/>
      <c r="J512" s="752"/>
      <c r="L512" s="608" t="s">
        <v>56</v>
      </c>
      <c r="M512" s="608" t="s">
        <v>1284</v>
      </c>
      <c r="N512" s="608" t="s">
        <v>960</v>
      </c>
      <c r="O512" s="608" t="s">
        <v>1344</v>
      </c>
      <c r="P512" s="608" t="s">
        <v>965</v>
      </c>
      <c r="Q512" s="608"/>
      <c r="R512" s="608">
        <v>0</v>
      </c>
      <c r="T512" s="752"/>
      <c r="V512" s="609">
        <f t="shared" si="93"/>
        <v>0</v>
      </c>
      <c r="W512" s="692"/>
    </row>
    <row r="513" spans="1:23" outlineLevel="3">
      <c r="A513" s="376"/>
      <c r="B513" s="376" t="s">
        <v>1347</v>
      </c>
      <c r="C513" s="376" t="s">
        <v>1089</v>
      </c>
      <c r="D513" s="376" t="s">
        <v>518</v>
      </c>
      <c r="E513" s="376" t="s">
        <v>56</v>
      </c>
      <c r="F513" s="608" t="s">
        <v>1351</v>
      </c>
      <c r="G513" s="609">
        <v>0.36252000000000001</v>
      </c>
      <c r="H513" s="692">
        <v>1</v>
      </c>
      <c r="I513" s="626"/>
      <c r="J513" s="752"/>
      <c r="L513" s="608" t="s">
        <v>56</v>
      </c>
      <c r="M513" s="608" t="s">
        <v>1284</v>
      </c>
      <c r="N513" s="608" t="s">
        <v>960</v>
      </c>
      <c r="O513" s="608" t="s">
        <v>1344</v>
      </c>
      <c r="P513" s="608" t="s">
        <v>965</v>
      </c>
      <c r="Q513" s="608"/>
      <c r="R513" s="608">
        <v>0</v>
      </c>
      <c r="T513" s="752"/>
      <c r="V513" s="609">
        <f t="shared" si="93"/>
        <v>0</v>
      </c>
      <c r="W513" s="692"/>
    </row>
    <row r="514" spans="1:23" ht="26.45" outlineLevel="2">
      <c r="A514" s="376"/>
      <c r="B514" s="684" t="s">
        <v>1347</v>
      </c>
      <c r="C514" s="684" t="s">
        <v>1089</v>
      </c>
      <c r="D514" s="684" t="s">
        <v>441</v>
      </c>
      <c r="E514" s="684"/>
      <c r="F514" s="685" t="s">
        <v>1355</v>
      </c>
      <c r="G514" s="686">
        <f>SUBTOTAL(9,G515:G517)</f>
        <v>0</v>
      </c>
      <c r="H514" s="691">
        <f>SUBTOTAL(9,H515:H517)</f>
        <v>0</v>
      </c>
      <c r="I514" s="626"/>
      <c r="J514" s="752"/>
      <c r="L514" s="685"/>
      <c r="M514" s="685"/>
      <c r="N514" s="685"/>
      <c r="O514" s="685"/>
      <c r="P514" s="685"/>
      <c r="Q514" s="685"/>
      <c r="R514" s="685"/>
      <c r="T514" s="752"/>
      <c r="V514" s="686">
        <f>SUBTOTAL(9,V515:V517)</f>
        <v>0</v>
      </c>
      <c r="W514" s="691">
        <f>SUBTOTAL(9,W515:W517)</f>
        <v>0</v>
      </c>
    </row>
    <row r="515" spans="1:23" ht="39.6" outlineLevel="3">
      <c r="A515" s="376"/>
      <c r="B515" s="376" t="s">
        <v>1347</v>
      </c>
      <c r="C515" s="376" t="s">
        <v>1089</v>
      </c>
      <c r="D515" s="376" t="s">
        <v>441</v>
      </c>
      <c r="E515" s="376" t="s">
        <v>437</v>
      </c>
      <c r="F515" s="760" t="s">
        <v>36</v>
      </c>
      <c r="G515" s="609"/>
      <c r="H515" s="692"/>
      <c r="I515" s="626"/>
      <c r="J515" s="752"/>
      <c r="L515" s="608" t="s">
        <v>437</v>
      </c>
      <c r="M515" s="608" t="s">
        <v>966</v>
      </c>
      <c r="N515" s="608" t="s">
        <v>1356</v>
      </c>
      <c r="O515" s="608" t="s">
        <v>1357</v>
      </c>
      <c r="P515" s="608"/>
      <c r="Q515" s="608"/>
      <c r="R515" s="608"/>
      <c r="T515" s="752"/>
      <c r="V515" s="609">
        <f t="shared" ref="V515:V517" si="94">IF(W515=1,G515,0)</f>
        <v>0</v>
      </c>
      <c r="W515" s="692"/>
    </row>
    <row r="516" spans="1:23" ht="39.6" outlineLevel="3">
      <c r="A516" s="376"/>
      <c r="B516" s="376" t="s">
        <v>1347</v>
      </c>
      <c r="C516" s="376" t="s">
        <v>1089</v>
      </c>
      <c r="D516" s="376" t="s">
        <v>441</v>
      </c>
      <c r="E516" s="376" t="s">
        <v>437</v>
      </c>
      <c r="F516" s="760" t="s">
        <v>208</v>
      </c>
      <c r="G516" s="609"/>
      <c r="H516" s="692"/>
      <c r="I516" s="626"/>
      <c r="J516" s="752"/>
      <c r="L516" s="608" t="s">
        <v>437</v>
      </c>
      <c r="M516" s="608" t="s">
        <v>966</v>
      </c>
      <c r="N516" s="608" t="s">
        <v>1356</v>
      </c>
      <c r="O516" s="608" t="s">
        <v>1357</v>
      </c>
      <c r="P516" s="608"/>
      <c r="Q516" s="608"/>
      <c r="R516" s="608"/>
      <c r="T516" s="752"/>
      <c r="V516" s="609">
        <f t="shared" si="94"/>
        <v>0</v>
      </c>
      <c r="W516" s="692"/>
    </row>
    <row r="517" spans="1:23" ht="39.6" outlineLevel="3">
      <c r="A517" s="376"/>
      <c r="B517" s="376" t="s">
        <v>1347</v>
      </c>
      <c r="C517" s="376" t="s">
        <v>1089</v>
      </c>
      <c r="D517" s="376" t="s">
        <v>441</v>
      </c>
      <c r="E517" s="376" t="s">
        <v>437</v>
      </c>
      <c r="F517" s="760" t="s">
        <v>1351</v>
      </c>
      <c r="G517" s="609"/>
      <c r="H517" s="692"/>
      <c r="I517" s="626"/>
      <c r="J517" s="752"/>
      <c r="L517" s="608" t="s">
        <v>437</v>
      </c>
      <c r="M517" s="608" t="s">
        <v>966</v>
      </c>
      <c r="N517" s="608" t="s">
        <v>1356</v>
      </c>
      <c r="O517" s="608" t="s">
        <v>1357</v>
      </c>
      <c r="P517" s="608"/>
      <c r="Q517" s="608"/>
      <c r="R517" s="608"/>
      <c r="T517" s="752"/>
      <c r="V517" s="609">
        <f t="shared" si="94"/>
        <v>0</v>
      </c>
      <c r="W517" s="692"/>
    </row>
    <row r="518" spans="1:23" ht="26.45" outlineLevel="2">
      <c r="A518" s="376"/>
      <c r="B518" s="684" t="s">
        <v>1347</v>
      </c>
      <c r="C518" s="684" t="s">
        <v>1089</v>
      </c>
      <c r="D518" s="684" t="s">
        <v>860</v>
      </c>
      <c r="E518" s="684"/>
      <c r="F518" s="685" t="s">
        <v>1355</v>
      </c>
      <c r="G518" s="686">
        <f>SUBTOTAL(9,G519:G521)</f>
        <v>0</v>
      </c>
      <c r="H518" s="691">
        <f>SUBTOTAL(9,H519:H521)</f>
        <v>0</v>
      </c>
      <c r="I518" s="626"/>
      <c r="J518" s="752"/>
      <c r="L518" s="685"/>
      <c r="M518" s="685"/>
      <c r="N518" s="685"/>
      <c r="O518" s="685"/>
      <c r="P518" s="685"/>
      <c r="Q518" s="685"/>
      <c r="R518" s="685"/>
      <c r="T518" s="752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1347</v>
      </c>
      <c r="C519" s="376" t="s">
        <v>1089</v>
      </c>
      <c r="D519" s="376" t="s">
        <v>860</v>
      </c>
      <c r="E519" s="376" t="s">
        <v>437</v>
      </c>
      <c r="F519" s="760" t="s">
        <v>36</v>
      </c>
      <c r="G519" s="609"/>
      <c r="H519" s="692"/>
      <c r="I519" s="626"/>
      <c r="J519" s="752"/>
      <c r="L519" s="608" t="s">
        <v>437</v>
      </c>
      <c r="M519" s="608" t="s">
        <v>996</v>
      </c>
      <c r="N519" s="608" t="s">
        <v>1244</v>
      </c>
      <c r="O519" s="608"/>
      <c r="P519" s="608"/>
      <c r="Q519" s="608"/>
      <c r="R519" s="608"/>
      <c r="T519" s="752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1347</v>
      </c>
      <c r="C520" s="376" t="s">
        <v>1089</v>
      </c>
      <c r="D520" s="376" t="s">
        <v>860</v>
      </c>
      <c r="E520" s="376" t="s">
        <v>437</v>
      </c>
      <c r="F520" s="760" t="s">
        <v>208</v>
      </c>
      <c r="G520" s="609"/>
      <c r="H520" s="692"/>
      <c r="I520" s="626"/>
      <c r="J520" s="752"/>
      <c r="L520" s="608" t="s">
        <v>437</v>
      </c>
      <c r="M520" s="608" t="s">
        <v>996</v>
      </c>
      <c r="N520" s="608" t="s">
        <v>1244</v>
      </c>
      <c r="O520" s="608"/>
      <c r="P520" s="608"/>
      <c r="Q520" s="608"/>
      <c r="R520" s="608"/>
      <c r="T520" s="752"/>
      <c r="V520" s="609">
        <f t="shared" si="95"/>
        <v>0</v>
      </c>
      <c r="W520" s="692"/>
    </row>
    <row r="521" spans="1:23" outlineLevel="3">
      <c r="A521" s="376"/>
      <c r="B521" s="376" t="s">
        <v>1347</v>
      </c>
      <c r="C521" s="376" t="s">
        <v>1089</v>
      </c>
      <c r="D521" s="376" t="s">
        <v>860</v>
      </c>
      <c r="E521" s="376" t="s">
        <v>437</v>
      </c>
      <c r="F521" s="760" t="s">
        <v>1351</v>
      </c>
      <c r="G521" s="609"/>
      <c r="H521" s="692"/>
      <c r="I521" s="626"/>
      <c r="J521" s="752"/>
      <c r="L521" s="608" t="s">
        <v>437</v>
      </c>
      <c r="M521" s="608" t="s">
        <v>996</v>
      </c>
      <c r="N521" s="608" t="s">
        <v>1244</v>
      </c>
      <c r="O521" s="608"/>
      <c r="P521" s="608"/>
      <c r="Q521" s="608"/>
      <c r="R521" s="608"/>
      <c r="T521" s="752"/>
      <c r="V521" s="609">
        <f t="shared" si="95"/>
        <v>0</v>
      </c>
      <c r="W521" s="692"/>
    </row>
    <row r="522" spans="1:23" outlineLevel="1">
      <c r="A522" s="376"/>
      <c r="B522" s="666" t="s">
        <v>1358</v>
      </c>
      <c r="C522" s="666" t="s">
        <v>1089</v>
      </c>
      <c r="D522" s="667"/>
      <c r="E522" s="665"/>
      <c r="F522" s="681" t="s">
        <v>947</v>
      </c>
      <c r="G522" s="724">
        <f>SUBTOTAL(9,G523:G539)</f>
        <v>2.8743803558767693</v>
      </c>
      <c r="H522" s="725">
        <f>SUBTOTAL(9,H523:H539)</f>
        <v>6</v>
      </c>
      <c r="I522" s="626"/>
      <c r="J522" s="752"/>
      <c r="L522" s="681"/>
      <c r="M522" s="681"/>
      <c r="N522" s="681"/>
      <c r="O522" s="681"/>
      <c r="P522" s="681"/>
      <c r="Q522" s="681"/>
      <c r="R522" s="681"/>
      <c r="T522" s="752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1358</v>
      </c>
      <c r="C523" s="687" t="s">
        <v>1089</v>
      </c>
      <c r="D523" s="684" t="s">
        <v>1335</v>
      </c>
      <c r="E523" s="684"/>
      <c r="F523" s="685" t="s">
        <v>1381</v>
      </c>
      <c r="G523" s="686">
        <f>SUBTOTAL(9,G524:G526)</f>
        <v>2.184224765452226</v>
      </c>
      <c r="H523" s="691">
        <f>SUBTOTAL(9,H524:H526)</f>
        <v>3</v>
      </c>
      <c r="I523" s="626"/>
      <c r="J523" s="752"/>
      <c r="L523" s="685"/>
      <c r="M523" s="685"/>
      <c r="N523" s="685"/>
      <c r="O523" s="685"/>
      <c r="P523" s="685"/>
      <c r="Q523" s="685"/>
      <c r="R523" s="685"/>
      <c r="T523" s="752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1358</v>
      </c>
      <c r="C524" s="387" t="s">
        <v>1089</v>
      </c>
      <c r="D524" s="376" t="s">
        <v>1335</v>
      </c>
      <c r="E524" s="376" t="s">
        <v>437</v>
      </c>
      <c r="F524" s="608" t="s">
        <v>17</v>
      </c>
      <c r="G524" s="609">
        <v>0.4724994626592407</v>
      </c>
      <c r="H524" s="692">
        <v>1</v>
      </c>
      <c r="I524" s="626"/>
      <c r="J524" s="752"/>
      <c r="L524" s="608" t="s">
        <v>437</v>
      </c>
      <c r="M524" s="608" t="s">
        <v>1349</v>
      </c>
      <c r="N524" s="608" t="s">
        <v>1360</v>
      </c>
      <c r="O524" s="608"/>
      <c r="P524" s="608"/>
      <c r="Q524" s="608"/>
      <c r="R524" s="608"/>
      <c r="T524" s="752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1358</v>
      </c>
      <c r="C525" s="387" t="s">
        <v>1089</v>
      </c>
      <c r="D525" s="376" t="s">
        <v>1335</v>
      </c>
      <c r="E525" s="376" t="s">
        <v>437</v>
      </c>
      <c r="F525" s="608" t="s">
        <v>36</v>
      </c>
      <c r="G525" s="609">
        <v>0.85586265139649265</v>
      </c>
      <c r="H525" s="692">
        <v>1</v>
      </c>
      <c r="I525" s="626"/>
      <c r="J525" s="752"/>
      <c r="L525" s="608" t="s">
        <v>437</v>
      </c>
      <c r="M525" s="608" t="s">
        <v>1349</v>
      </c>
      <c r="N525" s="608" t="s">
        <v>1360</v>
      </c>
      <c r="O525" s="608"/>
      <c r="P525" s="608"/>
      <c r="Q525" s="608"/>
      <c r="R525" s="608"/>
      <c r="T525" s="752"/>
      <c r="V525" s="609">
        <f t="shared" si="96"/>
        <v>0</v>
      </c>
      <c r="W525" s="692"/>
    </row>
    <row r="526" spans="1:23" outlineLevel="3">
      <c r="A526" s="376"/>
      <c r="B526" s="376" t="s">
        <v>1358</v>
      </c>
      <c r="C526" s="387" t="s">
        <v>1089</v>
      </c>
      <c r="D526" s="376" t="s">
        <v>1335</v>
      </c>
      <c r="E526" s="376" t="s">
        <v>437</v>
      </c>
      <c r="F526" s="608" t="s">
        <v>1237</v>
      </c>
      <c r="G526" s="609">
        <v>0.85586265139649265</v>
      </c>
      <c r="H526" s="692">
        <v>1</v>
      </c>
      <c r="I526" s="626"/>
      <c r="J526" s="752"/>
      <c r="L526" s="608" t="s">
        <v>437</v>
      </c>
      <c r="M526" s="608" t="s">
        <v>1349</v>
      </c>
      <c r="N526" s="608" t="s">
        <v>1360</v>
      </c>
      <c r="O526" s="608"/>
      <c r="P526" s="608"/>
      <c r="Q526" s="608"/>
      <c r="R526" s="608"/>
      <c r="T526" s="752"/>
      <c r="V526" s="609">
        <f t="shared" si="96"/>
        <v>0</v>
      </c>
      <c r="W526" s="692"/>
    </row>
    <row r="527" spans="1:23" ht="26.45" outlineLevel="2">
      <c r="A527" s="376"/>
      <c r="B527" s="684" t="s">
        <v>1358</v>
      </c>
      <c r="C527" s="687" t="s">
        <v>1089</v>
      </c>
      <c r="D527" s="684" t="s">
        <v>159</v>
      </c>
      <c r="E527" s="684"/>
      <c r="F527" s="685" t="s">
        <v>1361</v>
      </c>
      <c r="G527" s="686">
        <f>SUBTOTAL(9,G528:G528)</f>
        <v>8.9136273921988848E-2</v>
      </c>
      <c r="H527" s="691">
        <f>SUBTOTAL(9,H528:H528)</f>
        <v>1</v>
      </c>
      <c r="I527" s="626"/>
      <c r="J527" s="752"/>
      <c r="L527" s="685"/>
      <c r="M527" s="685" t="s">
        <v>1312</v>
      </c>
      <c r="N527" s="685"/>
      <c r="O527" s="685"/>
      <c r="P527" s="685"/>
      <c r="Q527" s="685"/>
      <c r="R527" s="685"/>
      <c r="T527" s="752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1358</v>
      </c>
      <c r="C528" s="387" t="s">
        <v>1089</v>
      </c>
      <c r="D528" s="376" t="s">
        <v>159</v>
      </c>
      <c r="E528" s="376" t="s">
        <v>1159</v>
      </c>
      <c r="F528" s="608" t="s">
        <v>36</v>
      </c>
      <c r="G528" s="609">
        <v>8.9136273921988848E-2</v>
      </c>
      <c r="H528" s="692">
        <v>1</v>
      </c>
      <c r="I528" s="626"/>
      <c r="J528" s="752"/>
      <c r="L528" s="608" t="s">
        <v>1159</v>
      </c>
      <c r="M528" s="608"/>
      <c r="N528" s="608"/>
      <c r="O528" s="608"/>
      <c r="P528" s="608"/>
      <c r="Q528" s="608"/>
      <c r="R528" s="608"/>
      <c r="T528" s="752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1358</v>
      </c>
      <c r="C529" s="687" t="s">
        <v>1089</v>
      </c>
      <c r="D529" s="684" t="s">
        <v>518</v>
      </c>
      <c r="E529" s="684"/>
      <c r="F529" s="685" t="s">
        <v>1381</v>
      </c>
      <c r="G529" s="686">
        <f>SUBTOTAL(9,G530:G531)</f>
        <v>0.60101931650255425</v>
      </c>
      <c r="H529" s="691">
        <f>SUBTOTAL(9,H530:H531)</f>
        <v>2</v>
      </c>
      <c r="I529" s="626"/>
      <c r="J529" s="752"/>
      <c r="L529" s="685"/>
      <c r="M529" s="685"/>
      <c r="N529" s="685"/>
      <c r="O529" s="685"/>
      <c r="P529" s="685"/>
      <c r="Q529" s="685"/>
      <c r="R529" s="685"/>
      <c r="T529" s="752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1358</v>
      </c>
      <c r="C530" s="387" t="s">
        <v>1089</v>
      </c>
      <c r="D530" s="376" t="s">
        <v>518</v>
      </c>
      <c r="E530" s="376" t="s">
        <v>56</v>
      </c>
      <c r="F530" s="608" t="s">
        <v>36</v>
      </c>
      <c r="G530" s="609">
        <v>0.20033977216751808</v>
      </c>
      <c r="H530" s="692">
        <v>1</v>
      </c>
      <c r="I530" s="626"/>
      <c r="J530" s="752"/>
      <c r="L530" s="608" t="s">
        <v>56</v>
      </c>
      <c r="M530" s="608" t="s">
        <v>1284</v>
      </c>
      <c r="N530" s="608" t="s">
        <v>960</v>
      </c>
      <c r="O530" s="608" t="s">
        <v>1344</v>
      </c>
      <c r="P530" s="608" t="s">
        <v>1105</v>
      </c>
      <c r="Q530" s="608"/>
      <c r="R530" s="608">
        <v>0</v>
      </c>
      <c r="T530" s="752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1358</v>
      </c>
      <c r="C531" s="387" t="s">
        <v>1089</v>
      </c>
      <c r="D531" s="376" t="s">
        <v>518</v>
      </c>
      <c r="E531" s="376" t="s">
        <v>56</v>
      </c>
      <c r="F531" s="608" t="s">
        <v>971</v>
      </c>
      <c r="G531" s="609">
        <v>0.40067954433503616</v>
      </c>
      <c r="H531" s="692">
        <v>1</v>
      </c>
      <c r="I531" s="626"/>
      <c r="J531" s="752"/>
      <c r="L531" s="608" t="s">
        <v>56</v>
      </c>
      <c r="M531" s="608" t="s">
        <v>1284</v>
      </c>
      <c r="N531" s="608" t="s">
        <v>960</v>
      </c>
      <c r="O531" s="608" t="s">
        <v>1344</v>
      </c>
      <c r="P531" s="608" t="s">
        <v>1105</v>
      </c>
      <c r="Q531" s="608"/>
      <c r="R531" s="608">
        <v>0</v>
      </c>
      <c r="T531" s="752"/>
      <c r="V531" s="609">
        <f t="shared" si="98"/>
        <v>0</v>
      </c>
      <c r="W531" s="692"/>
    </row>
    <row r="532" spans="1:23" outlineLevel="2">
      <c r="A532" s="376"/>
      <c r="B532" s="684" t="s">
        <v>1358</v>
      </c>
      <c r="C532" s="687" t="s">
        <v>1089</v>
      </c>
      <c r="D532" s="684" t="s">
        <v>441</v>
      </c>
      <c r="E532" s="684"/>
      <c r="F532" s="685" t="s">
        <v>1381</v>
      </c>
      <c r="G532" s="686">
        <f>SUBTOTAL(9,G533:G535)</f>
        <v>0</v>
      </c>
      <c r="H532" s="691">
        <f>SUBTOTAL(9,H533:H535)</f>
        <v>0</v>
      </c>
      <c r="I532" s="626"/>
      <c r="J532" s="752"/>
      <c r="L532" s="685"/>
      <c r="M532" s="685"/>
      <c r="N532" s="685"/>
      <c r="O532" s="685"/>
      <c r="P532" s="685"/>
      <c r="Q532" s="685"/>
      <c r="R532" s="685"/>
      <c r="T532" s="752"/>
      <c r="V532" s="686">
        <f>SUBTOTAL(9,V533:V535)</f>
        <v>0</v>
      </c>
      <c r="W532" s="691">
        <f>SUBTOTAL(9,W533:W535)</f>
        <v>0</v>
      </c>
    </row>
    <row r="533" spans="1:23" ht="39.6" outlineLevel="3">
      <c r="A533" s="376"/>
      <c r="B533" s="376" t="s">
        <v>1358</v>
      </c>
      <c r="C533" s="387" t="s">
        <v>1089</v>
      </c>
      <c r="D533" s="376" t="s">
        <v>441</v>
      </c>
      <c r="E533" s="376" t="s">
        <v>437</v>
      </c>
      <c r="F533" s="760" t="s">
        <v>36</v>
      </c>
      <c r="G533" s="609"/>
      <c r="H533" s="692"/>
      <c r="I533" s="626"/>
      <c r="J533" s="752"/>
      <c r="L533" s="608" t="s">
        <v>437</v>
      </c>
      <c r="M533" s="608" t="s">
        <v>966</v>
      </c>
      <c r="N533" s="608" t="s">
        <v>1362</v>
      </c>
      <c r="O533" s="608"/>
      <c r="P533" s="608"/>
      <c r="Q533" s="608"/>
      <c r="R533" s="608"/>
      <c r="T533" s="752"/>
      <c r="V533" s="609">
        <f t="shared" ref="V533:V535" si="99">IF(W533=1,G533,0)</f>
        <v>0</v>
      </c>
      <c r="W533" s="692"/>
    </row>
    <row r="534" spans="1:23" ht="39.6" outlineLevel="3">
      <c r="A534" s="376"/>
      <c r="B534" s="376" t="s">
        <v>1358</v>
      </c>
      <c r="C534" s="387" t="s">
        <v>1089</v>
      </c>
      <c r="D534" s="376" t="s">
        <v>441</v>
      </c>
      <c r="E534" s="376" t="s">
        <v>437</v>
      </c>
      <c r="F534" s="760" t="s">
        <v>1237</v>
      </c>
      <c r="G534" s="609"/>
      <c r="H534" s="692"/>
      <c r="I534" s="626"/>
      <c r="J534" s="752"/>
      <c r="L534" s="608" t="s">
        <v>437</v>
      </c>
      <c r="M534" s="608" t="s">
        <v>966</v>
      </c>
      <c r="N534" s="608" t="s">
        <v>1362</v>
      </c>
      <c r="O534" s="608"/>
      <c r="P534" s="608"/>
      <c r="Q534" s="608"/>
      <c r="R534" s="608"/>
      <c r="T534" s="752"/>
      <c r="V534" s="609">
        <f t="shared" si="99"/>
        <v>0</v>
      </c>
      <c r="W534" s="692"/>
    </row>
    <row r="535" spans="1:23" ht="39.6" outlineLevel="3">
      <c r="A535" s="376"/>
      <c r="B535" s="376" t="s">
        <v>1358</v>
      </c>
      <c r="C535" s="387" t="s">
        <v>1089</v>
      </c>
      <c r="D535" s="376" t="s">
        <v>441</v>
      </c>
      <c r="E535" s="376" t="s">
        <v>437</v>
      </c>
      <c r="F535" s="760" t="s">
        <v>971</v>
      </c>
      <c r="G535" s="609"/>
      <c r="H535" s="692"/>
      <c r="I535" s="626"/>
      <c r="J535" s="752"/>
      <c r="L535" s="608" t="s">
        <v>437</v>
      </c>
      <c r="M535" s="608" t="s">
        <v>966</v>
      </c>
      <c r="N535" s="608" t="s">
        <v>1362</v>
      </c>
      <c r="O535" s="608"/>
      <c r="P535" s="608"/>
      <c r="Q535" s="608"/>
      <c r="R535" s="608"/>
      <c r="T535" s="752"/>
      <c r="V535" s="609">
        <f t="shared" si="99"/>
        <v>0</v>
      </c>
      <c r="W535" s="692"/>
    </row>
    <row r="536" spans="1:23" outlineLevel="2">
      <c r="A536" s="376"/>
      <c r="B536" s="684" t="s">
        <v>1358</v>
      </c>
      <c r="C536" s="687" t="s">
        <v>1089</v>
      </c>
      <c r="D536" s="684" t="s">
        <v>860</v>
      </c>
      <c r="E536" s="684"/>
      <c r="F536" s="685" t="s">
        <v>1381</v>
      </c>
      <c r="G536" s="686">
        <f>SUBTOTAL(9,G537:G539)</f>
        <v>0</v>
      </c>
      <c r="H536" s="691">
        <f>SUBTOTAL(9,H537:H539)</f>
        <v>0</v>
      </c>
      <c r="I536" s="626"/>
      <c r="J536" s="752"/>
      <c r="L536" s="685"/>
      <c r="M536" s="685"/>
      <c r="N536" s="685"/>
      <c r="O536" s="685"/>
      <c r="P536" s="685"/>
      <c r="Q536" s="685"/>
      <c r="R536" s="685"/>
      <c r="T536" s="752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1358</v>
      </c>
      <c r="C537" s="387" t="s">
        <v>1089</v>
      </c>
      <c r="D537" s="376" t="s">
        <v>860</v>
      </c>
      <c r="E537" s="376" t="s">
        <v>437</v>
      </c>
      <c r="F537" s="760" t="s">
        <v>36</v>
      </c>
      <c r="G537" s="609"/>
      <c r="H537" s="692"/>
      <c r="I537" s="626"/>
      <c r="J537" s="752"/>
      <c r="L537" s="608" t="s">
        <v>437</v>
      </c>
      <c r="M537" s="608" t="s">
        <v>996</v>
      </c>
      <c r="N537" s="608" t="s">
        <v>1244</v>
      </c>
      <c r="O537" s="608"/>
      <c r="P537" s="608"/>
      <c r="Q537" s="608"/>
      <c r="R537" s="608"/>
      <c r="T537" s="752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1358</v>
      </c>
      <c r="C538" s="387" t="s">
        <v>1089</v>
      </c>
      <c r="D538" s="376" t="s">
        <v>860</v>
      </c>
      <c r="E538" s="376" t="s">
        <v>437</v>
      </c>
      <c r="F538" s="760" t="s">
        <v>1237</v>
      </c>
      <c r="G538" s="609"/>
      <c r="H538" s="692"/>
      <c r="I538" s="626"/>
      <c r="J538" s="752"/>
      <c r="L538" s="608" t="s">
        <v>437</v>
      </c>
      <c r="M538" s="608" t="s">
        <v>996</v>
      </c>
      <c r="N538" s="608" t="s">
        <v>1244</v>
      </c>
      <c r="O538" s="608"/>
      <c r="P538" s="608"/>
      <c r="Q538" s="608"/>
      <c r="R538" s="608"/>
      <c r="T538" s="752"/>
      <c r="V538" s="609">
        <f t="shared" si="100"/>
        <v>0</v>
      </c>
      <c r="W538" s="692"/>
    </row>
    <row r="539" spans="1:23" outlineLevel="4">
      <c r="A539" s="376"/>
      <c r="B539" s="376" t="s">
        <v>1358</v>
      </c>
      <c r="C539" s="387" t="s">
        <v>1089</v>
      </c>
      <c r="D539" s="376" t="s">
        <v>860</v>
      </c>
      <c r="E539" s="376" t="s">
        <v>437</v>
      </c>
      <c r="F539" s="760" t="s">
        <v>971</v>
      </c>
      <c r="G539" s="609"/>
      <c r="H539" s="692"/>
      <c r="I539" s="626"/>
      <c r="J539" s="752"/>
      <c r="L539" s="608" t="s">
        <v>437</v>
      </c>
      <c r="M539" s="608" t="s">
        <v>996</v>
      </c>
      <c r="N539" s="608" t="s">
        <v>1244</v>
      </c>
      <c r="O539" s="608"/>
      <c r="P539" s="608"/>
      <c r="Q539" s="608"/>
      <c r="R539" s="608"/>
      <c r="T539" s="752"/>
      <c r="V539" s="609">
        <f t="shared" si="100"/>
        <v>0</v>
      </c>
      <c r="W539" s="692"/>
    </row>
    <row r="540" spans="1:23" outlineLevel="1">
      <c r="A540" s="376"/>
      <c r="B540" s="666" t="s">
        <v>1363</v>
      </c>
      <c r="C540" s="666" t="s">
        <v>1089</v>
      </c>
      <c r="D540" s="667" t="s">
        <v>1364</v>
      </c>
      <c r="E540" s="665"/>
      <c r="F540" s="681" t="s">
        <v>947</v>
      </c>
      <c r="G540" s="724">
        <f>SUBTOTAL(9,G541:G567)</f>
        <v>1.3347879239757054</v>
      </c>
      <c r="H540" s="725">
        <f>SUBTOTAL(9,H541:H567)</f>
        <v>15</v>
      </c>
      <c r="I540" s="626"/>
      <c r="J540" s="752"/>
      <c r="L540" s="681"/>
      <c r="M540" s="681"/>
      <c r="N540" s="681"/>
      <c r="O540" s="681"/>
      <c r="P540" s="681"/>
      <c r="Q540" s="681"/>
      <c r="R540" s="681"/>
      <c r="T540" s="752"/>
      <c r="V540" s="724">
        <f>SUBTOTAL(9,V541:V567)</f>
        <v>0</v>
      </c>
      <c r="W540" s="725">
        <f>SUBTOTAL(9,W541:W567)</f>
        <v>0</v>
      </c>
    </row>
    <row r="541" spans="1:23" ht="26.45" outlineLevel="2">
      <c r="A541" s="376"/>
      <c r="B541" s="684" t="s">
        <v>1363</v>
      </c>
      <c r="C541" s="687" t="s">
        <v>1089</v>
      </c>
      <c r="D541" s="684" t="s">
        <v>1335</v>
      </c>
      <c r="E541" s="684"/>
      <c r="F541" s="685" t="s">
        <v>1365</v>
      </c>
      <c r="G541" s="686">
        <f>SUBTOTAL(9,G542:G546)</f>
        <v>0.81524885590352736</v>
      </c>
      <c r="H541" s="691">
        <f>SUBTOTAL(9,H542:H546)</f>
        <v>5</v>
      </c>
      <c r="I541" s="626"/>
      <c r="J541" s="752"/>
      <c r="L541" s="685"/>
      <c r="M541" s="685"/>
      <c r="N541" s="685"/>
      <c r="O541" s="685"/>
      <c r="P541" s="685"/>
      <c r="Q541" s="685"/>
      <c r="R541" s="685"/>
      <c r="T541" s="752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1363</v>
      </c>
      <c r="C542" s="387" t="s">
        <v>1089</v>
      </c>
      <c r="D542" s="376" t="s">
        <v>1335</v>
      </c>
      <c r="E542" s="376" t="s">
        <v>437</v>
      </c>
      <c r="F542" s="608" t="s">
        <v>1366</v>
      </c>
      <c r="G542" s="609">
        <v>0.13427418761072726</v>
      </c>
      <c r="H542" s="692">
        <v>1</v>
      </c>
      <c r="I542" s="626"/>
      <c r="J542" s="752"/>
      <c r="L542" s="608" t="s">
        <v>437</v>
      </c>
      <c r="M542" s="608" t="s">
        <v>1349</v>
      </c>
      <c r="N542" s="608" t="s">
        <v>1360</v>
      </c>
      <c r="O542" s="608"/>
      <c r="P542" s="608"/>
      <c r="Q542" s="608"/>
      <c r="R542" s="608"/>
      <c r="T542" s="752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1363</v>
      </c>
      <c r="C543" s="387" t="s">
        <v>1089</v>
      </c>
      <c r="D543" s="376" t="s">
        <v>1335</v>
      </c>
      <c r="E543" s="376" t="s">
        <v>437</v>
      </c>
      <c r="F543" s="608" t="s">
        <v>1367</v>
      </c>
      <c r="G543" s="609">
        <v>0.24320523867600002</v>
      </c>
      <c r="H543" s="692">
        <v>1</v>
      </c>
      <c r="I543" s="626"/>
      <c r="J543" s="752"/>
      <c r="L543" s="608" t="s">
        <v>437</v>
      </c>
      <c r="M543" s="608" t="s">
        <v>1349</v>
      </c>
      <c r="N543" s="608" t="s">
        <v>1360</v>
      </c>
      <c r="O543" s="608"/>
      <c r="P543" s="608"/>
      <c r="Q543" s="608"/>
      <c r="R543" s="608"/>
      <c r="T543" s="752"/>
      <c r="V543" s="609">
        <f t="shared" si="101"/>
        <v>0</v>
      </c>
      <c r="W543" s="692"/>
    </row>
    <row r="544" spans="1:23" outlineLevel="3">
      <c r="A544" s="376"/>
      <c r="B544" s="376" t="s">
        <v>1363</v>
      </c>
      <c r="C544" s="387" t="s">
        <v>1089</v>
      </c>
      <c r="D544" s="376" t="s">
        <v>1335</v>
      </c>
      <c r="E544" s="376" t="s">
        <v>437</v>
      </c>
      <c r="F544" s="608" t="s">
        <v>1368</v>
      </c>
      <c r="G544" s="609">
        <v>0.12160261933800001</v>
      </c>
      <c r="H544" s="692">
        <v>1</v>
      </c>
      <c r="I544" s="626"/>
      <c r="J544" s="752"/>
      <c r="L544" s="608" t="s">
        <v>437</v>
      </c>
      <c r="M544" s="608" t="s">
        <v>1349</v>
      </c>
      <c r="N544" s="608" t="s">
        <v>1360</v>
      </c>
      <c r="O544" s="608"/>
      <c r="P544" s="608"/>
      <c r="Q544" s="608"/>
      <c r="R544" s="608"/>
      <c r="T544" s="752"/>
      <c r="V544" s="609">
        <f t="shared" si="101"/>
        <v>0</v>
      </c>
      <c r="W544" s="692"/>
    </row>
    <row r="545" spans="1:23" outlineLevel="3">
      <c r="A545" s="376"/>
      <c r="B545" s="376" t="s">
        <v>1363</v>
      </c>
      <c r="C545" s="387" t="s">
        <v>1089</v>
      </c>
      <c r="D545" s="376" t="s">
        <v>1335</v>
      </c>
      <c r="E545" s="376" t="s">
        <v>437</v>
      </c>
      <c r="F545" s="608" t="s">
        <v>1376</v>
      </c>
      <c r="G545" s="609">
        <v>0.24320523867600002</v>
      </c>
      <c r="H545" s="692">
        <v>1</v>
      </c>
      <c r="I545" s="626"/>
      <c r="J545" s="752"/>
      <c r="L545" s="608" t="s">
        <v>437</v>
      </c>
      <c r="M545" s="608" t="s">
        <v>1349</v>
      </c>
      <c r="N545" s="608" t="s">
        <v>1360</v>
      </c>
      <c r="O545" s="608"/>
      <c r="P545" s="608"/>
      <c r="Q545" s="608"/>
      <c r="R545" s="608"/>
      <c r="T545" s="752"/>
      <c r="V545" s="609">
        <f t="shared" si="101"/>
        <v>0</v>
      </c>
      <c r="W545" s="692"/>
    </row>
    <row r="546" spans="1:23" outlineLevel="3">
      <c r="A546" s="376"/>
      <c r="B546" s="376" t="s">
        <v>1363</v>
      </c>
      <c r="C546" s="387" t="s">
        <v>1089</v>
      </c>
      <c r="D546" s="376" t="s">
        <v>1335</v>
      </c>
      <c r="E546" s="376" t="s">
        <v>437</v>
      </c>
      <c r="F546" s="608" t="s">
        <v>1374</v>
      </c>
      <c r="G546" s="609">
        <v>7.2961571602800007E-2</v>
      </c>
      <c r="H546" s="692">
        <v>1</v>
      </c>
      <c r="I546" s="626"/>
      <c r="J546" s="752"/>
      <c r="L546" s="608" t="s">
        <v>437</v>
      </c>
      <c r="M546" s="608" t="s">
        <v>1349</v>
      </c>
      <c r="N546" s="608" t="s">
        <v>1360</v>
      </c>
      <c r="O546" s="608"/>
      <c r="P546" s="608"/>
      <c r="Q546" s="608"/>
      <c r="R546" s="608"/>
      <c r="T546" s="752"/>
      <c r="V546" s="609">
        <f t="shared" si="101"/>
        <v>0</v>
      </c>
      <c r="W546" s="692"/>
    </row>
    <row r="547" spans="1:23" ht="26.45" outlineLevel="2">
      <c r="A547" s="376"/>
      <c r="B547" s="684" t="s">
        <v>1363</v>
      </c>
      <c r="C547" s="687" t="s">
        <v>1089</v>
      </c>
      <c r="D547" s="684" t="s">
        <v>159</v>
      </c>
      <c r="E547" s="684"/>
      <c r="F547" s="685" t="s">
        <v>1371</v>
      </c>
      <c r="G547" s="686">
        <f>SUBTOTAL(9,G548:G549)</f>
        <v>5.068627309090909E-2</v>
      </c>
      <c r="H547" s="691">
        <f>SUBTOTAL(9,H548:H549)</f>
        <v>2</v>
      </c>
      <c r="I547" s="626"/>
      <c r="J547" s="752"/>
      <c r="L547" s="685"/>
      <c r="M547" s="685" t="s">
        <v>1312</v>
      </c>
      <c r="N547" s="685"/>
      <c r="O547" s="685"/>
      <c r="P547" s="685"/>
      <c r="Q547" s="685"/>
      <c r="R547" s="685"/>
      <c r="T547" s="752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1363</v>
      </c>
      <c r="C548" s="387" t="s">
        <v>1089</v>
      </c>
      <c r="D548" s="376" t="s">
        <v>159</v>
      </c>
      <c r="E548" s="376" t="s">
        <v>1159</v>
      </c>
      <c r="F548" s="608" t="s">
        <v>36</v>
      </c>
      <c r="G548" s="609">
        <v>2.5343136545454545E-2</v>
      </c>
      <c r="H548" s="692">
        <v>1</v>
      </c>
      <c r="I548" s="626"/>
      <c r="J548" s="752"/>
      <c r="L548" s="608" t="s">
        <v>1159</v>
      </c>
      <c r="M548" s="608"/>
      <c r="N548" s="608"/>
      <c r="O548" s="608"/>
      <c r="P548" s="608"/>
      <c r="Q548" s="608"/>
      <c r="R548" s="608"/>
      <c r="T548" s="752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1363</v>
      </c>
      <c r="C549" s="387" t="s">
        <v>1089</v>
      </c>
      <c r="D549" s="376" t="s">
        <v>159</v>
      </c>
      <c r="E549" s="376" t="s">
        <v>1159</v>
      </c>
      <c r="F549" s="608" t="s">
        <v>1237</v>
      </c>
      <c r="G549" s="609">
        <v>2.5343136545454545E-2</v>
      </c>
      <c r="H549" s="692">
        <v>1</v>
      </c>
      <c r="I549" s="626"/>
      <c r="J549" s="752"/>
      <c r="L549" s="608" t="s">
        <v>1159</v>
      </c>
      <c r="M549" s="608"/>
      <c r="N549" s="608"/>
      <c r="O549" s="608"/>
      <c r="P549" s="608"/>
      <c r="Q549" s="608"/>
      <c r="R549" s="608"/>
      <c r="T549" s="752"/>
      <c r="V549" s="609">
        <f t="shared" si="102"/>
        <v>0</v>
      </c>
      <c r="W549" s="692"/>
    </row>
    <row r="550" spans="1:23" ht="26.45" outlineLevel="2">
      <c r="A550" s="376"/>
      <c r="B550" s="684" t="s">
        <v>1363</v>
      </c>
      <c r="C550" s="687" t="s">
        <v>1089</v>
      </c>
      <c r="D550" s="684" t="s">
        <v>518</v>
      </c>
      <c r="E550" s="684"/>
      <c r="F550" s="685" t="s">
        <v>1365</v>
      </c>
      <c r="G550" s="686">
        <f>SUBTOTAL(9,G551:G555)</f>
        <v>0.27391578783946907</v>
      </c>
      <c r="H550" s="691">
        <f>SUBTOTAL(9,H551:H555)</f>
        <v>5</v>
      </c>
      <c r="I550" s="626"/>
      <c r="J550" s="752"/>
      <c r="L550" s="685"/>
      <c r="M550" s="685"/>
      <c r="N550" s="685"/>
      <c r="O550" s="685"/>
      <c r="P550" s="685"/>
      <c r="Q550" s="685"/>
      <c r="R550" s="685"/>
      <c r="T550" s="752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1363</v>
      </c>
      <c r="C551" s="387" t="s">
        <v>1089</v>
      </c>
      <c r="D551" s="376" t="s">
        <v>518</v>
      </c>
      <c r="E551" s="376" t="s">
        <v>56</v>
      </c>
      <c r="F551" s="608" t="s">
        <v>971</v>
      </c>
      <c r="G551" s="609">
        <v>0.11386451109389673</v>
      </c>
      <c r="H551" s="692">
        <v>1</v>
      </c>
      <c r="I551" s="626"/>
      <c r="J551" s="752"/>
      <c r="L551" s="608" t="s">
        <v>56</v>
      </c>
      <c r="M551" s="608" t="s">
        <v>1284</v>
      </c>
      <c r="N551" s="608" t="s">
        <v>960</v>
      </c>
      <c r="O551" s="608" t="s">
        <v>1344</v>
      </c>
      <c r="P551" s="608" t="s">
        <v>965</v>
      </c>
      <c r="Q551" s="608"/>
      <c r="R551" s="608">
        <v>0</v>
      </c>
      <c r="T551" s="752"/>
      <c r="V551" s="609">
        <f t="shared" ref="V551:V555" si="103">IF(W551=1,G551,0)</f>
        <v>0</v>
      </c>
      <c r="W551" s="692"/>
    </row>
    <row r="552" spans="1:23" ht="26.45" outlineLevel="3">
      <c r="A552" s="376"/>
      <c r="B552" s="376" t="s">
        <v>1363</v>
      </c>
      <c r="C552" s="387" t="s">
        <v>1089</v>
      </c>
      <c r="D552" s="376" t="s">
        <v>518</v>
      </c>
      <c r="E552" s="376" t="s">
        <v>56</v>
      </c>
      <c r="F552" s="608" t="s">
        <v>1366</v>
      </c>
      <c r="G552" s="609">
        <v>5.6932255546948363E-2</v>
      </c>
      <c r="H552" s="692">
        <v>1</v>
      </c>
      <c r="I552" s="626"/>
      <c r="J552" s="752"/>
      <c r="L552" s="608" t="s">
        <v>56</v>
      </c>
      <c r="M552" s="608" t="s">
        <v>1372</v>
      </c>
      <c r="N552" s="608" t="s">
        <v>1373</v>
      </c>
      <c r="O552" s="608" t="s">
        <v>1344</v>
      </c>
      <c r="P552" s="608" t="s">
        <v>965</v>
      </c>
      <c r="Q552" s="608"/>
      <c r="R552" s="608">
        <v>0</v>
      </c>
      <c r="T552" s="752"/>
      <c r="V552" s="609">
        <f t="shared" si="103"/>
        <v>0</v>
      </c>
      <c r="W552" s="692"/>
    </row>
    <row r="553" spans="1:23" outlineLevel="3">
      <c r="A553" s="376"/>
      <c r="B553" s="376" t="s">
        <v>1363</v>
      </c>
      <c r="C553" s="387" t="s">
        <v>1089</v>
      </c>
      <c r="D553" s="376" t="s">
        <v>518</v>
      </c>
      <c r="E553" s="376" t="s">
        <v>56</v>
      </c>
      <c r="F553" s="608" t="s">
        <v>1367</v>
      </c>
      <c r="G553" s="609">
        <v>2.5779755299655999E-2</v>
      </c>
      <c r="H553" s="692">
        <v>1</v>
      </c>
      <c r="I553" s="626"/>
      <c r="J553" s="752"/>
      <c r="L553" s="608" t="s">
        <v>56</v>
      </c>
      <c r="M553" s="608" t="s">
        <v>1284</v>
      </c>
      <c r="N553" s="608" t="s">
        <v>960</v>
      </c>
      <c r="O553" s="608" t="s">
        <v>1344</v>
      </c>
      <c r="P553" s="608" t="s">
        <v>965</v>
      </c>
      <c r="Q553" s="608"/>
      <c r="R553" s="608">
        <v>0</v>
      </c>
      <c r="T553" s="752"/>
      <c r="V553" s="609">
        <f t="shared" si="103"/>
        <v>0</v>
      </c>
      <c r="W553" s="692"/>
    </row>
    <row r="554" spans="1:23" outlineLevel="3">
      <c r="A554" s="376"/>
      <c r="B554" s="376" t="s">
        <v>1363</v>
      </c>
      <c r="C554" s="387" t="s">
        <v>1089</v>
      </c>
      <c r="D554" s="376" t="s">
        <v>518</v>
      </c>
      <c r="E554" s="376" t="s">
        <v>56</v>
      </c>
      <c r="F554" s="608" t="s">
        <v>1368</v>
      </c>
      <c r="G554" s="609">
        <v>5.1559510599311999E-2</v>
      </c>
      <c r="H554" s="692">
        <v>1</v>
      </c>
      <c r="I554" s="626"/>
      <c r="J554" s="752"/>
      <c r="L554" s="608" t="s">
        <v>56</v>
      </c>
      <c r="M554" s="608" t="s">
        <v>1284</v>
      </c>
      <c r="N554" s="608" t="s">
        <v>960</v>
      </c>
      <c r="O554" s="608" t="s">
        <v>1344</v>
      </c>
      <c r="P554" s="608" t="s">
        <v>965</v>
      </c>
      <c r="Q554" s="608"/>
      <c r="R554" s="608">
        <v>0</v>
      </c>
      <c r="T554" s="752"/>
      <c r="V554" s="609">
        <f t="shared" si="103"/>
        <v>0</v>
      </c>
      <c r="W554" s="692"/>
    </row>
    <row r="555" spans="1:23" outlineLevel="3">
      <c r="A555" s="376"/>
      <c r="B555" s="376" t="s">
        <v>1363</v>
      </c>
      <c r="C555" s="387" t="s">
        <v>1089</v>
      </c>
      <c r="D555" s="376" t="s">
        <v>518</v>
      </c>
      <c r="E555" s="376" t="s">
        <v>56</v>
      </c>
      <c r="F555" s="608" t="s">
        <v>1374</v>
      </c>
      <c r="G555" s="609">
        <v>2.5779755299655999E-2</v>
      </c>
      <c r="H555" s="692">
        <v>1</v>
      </c>
      <c r="I555" s="626"/>
      <c r="J555" s="752"/>
      <c r="L555" s="608" t="s">
        <v>56</v>
      </c>
      <c r="M555" s="608" t="s">
        <v>1038</v>
      </c>
      <c r="N555" s="608" t="s">
        <v>1039</v>
      </c>
      <c r="O555" s="608" t="s">
        <v>1078</v>
      </c>
      <c r="P555" s="608" t="s">
        <v>965</v>
      </c>
      <c r="Q555" s="608"/>
      <c r="R555" s="608">
        <v>0</v>
      </c>
      <c r="T555" s="752"/>
      <c r="V555" s="609">
        <f t="shared" si="103"/>
        <v>0</v>
      </c>
      <c r="W555" s="692"/>
    </row>
    <row r="556" spans="1:23" ht="26.45" outlineLevel="2">
      <c r="A556" s="376"/>
      <c r="B556" s="684" t="s">
        <v>1363</v>
      </c>
      <c r="C556" s="687" t="s">
        <v>1089</v>
      </c>
      <c r="D556" s="684" t="s">
        <v>441</v>
      </c>
      <c r="E556" s="684"/>
      <c r="F556" s="685" t="s">
        <v>1375</v>
      </c>
      <c r="G556" s="686">
        <f>SUBTOTAL(9,G557:G561)</f>
        <v>0.19493700714180001</v>
      </c>
      <c r="H556" s="691">
        <f>SUBTOTAL(9,H557:H561)</f>
        <v>3</v>
      </c>
      <c r="I556" s="626"/>
      <c r="J556" s="752"/>
      <c r="L556" s="685"/>
      <c r="M556" s="685"/>
      <c r="N556" s="685"/>
      <c r="O556" s="685"/>
      <c r="P556" s="685"/>
      <c r="Q556" s="685"/>
      <c r="R556" s="685"/>
      <c r="T556" s="752"/>
      <c r="V556" s="686">
        <f>SUBTOTAL(9,V557:V561)</f>
        <v>0</v>
      </c>
      <c r="W556" s="691">
        <f>SUBTOTAL(9,W557:W561)</f>
        <v>0</v>
      </c>
    </row>
    <row r="557" spans="1:23" ht="39.6" outlineLevel="3">
      <c r="A557" s="376"/>
      <c r="B557" s="376" t="s">
        <v>1363</v>
      </c>
      <c r="C557" s="387" t="s">
        <v>1089</v>
      </c>
      <c r="D557" s="376" t="s">
        <v>441</v>
      </c>
      <c r="E557" s="376" t="s">
        <v>437</v>
      </c>
      <c r="F557" s="760" t="s">
        <v>1366</v>
      </c>
      <c r="G557" s="609"/>
      <c r="H557" s="692"/>
      <c r="I557" s="626"/>
      <c r="J557" s="752"/>
      <c r="L557" s="608" t="s">
        <v>437</v>
      </c>
      <c r="M557" s="608" t="s">
        <v>966</v>
      </c>
      <c r="N557" s="608" t="s">
        <v>1362</v>
      </c>
      <c r="O557" s="608"/>
      <c r="P557" s="608"/>
      <c r="Q557" s="608"/>
      <c r="R557" s="608"/>
      <c r="T557" s="752"/>
      <c r="V557" s="609">
        <f t="shared" ref="V557:V561" si="104">IF(W557=1,G557,0)</f>
        <v>0</v>
      </c>
      <c r="W557" s="692"/>
    </row>
    <row r="558" spans="1:23" ht="39.6" outlineLevel="3">
      <c r="A558" s="376"/>
      <c r="B558" s="376" t="s">
        <v>1363</v>
      </c>
      <c r="C558" s="387" t="s">
        <v>1089</v>
      </c>
      <c r="D558" s="376" t="s">
        <v>441</v>
      </c>
      <c r="E558" s="376" t="s">
        <v>437</v>
      </c>
      <c r="F558" s="608" t="s">
        <v>1368</v>
      </c>
      <c r="G558" s="609">
        <v>9.7468503570900006E-2</v>
      </c>
      <c r="H558" s="692">
        <v>1</v>
      </c>
      <c r="I558" s="626"/>
      <c r="J558" s="752"/>
      <c r="L558" s="608" t="s">
        <v>437</v>
      </c>
      <c r="M558" s="608" t="s">
        <v>966</v>
      </c>
      <c r="N558" s="608" t="s">
        <v>1362</v>
      </c>
      <c r="O558" s="608"/>
      <c r="P558" s="608"/>
      <c r="Q558" s="608"/>
      <c r="R558" s="608"/>
      <c r="T558" s="752"/>
      <c r="V558" s="609">
        <f t="shared" si="104"/>
        <v>0</v>
      </c>
      <c r="W558" s="692"/>
    </row>
    <row r="559" spans="1:23" ht="39.6" outlineLevel="3">
      <c r="A559" s="376"/>
      <c r="B559" s="376" t="s">
        <v>1363</v>
      </c>
      <c r="C559" s="387" t="s">
        <v>1089</v>
      </c>
      <c r="D559" s="376" t="s">
        <v>441</v>
      </c>
      <c r="E559" s="376" t="s">
        <v>437</v>
      </c>
      <c r="F559" s="608" t="s">
        <v>1376</v>
      </c>
      <c r="G559" s="609">
        <v>3.2489501190300002E-2</v>
      </c>
      <c r="H559" s="692">
        <v>1</v>
      </c>
      <c r="I559" s="626"/>
      <c r="J559" s="752"/>
      <c r="L559" s="608" t="s">
        <v>437</v>
      </c>
      <c r="M559" s="608" t="s">
        <v>966</v>
      </c>
      <c r="N559" s="608" t="s">
        <v>1362</v>
      </c>
      <c r="O559" s="608"/>
      <c r="P559" s="608"/>
      <c r="Q559" s="608"/>
      <c r="R559" s="608"/>
      <c r="T559" s="752"/>
      <c r="V559" s="609">
        <f t="shared" si="104"/>
        <v>0</v>
      </c>
      <c r="W559" s="692"/>
    </row>
    <row r="560" spans="1:23" ht="39.6" outlineLevel="3">
      <c r="A560" s="376"/>
      <c r="B560" s="376" t="s">
        <v>1363</v>
      </c>
      <c r="C560" s="387" t="s">
        <v>1089</v>
      </c>
      <c r="D560" s="376" t="s">
        <v>441</v>
      </c>
      <c r="E560" s="376" t="s">
        <v>437</v>
      </c>
      <c r="F560" s="608" t="s">
        <v>1377</v>
      </c>
      <c r="G560" s="609">
        <v>6.4979002380600004E-2</v>
      </c>
      <c r="H560" s="692">
        <v>1</v>
      </c>
      <c r="I560" s="626"/>
      <c r="J560" s="752"/>
      <c r="L560" s="608" t="s">
        <v>437</v>
      </c>
      <c r="M560" s="608" t="s">
        <v>966</v>
      </c>
      <c r="N560" s="608" t="s">
        <v>1362</v>
      </c>
      <c r="O560" s="608"/>
      <c r="P560" s="608"/>
      <c r="Q560" s="608"/>
      <c r="R560" s="608"/>
      <c r="T560" s="752"/>
      <c r="V560" s="609">
        <f t="shared" si="104"/>
        <v>0</v>
      </c>
      <c r="W560" s="692"/>
    </row>
    <row r="561" spans="1:23" ht="39.6" outlineLevel="3">
      <c r="A561" s="376"/>
      <c r="B561" s="376" t="s">
        <v>1363</v>
      </c>
      <c r="C561" s="387" t="s">
        <v>1089</v>
      </c>
      <c r="D561" s="376" t="s">
        <v>441</v>
      </c>
      <c r="E561" s="376" t="s">
        <v>437</v>
      </c>
      <c r="F561" s="760" t="s">
        <v>1374</v>
      </c>
      <c r="G561" s="609"/>
      <c r="H561" s="692"/>
      <c r="I561" s="626"/>
      <c r="J561" s="752"/>
      <c r="L561" s="608" t="s">
        <v>437</v>
      </c>
      <c r="M561" s="608" t="s">
        <v>966</v>
      </c>
      <c r="N561" s="608" t="s">
        <v>1362</v>
      </c>
      <c r="O561" s="608"/>
      <c r="P561" s="608"/>
      <c r="Q561" s="608"/>
      <c r="R561" s="608"/>
      <c r="T561" s="752"/>
      <c r="V561" s="609">
        <f t="shared" si="104"/>
        <v>0</v>
      </c>
      <c r="W561" s="692"/>
    </row>
    <row r="562" spans="1:23" ht="26.45" outlineLevel="2">
      <c r="A562" s="376"/>
      <c r="B562" s="684" t="s">
        <v>1363</v>
      </c>
      <c r="C562" s="687" t="s">
        <v>1089</v>
      </c>
      <c r="D562" s="684" t="s">
        <v>860</v>
      </c>
      <c r="E562" s="684"/>
      <c r="F562" s="685" t="s">
        <v>1375</v>
      </c>
      <c r="G562" s="686">
        <f>SUBTOTAL(9,G563:G567)</f>
        <v>0</v>
      </c>
      <c r="H562" s="691">
        <f>SUBTOTAL(9,H563:H567)</f>
        <v>0</v>
      </c>
      <c r="I562" s="626"/>
      <c r="J562" s="752"/>
      <c r="L562" s="685"/>
      <c r="M562" s="685"/>
      <c r="N562" s="685"/>
      <c r="O562" s="685"/>
      <c r="P562" s="685"/>
      <c r="Q562" s="685"/>
      <c r="R562" s="685"/>
      <c r="T562" s="752"/>
      <c r="V562" s="686">
        <f>SUBTOTAL(9,V563:V567)</f>
        <v>0</v>
      </c>
      <c r="W562" s="691">
        <f>SUBTOTAL(9,W563:W567)</f>
        <v>0</v>
      </c>
    </row>
    <row r="563" spans="1:23" ht="26.45" outlineLevel="4">
      <c r="A563" s="376"/>
      <c r="B563" s="376" t="s">
        <v>1363</v>
      </c>
      <c r="C563" s="387" t="s">
        <v>1089</v>
      </c>
      <c r="D563" s="376" t="s">
        <v>860</v>
      </c>
      <c r="E563" s="376" t="s">
        <v>437</v>
      </c>
      <c r="F563" s="760" t="s">
        <v>1366</v>
      </c>
      <c r="G563" s="609"/>
      <c r="H563" s="692"/>
      <c r="I563" s="626"/>
      <c r="J563" s="752"/>
      <c r="L563" s="608" t="s">
        <v>437</v>
      </c>
      <c r="M563" s="608" t="s">
        <v>996</v>
      </c>
      <c r="N563" s="608" t="s">
        <v>1378</v>
      </c>
      <c r="O563" s="608"/>
      <c r="P563" s="608"/>
      <c r="Q563" s="608"/>
      <c r="R563" s="608"/>
      <c r="T563" s="752"/>
      <c r="V563" s="609">
        <f t="shared" ref="V563:V567" si="105">IF(W563=1,G563,0)</f>
        <v>0</v>
      </c>
      <c r="W563" s="692"/>
    </row>
    <row r="564" spans="1:23" ht="26.45" outlineLevel="4">
      <c r="A564" s="376"/>
      <c r="B564" s="376" t="s">
        <v>1363</v>
      </c>
      <c r="C564" s="387" t="s">
        <v>1089</v>
      </c>
      <c r="D564" s="376" t="s">
        <v>860</v>
      </c>
      <c r="E564" s="376" t="s">
        <v>437</v>
      </c>
      <c r="F564" s="760" t="s">
        <v>1368</v>
      </c>
      <c r="G564" s="609"/>
      <c r="H564" s="692"/>
      <c r="I564" s="626"/>
      <c r="J564" s="752"/>
      <c r="L564" s="608" t="s">
        <v>437</v>
      </c>
      <c r="M564" s="608" t="s">
        <v>996</v>
      </c>
      <c r="N564" s="608" t="s">
        <v>1378</v>
      </c>
      <c r="O564" s="608"/>
      <c r="P564" s="608"/>
      <c r="Q564" s="608"/>
      <c r="R564" s="608"/>
      <c r="T564" s="752"/>
      <c r="V564" s="609">
        <f t="shared" si="105"/>
        <v>0</v>
      </c>
      <c r="W564" s="692"/>
    </row>
    <row r="565" spans="1:23" ht="26.45" outlineLevel="4">
      <c r="A565" s="376"/>
      <c r="B565" s="376" t="s">
        <v>1363</v>
      </c>
      <c r="C565" s="387" t="s">
        <v>1089</v>
      </c>
      <c r="D565" s="376" t="s">
        <v>860</v>
      </c>
      <c r="E565" s="376" t="s">
        <v>437</v>
      </c>
      <c r="F565" s="760" t="s">
        <v>1376</v>
      </c>
      <c r="G565" s="609"/>
      <c r="H565" s="692"/>
      <c r="I565" s="626"/>
      <c r="J565" s="752"/>
      <c r="L565" s="608" t="s">
        <v>437</v>
      </c>
      <c r="M565" s="608" t="s">
        <v>996</v>
      </c>
      <c r="N565" s="608" t="s">
        <v>1378</v>
      </c>
      <c r="O565" s="608"/>
      <c r="P565" s="608"/>
      <c r="Q565" s="608"/>
      <c r="R565" s="608"/>
      <c r="T565" s="752"/>
      <c r="V565" s="609">
        <f t="shared" si="105"/>
        <v>0</v>
      </c>
      <c r="W565" s="692"/>
    </row>
    <row r="566" spans="1:23" ht="26.45" outlineLevel="4">
      <c r="A566" s="376"/>
      <c r="B566" s="376" t="s">
        <v>1363</v>
      </c>
      <c r="C566" s="387" t="s">
        <v>1089</v>
      </c>
      <c r="D566" s="376" t="s">
        <v>860</v>
      </c>
      <c r="E566" s="376" t="s">
        <v>437</v>
      </c>
      <c r="F566" s="760" t="s">
        <v>1377</v>
      </c>
      <c r="G566" s="609"/>
      <c r="H566" s="692"/>
      <c r="I566" s="626"/>
      <c r="J566" s="752"/>
      <c r="L566" s="608" t="s">
        <v>437</v>
      </c>
      <c r="M566" s="608" t="s">
        <v>996</v>
      </c>
      <c r="N566" s="608" t="s">
        <v>1378</v>
      </c>
      <c r="O566" s="608"/>
      <c r="P566" s="608"/>
      <c r="Q566" s="608"/>
      <c r="R566" s="608"/>
      <c r="T566" s="752"/>
      <c r="V566" s="609">
        <f t="shared" si="105"/>
        <v>0</v>
      </c>
      <c r="W566" s="692"/>
    </row>
    <row r="567" spans="1:23" ht="26.45" outlineLevel="4">
      <c r="A567" s="376"/>
      <c r="B567" s="376" t="s">
        <v>1363</v>
      </c>
      <c r="C567" s="387" t="s">
        <v>1089</v>
      </c>
      <c r="D567" s="376" t="s">
        <v>860</v>
      </c>
      <c r="E567" s="376" t="s">
        <v>437</v>
      </c>
      <c r="F567" s="760" t="s">
        <v>1379</v>
      </c>
      <c r="G567" s="609"/>
      <c r="H567" s="692"/>
      <c r="I567" s="626"/>
      <c r="J567" s="752"/>
      <c r="L567" s="608" t="s">
        <v>437</v>
      </c>
      <c r="M567" s="608" t="s">
        <v>996</v>
      </c>
      <c r="N567" s="608" t="s">
        <v>1378</v>
      </c>
      <c r="O567" s="608"/>
      <c r="P567" s="608"/>
      <c r="Q567" s="608"/>
      <c r="R567" s="608"/>
      <c r="T567" s="752"/>
      <c r="V567" s="609">
        <f t="shared" si="105"/>
        <v>0</v>
      </c>
      <c r="W567" s="692"/>
    </row>
    <row r="568" spans="1:23" outlineLevel="1">
      <c r="A568" s="376"/>
      <c r="B568" s="666" t="s">
        <v>1380</v>
      </c>
      <c r="C568" s="666" t="s">
        <v>1018</v>
      </c>
      <c r="D568" s="667" t="s">
        <v>1364</v>
      </c>
      <c r="E568" s="665"/>
      <c r="F568" s="681" t="s">
        <v>947</v>
      </c>
      <c r="G568" s="724">
        <f>SUBTOTAL(9,G569:G577)</f>
        <v>0</v>
      </c>
      <c r="H568" s="725">
        <f>SUBTOTAL(9,H569:H577)</f>
        <v>0</v>
      </c>
      <c r="I568" s="626"/>
      <c r="J568" s="752"/>
      <c r="L568" s="681"/>
      <c r="M568" s="681"/>
      <c r="N568" s="681"/>
      <c r="O568" s="681"/>
      <c r="P568" s="681"/>
      <c r="Q568" s="681"/>
      <c r="R568" s="681"/>
      <c r="T568" s="752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1380</v>
      </c>
      <c r="C569" s="687" t="s">
        <v>1018</v>
      </c>
      <c r="D569" s="684" t="s">
        <v>1335</v>
      </c>
      <c r="E569" s="684"/>
      <c r="F569" s="685" t="s">
        <v>1381</v>
      </c>
      <c r="G569" s="686">
        <f>SUBTOTAL(9,G570:G571)</f>
        <v>0</v>
      </c>
      <c r="H569" s="691">
        <f>SUBTOTAL(9,H570:H571)</f>
        <v>0</v>
      </c>
      <c r="I569" s="626"/>
      <c r="J569" s="752"/>
      <c r="L569" s="685"/>
      <c r="M569" s="685"/>
      <c r="N569" s="685"/>
      <c r="O569" s="685"/>
      <c r="P569" s="685"/>
      <c r="Q569" s="685"/>
      <c r="R569" s="685"/>
      <c r="T569" s="752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1380</v>
      </c>
      <c r="C570" s="387" t="s">
        <v>1018</v>
      </c>
      <c r="D570" s="376" t="s">
        <v>1335</v>
      </c>
      <c r="E570" s="376" t="s">
        <v>437</v>
      </c>
      <c r="F570" s="760" t="s">
        <v>17</v>
      </c>
      <c r="G570" s="609"/>
      <c r="H570" s="692"/>
      <c r="I570" s="626"/>
      <c r="J570" s="752"/>
      <c r="L570" s="608" t="s">
        <v>437</v>
      </c>
      <c r="M570" s="608" t="s">
        <v>1349</v>
      </c>
      <c r="N570" s="608" t="s">
        <v>1360</v>
      </c>
      <c r="O570" s="608"/>
      <c r="P570" s="608"/>
      <c r="Q570" s="608"/>
      <c r="R570" s="608"/>
      <c r="T570" s="752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1380</v>
      </c>
      <c r="C571" s="387" t="s">
        <v>1018</v>
      </c>
      <c r="D571" s="376" t="s">
        <v>1335</v>
      </c>
      <c r="E571" s="376" t="s">
        <v>437</v>
      </c>
      <c r="F571" s="760" t="s">
        <v>36</v>
      </c>
      <c r="G571" s="609"/>
      <c r="H571" s="692"/>
      <c r="I571" s="626"/>
      <c r="J571" s="752"/>
      <c r="L571" s="608" t="s">
        <v>437</v>
      </c>
      <c r="M571" s="608" t="s">
        <v>1349</v>
      </c>
      <c r="N571" s="608" t="s">
        <v>1360</v>
      </c>
      <c r="O571" s="608"/>
      <c r="P571" s="608"/>
      <c r="Q571" s="608"/>
      <c r="R571" s="608"/>
      <c r="T571" s="752"/>
      <c r="V571" s="609">
        <f t="shared" si="106"/>
        <v>0</v>
      </c>
      <c r="W571" s="692"/>
    </row>
    <row r="572" spans="1:23" outlineLevel="2">
      <c r="A572" s="376"/>
      <c r="B572" s="684" t="s">
        <v>1380</v>
      </c>
      <c r="C572" s="687" t="s">
        <v>1018</v>
      </c>
      <c r="D572" s="684" t="s">
        <v>518</v>
      </c>
      <c r="E572" s="684"/>
      <c r="F572" s="685" t="s">
        <v>1381</v>
      </c>
      <c r="G572" s="686">
        <f>SUBTOTAL(9,G573)</f>
        <v>0</v>
      </c>
      <c r="H572" s="691">
        <f>SUBTOTAL(9,H573)</f>
        <v>0</v>
      </c>
      <c r="I572" s="626"/>
      <c r="J572" s="752"/>
      <c r="L572" s="685"/>
      <c r="M572" s="685"/>
      <c r="N572" s="685"/>
      <c r="O572" s="685"/>
      <c r="P572" s="685"/>
      <c r="Q572" s="685"/>
      <c r="R572" s="685"/>
      <c r="T572" s="752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1380</v>
      </c>
      <c r="C573" s="387" t="s">
        <v>1018</v>
      </c>
      <c r="D573" s="376" t="s">
        <v>518</v>
      </c>
      <c r="E573" s="376" t="s">
        <v>56</v>
      </c>
      <c r="F573" s="760" t="s">
        <v>36</v>
      </c>
      <c r="G573" s="609"/>
      <c r="H573" s="692"/>
      <c r="I573" s="626"/>
      <c r="J573" s="752"/>
      <c r="L573" s="608" t="s">
        <v>56</v>
      </c>
      <c r="M573" s="608" t="s">
        <v>1284</v>
      </c>
      <c r="N573" s="608" t="s">
        <v>960</v>
      </c>
      <c r="O573" s="608" t="s">
        <v>1344</v>
      </c>
      <c r="P573" s="608" t="s">
        <v>965</v>
      </c>
      <c r="Q573" s="608"/>
      <c r="R573" s="608">
        <v>0</v>
      </c>
      <c r="T573" s="752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1380</v>
      </c>
      <c r="C574" s="687" t="s">
        <v>1018</v>
      </c>
      <c r="D574" s="684" t="s">
        <v>441</v>
      </c>
      <c r="E574" s="684"/>
      <c r="F574" s="685" t="s">
        <v>1381</v>
      </c>
      <c r="G574" s="686">
        <f>SUBTOTAL(9,G575)</f>
        <v>0</v>
      </c>
      <c r="H574" s="691">
        <f>SUBTOTAL(9,H575)</f>
        <v>0</v>
      </c>
      <c r="I574" s="626"/>
      <c r="J574" s="752"/>
      <c r="L574" s="685"/>
      <c r="M574" s="685"/>
      <c r="N574" s="685"/>
      <c r="O574" s="685"/>
      <c r="P574" s="685"/>
      <c r="Q574" s="685"/>
      <c r="R574" s="685"/>
      <c r="T574" s="752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1380</v>
      </c>
      <c r="C575" s="387" t="s">
        <v>1018</v>
      </c>
      <c r="D575" s="376" t="s">
        <v>441</v>
      </c>
      <c r="E575" s="376" t="s">
        <v>437</v>
      </c>
      <c r="F575" s="760" t="s">
        <v>36</v>
      </c>
      <c r="G575" s="609"/>
      <c r="H575" s="692"/>
      <c r="I575" s="626"/>
      <c r="J575" s="752"/>
      <c r="L575" s="608" t="s">
        <v>437</v>
      </c>
      <c r="M575" s="608"/>
      <c r="N575" s="608"/>
      <c r="O575" s="608"/>
      <c r="P575" s="608"/>
      <c r="Q575" s="608"/>
      <c r="R575" s="608"/>
      <c r="T575" s="752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1380</v>
      </c>
      <c r="C576" s="687" t="s">
        <v>1018</v>
      </c>
      <c r="D576" s="684" t="s">
        <v>860</v>
      </c>
      <c r="E576" s="684"/>
      <c r="F576" s="685" t="s">
        <v>1381</v>
      </c>
      <c r="G576" s="686">
        <f>SUBTOTAL(9,G577)</f>
        <v>0</v>
      </c>
      <c r="H576" s="691">
        <f>SUBTOTAL(9,H577)</f>
        <v>0</v>
      </c>
      <c r="I576" s="626"/>
      <c r="J576" s="752"/>
      <c r="L576" s="685"/>
      <c r="M576" s="685"/>
      <c r="N576" s="685"/>
      <c r="O576" s="685"/>
      <c r="P576" s="685"/>
      <c r="Q576" s="685"/>
      <c r="R576" s="685"/>
      <c r="T576" s="752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1380</v>
      </c>
      <c r="C577" s="387" t="s">
        <v>1018</v>
      </c>
      <c r="D577" s="376" t="s">
        <v>860</v>
      </c>
      <c r="E577" s="376" t="s">
        <v>437</v>
      </c>
      <c r="F577" s="760" t="s">
        <v>36</v>
      </c>
      <c r="G577" s="609"/>
      <c r="H577" s="692"/>
      <c r="I577" s="626"/>
      <c r="J577" s="752"/>
      <c r="L577" s="608" t="s">
        <v>437</v>
      </c>
      <c r="M577" s="608"/>
      <c r="N577" s="608"/>
      <c r="O577" s="608"/>
      <c r="P577" s="608"/>
      <c r="Q577" s="608"/>
      <c r="R577" s="608"/>
      <c r="T577" s="752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1382</v>
      </c>
      <c r="C578" s="666" t="s">
        <v>1383</v>
      </c>
      <c r="D578" s="667"/>
      <c r="E578" s="665"/>
      <c r="F578" s="681" t="s">
        <v>947</v>
      </c>
      <c r="G578" s="724">
        <f>SUBTOTAL(9,G579:G580)</f>
        <v>1.6141000000000003</v>
      </c>
      <c r="H578" s="725">
        <f>SUBTOTAL(9,H579:H580)</f>
        <v>1</v>
      </c>
      <c r="I578" s="626"/>
      <c r="J578" s="752"/>
      <c r="L578" s="681"/>
      <c r="M578" s="681"/>
      <c r="N578" s="681"/>
      <c r="O578" s="681"/>
      <c r="P578" s="681"/>
      <c r="Q578" s="681"/>
      <c r="R578" s="681"/>
      <c r="T578" s="752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1382</v>
      </c>
      <c r="C579" s="684" t="s">
        <v>1383</v>
      </c>
      <c r="D579" s="684" t="s">
        <v>159</v>
      </c>
      <c r="E579" s="684"/>
      <c r="F579" s="685" t="s">
        <v>1384</v>
      </c>
      <c r="G579" s="686">
        <f>SUBTOTAL(9,G580)</f>
        <v>1.6141000000000003</v>
      </c>
      <c r="H579" s="691">
        <f>SUBTOTAL(9,H580)</f>
        <v>1</v>
      </c>
      <c r="I579" s="626"/>
      <c r="J579" s="752"/>
      <c r="L579" s="685"/>
      <c r="M579" s="685"/>
      <c r="N579" s="685"/>
      <c r="O579" s="685"/>
      <c r="P579" s="685"/>
      <c r="Q579" s="685"/>
      <c r="R579" s="685"/>
      <c r="T579" s="752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1382</v>
      </c>
      <c r="C580" s="376" t="s">
        <v>1383</v>
      </c>
      <c r="D580" s="376" t="s">
        <v>159</v>
      </c>
      <c r="E580" s="376" t="s">
        <v>1159</v>
      </c>
      <c r="F580" s="608" t="s">
        <v>17</v>
      </c>
      <c r="G580" s="609">
        <v>1.6141000000000003</v>
      </c>
      <c r="H580" s="692">
        <v>1</v>
      </c>
      <c r="I580" s="626"/>
      <c r="J580" s="752"/>
      <c r="L580" s="608" t="s">
        <v>1159</v>
      </c>
      <c r="M580" s="608" t="s">
        <v>1159</v>
      </c>
      <c r="N580" s="608" t="s">
        <v>1385</v>
      </c>
      <c r="O580" s="608" t="s">
        <v>1386</v>
      </c>
      <c r="P580" s="608"/>
      <c r="Q580" s="608"/>
      <c r="R580" s="608"/>
      <c r="T580" s="752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912</v>
      </c>
      <c r="C581" s="666" t="s">
        <v>1387</v>
      </c>
      <c r="D581" s="666"/>
      <c r="E581" s="666"/>
      <c r="F581" s="681" t="s">
        <v>947</v>
      </c>
      <c r="G581" s="724">
        <f>SUBTOTAL(9,G582:G583)</f>
        <v>0</v>
      </c>
      <c r="H581" s="725">
        <f>SUBTOTAL(9,H582:H583)</f>
        <v>0</v>
      </c>
      <c r="I581" s="626"/>
      <c r="J581" s="752"/>
      <c r="L581" s="761"/>
      <c r="M581" s="761"/>
      <c r="N581" s="761"/>
      <c r="O581" s="761"/>
      <c r="P581" s="761"/>
      <c r="Q581" s="761"/>
      <c r="R581" s="761"/>
      <c r="T581" s="752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1388</v>
      </c>
      <c r="C582" s="684" t="s">
        <v>1388</v>
      </c>
      <c r="D582" s="684" t="s">
        <v>159</v>
      </c>
      <c r="E582" s="684"/>
      <c r="F582" s="685" t="s">
        <v>1389</v>
      </c>
      <c r="G582" s="686">
        <f>SUBTOTAL(9,G583)</f>
        <v>0</v>
      </c>
      <c r="H582" s="691">
        <f>SUBTOTAL(9,H583)</f>
        <v>0</v>
      </c>
      <c r="I582" s="626"/>
      <c r="J582" s="752"/>
      <c r="L582" s="685"/>
      <c r="M582" s="685"/>
      <c r="N582" s="685"/>
      <c r="O582" s="685"/>
      <c r="P582" s="685"/>
      <c r="Q582" s="685"/>
      <c r="R582" s="685"/>
      <c r="T582" s="752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1388</v>
      </c>
      <c r="C583" s="376" t="s">
        <v>1388</v>
      </c>
      <c r="D583" s="376" t="s">
        <v>159</v>
      </c>
      <c r="E583" s="376" t="s">
        <v>950</v>
      </c>
      <c r="F583" s="760" t="s">
        <v>1390</v>
      </c>
      <c r="G583" s="609"/>
      <c r="H583" s="692"/>
      <c r="I583" s="626"/>
      <c r="J583" s="752"/>
      <c r="L583" s="608" t="s">
        <v>950</v>
      </c>
      <c r="M583" s="608" t="s">
        <v>1391</v>
      </c>
      <c r="N583" s="608" t="s">
        <v>1005</v>
      </c>
      <c r="O583" s="608"/>
      <c r="P583" s="608"/>
      <c r="Q583" s="608"/>
      <c r="R583" s="608"/>
      <c r="T583" s="752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1392</v>
      </c>
      <c r="C584" s="665" t="s">
        <v>1392</v>
      </c>
      <c r="D584" s="665"/>
      <c r="E584" s="665"/>
      <c r="F584" s="681" t="s">
        <v>947</v>
      </c>
      <c r="G584" s="724">
        <f>SUBTOTAL(9,G585:G596)</f>
        <v>0</v>
      </c>
      <c r="H584" s="725">
        <f>SUBTOTAL(9,H585:H596)</f>
        <v>3</v>
      </c>
      <c r="I584" s="626"/>
      <c r="J584" s="752"/>
      <c r="L584" s="681"/>
      <c r="M584" s="681"/>
      <c r="N584" s="681"/>
      <c r="O584" s="681"/>
      <c r="P584" s="681"/>
      <c r="Q584" s="681"/>
      <c r="R584" s="681"/>
      <c r="T584" s="752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1392</v>
      </c>
      <c r="C585" s="684" t="s">
        <v>1392</v>
      </c>
      <c r="D585" s="684" t="s">
        <v>1335</v>
      </c>
      <c r="E585" s="684"/>
      <c r="F585" s="685" t="s">
        <v>1393</v>
      </c>
      <c r="G585" s="686">
        <f>SUBTOTAL(9,G586:G588)</f>
        <v>0</v>
      </c>
      <c r="H585" s="691">
        <f>SUBTOTAL(9,H586:H588)</f>
        <v>3</v>
      </c>
      <c r="I585" s="626"/>
      <c r="J585" s="752"/>
      <c r="L585" s="685"/>
      <c r="M585" s="685"/>
      <c r="N585" s="685"/>
      <c r="O585" s="685"/>
      <c r="P585" s="685"/>
      <c r="Q585" s="685"/>
      <c r="R585" s="685"/>
      <c r="T585" s="752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1392</v>
      </c>
      <c r="C586" s="376" t="s">
        <v>1392</v>
      </c>
      <c r="D586" s="376" t="s">
        <v>1335</v>
      </c>
      <c r="E586" s="376" t="s">
        <v>437</v>
      </c>
      <c r="F586" s="608" t="s">
        <v>17</v>
      </c>
      <c r="G586" s="609"/>
      <c r="H586" s="692">
        <v>1</v>
      </c>
      <c r="I586" s="626"/>
      <c r="J586" s="752"/>
      <c r="L586" s="608" t="s">
        <v>437</v>
      </c>
      <c r="M586" s="608" t="s">
        <v>1349</v>
      </c>
      <c r="N586" s="608" t="s">
        <v>1360</v>
      </c>
      <c r="O586" s="608"/>
      <c r="P586" s="608"/>
      <c r="Q586" s="608"/>
      <c r="R586" s="608"/>
      <c r="T586" s="752"/>
      <c r="V586" s="609"/>
      <c r="W586" s="692"/>
    </row>
    <row r="587" spans="1:23" outlineLevel="3">
      <c r="A587" s="376"/>
      <c r="B587" s="376" t="s">
        <v>1392</v>
      </c>
      <c r="C587" s="376" t="s">
        <v>1392</v>
      </c>
      <c r="D587" s="376" t="s">
        <v>1335</v>
      </c>
      <c r="E587" s="376" t="s">
        <v>437</v>
      </c>
      <c r="F587" s="608" t="s">
        <v>36</v>
      </c>
      <c r="G587" s="609"/>
      <c r="H587" s="692">
        <v>1</v>
      </c>
      <c r="I587" s="626"/>
      <c r="J587" s="752"/>
      <c r="L587" s="608" t="s">
        <v>437</v>
      </c>
      <c r="M587" s="608" t="s">
        <v>1349</v>
      </c>
      <c r="N587" s="608" t="s">
        <v>1360</v>
      </c>
      <c r="O587" s="608"/>
      <c r="P587" s="608"/>
      <c r="Q587" s="608"/>
      <c r="R587" s="608"/>
      <c r="T587" s="752"/>
      <c r="V587" s="609"/>
      <c r="W587" s="692"/>
    </row>
    <row r="588" spans="1:23" outlineLevel="3">
      <c r="A588" s="376"/>
      <c r="B588" s="376" t="s">
        <v>1392</v>
      </c>
      <c r="C588" s="376" t="s">
        <v>1392</v>
      </c>
      <c r="D588" s="376" t="s">
        <v>1335</v>
      </c>
      <c r="E588" s="376" t="s">
        <v>437</v>
      </c>
      <c r="F588" s="608" t="s">
        <v>208</v>
      </c>
      <c r="G588" s="609"/>
      <c r="H588" s="692">
        <v>1</v>
      </c>
      <c r="I588" s="626"/>
      <c r="J588" s="752"/>
      <c r="L588" s="608" t="s">
        <v>437</v>
      </c>
      <c r="M588" s="608" t="s">
        <v>1349</v>
      </c>
      <c r="N588" s="608" t="s">
        <v>1360</v>
      </c>
      <c r="O588" s="608"/>
      <c r="P588" s="608"/>
      <c r="Q588" s="608"/>
      <c r="R588" s="608"/>
      <c r="T588" s="752"/>
      <c r="V588" s="609"/>
      <c r="W588" s="692"/>
    </row>
    <row r="589" spans="1:23" outlineLevel="2">
      <c r="A589" s="376"/>
      <c r="B589" s="684" t="s">
        <v>1392</v>
      </c>
      <c r="C589" s="684" t="s">
        <v>1392</v>
      </c>
      <c r="D589" s="684" t="s">
        <v>518</v>
      </c>
      <c r="E589" s="684"/>
      <c r="F589" s="685" t="s">
        <v>1393</v>
      </c>
      <c r="G589" s="686">
        <f>SUBTOTAL(9,G590)</f>
        <v>0</v>
      </c>
      <c r="H589" s="691">
        <f>SUBTOTAL(9,H590)</f>
        <v>0</v>
      </c>
      <c r="I589" s="626"/>
      <c r="J589" s="752"/>
      <c r="L589" s="685"/>
      <c r="M589" s="685"/>
      <c r="N589" s="685"/>
      <c r="O589" s="685"/>
      <c r="P589" s="685"/>
      <c r="Q589" s="685"/>
      <c r="R589" s="685"/>
      <c r="T589" s="752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1392</v>
      </c>
      <c r="C590" s="376" t="s">
        <v>1392</v>
      </c>
      <c r="D590" s="376" t="s">
        <v>518</v>
      </c>
      <c r="E590" s="376" t="s">
        <v>56</v>
      </c>
      <c r="F590" s="608" t="s">
        <v>36</v>
      </c>
      <c r="G590" s="609"/>
      <c r="H590" s="692"/>
      <c r="I590" s="626"/>
      <c r="J590" s="752"/>
      <c r="L590" s="608" t="s">
        <v>56</v>
      </c>
      <c r="M590" s="608" t="s">
        <v>1284</v>
      </c>
      <c r="N590" s="608" t="s">
        <v>960</v>
      </c>
      <c r="O590" s="608" t="s">
        <v>1344</v>
      </c>
      <c r="P590" s="608" t="s">
        <v>1096</v>
      </c>
      <c r="Q590" s="608"/>
      <c r="R590" s="608">
        <v>0</v>
      </c>
      <c r="T590" s="752"/>
      <c r="V590" s="609"/>
      <c r="W590" s="692"/>
    </row>
    <row r="591" spans="1:23" outlineLevel="2">
      <c r="A591" s="376"/>
      <c r="B591" s="684" t="s">
        <v>1392</v>
      </c>
      <c r="C591" s="684" t="s">
        <v>1392</v>
      </c>
      <c r="D591" s="684" t="s">
        <v>441</v>
      </c>
      <c r="E591" s="684"/>
      <c r="F591" s="685" t="s">
        <v>1393</v>
      </c>
      <c r="G591" s="686">
        <f>SUBTOTAL(9,G592:G593)</f>
        <v>0</v>
      </c>
      <c r="H591" s="691">
        <f>SUBTOTAL(9,H592:H593)</f>
        <v>0</v>
      </c>
      <c r="I591" s="626"/>
      <c r="J591" s="752"/>
      <c r="L591" s="685"/>
      <c r="M591" s="685"/>
      <c r="N591" s="685"/>
      <c r="O591" s="685"/>
      <c r="P591" s="685"/>
      <c r="Q591" s="685"/>
      <c r="R591" s="685"/>
      <c r="T591" s="752"/>
      <c r="V591" s="686">
        <f>SUBTOTAL(9,V592:V593)</f>
        <v>0</v>
      </c>
      <c r="W591" s="691">
        <f>SUBTOTAL(9,W592:W593)</f>
        <v>0</v>
      </c>
    </row>
    <row r="592" spans="1:23" ht="39.6" outlineLevel="3">
      <c r="A592" s="376"/>
      <c r="B592" s="376" t="s">
        <v>1392</v>
      </c>
      <c r="C592" s="376" t="s">
        <v>1392</v>
      </c>
      <c r="D592" s="376" t="s">
        <v>441</v>
      </c>
      <c r="E592" s="376" t="s">
        <v>437</v>
      </c>
      <c r="F592" s="760" t="s">
        <v>36</v>
      </c>
      <c r="G592" s="609"/>
      <c r="H592" s="692"/>
      <c r="I592" s="626"/>
      <c r="J592" s="752"/>
      <c r="L592" s="608" t="s">
        <v>437</v>
      </c>
      <c r="M592" s="608" t="s">
        <v>966</v>
      </c>
      <c r="N592" s="608" t="s">
        <v>1356</v>
      </c>
      <c r="O592" s="608"/>
      <c r="P592" s="608"/>
      <c r="Q592" s="608"/>
      <c r="R592" s="608"/>
      <c r="T592" s="752"/>
      <c r="V592" s="609"/>
      <c r="W592" s="692"/>
    </row>
    <row r="593" spans="1:23" ht="39.6" outlineLevel="3">
      <c r="A593" s="376"/>
      <c r="B593" s="376" t="s">
        <v>1392</v>
      </c>
      <c r="C593" s="376" t="s">
        <v>1392</v>
      </c>
      <c r="D593" s="376" t="s">
        <v>441</v>
      </c>
      <c r="E593" s="376" t="s">
        <v>437</v>
      </c>
      <c r="F593" s="760" t="s">
        <v>208</v>
      </c>
      <c r="G593" s="609"/>
      <c r="H593" s="692"/>
      <c r="I593" s="626"/>
      <c r="J593" s="752"/>
      <c r="L593" s="608" t="s">
        <v>437</v>
      </c>
      <c r="M593" s="608" t="s">
        <v>966</v>
      </c>
      <c r="N593" s="608" t="s">
        <v>1356</v>
      </c>
      <c r="O593" s="608"/>
      <c r="P593" s="608"/>
      <c r="Q593" s="608"/>
      <c r="R593" s="608"/>
      <c r="T593" s="752"/>
      <c r="V593" s="609"/>
      <c r="W593" s="692"/>
    </row>
    <row r="594" spans="1:23" outlineLevel="2">
      <c r="A594" s="376"/>
      <c r="B594" s="684" t="s">
        <v>1392</v>
      </c>
      <c r="C594" s="684" t="s">
        <v>1392</v>
      </c>
      <c r="D594" s="684" t="s">
        <v>860</v>
      </c>
      <c r="E594" s="684"/>
      <c r="F594" s="685" t="s">
        <v>1393</v>
      </c>
      <c r="G594" s="686">
        <f>SUBTOTAL(9,G595:G596)</f>
        <v>0</v>
      </c>
      <c r="H594" s="691">
        <f>SUBTOTAL(9,H595:H596)</f>
        <v>0</v>
      </c>
      <c r="I594" s="626"/>
      <c r="J594" s="752"/>
      <c r="L594" s="685"/>
      <c r="M594" s="685"/>
      <c r="N594" s="685"/>
      <c r="O594" s="685"/>
      <c r="P594" s="685"/>
      <c r="Q594" s="685"/>
      <c r="R594" s="685"/>
      <c r="T594" s="752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1392</v>
      </c>
      <c r="C595" s="376" t="s">
        <v>1392</v>
      </c>
      <c r="D595" s="376" t="s">
        <v>860</v>
      </c>
      <c r="E595" s="376" t="s">
        <v>437</v>
      </c>
      <c r="F595" s="760" t="s">
        <v>36</v>
      </c>
      <c r="G595" s="609"/>
      <c r="H595" s="692"/>
      <c r="I595" s="626"/>
      <c r="J595" s="752"/>
      <c r="L595" s="608" t="s">
        <v>437</v>
      </c>
      <c r="M595" s="608" t="s">
        <v>996</v>
      </c>
      <c r="N595" s="608" t="s">
        <v>1244</v>
      </c>
      <c r="O595" s="608"/>
      <c r="P595" s="608"/>
      <c r="Q595" s="608"/>
      <c r="R595" s="608"/>
      <c r="T595" s="752"/>
      <c r="V595" s="609"/>
      <c r="W595" s="692"/>
    </row>
    <row r="596" spans="1:23" outlineLevel="3">
      <c r="A596" s="376"/>
      <c r="B596" s="376" t="s">
        <v>1392</v>
      </c>
      <c r="C596" s="376" t="s">
        <v>1392</v>
      </c>
      <c r="D596" s="376" t="s">
        <v>860</v>
      </c>
      <c r="E596" s="376" t="s">
        <v>437</v>
      </c>
      <c r="F596" s="760" t="s">
        <v>208</v>
      </c>
      <c r="G596" s="609"/>
      <c r="H596" s="692"/>
      <c r="I596" s="626"/>
      <c r="J596" s="752"/>
      <c r="L596" s="608" t="s">
        <v>437</v>
      </c>
      <c r="M596" s="608" t="s">
        <v>996</v>
      </c>
      <c r="N596" s="608" t="s">
        <v>1244</v>
      </c>
      <c r="O596" s="608"/>
      <c r="P596" s="608"/>
      <c r="Q596" s="608"/>
      <c r="R596" s="608"/>
      <c r="T596" s="752"/>
      <c r="V596" s="609"/>
      <c r="W596" s="692"/>
    </row>
    <row r="597" spans="1:23" outlineLevel="1">
      <c r="A597" s="376"/>
      <c r="B597" s="665" t="s">
        <v>497</v>
      </c>
      <c r="C597" s="665" t="s">
        <v>1394</v>
      </c>
      <c r="D597" s="665"/>
      <c r="E597" s="665"/>
      <c r="F597" s="681" t="s">
        <v>947</v>
      </c>
      <c r="G597" s="724">
        <f>SUBTOTAL(9,G598:G607)</f>
        <v>1.44</v>
      </c>
      <c r="H597" s="725">
        <f>SUBTOTAL(9,H598:H607)</f>
        <v>4</v>
      </c>
      <c r="I597" s="626"/>
      <c r="J597" s="752"/>
      <c r="L597" s="681"/>
      <c r="M597" s="681"/>
      <c r="N597" s="681"/>
      <c r="O597" s="681"/>
      <c r="P597" s="681"/>
      <c r="Q597" s="681"/>
      <c r="R597" s="681"/>
      <c r="T597" s="752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497</v>
      </c>
      <c r="C598" s="684" t="s">
        <v>1394</v>
      </c>
      <c r="D598" s="684" t="s">
        <v>159</v>
      </c>
      <c r="E598" s="684"/>
      <c r="F598" s="685" t="s">
        <v>1395</v>
      </c>
      <c r="G598" s="686">
        <f>SUBTOTAL(9,G599:G600)</f>
        <v>1.1499999999999999</v>
      </c>
      <c r="H598" s="691">
        <f>SUBTOTAL(9,H599:H600)</f>
        <v>2</v>
      </c>
      <c r="I598" s="626"/>
      <c r="J598" s="752"/>
      <c r="L598" s="685"/>
      <c r="M598" s="685"/>
      <c r="N598" s="685"/>
      <c r="O598" s="685"/>
      <c r="P598" s="685"/>
      <c r="Q598" s="685"/>
      <c r="R598" s="685"/>
      <c r="T598" s="752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497</v>
      </c>
      <c r="C599" s="376" t="s">
        <v>1394</v>
      </c>
      <c r="D599" s="376" t="s">
        <v>159</v>
      </c>
      <c r="E599" s="376" t="s">
        <v>664</v>
      </c>
      <c r="F599" s="608" t="s">
        <v>36</v>
      </c>
      <c r="G599" s="609">
        <v>0.69</v>
      </c>
      <c r="H599" s="692">
        <v>1</v>
      </c>
      <c r="I599" s="626"/>
      <c r="J599" s="752"/>
      <c r="L599" s="608" t="s">
        <v>664</v>
      </c>
      <c r="M599" s="608" t="s">
        <v>1324</v>
      </c>
      <c r="N599" s="608" t="s">
        <v>1331</v>
      </c>
      <c r="O599" s="608"/>
      <c r="P599" s="608"/>
      <c r="Q599" s="608"/>
      <c r="R599" s="608"/>
      <c r="T599" s="752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497</v>
      </c>
      <c r="C600" s="376" t="s">
        <v>1394</v>
      </c>
      <c r="D600" s="376" t="s">
        <v>159</v>
      </c>
      <c r="E600" s="376" t="s">
        <v>664</v>
      </c>
      <c r="F600" s="608" t="s">
        <v>208</v>
      </c>
      <c r="G600" s="609">
        <v>0.46</v>
      </c>
      <c r="H600" s="692">
        <v>1</v>
      </c>
      <c r="I600" s="626"/>
      <c r="J600" s="752"/>
      <c r="L600" s="608" t="s">
        <v>664</v>
      </c>
      <c r="M600" s="608" t="s">
        <v>1324</v>
      </c>
      <c r="N600" s="608" t="s">
        <v>1331</v>
      </c>
      <c r="O600" s="608"/>
      <c r="P600" s="608"/>
      <c r="Q600" s="608"/>
      <c r="R600" s="608"/>
      <c r="T600" s="752"/>
      <c r="V600" s="609">
        <f t="shared" si="112"/>
        <v>0</v>
      </c>
      <c r="W600" s="692"/>
    </row>
    <row r="601" spans="1:23" outlineLevel="2">
      <c r="A601" s="376"/>
      <c r="B601" s="684" t="s">
        <v>497</v>
      </c>
      <c r="C601" s="684" t="s">
        <v>1394</v>
      </c>
      <c r="D601" s="684" t="s">
        <v>518</v>
      </c>
      <c r="E601" s="684"/>
      <c r="F601" s="685" t="s">
        <v>1396</v>
      </c>
      <c r="G601" s="686">
        <f>SUBTOTAL(9,G602)</f>
        <v>0.19</v>
      </c>
      <c r="H601" s="691">
        <f>SUBTOTAL(9,H602)</f>
        <v>0</v>
      </c>
      <c r="I601" s="626"/>
      <c r="J601" s="752"/>
      <c r="L601" s="685"/>
      <c r="M601" s="685"/>
      <c r="N601" s="685"/>
      <c r="O601" s="685"/>
      <c r="P601" s="685"/>
      <c r="Q601" s="685"/>
      <c r="R601" s="685"/>
      <c r="T601" s="752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497</v>
      </c>
      <c r="C602" s="376" t="s">
        <v>1394</v>
      </c>
      <c r="D602" s="376" t="s">
        <v>518</v>
      </c>
      <c r="E602" s="376" t="s">
        <v>56</v>
      </c>
      <c r="F602" s="608" t="s">
        <v>36</v>
      </c>
      <c r="G602" s="609">
        <v>0.19</v>
      </c>
      <c r="H602" s="692"/>
      <c r="I602" s="626"/>
      <c r="J602" s="752"/>
      <c r="L602" s="608" t="s">
        <v>56</v>
      </c>
      <c r="M602" s="608" t="s">
        <v>1038</v>
      </c>
      <c r="N602" s="608" t="s">
        <v>1279</v>
      </c>
      <c r="O602" s="608" t="s">
        <v>1078</v>
      </c>
      <c r="P602" s="608" t="s">
        <v>1081</v>
      </c>
      <c r="Q602" s="608"/>
      <c r="R602" s="608">
        <v>0</v>
      </c>
      <c r="T602" s="752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497</v>
      </c>
      <c r="C603" s="684" t="s">
        <v>1394</v>
      </c>
      <c r="D603" s="684" t="s">
        <v>441</v>
      </c>
      <c r="E603" s="684"/>
      <c r="F603" s="685" t="s">
        <v>1396</v>
      </c>
      <c r="G603" s="686">
        <f>SUBTOTAL(9,G604:G605)</f>
        <v>0.05</v>
      </c>
      <c r="H603" s="691">
        <f>SUBTOTAL(9,H604:H605)</f>
        <v>1</v>
      </c>
      <c r="I603" s="703"/>
      <c r="J603" s="755"/>
      <c r="K603" s="751"/>
      <c r="L603" s="685"/>
      <c r="M603" s="685"/>
      <c r="N603" s="685"/>
      <c r="O603" s="685"/>
      <c r="P603" s="685"/>
      <c r="Q603" s="685"/>
      <c r="R603" s="685"/>
      <c r="S603" s="751"/>
      <c r="T603" s="755"/>
      <c r="U603" s="751"/>
      <c r="V603" s="686">
        <f>SUBTOTAL(9,V604:V605)</f>
        <v>0</v>
      </c>
      <c r="W603" s="691">
        <f>SUBTOTAL(9,W604:W605)</f>
        <v>0</v>
      </c>
    </row>
    <row r="604" spans="1:23" ht="39.6" outlineLevel="3">
      <c r="A604" s="376"/>
      <c r="B604" s="376" t="s">
        <v>497</v>
      </c>
      <c r="C604" s="376" t="s">
        <v>1394</v>
      </c>
      <c r="D604" s="376" t="s">
        <v>441</v>
      </c>
      <c r="E604" s="376" t="s">
        <v>437</v>
      </c>
      <c r="F604" s="760" t="s">
        <v>36</v>
      </c>
      <c r="G604" s="609"/>
      <c r="H604" s="692"/>
      <c r="I604" s="626"/>
      <c r="J604" s="752"/>
      <c r="L604" s="608" t="s">
        <v>437</v>
      </c>
      <c r="M604" s="608" t="s">
        <v>966</v>
      </c>
      <c r="N604" s="608" t="s">
        <v>1397</v>
      </c>
      <c r="O604" s="608" t="s">
        <v>1398</v>
      </c>
      <c r="P604" s="608"/>
      <c r="Q604" s="608"/>
      <c r="R604" s="608"/>
      <c r="T604" s="752"/>
      <c r="V604" s="609">
        <f t="shared" ref="V604:V605" si="114">IF(W604=1,G604,0)</f>
        <v>0</v>
      </c>
      <c r="W604" s="692"/>
    </row>
    <row r="605" spans="1:23" ht="39.6" outlineLevel="3">
      <c r="A605" s="376"/>
      <c r="B605" s="376" t="s">
        <v>497</v>
      </c>
      <c r="C605" s="376" t="s">
        <v>1394</v>
      </c>
      <c r="D605" s="376" t="s">
        <v>441</v>
      </c>
      <c r="E605" s="376" t="s">
        <v>437</v>
      </c>
      <c r="F605" s="608" t="s">
        <v>208</v>
      </c>
      <c r="G605" s="609">
        <v>0.05</v>
      </c>
      <c r="H605" s="692">
        <v>1</v>
      </c>
      <c r="I605" s="626"/>
      <c r="J605" s="752"/>
      <c r="L605" s="608" t="s">
        <v>437</v>
      </c>
      <c r="M605" s="608" t="s">
        <v>966</v>
      </c>
      <c r="N605" s="608" t="s">
        <v>1397</v>
      </c>
      <c r="O605" s="608" t="s">
        <v>1398</v>
      </c>
      <c r="P605" s="608"/>
      <c r="Q605" s="608"/>
      <c r="R605" s="608"/>
      <c r="T605" s="752"/>
      <c r="V605" s="609">
        <f t="shared" si="114"/>
        <v>0</v>
      </c>
      <c r="W605" s="692"/>
    </row>
    <row r="606" spans="1:23" outlineLevel="2">
      <c r="A606" s="376"/>
      <c r="B606" s="684" t="s">
        <v>497</v>
      </c>
      <c r="C606" s="684" t="s">
        <v>1394</v>
      </c>
      <c r="D606" s="684" t="s">
        <v>860</v>
      </c>
      <c r="E606" s="684"/>
      <c r="F606" s="685" t="s">
        <v>1396</v>
      </c>
      <c r="G606" s="686">
        <f>SUBTOTAL(9,G607)</f>
        <v>0.05</v>
      </c>
      <c r="H606" s="691">
        <f>SUBTOTAL(9,H607)</f>
        <v>1</v>
      </c>
      <c r="I606" s="626"/>
      <c r="J606" s="752"/>
      <c r="L606" s="685"/>
      <c r="M606" s="685"/>
      <c r="N606" s="685"/>
      <c r="O606" s="685"/>
      <c r="P606" s="685"/>
      <c r="Q606" s="685"/>
      <c r="R606" s="685"/>
      <c r="T606" s="752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497</v>
      </c>
      <c r="C607" s="376" t="s">
        <v>1394</v>
      </c>
      <c r="D607" s="376" t="s">
        <v>860</v>
      </c>
      <c r="E607" s="376" t="s">
        <v>437</v>
      </c>
      <c r="F607" s="608" t="s">
        <v>208</v>
      </c>
      <c r="G607" s="609">
        <v>0.05</v>
      </c>
      <c r="H607" s="692">
        <v>1</v>
      </c>
      <c r="I607" s="626"/>
      <c r="J607" s="752"/>
      <c r="L607" s="608" t="s">
        <v>437</v>
      </c>
      <c r="M607" s="608" t="s">
        <v>996</v>
      </c>
      <c r="N607" s="608" t="s">
        <v>1346</v>
      </c>
      <c r="O607" s="608"/>
      <c r="P607" s="608"/>
      <c r="Q607" s="608"/>
      <c r="R607" s="608"/>
      <c r="T607" s="752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1399</v>
      </c>
      <c r="C608" s="682" t="s">
        <v>1400</v>
      </c>
      <c r="D608" s="682"/>
      <c r="E608" s="682"/>
      <c r="F608" s="681" t="s">
        <v>947</v>
      </c>
      <c r="G608" s="724">
        <f>SUBTOTAL(9,G609:G620)</f>
        <v>4.3845312000000004E-2</v>
      </c>
      <c r="H608" s="725">
        <f>SUBTOTAL(9,H609:H620)</f>
        <v>1</v>
      </c>
      <c r="I608" s="626"/>
      <c r="J608" s="752"/>
      <c r="L608" s="763"/>
      <c r="M608" s="763"/>
      <c r="N608" s="763"/>
      <c r="O608" s="763"/>
      <c r="P608" s="763"/>
      <c r="Q608" s="763"/>
      <c r="R608" s="763"/>
      <c r="T608" s="752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1400</v>
      </c>
      <c r="C609" s="688" t="s">
        <v>1400</v>
      </c>
      <c r="D609" s="688" t="s">
        <v>159</v>
      </c>
      <c r="E609" s="688"/>
      <c r="F609" s="712" t="s">
        <v>1286</v>
      </c>
      <c r="G609" s="686">
        <f>SUBTOTAL(9,G610:G612)</f>
        <v>4.3845312000000004E-2</v>
      </c>
      <c r="H609" s="691">
        <f>SUBTOTAL(9,H610:H612)</f>
        <v>1</v>
      </c>
      <c r="I609" s="626"/>
      <c r="J609" s="752"/>
      <c r="L609" s="712"/>
      <c r="M609" s="712"/>
      <c r="N609" s="712"/>
      <c r="O609" s="712"/>
      <c r="P609" s="712"/>
      <c r="Q609" s="712"/>
      <c r="R609" s="712"/>
      <c r="T609" s="752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1400</v>
      </c>
      <c r="C610" s="456" t="s">
        <v>1400</v>
      </c>
      <c r="D610" s="456" t="s">
        <v>159</v>
      </c>
      <c r="E610" s="456" t="s">
        <v>1236</v>
      </c>
      <c r="F610" s="623" t="s">
        <v>1401</v>
      </c>
      <c r="G610" s="745">
        <v>4.3845312000000004E-2</v>
      </c>
      <c r="H610" s="746">
        <v>1</v>
      </c>
      <c r="I610" s="626"/>
      <c r="J610" s="752"/>
      <c r="L610" s="623" t="s">
        <v>1236</v>
      </c>
      <c r="M610" s="623"/>
      <c r="N610" s="623"/>
      <c r="O610" s="623"/>
      <c r="P610" s="623"/>
      <c r="Q610" s="623"/>
      <c r="R610" s="623"/>
      <c r="T610" s="752"/>
      <c r="V610" s="609">
        <f t="shared" ref="V610:V612" si="116">IF(W610=1,G610,0)</f>
        <v>0</v>
      </c>
      <c r="W610" s="746"/>
    </row>
    <row r="611" spans="1:23" outlineLevel="3">
      <c r="A611" s="376"/>
      <c r="B611" s="456" t="s">
        <v>1400</v>
      </c>
      <c r="C611" s="456" t="s">
        <v>1400</v>
      </c>
      <c r="D611" s="456" t="s">
        <v>159</v>
      </c>
      <c r="E611" s="456" t="s">
        <v>1236</v>
      </c>
      <c r="F611" s="760" t="s">
        <v>36</v>
      </c>
      <c r="G611" s="745"/>
      <c r="H611" s="746"/>
      <c r="I611" s="626"/>
      <c r="J611" s="752"/>
      <c r="L611" s="623" t="s">
        <v>1236</v>
      </c>
      <c r="M611" s="623"/>
      <c r="N611" s="623"/>
      <c r="O611" s="623"/>
      <c r="P611" s="623"/>
      <c r="Q611" s="623"/>
      <c r="R611" s="623"/>
      <c r="T611" s="752"/>
      <c r="V611" s="609">
        <f t="shared" si="116"/>
        <v>0</v>
      </c>
      <c r="W611" s="746"/>
    </row>
    <row r="612" spans="1:23" outlineLevel="3">
      <c r="A612" s="376"/>
      <c r="B612" s="456" t="s">
        <v>1400</v>
      </c>
      <c r="C612" s="456" t="s">
        <v>1400</v>
      </c>
      <c r="D612" s="456" t="s">
        <v>159</v>
      </c>
      <c r="E612" s="456" t="s">
        <v>1236</v>
      </c>
      <c r="F612" s="760" t="s">
        <v>208</v>
      </c>
      <c r="G612" s="745"/>
      <c r="H612" s="746"/>
      <c r="I612" s="626"/>
      <c r="J612" s="752"/>
      <c r="L612" s="623" t="s">
        <v>1236</v>
      </c>
      <c r="M612" s="623"/>
      <c r="N612" s="623"/>
      <c r="O612" s="623"/>
      <c r="P612" s="623"/>
      <c r="Q612" s="623"/>
      <c r="R612" s="623"/>
      <c r="T612" s="752"/>
      <c r="V612" s="609">
        <f t="shared" si="116"/>
        <v>0</v>
      </c>
      <c r="W612" s="746"/>
    </row>
    <row r="613" spans="1:23" outlineLevel="2">
      <c r="A613" s="376"/>
      <c r="B613" s="688" t="s">
        <v>1400</v>
      </c>
      <c r="C613" s="688" t="s">
        <v>1400</v>
      </c>
      <c r="D613" s="688" t="s">
        <v>518</v>
      </c>
      <c r="E613" s="688"/>
      <c r="F613" s="712" t="s">
        <v>1259</v>
      </c>
      <c r="G613" s="686">
        <f>SUBTOTAL(9,G614)</f>
        <v>0</v>
      </c>
      <c r="H613" s="691">
        <f>SUBTOTAL(9,H614)</f>
        <v>0</v>
      </c>
      <c r="I613" s="626"/>
      <c r="J613" s="752"/>
      <c r="L613" s="712"/>
      <c r="M613" s="712"/>
      <c r="N613" s="712"/>
      <c r="O613" s="712"/>
      <c r="P613" s="712"/>
      <c r="Q613" s="712"/>
      <c r="R613" s="712"/>
      <c r="T613" s="752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1400</v>
      </c>
      <c r="C614" s="456" t="s">
        <v>1400</v>
      </c>
      <c r="D614" s="456" t="s">
        <v>518</v>
      </c>
      <c r="E614" s="456" t="s">
        <v>56</v>
      </c>
      <c r="F614" s="760" t="s">
        <v>36</v>
      </c>
      <c r="G614" s="745"/>
      <c r="H614" s="746"/>
      <c r="I614" s="626"/>
      <c r="J614" s="752"/>
      <c r="L614" s="623" t="s">
        <v>56</v>
      </c>
      <c r="M614" s="623" t="s">
        <v>1257</v>
      </c>
      <c r="N614" s="623" t="s">
        <v>1078</v>
      </c>
      <c r="O614" s="623"/>
      <c r="P614" s="623" t="s">
        <v>1155</v>
      </c>
      <c r="Q614" s="623"/>
      <c r="R614" s="623">
        <v>0</v>
      </c>
      <c r="T614" s="752"/>
      <c r="V614" s="609">
        <f t="shared" ref="V614" si="117">IF(W614=1,G614,0)</f>
        <v>0</v>
      </c>
      <c r="W614" s="746"/>
    </row>
    <row r="615" spans="1:23" outlineLevel="2">
      <c r="A615" s="376"/>
      <c r="B615" s="688" t="s">
        <v>1400</v>
      </c>
      <c r="C615" s="688" t="s">
        <v>1400</v>
      </c>
      <c r="D615" s="688" t="s">
        <v>441</v>
      </c>
      <c r="E615" s="688"/>
      <c r="F615" s="712" t="s">
        <v>1286</v>
      </c>
      <c r="G615" s="686">
        <f>SUBTOTAL(9,G616:G617)</f>
        <v>0</v>
      </c>
      <c r="H615" s="691">
        <f>SUBTOTAL(9,H616:H617)</f>
        <v>0</v>
      </c>
      <c r="I615" s="626"/>
      <c r="J615" s="752"/>
      <c r="L615" s="712"/>
      <c r="M615" s="712"/>
      <c r="N615" s="712"/>
      <c r="O615" s="712"/>
      <c r="P615" s="712"/>
      <c r="Q615" s="712"/>
      <c r="R615" s="712"/>
      <c r="T615" s="752"/>
      <c r="V615" s="686">
        <f>SUBTOTAL(9,V616:V617)</f>
        <v>0</v>
      </c>
      <c r="W615" s="691">
        <f>SUBTOTAL(9,W616:W617)</f>
        <v>0</v>
      </c>
    </row>
    <row r="616" spans="1:23" ht="39.6" outlineLevel="3">
      <c r="A616" s="376"/>
      <c r="B616" s="456" t="s">
        <v>1400</v>
      </c>
      <c r="C616" s="456" t="s">
        <v>1400</v>
      </c>
      <c r="D616" s="456" t="s">
        <v>441</v>
      </c>
      <c r="E616" s="456" t="s">
        <v>437</v>
      </c>
      <c r="F616" s="760" t="s">
        <v>36</v>
      </c>
      <c r="G616" s="745"/>
      <c r="H616" s="746"/>
      <c r="I616" s="626"/>
      <c r="J616" s="752"/>
      <c r="L616" s="623" t="s">
        <v>437</v>
      </c>
      <c r="M616" s="623" t="s">
        <v>966</v>
      </c>
      <c r="N616" s="623" t="s">
        <v>967</v>
      </c>
      <c r="O616" s="623" t="s">
        <v>995</v>
      </c>
      <c r="P616" s="623"/>
      <c r="Q616" s="623"/>
      <c r="R616" s="623"/>
      <c r="T616" s="752"/>
      <c r="V616" s="609">
        <f t="shared" ref="V616:V617" si="118">IF(W616=1,G616,0)</f>
        <v>0</v>
      </c>
      <c r="W616" s="746"/>
    </row>
    <row r="617" spans="1:23" ht="39.6" outlineLevel="3">
      <c r="A617" s="376"/>
      <c r="B617" s="456" t="s">
        <v>1400</v>
      </c>
      <c r="C617" s="456" t="s">
        <v>1400</v>
      </c>
      <c r="D617" s="456" t="s">
        <v>441</v>
      </c>
      <c r="E617" s="456" t="s">
        <v>437</v>
      </c>
      <c r="F617" s="760" t="s">
        <v>208</v>
      </c>
      <c r="G617" s="745"/>
      <c r="H617" s="746"/>
      <c r="I617" s="626"/>
      <c r="J617" s="752"/>
      <c r="L617" s="623" t="s">
        <v>437</v>
      </c>
      <c r="M617" s="623" t="s">
        <v>966</v>
      </c>
      <c r="N617" s="623" t="s">
        <v>967</v>
      </c>
      <c r="O617" s="623" t="s">
        <v>995</v>
      </c>
      <c r="P617" s="623"/>
      <c r="Q617" s="623"/>
      <c r="R617" s="623"/>
      <c r="T617" s="752"/>
      <c r="V617" s="609">
        <f t="shared" si="118"/>
        <v>0</v>
      </c>
      <c r="W617" s="746"/>
    </row>
    <row r="618" spans="1:23" outlineLevel="2">
      <c r="A618" s="376"/>
      <c r="B618" s="688" t="s">
        <v>1400</v>
      </c>
      <c r="C618" s="688" t="s">
        <v>1400</v>
      </c>
      <c r="D618" s="688" t="s">
        <v>860</v>
      </c>
      <c r="E618" s="688"/>
      <c r="F618" s="712" t="s">
        <v>1286</v>
      </c>
      <c r="G618" s="686">
        <f>SUBTOTAL(9,G619:G620)</f>
        <v>0</v>
      </c>
      <c r="H618" s="691">
        <f>SUBTOTAL(9,H619:H620)</f>
        <v>0</v>
      </c>
      <c r="I618" s="626"/>
      <c r="J618" s="752"/>
      <c r="L618" s="712"/>
      <c r="M618" s="712"/>
      <c r="N618" s="712"/>
      <c r="O618" s="712"/>
      <c r="P618" s="712"/>
      <c r="Q618" s="712"/>
      <c r="R618" s="712"/>
      <c r="T618" s="752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1400</v>
      </c>
      <c r="C619" s="456" t="s">
        <v>1400</v>
      </c>
      <c r="D619" s="456" t="s">
        <v>860</v>
      </c>
      <c r="E619" s="456" t="s">
        <v>437</v>
      </c>
      <c r="F619" s="760" t="s">
        <v>36</v>
      </c>
      <c r="G619" s="745"/>
      <c r="H619" s="746"/>
      <c r="I619" s="626"/>
      <c r="J619" s="752"/>
      <c r="L619" s="623" t="s">
        <v>437</v>
      </c>
      <c r="M619" s="623" t="s">
        <v>996</v>
      </c>
      <c r="N619" s="623" t="s">
        <v>1244</v>
      </c>
      <c r="O619" s="623"/>
      <c r="P619" s="623"/>
      <c r="Q619" s="623"/>
      <c r="R619" s="623"/>
      <c r="T619" s="752"/>
      <c r="V619" s="609">
        <f t="shared" ref="V619:V620" si="119">IF(W619=1,G619,0)</f>
        <v>0</v>
      </c>
      <c r="W619" s="746"/>
    </row>
    <row r="620" spans="1:23" outlineLevel="3">
      <c r="A620" s="376"/>
      <c r="B620" s="456" t="s">
        <v>1400</v>
      </c>
      <c r="C620" s="456" t="s">
        <v>1400</v>
      </c>
      <c r="D620" s="456" t="s">
        <v>860</v>
      </c>
      <c r="E620" s="456" t="s">
        <v>437</v>
      </c>
      <c r="F620" s="760" t="s">
        <v>208</v>
      </c>
      <c r="G620" s="745"/>
      <c r="H620" s="746"/>
      <c r="I620" s="626"/>
      <c r="J620" s="752"/>
      <c r="L620" s="623" t="s">
        <v>437</v>
      </c>
      <c r="M620" s="623" t="s">
        <v>996</v>
      </c>
      <c r="N620" s="623" t="s">
        <v>1244</v>
      </c>
      <c r="O620" s="623"/>
      <c r="P620" s="623"/>
      <c r="Q620" s="623"/>
      <c r="R620" s="623"/>
      <c r="T620" s="752"/>
      <c r="V620" s="609">
        <f t="shared" si="119"/>
        <v>0</v>
      </c>
      <c r="W620" s="746"/>
    </row>
    <row r="621" spans="1:23" s="748" customFormat="1" outlineLevel="1">
      <c r="A621" s="456"/>
      <c r="B621" s="682" t="s">
        <v>369</v>
      </c>
      <c r="C621" s="682" t="s">
        <v>843</v>
      </c>
      <c r="D621" s="682"/>
      <c r="E621" s="682"/>
      <c r="F621" s="681" t="s">
        <v>947</v>
      </c>
      <c r="G621" s="724">
        <f>SUBTOTAL(9,G622:G634)</f>
        <v>6.2110152000000003</v>
      </c>
      <c r="H621" s="725">
        <f>SUBTOTAL(9,H622:H634)</f>
        <v>4</v>
      </c>
      <c r="I621" s="747"/>
      <c r="J621" s="759"/>
      <c r="L621" s="763"/>
      <c r="M621" s="763"/>
      <c r="N621" s="763"/>
      <c r="O621" s="763"/>
      <c r="P621" s="763"/>
      <c r="Q621" s="763"/>
      <c r="R621" s="763"/>
      <c r="T621" s="759"/>
      <c r="V621" s="724">
        <f>SUBTOTAL(9,V622:V634)</f>
        <v>0</v>
      </c>
      <c r="W621" s="725">
        <f>SUBTOTAL(9,W622:W634)</f>
        <v>0</v>
      </c>
    </row>
    <row r="622" spans="1:23" ht="26.45" outlineLevel="2">
      <c r="A622" s="376"/>
      <c r="B622" s="684" t="s">
        <v>369</v>
      </c>
      <c r="C622" s="684" t="s">
        <v>843</v>
      </c>
      <c r="D622" s="684" t="s">
        <v>159</v>
      </c>
      <c r="E622" s="684"/>
      <c r="F622" s="685" t="s">
        <v>1404</v>
      </c>
      <c r="G622" s="686">
        <f>SUBTOTAL(9,G623:G626)</f>
        <v>5.1246</v>
      </c>
      <c r="H622" s="691">
        <f>SUBTOTAL(9,H623:H626)</f>
        <v>4</v>
      </c>
      <c r="I622" s="626"/>
      <c r="J622" s="752"/>
      <c r="L622" s="685"/>
      <c r="M622" s="685" t="s">
        <v>1312</v>
      </c>
      <c r="N622" s="685"/>
      <c r="O622" s="685"/>
      <c r="P622" s="685"/>
      <c r="Q622" s="685"/>
      <c r="R622" s="685"/>
      <c r="T622" s="752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369</v>
      </c>
      <c r="C623" s="376" t="s">
        <v>843</v>
      </c>
      <c r="D623" s="376" t="s">
        <v>159</v>
      </c>
      <c r="E623" s="376" t="s">
        <v>664</v>
      </c>
      <c r="F623" s="608" t="s">
        <v>1405</v>
      </c>
      <c r="G623" s="609">
        <v>3.3116500000000002</v>
      </c>
      <c r="H623" s="692">
        <v>1</v>
      </c>
      <c r="I623" s="626"/>
      <c r="J623" s="752"/>
      <c r="L623" s="608" t="s">
        <v>664</v>
      </c>
      <c r="M623" s="608" t="s">
        <v>664</v>
      </c>
      <c r="N623" s="608" t="s">
        <v>1338</v>
      </c>
      <c r="O623" s="608"/>
      <c r="P623" s="608"/>
      <c r="Q623" s="608"/>
      <c r="R623" s="608"/>
      <c r="T623" s="752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369</v>
      </c>
      <c r="C624" s="376" t="s">
        <v>843</v>
      </c>
      <c r="D624" s="376" t="s">
        <v>159</v>
      </c>
      <c r="E624" s="376" t="s">
        <v>664</v>
      </c>
      <c r="F624" s="608" t="s">
        <v>208</v>
      </c>
      <c r="G624" s="609">
        <v>1.6558250000000001</v>
      </c>
      <c r="H624" s="692">
        <v>1</v>
      </c>
      <c r="I624" s="626"/>
      <c r="J624" s="752"/>
      <c r="L624" s="608" t="s">
        <v>664</v>
      </c>
      <c r="M624" s="608" t="s">
        <v>1001</v>
      </c>
      <c r="N624" s="608" t="s">
        <v>1338</v>
      </c>
      <c r="O624" s="608"/>
      <c r="P624" s="608"/>
      <c r="Q624" s="608"/>
      <c r="R624" s="608"/>
      <c r="T624" s="752"/>
      <c r="V624" s="609">
        <f t="shared" si="120"/>
        <v>0</v>
      </c>
      <c r="W624" s="692"/>
    </row>
    <row r="625" spans="1:23" outlineLevel="3">
      <c r="A625" s="376"/>
      <c r="B625" s="376" t="s">
        <v>369</v>
      </c>
      <c r="C625" s="376" t="s">
        <v>843</v>
      </c>
      <c r="D625" s="376" t="s">
        <v>159</v>
      </c>
      <c r="E625" s="376" t="s">
        <v>1159</v>
      </c>
      <c r="F625" s="628" t="s">
        <v>38</v>
      </c>
      <c r="G625" s="609">
        <v>0.10475000000000001</v>
      </c>
      <c r="H625" s="692">
        <v>1</v>
      </c>
      <c r="I625" s="626"/>
      <c r="J625" s="752"/>
      <c r="L625" s="608" t="s">
        <v>1159</v>
      </c>
      <c r="M625" s="608"/>
      <c r="N625" s="608"/>
      <c r="O625" s="608"/>
      <c r="P625" s="608"/>
      <c r="Q625" s="608"/>
      <c r="R625" s="608"/>
      <c r="T625" s="752"/>
      <c r="V625" s="609">
        <f t="shared" si="120"/>
        <v>0</v>
      </c>
      <c r="W625" s="692"/>
    </row>
    <row r="626" spans="1:23" outlineLevel="3">
      <c r="A626" s="376"/>
      <c r="B626" s="376" t="s">
        <v>369</v>
      </c>
      <c r="C626" s="376" t="s">
        <v>843</v>
      </c>
      <c r="D626" s="376" t="s">
        <v>159</v>
      </c>
      <c r="E626" s="376" t="s">
        <v>1159</v>
      </c>
      <c r="F626" s="628" t="s">
        <v>1287</v>
      </c>
      <c r="G626" s="609">
        <v>5.2375000000000005E-2</v>
      </c>
      <c r="H626" s="692">
        <v>1</v>
      </c>
      <c r="I626" s="626"/>
      <c r="J626" s="752"/>
      <c r="L626" s="608" t="s">
        <v>1159</v>
      </c>
      <c r="M626" s="608"/>
      <c r="N626" s="608"/>
      <c r="O626" s="608"/>
      <c r="P626" s="608"/>
      <c r="Q626" s="608"/>
      <c r="R626" s="608"/>
      <c r="T626" s="752"/>
      <c r="V626" s="609">
        <f t="shared" si="120"/>
        <v>0</v>
      </c>
      <c r="W626" s="692"/>
    </row>
    <row r="627" spans="1:23" outlineLevel="2">
      <c r="A627" s="376"/>
      <c r="B627" s="684" t="s">
        <v>369</v>
      </c>
      <c r="C627" s="684" t="s">
        <v>843</v>
      </c>
      <c r="D627" s="684" t="s">
        <v>518</v>
      </c>
      <c r="E627" s="684"/>
      <c r="F627" s="685" t="s">
        <v>1404</v>
      </c>
      <c r="G627" s="686">
        <f>SUBTOTAL(9,G628)</f>
        <v>1.0864152</v>
      </c>
      <c r="H627" s="691">
        <f>SUBTOTAL(9,H628)</f>
        <v>0</v>
      </c>
      <c r="I627" s="626"/>
      <c r="J627" s="752"/>
      <c r="L627" s="685"/>
      <c r="M627" s="685"/>
      <c r="N627" s="685"/>
      <c r="O627" s="685"/>
      <c r="P627" s="685"/>
      <c r="Q627" s="685"/>
      <c r="R627" s="685"/>
      <c r="T627" s="752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369</v>
      </c>
      <c r="C628" s="376" t="s">
        <v>843</v>
      </c>
      <c r="D628" s="376" t="s">
        <v>518</v>
      </c>
      <c r="E628" s="376" t="s">
        <v>56</v>
      </c>
      <c r="F628" s="608" t="s">
        <v>1405</v>
      </c>
      <c r="G628" s="609">
        <v>1.0864152</v>
      </c>
      <c r="H628" s="692"/>
      <c r="I628" s="626"/>
      <c r="J628" s="752"/>
      <c r="L628" s="608" t="s">
        <v>56</v>
      </c>
      <c r="M628" s="608" t="s">
        <v>1038</v>
      </c>
      <c r="N628" s="608" t="s">
        <v>1039</v>
      </c>
      <c r="O628" s="608" t="s">
        <v>1078</v>
      </c>
      <c r="P628" s="608" t="s">
        <v>1040</v>
      </c>
      <c r="Q628" s="608"/>
      <c r="R628" s="608">
        <v>0</v>
      </c>
      <c r="T628" s="752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369</v>
      </c>
      <c r="C629" s="684" t="s">
        <v>843</v>
      </c>
      <c r="D629" s="684" t="s">
        <v>441</v>
      </c>
      <c r="E629" s="684"/>
      <c r="F629" s="685" t="s">
        <v>1404</v>
      </c>
      <c r="G629" s="686">
        <f>SUBTOTAL(9,G630:G631)</f>
        <v>0</v>
      </c>
      <c r="H629" s="691">
        <f>SUBTOTAL(9,H630:H631)</f>
        <v>0</v>
      </c>
      <c r="I629" s="626"/>
      <c r="J629" s="752"/>
      <c r="L629" s="685"/>
      <c r="M629" s="685"/>
      <c r="N629" s="685"/>
      <c r="O629" s="685"/>
      <c r="P629" s="685"/>
      <c r="Q629" s="685"/>
      <c r="R629" s="685"/>
      <c r="T629" s="752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369</v>
      </c>
      <c r="C630" s="376" t="s">
        <v>843</v>
      </c>
      <c r="D630" s="376" t="s">
        <v>441</v>
      </c>
      <c r="E630" s="376" t="s">
        <v>437</v>
      </c>
      <c r="F630" s="760" t="s">
        <v>36</v>
      </c>
      <c r="G630" s="609"/>
      <c r="H630" s="692"/>
      <c r="I630" s="626"/>
      <c r="J630" s="752"/>
      <c r="L630" s="608" t="s">
        <v>437</v>
      </c>
      <c r="M630" s="608"/>
      <c r="N630" s="608"/>
      <c r="O630" s="608"/>
      <c r="P630" s="608"/>
      <c r="Q630" s="608"/>
      <c r="R630" s="608"/>
      <c r="T630" s="752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369</v>
      </c>
      <c r="C631" s="376" t="s">
        <v>843</v>
      </c>
      <c r="D631" s="376" t="s">
        <v>441</v>
      </c>
      <c r="E631" s="376" t="s">
        <v>437</v>
      </c>
      <c r="F631" s="760" t="s">
        <v>208</v>
      </c>
      <c r="G631" s="609"/>
      <c r="H631" s="692"/>
      <c r="I631" s="626"/>
      <c r="J631" s="752"/>
      <c r="L631" s="608" t="s">
        <v>437</v>
      </c>
      <c r="M631" s="608"/>
      <c r="N631" s="608"/>
      <c r="O631" s="608"/>
      <c r="P631" s="608"/>
      <c r="Q631" s="608"/>
      <c r="R631" s="608"/>
      <c r="T631" s="752"/>
      <c r="V631" s="609">
        <f t="shared" si="122"/>
        <v>0</v>
      </c>
      <c r="W631" s="692"/>
    </row>
    <row r="632" spans="1:23" outlineLevel="2">
      <c r="A632" s="376"/>
      <c r="B632" s="684" t="s">
        <v>369</v>
      </c>
      <c r="C632" s="684" t="s">
        <v>843</v>
      </c>
      <c r="D632" s="684" t="s">
        <v>860</v>
      </c>
      <c r="E632" s="684"/>
      <c r="F632" s="685" t="s">
        <v>1404</v>
      </c>
      <c r="G632" s="686">
        <f>SUBTOTAL(9,G633:G634)</f>
        <v>0</v>
      </c>
      <c r="H632" s="691">
        <f>SUBTOTAL(9,H633:H634)</f>
        <v>0</v>
      </c>
      <c r="I632" s="626"/>
      <c r="J632" s="752"/>
      <c r="L632" s="685"/>
      <c r="M632" s="685"/>
      <c r="N632" s="685"/>
      <c r="O632" s="685"/>
      <c r="P632" s="685"/>
      <c r="Q632" s="685"/>
      <c r="R632" s="685"/>
      <c r="T632" s="752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369</v>
      </c>
      <c r="C633" s="376" t="s">
        <v>843</v>
      </c>
      <c r="D633" s="376" t="s">
        <v>860</v>
      </c>
      <c r="E633" s="376" t="s">
        <v>437</v>
      </c>
      <c r="F633" s="760" t="s">
        <v>36</v>
      </c>
      <c r="G633" s="609"/>
      <c r="H633" s="692"/>
      <c r="I633" s="626"/>
      <c r="J633" s="752"/>
      <c r="L633" s="608" t="s">
        <v>437</v>
      </c>
      <c r="M633" s="608"/>
      <c r="N633" s="608"/>
      <c r="O633" s="608"/>
      <c r="P633" s="608"/>
      <c r="Q633" s="608"/>
      <c r="R633" s="608"/>
      <c r="T633" s="752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369</v>
      </c>
      <c r="C634" s="376" t="s">
        <v>843</v>
      </c>
      <c r="D634" s="376" t="s">
        <v>860</v>
      </c>
      <c r="E634" s="376" t="s">
        <v>437</v>
      </c>
      <c r="F634" s="760" t="s">
        <v>208</v>
      </c>
      <c r="G634" s="609"/>
      <c r="H634" s="692"/>
      <c r="I634" s="626"/>
      <c r="J634" s="752"/>
      <c r="L634" s="608" t="s">
        <v>437</v>
      </c>
      <c r="M634" s="608"/>
      <c r="N634" s="608"/>
      <c r="O634" s="608"/>
      <c r="P634" s="608"/>
      <c r="Q634" s="608"/>
      <c r="R634" s="608"/>
      <c r="T634" s="752"/>
      <c r="V634" s="609">
        <f t="shared" si="123"/>
        <v>0</v>
      </c>
      <c r="W634" s="692"/>
    </row>
    <row r="635" spans="1:23" s="749" customFormat="1" outlineLevel="1">
      <c r="A635" s="387"/>
      <c r="B635" s="666" t="s">
        <v>507</v>
      </c>
      <c r="C635" s="666" t="s">
        <v>507</v>
      </c>
      <c r="D635" s="666"/>
      <c r="E635" s="666"/>
      <c r="F635" s="681" t="s">
        <v>947</v>
      </c>
      <c r="G635" s="724">
        <f>SUBTOTAL(9,G636:G637)</f>
        <v>18.399999999999999</v>
      </c>
      <c r="H635" s="725">
        <f>SUBTOTAL(9,H636:H637)</f>
        <v>1</v>
      </c>
      <c r="I635" s="741"/>
      <c r="J635" s="758"/>
      <c r="L635" s="761"/>
      <c r="M635" s="761"/>
      <c r="N635" s="761"/>
      <c r="O635" s="761"/>
      <c r="P635" s="761"/>
      <c r="Q635" s="761"/>
      <c r="R635" s="761"/>
      <c r="T635" s="758"/>
      <c r="V635" s="724">
        <f>SUBTOTAL(9,V636:V637)</f>
        <v>0</v>
      </c>
      <c r="W635" s="725">
        <f>SUBTOTAL(9,W636:W637)</f>
        <v>0</v>
      </c>
    </row>
    <row r="636" spans="1:23" s="749" customFormat="1" outlineLevel="2">
      <c r="A636" s="387"/>
      <c r="B636" s="687" t="s">
        <v>507</v>
      </c>
      <c r="C636" s="687" t="s">
        <v>507</v>
      </c>
      <c r="D636" s="687" t="s">
        <v>159</v>
      </c>
      <c r="E636" s="687"/>
      <c r="F636" s="717" t="s">
        <v>1389</v>
      </c>
      <c r="G636" s="743">
        <f>SUBTOTAL(9,G637)</f>
        <v>18.399999999999999</v>
      </c>
      <c r="H636" s="744">
        <f>SUBTOTAL(9,H637)</f>
        <v>1</v>
      </c>
      <c r="I636" s="741"/>
      <c r="J636" s="758"/>
      <c r="L636" s="717"/>
      <c r="M636" s="717"/>
      <c r="N636" s="717"/>
      <c r="O636" s="717"/>
      <c r="P636" s="717"/>
      <c r="Q636" s="717"/>
      <c r="R636" s="717"/>
      <c r="T636" s="758"/>
      <c r="V636" s="743">
        <f>SUBTOTAL(9,V637)</f>
        <v>0</v>
      </c>
      <c r="W636" s="744">
        <f>SUBTOTAL(9,W637)</f>
        <v>0</v>
      </c>
    </row>
    <row r="637" spans="1:23" s="749" customFormat="1" outlineLevel="3">
      <c r="A637" s="387"/>
      <c r="B637" s="387" t="s">
        <v>507</v>
      </c>
      <c r="C637" s="387" t="s">
        <v>507</v>
      </c>
      <c r="D637" s="387" t="s">
        <v>159</v>
      </c>
      <c r="E637" s="387" t="s">
        <v>950</v>
      </c>
      <c r="F637" s="705" t="s">
        <v>17</v>
      </c>
      <c r="G637" s="706">
        <v>18.399999999999999</v>
      </c>
      <c r="H637" s="707">
        <v>1</v>
      </c>
      <c r="I637" s="741"/>
      <c r="J637" s="758"/>
      <c r="L637" s="705" t="s">
        <v>950</v>
      </c>
      <c r="M637" s="705" t="s">
        <v>951</v>
      </c>
      <c r="N637" s="705"/>
      <c r="O637" s="705"/>
      <c r="P637" s="705"/>
      <c r="Q637" s="705"/>
      <c r="R637" s="705"/>
      <c r="T637" s="758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236</v>
      </c>
      <c r="C638" s="666" t="s">
        <v>1406</v>
      </c>
      <c r="D638" s="667"/>
      <c r="E638" s="665"/>
      <c r="F638" s="681" t="s">
        <v>947</v>
      </c>
      <c r="G638" s="724">
        <f>SUBTOTAL(9,G639:G653)</f>
        <v>26.688668725125005</v>
      </c>
      <c r="H638" s="725">
        <f>SUBTOTAL(9,H639:H653)</f>
        <v>3</v>
      </c>
      <c r="I638" s="626"/>
      <c r="J638" s="752"/>
      <c r="L638" s="681"/>
      <c r="M638" s="681"/>
      <c r="N638" s="681"/>
      <c r="O638" s="681"/>
      <c r="P638" s="681"/>
      <c r="Q638" s="681"/>
      <c r="R638" s="681"/>
      <c r="T638" s="752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236</v>
      </c>
      <c r="C639" s="687" t="s">
        <v>1407</v>
      </c>
      <c r="D639" s="684" t="s">
        <v>159</v>
      </c>
      <c r="E639" s="684"/>
      <c r="F639" s="685" t="s">
        <v>36</v>
      </c>
      <c r="G639" s="686">
        <f>SUBTOTAL(9,G640:G641)</f>
        <v>12.642074948250002</v>
      </c>
      <c r="H639" s="691">
        <f>SUBTOTAL(9,H640:H641)</f>
        <v>1</v>
      </c>
      <c r="I639" s="626"/>
      <c r="J639" s="752"/>
      <c r="L639" s="685"/>
      <c r="M639" s="685"/>
      <c r="N639" s="685"/>
      <c r="O639" s="685"/>
      <c r="P639" s="685"/>
      <c r="Q639" s="685"/>
      <c r="R639" s="685"/>
      <c r="T639" s="752"/>
      <c r="V639" s="686">
        <f>SUBTOTAL(9,V640:V641)</f>
        <v>0</v>
      </c>
      <c r="W639" s="691">
        <f>SUBTOTAL(9,W640:W641)</f>
        <v>0</v>
      </c>
    </row>
    <row r="640" spans="1:23" ht="26.45" outlineLevel="3">
      <c r="A640" s="376"/>
      <c r="B640" s="376" t="s">
        <v>236</v>
      </c>
      <c r="C640" s="387" t="s">
        <v>1407</v>
      </c>
      <c r="D640" s="376" t="s">
        <v>159</v>
      </c>
      <c r="E640" s="376" t="s">
        <v>1100</v>
      </c>
      <c r="F640" s="608" t="s">
        <v>17</v>
      </c>
      <c r="G640" s="609">
        <v>6.3210374741250011</v>
      </c>
      <c r="H640" s="692">
        <v>1</v>
      </c>
      <c r="I640" s="626"/>
      <c r="J640" s="752"/>
      <c r="L640" s="608" t="s">
        <v>1100</v>
      </c>
      <c r="M640" s="608" t="s">
        <v>1090</v>
      </c>
      <c r="N640" s="608" t="s">
        <v>1110</v>
      </c>
      <c r="O640" s="608" t="s">
        <v>1101</v>
      </c>
      <c r="P640" s="608"/>
      <c r="Q640" s="608"/>
      <c r="R640" s="608"/>
      <c r="T640" s="752"/>
      <c r="V640" s="609">
        <f t="shared" ref="V640:V641" si="125">IF(W640=1,G640,0)</f>
        <v>0</v>
      </c>
      <c r="W640" s="692"/>
    </row>
    <row r="641" spans="1:23" ht="26.45" outlineLevel="3">
      <c r="A641" s="376"/>
      <c r="B641" s="376" t="s">
        <v>236</v>
      </c>
      <c r="C641" s="387" t="s">
        <v>1407</v>
      </c>
      <c r="D641" s="376" t="s">
        <v>159</v>
      </c>
      <c r="E641" s="376" t="s">
        <v>1100</v>
      </c>
      <c r="F641" s="608" t="s">
        <v>36</v>
      </c>
      <c r="G641" s="609">
        <v>6.3210374741250011</v>
      </c>
      <c r="H641" s="692"/>
      <c r="I641" s="626"/>
      <c r="J641" s="752"/>
      <c r="L641" s="608" t="s">
        <v>1100</v>
      </c>
      <c r="M641" s="608" t="s">
        <v>1090</v>
      </c>
      <c r="N641" s="608" t="s">
        <v>1110</v>
      </c>
      <c r="O641" s="608" t="s">
        <v>1101</v>
      </c>
      <c r="P641" s="608"/>
      <c r="Q641" s="608"/>
      <c r="R641" s="608"/>
      <c r="T641" s="752"/>
      <c r="V641" s="609">
        <f t="shared" si="125"/>
        <v>0</v>
      </c>
      <c r="W641" s="692"/>
    </row>
    <row r="642" spans="1:23" outlineLevel="2">
      <c r="A642" s="376"/>
      <c r="B642" s="684" t="s">
        <v>236</v>
      </c>
      <c r="C642" s="687" t="s">
        <v>1408</v>
      </c>
      <c r="D642" s="684" t="s">
        <v>1335</v>
      </c>
      <c r="E642" s="684"/>
      <c r="F642" s="685" t="s">
        <v>36</v>
      </c>
      <c r="G642" s="686">
        <f>SUBTOTAL(9,G643:G644)</f>
        <v>12.642074948250002</v>
      </c>
      <c r="H642" s="691">
        <f>SUBTOTAL(9,H643:H644)</f>
        <v>1</v>
      </c>
      <c r="I642" s="626"/>
      <c r="J642" s="752"/>
      <c r="L642" s="685"/>
      <c r="M642" s="685"/>
      <c r="N642" s="685"/>
      <c r="O642" s="685"/>
      <c r="P642" s="685"/>
      <c r="Q642" s="685"/>
      <c r="R642" s="685"/>
      <c r="T642" s="752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236</v>
      </c>
      <c r="C643" s="387" t="s">
        <v>1408</v>
      </c>
      <c r="D643" s="376" t="s">
        <v>1335</v>
      </c>
      <c r="E643" s="376" t="s">
        <v>437</v>
      </c>
      <c r="F643" s="608" t="s">
        <v>17</v>
      </c>
      <c r="G643" s="609">
        <v>6.3210374741250011</v>
      </c>
      <c r="H643" s="692">
        <v>1</v>
      </c>
      <c r="I643" s="626"/>
      <c r="J643" s="752"/>
      <c r="L643" s="608" t="s">
        <v>437</v>
      </c>
      <c r="M643" s="608" t="s">
        <v>1349</v>
      </c>
      <c r="N643" s="608" t="s">
        <v>1409</v>
      </c>
      <c r="O643" s="608"/>
      <c r="P643" s="608"/>
      <c r="Q643" s="608"/>
      <c r="R643" s="608"/>
      <c r="T643" s="752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236</v>
      </c>
      <c r="C644" s="387" t="s">
        <v>1408</v>
      </c>
      <c r="D644" s="376" t="s">
        <v>1335</v>
      </c>
      <c r="E644" s="376" t="s">
        <v>437</v>
      </c>
      <c r="F644" s="608" t="s">
        <v>36</v>
      </c>
      <c r="G644" s="609">
        <v>6.3210374741250011</v>
      </c>
      <c r="H644" s="692"/>
      <c r="I644" s="626"/>
      <c r="J644" s="752"/>
      <c r="L644" s="608" t="s">
        <v>437</v>
      </c>
      <c r="M644" s="608" t="s">
        <v>1349</v>
      </c>
      <c r="N644" s="608" t="s">
        <v>1409</v>
      </c>
      <c r="O644" s="608"/>
      <c r="P644" s="608"/>
      <c r="Q644" s="608"/>
      <c r="R644" s="608"/>
      <c r="T644" s="752"/>
      <c r="V644" s="609">
        <f t="shared" si="126"/>
        <v>0</v>
      </c>
      <c r="W644" s="692"/>
    </row>
    <row r="645" spans="1:23" outlineLevel="2">
      <c r="A645" s="376"/>
      <c r="B645" s="684" t="s">
        <v>236</v>
      </c>
      <c r="C645" s="687" t="s">
        <v>1410</v>
      </c>
      <c r="D645" s="684" t="s">
        <v>159</v>
      </c>
      <c r="E645" s="684"/>
      <c r="F645" s="685" t="s">
        <v>36</v>
      </c>
      <c r="G645" s="686">
        <f>SUBTOTAL(9,G646:G647)</f>
        <v>1.4045188286250001</v>
      </c>
      <c r="H645" s="691">
        <f>SUBTOTAL(9,H646:H647)</f>
        <v>1</v>
      </c>
      <c r="I645" s="626"/>
      <c r="J645" s="752"/>
      <c r="L645" s="685"/>
      <c r="M645" s="685"/>
      <c r="N645" s="685"/>
      <c r="O645" s="685"/>
      <c r="P645" s="685"/>
      <c r="Q645" s="685"/>
      <c r="R645" s="685"/>
      <c r="T645" s="752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236</v>
      </c>
      <c r="C646" s="387" t="s">
        <v>1410</v>
      </c>
      <c r="D646" s="376" t="s">
        <v>159</v>
      </c>
      <c r="E646" s="376" t="s">
        <v>664</v>
      </c>
      <c r="F646" s="608" t="s">
        <v>17</v>
      </c>
      <c r="G646" s="609">
        <v>1.4045188286250001</v>
      </c>
      <c r="H646" s="692">
        <v>1</v>
      </c>
      <c r="I646" s="626"/>
      <c r="J646" s="752"/>
      <c r="L646" s="608" t="s">
        <v>664</v>
      </c>
      <c r="M646" s="608"/>
      <c r="N646" s="608"/>
      <c r="O646" s="608"/>
      <c r="P646" s="608"/>
      <c r="Q646" s="608"/>
      <c r="R646" s="608"/>
      <c r="T646" s="752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236</v>
      </c>
      <c r="C647" s="387" t="s">
        <v>1410</v>
      </c>
      <c r="D647" s="376" t="s">
        <v>159</v>
      </c>
      <c r="E647" s="376" t="s">
        <v>664</v>
      </c>
      <c r="F647" s="760" t="s">
        <v>36</v>
      </c>
      <c r="G647" s="609"/>
      <c r="H647" s="692"/>
      <c r="I647" s="626"/>
      <c r="J647" s="752"/>
      <c r="L647" s="608" t="s">
        <v>664</v>
      </c>
      <c r="M647" s="608"/>
      <c r="N647" s="608"/>
      <c r="O647" s="608"/>
      <c r="P647" s="608"/>
      <c r="Q647" s="608"/>
      <c r="R647" s="608"/>
      <c r="T647" s="752"/>
      <c r="V647" s="609">
        <f t="shared" si="127"/>
        <v>0</v>
      </c>
      <c r="W647" s="692"/>
    </row>
    <row r="648" spans="1:23" outlineLevel="2">
      <c r="A648" s="376"/>
      <c r="B648" s="684" t="s">
        <v>236</v>
      </c>
      <c r="C648" s="687" t="s">
        <v>1406</v>
      </c>
      <c r="D648" s="684" t="s">
        <v>518</v>
      </c>
      <c r="E648" s="684"/>
      <c r="F648" s="685" t="s">
        <v>36</v>
      </c>
      <c r="G648" s="686">
        <f>SUBTOTAL(9,G649)</f>
        <v>0</v>
      </c>
      <c r="H648" s="691">
        <f>SUBTOTAL(9,H649)</f>
        <v>0</v>
      </c>
      <c r="I648" s="626"/>
      <c r="J648" s="752"/>
      <c r="L648" s="685"/>
      <c r="M648" s="685"/>
      <c r="N648" s="685"/>
      <c r="O648" s="685"/>
      <c r="P648" s="685"/>
      <c r="Q648" s="685"/>
      <c r="R648" s="685"/>
      <c r="T648" s="752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236</v>
      </c>
      <c r="C649" s="387" t="s">
        <v>1406</v>
      </c>
      <c r="D649" s="376" t="s">
        <v>518</v>
      </c>
      <c r="E649" s="376" t="s">
        <v>56</v>
      </c>
      <c r="F649" s="760" t="s">
        <v>36</v>
      </c>
      <c r="G649" s="609"/>
      <c r="H649" s="692"/>
      <c r="I649" s="626"/>
      <c r="J649" s="752"/>
      <c r="L649" s="608" t="s">
        <v>56</v>
      </c>
      <c r="M649" s="608" t="s">
        <v>1284</v>
      </c>
      <c r="N649" s="608" t="s">
        <v>960</v>
      </c>
      <c r="O649" s="608" t="s">
        <v>1344</v>
      </c>
      <c r="P649" s="608" t="s">
        <v>1040</v>
      </c>
      <c r="Q649" s="608"/>
      <c r="R649" s="608">
        <v>0</v>
      </c>
      <c r="T649" s="752"/>
      <c r="V649" s="609">
        <f t="shared" ref="V649" si="128">IF(W649=1,G649,0)</f>
        <v>0</v>
      </c>
      <c r="W649" s="692"/>
    </row>
    <row r="650" spans="1:23" ht="92.45" outlineLevel="2">
      <c r="A650" s="376"/>
      <c r="B650" s="684" t="s">
        <v>236</v>
      </c>
      <c r="C650" s="687" t="s">
        <v>1406</v>
      </c>
      <c r="D650" s="684" t="s">
        <v>441</v>
      </c>
      <c r="E650" s="684"/>
      <c r="F650" s="685" t="s">
        <v>36</v>
      </c>
      <c r="G650" s="686">
        <f>SUBTOTAL(9,G651)</f>
        <v>0</v>
      </c>
      <c r="H650" s="691">
        <f>SUBTOTAL(9,H651)</f>
        <v>0</v>
      </c>
      <c r="I650" s="626"/>
      <c r="J650" s="752"/>
      <c r="L650" s="685"/>
      <c r="M650" s="685" t="s">
        <v>1234</v>
      </c>
      <c r="N650" s="685"/>
      <c r="O650" s="685"/>
      <c r="P650" s="685"/>
      <c r="Q650" s="685"/>
      <c r="R650" s="685"/>
      <c r="T650" s="752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236</v>
      </c>
      <c r="C651" s="387" t="s">
        <v>1406</v>
      </c>
      <c r="D651" s="376" t="s">
        <v>441</v>
      </c>
      <c r="E651" s="376" t="s">
        <v>437</v>
      </c>
      <c r="F651" s="760" t="s">
        <v>36</v>
      </c>
      <c r="G651" s="609"/>
      <c r="H651" s="692"/>
      <c r="I651" s="626"/>
      <c r="J651" s="752"/>
      <c r="L651" s="608" t="s">
        <v>437</v>
      </c>
      <c r="M651" s="608"/>
      <c r="N651" s="608"/>
      <c r="O651" s="608"/>
      <c r="P651" s="608"/>
      <c r="Q651" s="608"/>
      <c r="R651" s="608"/>
      <c r="T651" s="752"/>
      <c r="V651" s="609">
        <f t="shared" ref="V651" si="129">IF(W651=1,G651,0)</f>
        <v>0</v>
      </c>
      <c r="W651" s="692"/>
    </row>
    <row r="652" spans="1:23" ht="92.45" outlineLevel="2">
      <c r="A652" s="376"/>
      <c r="B652" s="684" t="s">
        <v>236</v>
      </c>
      <c r="C652" s="687" t="s">
        <v>1406</v>
      </c>
      <c r="D652" s="684" t="s">
        <v>860</v>
      </c>
      <c r="E652" s="684"/>
      <c r="F652" s="685" t="s">
        <v>36</v>
      </c>
      <c r="G652" s="686">
        <f>SUBTOTAL(9,G653)</f>
        <v>0</v>
      </c>
      <c r="H652" s="691">
        <f>SUBTOTAL(9,H653)</f>
        <v>0</v>
      </c>
      <c r="I652" s="626"/>
      <c r="J652" s="752"/>
      <c r="L652" s="685"/>
      <c r="M652" s="685" t="s">
        <v>1234</v>
      </c>
      <c r="N652" s="685"/>
      <c r="O652" s="685"/>
      <c r="P652" s="685"/>
      <c r="Q652" s="685"/>
      <c r="R652" s="685"/>
      <c r="T652" s="752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236</v>
      </c>
      <c r="C653" s="387" t="s">
        <v>1406</v>
      </c>
      <c r="D653" s="376" t="s">
        <v>860</v>
      </c>
      <c r="E653" s="376" t="s">
        <v>437</v>
      </c>
      <c r="F653" s="760" t="s">
        <v>36</v>
      </c>
      <c r="G653" s="609"/>
      <c r="H653" s="609"/>
      <c r="I653" s="626"/>
      <c r="J653" s="752"/>
      <c r="L653" s="608" t="s">
        <v>437</v>
      </c>
      <c r="M653" s="608"/>
      <c r="N653" s="608"/>
      <c r="O653" s="608"/>
      <c r="P653" s="608"/>
      <c r="Q653" s="608"/>
      <c r="R653" s="608"/>
      <c r="T653" s="752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3.15"/>
  <cols>
    <col min="2" max="2" width="13.5703125" bestFit="1" customWidth="1"/>
    <col min="3" max="3" width="20.28515625" bestFit="1" customWidth="1"/>
    <col min="4" max="4" width="24.5703125" bestFit="1" customWidth="1"/>
  </cols>
  <sheetData>
    <row r="2" spans="2:4">
      <c r="B2" s="657" t="s">
        <v>1852</v>
      </c>
      <c r="C2" t="s">
        <v>1854</v>
      </c>
      <c r="D2" t="s">
        <v>1853</v>
      </c>
    </row>
    <row r="3" spans="2:4">
      <c r="B3" s="658" t="s">
        <v>47</v>
      </c>
      <c r="C3">
        <v>26</v>
      </c>
    </row>
    <row r="4" spans="2:4">
      <c r="B4" s="658" t="s">
        <v>1100</v>
      </c>
      <c r="C4">
        <v>37</v>
      </c>
      <c r="D4">
        <v>40.647977761675314</v>
      </c>
    </row>
    <row r="5" spans="2:4">
      <c r="B5" s="658" t="s">
        <v>437</v>
      </c>
      <c r="C5">
        <v>62</v>
      </c>
      <c r="D5">
        <v>24.0470815859033</v>
      </c>
    </row>
    <row r="6" spans="2:4">
      <c r="B6" s="658" t="s">
        <v>1236</v>
      </c>
      <c r="C6">
        <v>8</v>
      </c>
      <c r="D6">
        <v>0.59474656199999976</v>
      </c>
    </row>
    <row r="7" spans="2:4">
      <c r="B7" s="658" t="s">
        <v>664</v>
      </c>
      <c r="C7">
        <v>23</v>
      </c>
      <c r="D7">
        <v>28.079745600924603</v>
      </c>
    </row>
    <row r="8" spans="2:4">
      <c r="B8" s="658" t="s">
        <v>1159</v>
      </c>
      <c r="C8">
        <v>38</v>
      </c>
      <c r="D8">
        <v>11.571288093812013</v>
      </c>
    </row>
    <row r="9" spans="2:4">
      <c r="B9" s="658" t="s">
        <v>56</v>
      </c>
      <c r="C9">
        <v>113</v>
      </c>
      <c r="D9">
        <v>20.009122745330476</v>
      </c>
    </row>
    <row r="10" spans="2:4">
      <c r="B10" s="658" t="s">
        <v>950</v>
      </c>
      <c r="C10">
        <v>46</v>
      </c>
      <c r="D10">
        <v>30.540592206741032</v>
      </c>
    </row>
    <row r="11" spans="2:4">
      <c r="B11" s="658" t="s">
        <v>1867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bottomRight" activeCell="F234" sqref="F234"/>
      <selection pane="bottomLeft" activeCell="E804" sqref="E804"/>
      <selection pane="topRight" activeCell="E804" sqref="E804"/>
    </sheetView>
  </sheetViews>
  <sheetFormatPr defaultColWidth="9.42578125" defaultRowHeight="13.15" outlineLevelRow="4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51.570312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6" width="9.42578125" style="373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967" t="s">
        <v>2042</v>
      </c>
      <c r="I1" s="968"/>
      <c r="J1" s="372"/>
      <c r="K1" s="967" t="s">
        <v>2043</v>
      </c>
      <c r="L1" s="968"/>
      <c r="M1" s="372"/>
      <c r="O1" s="442" t="s">
        <v>1521</v>
      </c>
      <c r="P1" s="442" t="s">
        <v>2044</v>
      </c>
      <c r="Q1" s="615" t="s">
        <v>441</v>
      </c>
      <c r="R1" s="442" t="s">
        <v>2045</v>
      </c>
    </row>
    <row r="2" spans="1:33" s="416" customFormat="1" ht="17.45">
      <c r="A2" s="376"/>
      <c r="B2" s="418" t="s">
        <v>2046</v>
      </c>
      <c r="C2" s="418"/>
      <c r="D2" s="418"/>
      <c r="E2" s="418"/>
      <c r="F2" s="423"/>
      <c r="G2" s="376"/>
      <c r="H2" s="419" t="s">
        <v>2047</v>
      </c>
      <c r="I2" s="420" t="s">
        <v>726</v>
      </c>
      <c r="J2" s="376"/>
      <c r="K2" s="419" t="s">
        <v>2047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935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1364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945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891</v>
      </c>
      <c r="C8" s="385" t="s">
        <v>946</v>
      </c>
      <c r="D8" s="385"/>
      <c r="E8" s="380"/>
      <c r="F8" s="424" t="s">
        <v>2048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891</v>
      </c>
      <c r="C9" s="372" t="s">
        <v>946</v>
      </c>
      <c r="D9" s="372" t="s">
        <v>159</v>
      </c>
      <c r="E9" s="376"/>
      <c r="F9" s="422" t="s">
        <v>2048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949</v>
      </c>
      <c r="D10" s="372" t="s">
        <v>159</v>
      </c>
      <c r="E10" s="376" t="s">
        <v>950</v>
      </c>
      <c r="F10" s="422" t="s">
        <v>2049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6.45" hidden="1" outlineLevel="3">
      <c r="A11" s="372"/>
      <c r="B11" s="372" t="s">
        <v>891</v>
      </c>
      <c r="C11" s="372" t="s">
        <v>949</v>
      </c>
      <c r="D11" s="372" t="s">
        <v>159</v>
      </c>
      <c r="E11" s="376" t="s">
        <v>950</v>
      </c>
      <c r="F11" s="422" t="s">
        <v>2051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891</v>
      </c>
      <c r="C12" s="372" t="s">
        <v>956</v>
      </c>
      <c r="D12" s="372" t="s">
        <v>159</v>
      </c>
      <c r="E12" s="376" t="s">
        <v>950</v>
      </c>
      <c r="F12" s="422" t="s">
        <v>247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891</v>
      </c>
      <c r="C13" s="372" t="s">
        <v>956</v>
      </c>
      <c r="D13" s="372" t="s">
        <v>159</v>
      </c>
      <c r="E13" s="376" t="s">
        <v>950</v>
      </c>
      <c r="F13" s="422" t="s">
        <v>251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891</v>
      </c>
      <c r="C14" s="372" t="s">
        <v>946</v>
      </c>
      <c r="D14" s="372" t="s">
        <v>518</v>
      </c>
      <c r="E14" s="372"/>
      <c r="F14" s="422" t="s">
        <v>2048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6.45" hidden="1" outlineLevel="3">
      <c r="A15" s="372"/>
      <c r="B15" s="372" t="s">
        <v>891</v>
      </c>
      <c r="C15" s="372" t="s">
        <v>949</v>
      </c>
      <c r="D15" s="372" t="s">
        <v>518</v>
      </c>
      <c r="E15" s="372" t="s">
        <v>56</v>
      </c>
      <c r="F15" s="422" t="s">
        <v>2051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891</v>
      </c>
      <c r="C16" s="372" t="s">
        <v>956</v>
      </c>
      <c r="D16" s="372" t="s">
        <v>518</v>
      </c>
      <c r="E16" s="372" t="s">
        <v>56</v>
      </c>
      <c r="F16" s="422" t="s">
        <v>247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891</v>
      </c>
      <c r="C17" s="372" t="s">
        <v>956</v>
      </c>
      <c r="D17" s="372" t="s">
        <v>518</v>
      </c>
      <c r="E17" s="372" t="s">
        <v>56</v>
      </c>
      <c r="F17" s="422" t="s">
        <v>251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891</v>
      </c>
      <c r="C18" s="372" t="s">
        <v>946</v>
      </c>
      <c r="D18" s="372" t="s">
        <v>441</v>
      </c>
      <c r="E18" s="372"/>
      <c r="F18" s="422" t="s">
        <v>2048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891</v>
      </c>
      <c r="C19" s="372" t="s">
        <v>956</v>
      </c>
      <c r="D19" s="372" t="s">
        <v>441</v>
      </c>
      <c r="E19" s="372" t="s">
        <v>437</v>
      </c>
      <c r="F19" s="422" t="s">
        <v>247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891</v>
      </c>
      <c r="C20" s="385" t="s">
        <v>969</v>
      </c>
      <c r="D20" s="385"/>
      <c r="E20" s="380"/>
      <c r="F20" s="424" t="s">
        <v>2048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891</v>
      </c>
      <c r="C21" s="372" t="s">
        <v>969</v>
      </c>
      <c r="D21" s="372" t="s">
        <v>159</v>
      </c>
      <c r="E21" s="376"/>
      <c r="F21" s="422" t="s">
        <v>2048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891</v>
      </c>
      <c r="C22" s="372" t="s">
        <v>969</v>
      </c>
      <c r="D22" s="372" t="s">
        <v>159</v>
      </c>
      <c r="E22" s="387" t="s">
        <v>950</v>
      </c>
      <c r="F22" s="422" t="s">
        <v>297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891</v>
      </c>
      <c r="C23" s="372" t="s">
        <v>969</v>
      </c>
      <c r="D23" s="372" t="s">
        <v>159</v>
      </c>
      <c r="E23" s="387" t="s">
        <v>950</v>
      </c>
      <c r="F23" s="422" t="s">
        <v>206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891</v>
      </c>
      <c r="C24" s="372" t="s">
        <v>969</v>
      </c>
      <c r="D24" s="372" t="s">
        <v>159</v>
      </c>
      <c r="E24" s="387" t="s">
        <v>950</v>
      </c>
      <c r="F24" s="422" t="s">
        <v>208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891</v>
      </c>
      <c r="C25" s="372" t="s">
        <v>969</v>
      </c>
      <c r="D25" s="372" t="s">
        <v>159</v>
      </c>
      <c r="E25" s="387" t="s">
        <v>950</v>
      </c>
      <c r="F25" s="422" t="s">
        <v>199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891</v>
      </c>
      <c r="C26" s="372" t="s">
        <v>969</v>
      </c>
      <c r="D26" s="372" t="s">
        <v>159</v>
      </c>
      <c r="E26" s="387" t="s">
        <v>950</v>
      </c>
      <c r="F26" s="422" t="s">
        <v>2059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891</v>
      </c>
      <c r="C27" s="372" t="s">
        <v>969</v>
      </c>
      <c r="D27" s="372" t="s">
        <v>159</v>
      </c>
      <c r="E27" s="387" t="s">
        <v>950</v>
      </c>
      <c r="F27" s="422" t="s">
        <v>2060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891</v>
      </c>
      <c r="C28" s="372" t="s">
        <v>969</v>
      </c>
      <c r="D28" s="372" t="s">
        <v>159</v>
      </c>
      <c r="E28" s="387" t="s">
        <v>950</v>
      </c>
      <c r="F28" s="422" t="s">
        <v>2061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891</v>
      </c>
      <c r="C29" s="372" t="s">
        <v>969</v>
      </c>
      <c r="D29" s="372" t="s">
        <v>159</v>
      </c>
      <c r="E29" s="387" t="s">
        <v>950</v>
      </c>
      <c r="F29" s="422" t="s">
        <v>2062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891</v>
      </c>
      <c r="C30" s="372" t="s">
        <v>969</v>
      </c>
      <c r="D30" s="372" t="s">
        <v>159</v>
      </c>
      <c r="E30" s="387" t="s">
        <v>950</v>
      </c>
      <c r="F30" s="422" t="s">
        <v>2063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891</v>
      </c>
      <c r="C31" s="372" t="s">
        <v>969</v>
      </c>
      <c r="D31" s="372" t="s">
        <v>159</v>
      </c>
      <c r="E31" s="387" t="s">
        <v>950</v>
      </c>
      <c r="F31" s="422" t="s">
        <v>2064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891</v>
      </c>
      <c r="C32" s="372" t="s">
        <v>969</v>
      </c>
      <c r="D32" s="372" t="s">
        <v>159</v>
      </c>
      <c r="E32" s="387" t="s">
        <v>950</v>
      </c>
      <c r="F32" s="422" t="s">
        <v>2065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891</v>
      </c>
      <c r="C33" s="372" t="s">
        <v>969</v>
      </c>
      <c r="D33" s="372" t="s">
        <v>159</v>
      </c>
      <c r="E33" s="387" t="s">
        <v>950</v>
      </c>
      <c r="F33" s="422" t="s">
        <v>2066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891</v>
      </c>
      <c r="C34" s="372" t="s">
        <v>969</v>
      </c>
      <c r="D34" s="372" t="s">
        <v>159</v>
      </c>
      <c r="E34" s="387" t="s">
        <v>950</v>
      </c>
      <c r="F34" s="422" t="s">
        <v>2067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891</v>
      </c>
      <c r="C35" s="372" t="s">
        <v>969</v>
      </c>
      <c r="D35" s="372" t="s">
        <v>159</v>
      </c>
      <c r="E35" s="387" t="s">
        <v>950</v>
      </c>
      <c r="F35" s="422" t="s">
        <v>2068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969</v>
      </c>
      <c r="D36" s="372" t="s">
        <v>159</v>
      </c>
      <c r="E36" s="387" t="s">
        <v>950</v>
      </c>
      <c r="F36" s="422" t="s">
        <v>490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891</v>
      </c>
      <c r="C37" s="372" t="s">
        <v>969</v>
      </c>
      <c r="D37" s="372" t="s">
        <v>518</v>
      </c>
      <c r="E37" s="372"/>
      <c r="F37" s="422" t="s">
        <v>2048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891</v>
      </c>
      <c r="C38" s="372" t="s">
        <v>969</v>
      </c>
      <c r="D38" s="372" t="s">
        <v>518</v>
      </c>
      <c r="E38" s="372" t="s">
        <v>56</v>
      </c>
      <c r="F38" s="422" t="s">
        <v>206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891</v>
      </c>
      <c r="C39" s="372" t="s">
        <v>969</v>
      </c>
      <c r="D39" s="372" t="s">
        <v>518</v>
      </c>
      <c r="E39" s="372" t="s">
        <v>56</v>
      </c>
      <c r="F39" s="422" t="s">
        <v>199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891</v>
      </c>
      <c r="C40" s="372" t="s">
        <v>969</v>
      </c>
      <c r="D40" s="372" t="s">
        <v>518</v>
      </c>
      <c r="E40" s="372" t="s">
        <v>56</v>
      </c>
      <c r="F40" s="422" t="s">
        <v>2069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891</v>
      </c>
      <c r="C41" s="372" t="s">
        <v>969</v>
      </c>
      <c r="D41" s="372" t="s">
        <v>518</v>
      </c>
      <c r="E41" s="372" t="s">
        <v>56</v>
      </c>
      <c r="F41" s="422" t="s">
        <v>2070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891</v>
      </c>
      <c r="C42" s="372" t="s">
        <v>969</v>
      </c>
      <c r="D42" s="372" t="s">
        <v>518</v>
      </c>
      <c r="E42" s="372" t="s">
        <v>56</v>
      </c>
      <c r="F42" s="422" t="s">
        <v>2063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891</v>
      </c>
      <c r="C43" s="372" t="s">
        <v>969</v>
      </c>
      <c r="D43" s="372" t="s">
        <v>518</v>
      </c>
      <c r="E43" s="372" t="s">
        <v>56</v>
      </c>
      <c r="F43" s="422" t="s">
        <v>2071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891</v>
      </c>
      <c r="C44" s="372" t="s">
        <v>969</v>
      </c>
      <c r="D44" s="372" t="s">
        <v>518</v>
      </c>
      <c r="E44" s="372" t="s">
        <v>56</v>
      </c>
      <c r="F44" s="422" t="s">
        <v>2072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891</v>
      </c>
      <c r="C45" s="372" t="s">
        <v>969</v>
      </c>
      <c r="D45" s="372" t="s">
        <v>518</v>
      </c>
      <c r="E45" s="372" t="s">
        <v>56</v>
      </c>
      <c r="F45" s="422" t="s">
        <v>2065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891</v>
      </c>
      <c r="C46" s="372" t="s">
        <v>969</v>
      </c>
      <c r="D46" s="372" t="s">
        <v>518</v>
      </c>
      <c r="E46" s="372" t="s">
        <v>56</v>
      </c>
      <c r="F46" s="422" t="s">
        <v>2073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891</v>
      </c>
      <c r="C47" s="372" t="s">
        <v>969</v>
      </c>
      <c r="D47" s="372" t="s">
        <v>518</v>
      </c>
      <c r="E47" s="372" t="s">
        <v>56</v>
      </c>
      <c r="F47" s="422" t="s">
        <v>2074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891</v>
      </c>
      <c r="C48" s="372" t="s">
        <v>969</v>
      </c>
      <c r="D48" s="372" t="s">
        <v>518</v>
      </c>
      <c r="E48" s="372" t="s">
        <v>56</v>
      </c>
      <c r="F48" s="422" t="s">
        <v>2066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891</v>
      </c>
      <c r="C49" s="372" t="s">
        <v>969</v>
      </c>
      <c r="D49" s="372" t="s">
        <v>518</v>
      </c>
      <c r="E49" s="372" t="s">
        <v>56</v>
      </c>
      <c r="F49" s="422" t="s">
        <v>2067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969</v>
      </c>
      <c r="D50" s="372" t="s">
        <v>518</v>
      </c>
      <c r="E50" s="372" t="s">
        <v>56</v>
      </c>
      <c r="F50" s="422" t="s">
        <v>2075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891</v>
      </c>
      <c r="C51" s="372" t="s">
        <v>969</v>
      </c>
      <c r="D51" s="372" t="s">
        <v>518</v>
      </c>
      <c r="E51" s="372" t="s">
        <v>56</v>
      </c>
      <c r="F51" s="422" t="s">
        <v>2076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969</v>
      </c>
      <c r="D52" s="372" t="s">
        <v>518</v>
      </c>
      <c r="E52" s="372" t="s">
        <v>56</v>
      </c>
      <c r="F52" s="422" t="s">
        <v>2068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891</v>
      </c>
      <c r="C53" s="372" t="s">
        <v>969</v>
      </c>
      <c r="D53" s="372" t="s">
        <v>441</v>
      </c>
      <c r="E53" s="372"/>
      <c r="F53" s="422" t="s">
        <v>2048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891</v>
      </c>
      <c r="C54" s="372" t="s">
        <v>969</v>
      </c>
      <c r="D54" s="372" t="s">
        <v>441</v>
      </c>
      <c r="E54" s="372" t="s">
        <v>437</v>
      </c>
      <c r="F54" s="422" t="s">
        <v>444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891</v>
      </c>
      <c r="C55" s="372" t="s">
        <v>969</v>
      </c>
      <c r="D55" s="372" t="s">
        <v>441</v>
      </c>
      <c r="E55" s="372" t="s">
        <v>437</v>
      </c>
      <c r="F55" s="422" t="s">
        <v>481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891</v>
      </c>
      <c r="C56" s="372" t="s">
        <v>969</v>
      </c>
      <c r="D56" s="372" t="s">
        <v>441</v>
      </c>
      <c r="E56" s="372" t="s">
        <v>437</v>
      </c>
      <c r="F56" s="422" t="s">
        <v>2077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891</v>
      </c>
      <c r="C57" s="372" t="s">
        <v>969</v>
      </c>
      <c r="D57" s="372" t="s">
        <v>441</v>
      </c>
      <c r="E57" s="372" t="s">
        <v>437</v>
      </c>
      <c r="F57" s="422" t="s">
        <v>2078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891</v>
      </c>
      <c r="C58" s="372" t="s">
        <v>969</v>
      </c>
      <c r="D58" s="372" t="s">
        <v>441</v>
      </c>
      <c r="E58" s="372" t="s">
        <v>437</v>
      </c>
      <c r="F58" s="422" t="s">
        <v>2061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891</v>
      </c>
      <c r="C59" s="372" t="s">
        <v>969</v>
      </c>
      <c r="D59" s="372" t="s">
        <v>441</v>
      </c>
      <c r="E59" s="372" t="s">
        <v>437</v>
      </c>
      <c r="F59" s="422" t="s">
        <v>2059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891</v>
      </c>
      <c r="C60" s="372" t="s">
        <v>969</v>
      </c>
      <c r="D60" s="372" t="s">
        <v>441</v>
      </c>
      <c r="E60" s="372" t="s">
        <v>437</v>
      </c>
      <c r="F60" s="422" t="s">
        <v>490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891</v>
      </c>
      <c r="C61" s="372" t="s">
        <v>969</v>
      </c>
      <c r="D61" s="372" t="s">
        <v>860</v>
      </c>
      <c r="E61" s="372"/>
      <c r="F61" s="422" t="s">
        <v>2048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891</v>
      </c>
      <c r="C62" s="372" t="s">
        <v>969</v>
      </c>
      <c r="D62" s="372" t="s">
        <v>860</v>
      </c>
      <c r="E62" s="372" t="s">
        <v>437</v>
      </c>
      <c r="F62" s="422" t="s">
        <v>206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891</v>
      </c>
      <c r="C63" s="372" t="s">
        <v>969</v>
      </c>
      <c r="D63" s="372" t="s">
        <v>860</v>
      </c>
      <c r="E63" s="372" t="s">
        <v>437</v>
      </c>
      <c r="F63" s="422" t="s">
        <v>207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891</v>
      </c>
      <c r="C64" s="372" t="s">
        <v>969</v>
      </c>
      <c r="D64" s="372" t="s">
        <v>860</v>
      </c>
      <c r="E64" s="372" t="s">
        <v>437</v>
      </c>
      <c r="F64" s="422" t="s">
        <v>2079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891</v>
      </c>
      <c r="C65" s="372" t="s">
        <v>969</v>
      </c>
      <c r="D65" s="372" t="s">
        <v>860</v>
      </c>
      <c r="E65" s="372" t="s">
        <v>437</v>
      </c>
      <c r="F65" s="422" t="s">
        <v>244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891</v>
      </c>
      <c r="C66" s="372" t="s">
        <v>969</v>
      </c>
      <c r="D66" s="372" t="s">
        <v>860</v>
      </c>
      <c r="E66" s="372" t="s">
        <v>437</v>
      </c>
      <c r="F66" s="422" t="s">
        <v>2080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893</v>
      </c>
      <c r="C67" s="407" t="s">
        <v>1000</v>
      </c>
      <c r="D67" s="386"/>
      <c r="E67" s="386"/>
      <c r="F67" s="426" t="s">
        <v>2048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893</v>
      </c>
      <c r="C68" s="372" t="s">
        <v>1000</v>
      </c>
      <c r="D68" s="372" t="s">
        <v>159</v>
      </c>
      <c r="E68" s="376"/>
      <c r="F68" s="425" t="s">
        <v>2048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893</v>
      </c>
      <c r="C69" s="372" t="s">
        <v>1000</v>
      </c>
      <c r="D69" s="372" t="s">
        <v>159</v>
      </c>
      <c r="E69" s="376" t="s">
        <v>664</v>
      </c>
      <c r="F69" s="422" t="s">
        <v>246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893</v>
      </c>
      <c r="C70" s="372" t="s">
        <v>1000</v>
      </c>
      <c r="D70" s="372" t="s">
        <v>159</v>
      </c>
      <c r="E70" s="376" t="s">
        <v>664</v>
      </c>
      <c r="F70" s="425" t="s">
        <v>247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893</v>
      </c>
      <c r="C71" s="372" t="s">
        <v>1000</v>
      </c>
      <c r="D71" s="372" t="s">
        <v>159</v>
      </c>
      <c r="E71" s="376" t="s">
        <v>664</v>
      </c>
      <c r="F71" s="425" t="s">
        <v>248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893</v>
      </c>
      <c r="C72" s="372" t="s">
        <v>1000</v>
      </c>
      <c r="D72" s="372" t="s">
        <v>518</v>
      </c>
      <c r="E72" s="372"/>
      <c r="F72" s="422" t="s">
        <v>2048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893</v>
      </c>
      <c r="C73" s="372" t="s">
        <v>1000</v>
      </c>
      <c r="D73" s="372" t="s">
        <v>518</v>
      </c>
      <c r="E73" s="372" t="s">
        <v>56</v>
      </c>
      <c r="F73" s="422" t="s">
        <v>2081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893</v>
      </c>
      <c r="C74" s="372" t="s">
        <v>1000</v>
      </c>
      <c r="D74" s="372" t="s">
        <v>518</v>
      </c>
      <c r="E74" s="372" t="s">
        <v>56</v>
      </c>
      <c r="F74" s="422" t="s">
        <v>2082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893</v>
      </c>
      <c r="C75" s="372" t="s">
        <v>1000</v>
      </c>
      <c r="D75" s="372" t="s">
        <v>518</v>
      </c>
      <c r="E75" s="372" t="s">
        <v>56</v>
      </c>
      <c r="F75" s="422" t="s">
        <v>246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893</v>
      </c>
      <c r="C76" s="372" t="s">
        <v>1000</v>
      </c>
      <c r="D76" s="372" t="s">
        <v>518</v>
      </c>
      <c r="E76" s="372" t="s">
        <v>56</v>
      </c>
      <c r="F76" s="422" t="s">
        <v>247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893</v>
      </c>
      <c r="C77" s="372" t="s">
        <v>1000</v>
      </c>
      <c r="D77" s="372" t="s">
        <v>441</v>
      </c>
      <c r="E77" s="372"/>
      <c r="F77" s="425" t="s">
        <v>2048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893</v>
      </c>
      <c r="C78" s="372" t="s">
        <v>1000</v>
      </c>
      <c r="D78" s="372" t="s">
        <v>441</v>
      </c>
      <c r="E78" s="372" t="s">
        <v>437</v>
      </c>
      <c r="F78" s="425" t="s">
        <v>490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893</v>
      </c>
      <c r="C79" s="372" t="s">
        <v>1000</v>
      </c>
      <c r="D79" s="372" t="s">
        <v>441</v>
      </c>
      <c r="E79" s="372" t="s">
        <v>437</v>
      </c>
      <c r="F79" s="425" t="s">
        <v>247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1017</v>
      </c>
      <c r="C80" s="407" t="s">
        <v>1018</v>
      </c>
      <c r="D80" s="386"/>
      <c r="E80" s="386"/>
      <c r="F80" s="426" t="s">
        <v>2083</v>
      </c>
      <c r="G80" s="407"/>
      <c r="H80" s="463" t="s">
        <v>1078</v>
      </c>
      <c r="I80" s="413">
        <f>SUM(I81)</f>
        <v>0</v>
      </c>
      <c r="J80" s="407"/>
      <c r="K80" s="463" t="s">
        <v>1078</v>
      </c>
      <c r="L80" s="413">
        <f>SUM(L81)</f>
        <v>0</v>
      </c>
      <c r="M80" s="407"/>
    </row>
    <row r="81" spans="2:13" hidden="1" outlineLevel="2">
      <c r="B81" s="387" t="s">
        <v>1017</v>
      </c>
      <c r="C81" s="387" t="s">
        <v>1018</v>
      </c>
      <c r="D81" s="372"/>
      <c r="E81" s="372"/>
      <c r="F81" s="428" t="s">
        <v>2084</v>
      </c>
      <c r="G81" s="372"/>
      <c r="H81" s="399" t="s">
        <v>1078</v>
      </c>
      <c r="I81" s="378"/>
      <c r="J81" s="372"/>
      <c r="K81" s="399" t="s">
        <v>1078</v>
      </c>
      <c r="L81" s="378"/>
      <c r="M81" s="372"/>
    </row>
    <row r="82" spans="2:13" s="415" customFormat="1" outlineLevel="1" collapsed="1">
      <c r="B82" s="386" t="s">
        <v>894</v>
      </c>
      <c r="C82" s="407" t="s">
        <v>1021</v>
      </c>
      <c r="D82" s="386"/>
      <c r="E82" s="386"/>
      <c r="F82" s="426" t="s">
        <v>2085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894</v>
      </c>
      <c r="C83" s="372" t="s">
        <v>1021</v>
      </c>
      <c r="D83" s="372" t="s">
        <v>159</v>
      </c>
      <c r="E83" s="376"/>
      <c r="F83" s="425" t="s">
        <v>1022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894</v>
      </c>
      <c r="C84" s="372" t="s">
        <v>1021</v>
      </c>
      <c r="D84" s="372" t="s">
        <v>159</v>
      </c>
      <c r="E84" s="376" t="s">
        <v>950</v>
      </c>
      <c r="F84" s="425" t="s">
        <v>334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894</v>
      </c>
      <c r="C85" s="372" t="s">
        <v>1021</v>
      </c>
      <c r="D85" s="372" t="s">
        <v>159</v>
      </c>
      <c r="E85" s="376" t="s">
        <v>950</v>
      </c>
      <c r="F85" s="425" t="s">
        <v>335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894</v>
      </c>
      <c r="C86" s="372" t="s">
        <v>1021</v>
      </c>
      <c r="D86" s="372" t="s">
        <v>159</v>
      </c>
      <c r="E86" s="376" t="s">
        <v>950</v>
      </c>
      <c r="F86" s="425" t="s">
        <v>336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894</v>
      </c>
      <c r="C87" s="372" t="s">
        <v>1021</v>
      </c>
      <c r="D87" s="372" t="s">
        <v>159</v>
      </c>
      <c r="E87" s="376" t="s">
        <v>950</v>
      </c>
      <c r="F87" s="425" t="s">
        <v>2091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894</v>
      </c>
      <c r="C88" s="372" t="s">
        <v>1021</v>
      </c>
      <c r="D88" s="372" t="s">
        <v>159</v>
      </c>
      <c r="E88" s="376" t="s">
        <v>950</v>
      </c>
      <c r="F88" s="425" t="s">
        <v>337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894</v>
      </c>
      <c r="C89" s="372" t="s">
        <v>1021</v>
      </c>
      <c r="D89" s="372" t="s">
        <v>159</v>
      </c>
      <c r="E89" s="376" t="s">
        <v>950</v>
      </c>
      <c r="F89" s="425" t="s">
        <v>338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894</v>
      </c>
      <c r="C90" s="372" t="s">
        <v>1021</v>
      </c>
      <c r="D90" s="372" t="s">
        <v>159</v>
      </c>
      <c r="E90" s="376" t="s">
        <v>950</v>
      </c>
      <c r="F90" s="425" t="s">
        <v>339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894</v>
      </c>
      <c r="C91" s="372" t="s">
        <v>1021</v>
      </c>
      <c r="D91" s="372" t="s">
        <v>159</v>
      </c>
      <c r="E91" s="376" t="s">
        <v>950</v>
      </c>
      <c r="F91" s="425" t="s">
        <v>340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894</v>
      </c>
      <c r="C92" s="372" t="s">
        <v>1021</v>
      </c>
      <c r="D92" s="372" t="s">
        <v>518</v>
      </c>
      <c r="E92" s="372"/>
      <c r="F92" s="425" t="s">
        <v>1022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894</v>
      </c>
      <c r="C93" s="372" t="s">
        <v>1021</v>
      </c>
      <c r="D93" s="372" t="s">
        <v>518</v>
      </c>
      <c r="E93" s="372" t="s">
        <v>56</v>
      </c>
      <c r="F93" s="425" t="s">
        <v>543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894</v>
      </c>
      <c r="C94" s="372" t="s">
        <v>1021</v>
      </c>
      <c r="D94" s="372" t="s">
        <v>518</v>
      </c>
      <c r="E94" s="372" t="s">
        <v>56</v>
      </c>
      <c r="F94" s="425" t="s">
        <v>221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894</v>
      </c>
      <c r="C95" s="372" t="s">
        <v>1021</v>
      </c>
      <c r="D95" s="372" t="s">
        <v>518</v>
      </c>
      <c r="E95" s="372" t="s">
        <v>56</v>
      </c>
      <c r="F95" s="425" t="s">
        <v>254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894</v>
      </c>
      <c r="C96" s="372" t="s">
        <v>1021</v>
      </c>
      <c r="D96" s="372" t="s">
        <v>441</v>
      </c>
      <c r="E96" s="372"/>
      <c r="F96" s="425" t="s">
        <v>1022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894</v>
      </c>
      <c r="C97" s="372" t="s">
        <v>1021</v>
      </c>
      <c r="D97" s="372" t="s">
        <v>441</v>
      </c>
      <c r="E97" s="372" t="s">
        <v>437</v>
      </c>
      <c r="F97" s="425" t="s">
        <v>221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894</v>
      </c>
      <c r="C98" s="372" t="s">
        <v>1021</v>
      </c>
      <c r="D98" s="372" t="s">
        <v>441</v>
      </c>
      <c r="E98" s="372" t="s">
        <v>437</v>
      </c>
      <c r="F98" s="425" t="s">
        <v>2100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894</v>
      </c>
      <c r="C99" s="372" t="s">
        <v>1021</v>
      </c>
      <c r="D99" s="372" t="s">
        <v>441</v>
      </c>
      <c r="E99" s="372" t="s">
        <v>437</v>
      </c>
      <c r="F99" s="425" t="s">
        <v>254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894</v>
      </c>
      <c r="C100" s="372" t="s">
        <v>1021</v>
      </c>
      <c r="D100" s="372" t="s">
        <v>860</v>
      </c>
      <c r="E100" s="372"/>
      <c r="F100" s="425" t="s">
        <v>1022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6.45" hidden="1" outlineLevel="3">
      <c r="B101" s="372" t="s">
        <v>894</v>
      </c>
      <c r="C101" s="372" t="s">
        <v>1021</v>
      </c>
      <c r="D101" s="372" t="s">
        <v>860</v>
      </c>
      <c r="E101" s="372" t="s">
        <v>437</v>
      </c>
      <c r="F101" s="425" t="s">
        <v>468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469</v>
      </c>
      <c r="C102" s="407" t="s">
        <v>1049</v>
      </c>
      <c r="D102" s="386"/>
      <c r="E102" s="386"/>
      <c r="F102" s="426" t="s">
        <v>2085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6.45" hidden="1" outlineLevel="2" collapsed="1">
      <c r="B103" s="372" t="s">
        <v>469</v>
      </c>
      <c r="C103" s="372" t="s">
        <v>1049</v>
      </c>
      <c r="D103" s="372" t="s">
        <v>159</v>
      </c>
      <c r="E103" s="387"/>
      <c r="F103" s="422" t="s">
        <v>2102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469</v>
      </c>
      <c r="C104" s="372" t="s">
        <v>1049</v>
      </c>
      <c r="D104" s="372" t="s">
        <v>159</v>
      </c>
      <c r="E104" s="387" t="s">
        <v>950</v>
      </c>
      <c r="F104" s="425" t="s">
        <v>2103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469</v>
      </c>
      <c r="C105" s="372" t="s">
        <v>1049</v>
      </c>
      <c r="D105" s="372" t="s">
        <v>159</v>
      </c>
      <c r="E105" s="387" t="s">
        <v>950</v>
      </c>
      <c r="F105" s="425" t="s">
        <v>2104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469</v>
      </c>
      <c r="C106" s="372" t="s">
        <v>1049</v>
      </c>
      <c r="D106" s="372" t="s">
        <v>159</v>
      </c>
      <c r="E106" s="387" t="s">
        <v>950</v>
      </c>
      <c r="F106" s="425" t="s">
        <v>2105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469</v>
      </c>
      <c r="C107" s="372" t="s">
        <v>1049</v>
      </c>
      <c r="D107" s="372" t="s">
        <v>159</v>
      </c>
      <c r="E107" s="387" t="s">
        <v>950</v>
      </c>
      <c r="F107" s="425" t="s">
        <v>2106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469</v>
      </c>
      <c r="C108" s="372" t="s">
        <v>1049</v>
      </c>
      <c r="D108" s="372" t="s">
        <v>159</v>
      </c>
      <c r="E108" s="387" t="s">
        <v>950</v>
      </c>
      <c r="F108" s="425" t="s">
        <v>1536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t="26.45" hidden="1" outlineLevel="3">
      <c r="B109" s="372" t="s">
        <v>469</v>
      </c>
      <c r="C109" s="372" t="s">
        <v>1049</v>
      </c>
      <c r="D109" s="372" t="s">
        <v>159</v>
      </c>
      <c r="E109" s="387" t="s">
        <v>950</v>
      </c>
      <c r="F109" s="425" t="s">
        <v>1542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469</v>
      </c>
      <c r="C110" s="372" t="s">
        <v>1049</v>
      </c>
      <c r="D110" s="372" t="s">
        <v>159</v>
      </c>
      <c r="E110" s="387" t="s">
        <v>950</v>
      </c>
      <c r="F110" s="425" t="s">
        <v>2107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469</v>
      </c>
      <c r="C111" s="372" t="s">
        <v>1049</v>
      </c>
      <c r="D111" s="372" t="s">
        <v>159</v>
      </c>
      <c r="E111" s="387" t="s">
        <v>950</v>
      </c>
      <c r="F111" s="425" t="s">
        <v>2108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469</v>
      </c>
      <c r="C112" s="372" t="s">
        <v>1049</v>
      </c>
      <c r="D112" s="372" t="s">
        <v>159</v>
      </c>
      <c r="E112" s="387" t="s">
        <v>950</v>
      </c>
      <c r="F112" s="425" t="s">
        <v>2109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469</v>
      </c>
      <c r="C113" s="372" t="s">
        <v>1049</v>
      </c>
      <c r="D113" s="372" t="s">
        <v>159</v>
      </c>
      <c r="E113" s="387" t="s">
        <v>950</v>
      </c>
      <c r="F113" s="425" t="s">
        <v>244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469</v>
      </c>
      <c r="C114" s="372" t="s">
        <v>1049</v>
      </c>
      <c r="D114" s="372" t="s">
        <v>159</v>
      </c>
      <c r="E114" s="387" t="s">
        <v>950</v>
      </c>
      <c r="F114" s="425" t="s">
        <v>544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469</v>
      </c>
      <c r="C115" s="372" t="s">
        <v>1049</v>
      </c>
      <c r="D115" s="372" t="s">
        <v>159</v>
      </c>
      <c r="E115" s="387" t="s">
        <v>950</v>
      </c>
      <c r="F115" s="425" t="s">
        <v>545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6.45" hidden="1" outlineLevel="3">
      <c r="B116" s="372" t="s">
        <v>469</v>
      </c>
      <c r="C116" s="372" t="s">
        <v>1049</v>
      </c>
      <c r="D116" s="372" t="s">
        <v>159</v>
      </c>
      <c r="E116" s="387" t="s">
        <v>950</v>
      </c>
      <c r="F116" s="425" t="s">
        <v>1546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469</v>
      </c>
      <c r="C117" s="372" t="s">
        <v>1049</v>
      </c>
      <c r="D117" s="372" t="s">
        <v>159</v>
      </c>
      <c r="E117" s="387" t="s">
        <v>950</v>
      </c>
      <c r="F117" s="425" t="s">
        <v>860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469</v>
      </c>
      <c r="C118" s="372" t="s">
        <v>1049</v>
      </c>
      <c r="D118" s="372" t="s">
        <v>159</v>
      </c>
      <c r="E118" s="387" t="s">
        <v>950</v>
      </c>
      <c r="F118" s="425" t="s">
        <v>221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469</v>
      </c>
      <c r="C119" s="372" t="s">
        <v>1049</v>
      </c>
      <c r="D119" s="372" t="s">
        <v>159</v>
      </c>
      <c r="E119" s="387" t="s">
        <v>950</v>
      </c>
      <c r="F119" s="425" t="s">
        <v>245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469</v>
      </c>
      <c r="C120" s="372" t="s">
        <v>1049</v>
      </c>
      <c r="D120" s="372" t="s">
        <v>159</v>
      </c>
      <c r="E120" s="387" t="s">
        <v>950</v>
      </c>
      <c r="F120" s="425" t="s">
        <v>283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469</v>
      </c>
      <c r="C121" s="372" t="s">
        <v>1049</v>
      </c>
      <c r="D121" s="372" t="s">
        <v>159</v>
      </c>
      <c r="E121" s="387" t="s">
        <v>950</v>
      </c>
      <c r="F121" s="425" t="s">
        <v>543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469</v>
      </c>
      <c r="C122" s="372" t="s">
        <v>1049</v>
      </c>
      <c r="D122" s="372" t="s">
        <v>518</v>
      </c>
      <c r="E122" s="372"/>
      <c r="F122" s="425" t="s">
        <v>1022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469</v>
      </c>
      <c r="C123" s="372" t="s">
        <v>1049</v>
      </c>
      <c r="D123" s="372" t="s">
        <v>518</v>
      </c>
      <c r="E123" s="372" t="s">
        <v>56</v>
      </c>
      <c r="F123" s="425" t="s">
        <v>544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469</v>
      </c>
      <c r="C124" s="372" t="s">
        <v>1049</v>
      </c>
      <c r="D124" s="372" t="s">
        <v>518</v>
      </c>
      <c r="E124" s="372" t="s">
        <v>56</v>
      </c>
      <c r="F124" s="425" t="s">
        <v>545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469</v>
      </c>
      <c r="C125" s="372" t="s">
        <v>1049</v>
      </c>
      <c r="D125" s="372" t="s">
        <v>518</v>
      </c>
      <c r="E125" s="372" t="s">
        <v>56</v>
      </c>
      <c r="F125" s="425" t="s">
        <v>342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469</v>
      </c>
      <c r="C126" s="372" t="s">
        <v>1049</v>
      </c>
      <c r="D126" s="372" t="s">
        <v>518</v>
      </c>
      <c r="E126" s="372" t="s">
        <v>56</v>
      </c>
      <c r="F126" s="425" t="s">
        <v>546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469</v>
      </c>
      <c r="C127" s="372" t="s">
        <v>1049</v>
      </c>
      <c r="D127" s="372" t="s">
        <v>518</v>
      </c>
      <c r="E127" s="372" t="s">
        <v>56</v>
      </c>
      <c r="F127" s="425" t="s">
        <v>547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469</v>
      </c>
      <c r="C128" s="372" t="s">
        <v>1049</v>
      </c>
      <c r="D128" s="372" t="s">
        <v>518</v>
      </c>
      <c r="E128" s="372" t="s">
        <v>56</v>
      </c>
      <c r="F128" s="425" t="s">
        <v>543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469</v>
      </c>
      <c r="C129" s="372" t="s">
        <v>1049</v>
      </c>
      <c r="D129" s="372" t="s">
        <v>518</v>
      </c>
      <c r="E129" s="372" t="s">
        <v>56</v>
      </c>
      <c r="F129" s="425" t="s">
        <v>221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469</v>
      </c>
      <c r="C130" s="372" t="s">
        <v>1049</v>
      </c>
      <c r="D130" s="372" t="s">
        <v>441</v>
      </c>
      <c r="E130" s="372"/>
      <c r="F130" s="422" t="s">
        <v>1050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469</v>
      </c>
      <c r="C131" s="372" t="s">
        <v>1049</v>
      </c>
      <c r="D131" s="372" t="s">
        <v>441</v>
      </c>
      <c r="E131" s="372" t="s">
        <v>437</v>
      </c>
      <c r="F131" s="452" t="s">
        <v>2110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469</v>
      </c>
      <c r="C132" s="372" t="s">
        <v>1049</v>
      </c>
      <c r="D132" s="372" t="s">
        <v>441</v>
      </c>
      <c r="E132" s="372" t="s">
        <v>437</v>
      </c>
      <c r="F132" s="425" t="s">
        <v>349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469</v>
      </c>
      <c r="C133" s="372" t="s">
        <v>1049</v>
      </c>
      <c r="D133" s="372" t="s">
        <v>441</v>
      </c>
      <c r="E133" s="372" t="s">
        <v>437</v>
      </c>
      <c r="F133" s="425" t="s">
        <v>350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469</v>
      </c>
      <c r="C134" s="372" t="s">
        <v>1049</v>
      </c>
      <c r="D134" s="372" t="s">
        <v>860</v>
      </c>
      <c r="E134" s="372"/>
      <c r="F134" s="422" t="s">
        <v>1050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897</v>
      </c>
      <c r="C135" s="385" t="s">
        <v>1089</v>
      </c>
      <c r="D135" s="380"/>
      <c r="E135" s="380"/>
      <c r="F135" s="426" t="s">
        <v>2085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897</v>
      </c>
      <c r="C136" s="372" t="s">
        <v>1089</v>
      </c>
      <c r="D136" s="372" t="s">
        <v>159</v>
      </c>
      <c r="E136" s="376"/>
      <c r="F136" s="422" t="s">
        <v>1022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897</v>
      </c>
      <c r="C138" s="372" t="s">
        <v>1089</v>
      </c>
      <c r="D138" s="372" t="s">
        <v>518</v>
      </c>
      <c r="E138" s="372"/>
      <c r="F138" s="422" t="s">
        <v>1022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897</v>
      </c>
      <c r="C139" s="372" t="s">
        <v>1089</v>
      </c>
      <c r="D139" s="372" t="s">
        <v>518</v>
      </c>
      <c r="E139" s="372" t="s">
        <v>56</v>
      </c>
      <c r="F139" s="422" t="s">
        <v>174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6.45" hidden="1" outlineLevel="3">
      <c r="A140" s="372"/>
      <c r="B140" s="376" t="s">
        <v>897</v>
      </c>
      <c r="C140" s="372" t="s">
        <v>1089</v>
      </c>
      <c r="D140" s="372" t="s">
        <v>518</v>
      </c>
      <c r="E140" s="372" t="s">
        <v>56</v>
      </c>
      <c r="F140" s="422" t="s">
        <v>552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897</v>
      </c>
      <c r="C141" s="372" t="s">
        <v>1089</v>
      </c>
      <c r="D141" s="372" t="s">
        <v>518</v>
      </c>
      <c r="E141" s="372" t="s">
        <v>56</v>
      </c>
      <c r="F141" s="422" t="s">
        <v>553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897</v>
      </c>
      <c r="C142" s="372" t="s">
        <v>1089</v>
      </c>
      <c r="D142" s="372" t="s">
        <v>441</v>
      </c>
      <c r="E142" s="372"/>
      <c r="F142" s="422" t="s">
        <v>1022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897</v>
      </c>
      <c r="C143" s="372" t="s">
        <v>1089</v>
      </c>
      <c r="D143" s="372" t="s">
        <v>860</v>
      </c>
      <c r="E143" s="372"/>
      <c r="F143" s="422" t="s">
        <v>1022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898</v>
      </c>
      <c r="C144" s="385" t="s">
        <v>1099</v>
      </c>
      <c r="D144" s="380"/>
      <c r="E144" s="380"/>
      <c r="F144" s="426" t="s">
        <v>2085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898</v>
      </c>
      <c r="C145" s="372" t="s">
        <v>1099</v>
      </c>
      <c r="D145" s="372" t="s">
        <v>159</v>
      </c>
      <c r="E145" s="376"/>
      <c r="F145" s="422" t="s">
        <v>1022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898</v>
      </c>
      <c r="C146" s="372" t="s">
        <v>1099</v>
      </c>
      <c r="D146" s="372" t="s">
        <v>159</v>
      </c>
      <c r="E146" s="376" t="s">
        <v>1100</v>
      </c>
      <c r="F146" s="422" t="s">
        <v>174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898</v>
      </c>
      <c r="C147" s="372" t="s">
        <v>1099</v>
      </c>
      <c r="D147" s="372" t="s">
        <v>159</v>
      </c>
      <c r="E147" s="376" t="s">
        <v>1100</v>
      </c>
      <c r="F147" s="422" t="s">
        <v>175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898</v>
      </c>
      <c r="C148" s="372" t="s">
        <v>1099</v>
      </c>
      <c r="D148" s="372" t="s">
        <v>518</v>
      </c>
      <c r="E148" s="372"/>
      <c r="F148" s="422" t="s">
        <v>1022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898</v>
      </c>
      <c r="C149" s="372" t="s">
        <v>1099</v>
      </c>
      <c r="D149" s="372" t="s">
        <v>518</v>
      </c>
      <c r="E149" s="372" t="s">
        <v>56</v>
      </c>
      <c r="F149" s="422" t="s">
        <v>175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898</v>
      </c>
      <c r="C150" s="372" t="s">
        <v>1099</v>
      </c>
      <c r="D150" s="372" t="s">
        <v>518</v>
      </c>
      <c r="E150" s="372" t="s">
        <v>56</v>
      </c>
      <c r="F150" s="422" t="s">
        <v>174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898</v>
      </c>
      <c r="C151" s="372" t="s">
        <v>1099</v>
      </c>
      <c r="D151" s="372" t="s">
        <v>518</v>
      </c>
      <c r="E151" s="372" t="s">
        <v>56</v>
      </c>
      <c r="F151" s="422" t="s">
        <v>195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898</v>
      </c>
      <c r="C152" s="372" t="s">
        <v>1099</v>
      </c>
      <c r="D152" s="372" t="s">
        <v>441</v>
      </c>
      <c r="E152" s="372"/>
      <c r="F152" s="422" t="s">
        <v>1022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898</v>
      </c>
      <c r="C153" s="372" t="s">
        <v>1099</v>
      </c>
      <c r="D153" s="372" t="s">
        <v>860</v>
      </c>
      <c r="E153" s="372"/>
      <c r="F153" s="422" t="s">
        <v>1022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899</v>
      </c>
      <c r="C154" s="385" t="s">
        <v>1107</v>
      </c>
      <c r="D154" s="380"/>
      <c r="E154" s="380"/>
      <c r="F154" s="424" t="s">
        <v>2121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899</v>
      </c>
      <c r="C155" s="372" t="s">
        <v>1107</v>
      </c>
      <c r="D155" s="372" t="s">
        <v>159</v>
      </c>
      <c r="E155" s="376"/>
      <c r="F155" s="422" t="s">
        <v>1022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899</v>
      </c>
      <c r="C156" s="372" t="s">
        <v>1107</v>
      </c>
      <c r="D156" s="372" t="s">
        <v>159</v>
      </c>
      <c r="E156" s="376" t="s">
        <v>1100</v>
      </c>
      <c r="F156" s="422" t="s">
        <v>188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899</v>
      </c>
      <c r="C157" s="372" t="s">
        <v>1107</v>
      </c>
      <c r="D157" s="372" t="s">
        <v>159</v>
      </c>
      <c r="E157" s="376" t="s">
        <v>1100</v>
      </c>
      <c r="F157" s="422" t="s">
        <v>189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899</v>
      </c>
      <c r="C158" s="372" t="s">
        <v>1107</v>
      </c>
      <c r="D158" s="372" t="s">
        <v>159</v>
      </c>
      <c r="E158" s="376" t="s">
        <v>1100</v>
      </c>
      <c r="F158" s="422" t="s">
        <v>190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899</v>
      </c>
      <c r="C159" s="372" t="s">
        <v>1107</v>
      </c>
      <c r="D159" s="372" t="s">
        <v>159</v>
      </c>
      <c r="E159" s="376" t="s">
        <v>1100</v>
      </c>
      <c r="F159" s="422" t="s">
        <v>2122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899</v>
      </c>
      <c r="C160" s="372" t="s">
        <v>1107</v>
      </c>
      <c r="D160" s="372" t="s">
        <v>518</v>
      </c>
      <c r="E160" s="372"/>
      <c r="F160" s="422" t="s">
        <v>1022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899</v>
      </c>
      <c r="C161" s="372" t="s">
        <v>1107</v>
      </c>
      <c r="D161" s="372" t="s">
        <v>518</v>
      </c>
      <c r="E161" s="372" t="s">
        <v>56</v>
      </c>
      <c r="F161" s="422" t="s">
        <v>2123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899</v>
      </c>
      <c r="C162" s="372" t="s">
        <v>1107</v>
      </c>
      <c r="D162" s="372" t="s">
        <v>518</v>
      </c>
      <c r="E162" s="372" t="s">
        <v>56</v>
      </c>
      <c r="F162" s="422" t="s">
        <v>2124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899</v>
      </c>
      <c r="C163" s="372" t="s">
        <v>1107</v>
      </c>
      <c r="D163" s="372" t="s">
        <v>518</v>
      </c>
      <c r="E163" s="372" t="s">
        <v>56</v>
      </c>
      <c r="F163" s="422" t="s">
        <v>2125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899</v>
      </c>
      <c r="C164" s="372" t="s">
        <v>1107</v>
      </c>
      <c r="D164" s="372" t="s">
        <v>518</v>
      </c>
      <c r="E164" s="372" t="s">
        <v>56</v>
      </c>
      <c r="F164" s="422" t="s">
        <v>2127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899</v>
      </c>
      <c r="C165" s="372" t="s">
        <v>1107</v>
      </c>
      <c r="D165" s="372" t="s">
        <v>518</v>
      </c>
      <c r="E165" s="372" t="s">
        <v>56</v>
      </c>
      <c r="F165" s="422" t="s">
        <v>2129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899</v>
      </c>
      <c r="C166" s="372" t="s">
        <v>1107</v>
      </c>
      <c r="D166" s="372" t="s">
        <v>518</v>
      </c>
      <c r="E166" s="372" t="s">
        <v>56</v>
      </c>
      <c r="F166" s="422" t="s">
        <v>2130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899</v>
      </c>
      <c r="C167" s="372" t="s">
        <v>1107</v>
      </c>
      <c r="D167" s="372" t="s">
        <v>518</v>
      </c>
      <c r="E167" s="372" t="s">
        <v>56</v>
      </c>
      <c r="F167" s="422" t="s">
        <v>2131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899</v>
      </c>
      <c r="C168" s="372" t="s">
        <v>1107</v>
      </c>
      <c r="D168" s="372" t="s">
        <v>518</v>
      </c>
      <c r="E168" s="372" t="s">
        <v>56</v>
      </c>
      <c r="F168" s="422" t="s">
        <v>2133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899</v>
      </c>
      <c r="C169" s="372" t="s">
        <v>1107</v>
      </c>
      <c r="D169" s="372" t="s">
        <v>518</v>
      </c>
      <c r="E169" s="372" t="s">
        <v>56</v>
      </c>
      <c r="F169" s="422" t="s">
        <v>2135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899</v>
      </c>
      <c r="C170" s="372" t="s">
        <v>1107</v>
      </c>
      <c r="D170" s="372" t="s">
        <v>518</v>
      </c>
      <c r="E170" s="372" t="s">
        <v>56</v>
      </c>
      <c r="F170" s="422" t="s">
        <v>2136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899</v>
      </c>
      <c r="C171" s="372" t="s">
        <v>1107</v>
      </c>
      <c r="D171" s="372" t="s">
        <v>518</v>
      </c>
      <c r="E171" s="372" t="s">
        <v>56</v>
      </c>
      <c r="F171" s="422" t="s">
        <v>192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899</v>
      </c>
      <c r="C172" s="372" t="s">
        <v>1107</v>
      </c>
      <c r="D172" s="372" t="s">
        <v>441</v>
      </c>
      <c r="E172" s="372"/>
      <c r="F172" s="422" t="s">
        <v>1022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899</v>
      </c>
      <c r="C173" s="372" t="s">
        <v>1107</v>
      </c>
      <c r="D173" s="372" t="s">
        <v>441</v>
      </c>
      <c r="E173" s="372" t="s">
        <v>437</v>
      </c>
      <c r="F173" s="422" t="s">
        <v>475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899</v>
      </c>
      <c r="C174" s="372" t="s">
        <v>1107</v>
      </c>
      <c r="D174" s="372" t="s">
        <v>441</v>
      </c>
      <c r="E174" s="372" t="s">
        <v>437</v>
      </c>
      <c r="F174" s="422" t="s">
        <v>476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899</v>
      </c>
      <c r="C175" s="372" t="s">
        <v>1107</v>
      </c>
      <c r="D175" s="372" t="s">
        <v>860</v>
      </c>
      <c r="E175" s="372"/>
      <c r="F175" s="422" t="s">
        <v>1022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6.45" outlineLevel="1" collapsed="1">
      <c r="A176" s="385"/>
      <c r="B176" s="386" t="s">
        <v>1137</v>
      </c>
      <c r="C176" s="386" t="s">
        <v>956</v>
      </c>
      <c r="D176" s="386"/>
      <c r="E176" s="386"/>
      <c r="F176" s="426" t="s">
        <v>2137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1137</v>
      </c>
      <c r="C177" s="372" t="s">
        <v>956</v>
      </c>
      <c r="D177" s="372" t="s">
        <v>159</v>
      </c>
      <c r="E177" s="376"/>
      <c r="F177" s="422" t="s">
        <v>2138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1137</v>
      </c>
      <c r="C178" s="372" t="s">
        <v>956</v>
      </c>
      <c r="D178" s="372" t="s">
        <v>159</v>
      </c>
      <c r="E178" s="376" t="s">
        <v>1100</v>
      </c>
      <c r="F178" s="422" t="s">
        <v>2139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1137</v>
      </c>
      <c r="C179" s="372" t="s">
        <v>956</v>
      </c>
      <c r="D179" s="372" t="s">
        <v>159</v>
      </c>
      <c r="E179" s="376" t="s">
        <v>1100</v>
      </c>
      <c r="F179" s="422" t="s">
        <v>2140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1137</v>
      </c>
      <c r="C180" s="372" t="s">
        <v>956</v>
      </c>
      <c r="D180" s="372" t="s">
        <v>159</v>
      </c>
      <c r="E180" s="376" t="s">
        <v>1100</v>
      </c>
      <c r="F180" s="422" t="s">
        <v>2141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1137</v>
      </c>
      <c r="C181" s="372" t="s">
        <v>956</v>
      </c>
      <c r="D181" s="372" t="s">
        <v>518</v>
      </c>
      <c r="E181" s="372"/>
      <c r="F181" s="422" t="s">
        <v>2138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1137</v>
      </c>
      <c r="C182" s="372" t="s">
        <v>956</v>
      </c>
      <c r="D182" s="372" t="s">
        <v>518</v>
      </c>
      <c r="E182" s="372" t="s">
        <v>56</v>
      </c>
      <c r="F182" s="422" t="s">
        <v>2142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1137</v>
      </c>
      <c r="C183" s="372" t="s">
        <v>956</v>
      </c>
      <c r="D183" s="372" t="s">
        <v>518</v>
      </c>
      <c r="E183" s="372" t="s">
        <v>56</v>
      </c>
      <c r="F183" s="422" t="s">
        <v>2139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1137</v>
      </c>
      <c r="C184" s="372" t="s">
        <v>956</v>
      </c>
      <c r="D184" s="372" t="s">
        <v>518</v>
      </c>
      <c r="E184" s="372" t="s">
        <v>56</v>
      </c>
      <c r="F184" s="422" t="s">
        <v>2140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1137</v>
      </c>
      <c r="C185" s="372" t="s">
        <v>956</v>
      </c>
      <c r="D185" s="372" t="s">
        <v>518</v>
      </c>
      <c r="E185" s="372" t="s">
        <v>56</v>
      </c>
      <c r="F185" s="422" t="s">
        <v>2141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1137</v>
      </c>
      <c r="C186" s="372" t="s">
        <v>956</v>
      </c>
      <c r="D186" s="372" t="s">
        <v>441</v>
      </c>
      <c r="E186" s="372"/>
      <c r="F186" s="422" t="s">
        <v>2138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1137</v>
      </c>
      <c r="C187" s="372" t="s">
        <v>956</v>
      </c>
      <c r="D187" s="372" t="s">
        <v>441</v>
      </c>
      <c r="E187" s="372" t="s">
        <v>437</v>
      </c>
      <c r="F187" s="422" t="s">
        <v>2139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1137</v>
      </c>
      <c r="C188" s="372" t="s">
        <v>956</v>
      </c>
      <c r="D188" s="372" t="s">
        <v>441</v>
      </c>
      <c r="E188" s="372" t="s">
        <v>437</v>
      </c>
      <c r="F188" s="424" t="s">
        <v>2140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901</v>
      </c>
      <c r="C189" s="385" t="s">
        <v>1089</v>
      </c>
      <c r="D189" s="380"/>
      <c r="E189" s="380"/>
      <c r="F189" s="426" t="s">
        <v>2085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901</v>
      </c>
      <c r="C190" s="372" t="s">
        <v>1089</v>
      </c>
      <c r="D190" s="372" t="s">
        <v>159</v>
      </c>
      <c r="E190" s="376"/>
      <c r="F190" s="422" t="s">
        <v>1022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901</v>
      </c>
      <c r="C191" s="372" t="s">
        <v>1089</v>
      </c>
      <c r="D191" s="372" t="s">
        <v>159</v>
      </c>
      <c r="E191" s="376" t="s">
        <v>1100</v>
      </c>
      <c r="F191" s="422" t="s">
        <v>216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901</v>
      </c>
      <c r="C192" s="372" t="s">
        <v>1089</v>
      </c>
      <c r="D192" s="372" t="s">
        <v>159</v>
      </c>
      <c r="E192" s="376" t="s">
        <v>1100</v>
      </c>
      <c r="F192" s="422" t="s">
        <v>218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901</v>
      </c>
      <c r="C193" s="372" t="s">
        <v>1089</v>
      </c>
      <c r="D193" s="372" t="s">
        <v>159</v>
      </c>
      <c r="E193" s="376" t="s">
        <v>1100</v>
      </c>
      <c r="F193" s="422" t="s">
        <v>190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901</v>
      </c>
      <c r="C194" s="372" t="s">
        <v>1089</v>
      </c>
      <c r="D194" s="372" t="s">
        <v>159</v>
      </c>
      <c r="E194" s="376" t="s">
        <v>1100</v>
      </c>
      <c r="F194" s="422" t="s">
        <v>174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901</v>
      </c>
      <c r="C195" s="372" t="s">
        <v>1089</v>
      </c>
      <c r="D195" s="372" t="s">
        <v>159</v>
      </c>
      <c r="E195" s="376" t="s">
        <v>1100</v>
      </c>
      <c r="F195" s="422" t="s">
        <v>195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901</v>
      </c>
      <c r="C196" s="372" t="s">
        <v>1089</v>
      </c>
      <c r="D196" s="372" t="s">
        <v>518</v>
      </c>
      <c r="E196" s="372"/>
      <c r="F196" s="422" t="s">
        <v>1022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901</v>
      </c>
      <c r="C197" s="372" t="s">
        <v>1089</v>
      </c>
      <c r="D197" s="372" t="s">
        <v>518</v>
      </c>
      <c r="E197" s="372" t="s">
        <v>56</v>
      </c>
      <c r="F197" s="422" t="s">
        <v>209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901</v>
      </c>
      <c r="C198" s="372" t="s">
        <v>1089</v>
      </c>
      <c r="D198" s="372" t="s">
        <v>518</v>
      </c>
      <c r="E198" s="372" t="s">
        <v>56</v>
      </c>
      <c r="F198" s="422" t="s">
        <v>217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901</v>
      </c>
      <c r="C199" s="372" t="s">
        <v>1089</v>
      </c>
      <c r="D199" s="372" t="s">
        <v>518</v>
      </c>
      <c r="E199" s="372" t="s">
        <v>56</v>
      </c>
      <c r="F199" s="422" t="s">
        <v>174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901</v>
      </c>
      <c r="C200" s="372" t="s">
        <v>1089</v>
      </c>
      <c r="D200" s="372" t="s">
        <v>518</v>
      </c>
      <c r="E200" s="372" t="s">
        <v>56</v>
      </c>
      <c r="F200" s="422" t="s">
        <v>195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6.45" hidden="1" outlineLevel="3">
      <c r="A201" s="372"/>
      <c r="B201" s="376" t="s">
        <v>901</v>
      </c>
      <c r="C201" s="372" t="s">
        <v>1089</v>
      </c>
      <c r="D201" s="372" t="s">
        <v>518</v>
      </c>
      <c r="E201" s="372" t="s">
        <v>56</v>
      </c>
      <c r="F201" s="422" t="s">
        <v>2154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901</v>
      </c>
      <c r="C202" s="372" t="s">
        <v>1089</v>
      </c>
      <c r="D202" s="372" t="s">
        <v>441</v>
      </c>
      <c r="E202" s="372"/>
      <c r="F202" s="422" t="s">
        <v>1022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901</v>
      </c>
      <c r="C203" s="372" t="s">
        <v>1089</v>
      </c>
      <c r="D203" s="372" t="s">
        <v>441</v>
      </c>
      <c r="E203" s="372" t="s">
        <v>437</v>
      </c>
      <c r="F203" s="422" t="s">
        <v>195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901</v>
      </c>
      <c r="C204" s="372" t="s">
        <v>1089</v>
      </c>
      <c r="D204" s="372" t="s">
        <v>860</v>
      </c>
      <c r="E204" s="372"/>
      <c r="F204" s="422" t="s">
        <v>1022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162</v>
      </c>
      <c r="C205" s="380" t="s">
        <v>162</v>
      </c>
      <c r="D205" s="380"/>
      <c r="E205" s="380"/>
      <c r="F205" s="424" t="s">
        <v>2156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162</v>
      </c>
      <c r="C206" s="376" t="s">
        <v>162</v>
      </c>
      <c r="D206" s="372" t="s">
        <v>1335</v>
      </c>
      <c r="E206" s="376"/>
      <c r="F206" s="422" t="s">
        <v>1050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162</v>
      </c>
      <c r="C207" s="376" t="s">
        <v>162</v>
      </c>
      <c r="D207" s="372" t="s">
        <v>159</v>
      </c>
      <c r="E207" s="376"/>
      <c r="F207" s="422" t="s">
        <v>1050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162</v>
      </c>
      <c r="C208" s="376" t="s">
        <v>162</v>
      </c>
      <c r="D208" s="372" t="s">
        <v>159</v>
      </c>
      <c r="E208" s="376" t="s">
        <v>1159</v>
      </c>
      <c r="F208" s="422" t="s">
        <v>245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162</v>
      </c>
      <c r="C209" s="376" t="s">
        <v>162</v>
      </c>
      <c r="D209" s="372" t="s">
        <v>159</v>
      </c>
      <c r="E209" s="376" t="s">
        <v>1159</v>
      </c>
      <c r="F209" s="422" t="s">
        <v>283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162</v>
      </c>
      <c r="C210" s="376" t="s">
        <v>162</v>
      </c>
      <c r="D210" s="372" t="s">
        <v>518</v>
      </c>
      <c r="E210" s="372"/>
      <c r="F210" s="422" t="s">
        <v>1050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162</v>
      </c>
      <c r="C211" s="376" t="s">
        <v>162</v>
      </c>
      <c r="D211" s="372" t="s">
        <v>518</v>
      </c>
      <c r="E211" s="372" t="s">
        <v>56</v>
      </c>
      <c r="F211" s="422" t="s">
        <v>543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162</v>
      </c>
      <c r="C212" s="376" t="s">
        <v>162</v>
      </c>
      <c r="D212" s="372" t="s">
        <v>518</v>
      </c>
      <c r="E212" s="372" t="s">
        <v>56</v>
      </c>
      <c r="F212" s="422" t="s">
        <v>221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162</v>
      </c>
      <c r="C213" s="376" t="s">
        <v>162</v>
      </c>
      <c r="D213" s="372" t="s">
        <v>518</v>
      </c>
      <c r="E213" s="372" t="s">
        <v>56</v>
      </c>
      <c r="F213" s="422" t="s">
        <v>245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162</v>
      </c>
      <c r="C214" s="376" t="s">
        <v>162</v>
      </c>
      <c r="D214" s="372" t="s">
        <v>518</v>
      </c>
      <c r="E214" s="372" t="s">
        <v>56</v>
      </c>
      <c r="F214" s="422" t="s">
        <v>254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162</v>
      </c>
      <c r="C215" s="376" t="s">
        <v>162</v>
      </c>
      <c r="D215" s="372" t="s">
        <v>441</v>
      </c>
      <c r="E215" s="372"/>
      <c r="F215" s="422" t="s">
        <v>1050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162</v>
      </c>
      <c r="C216" s="376" t="s">
        <v>162</v>
      </c>
      <c r="D216" s="372" t="s">
        <v>441</v>
      </c>
      <c r="E216" s="372" t="s">
        <v>437</v>
      </c>
      <c r="F216" s="422" t="s">
        <v>243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162</v>
      </c>
      <c r="C217" s="376" t="s">
        <v>162</v>
      </c>
      <c r="D217" s="372" t="s">
        <v>441</v>
      </c>
      <c r="E217" s="372" t="s">
        <v>437</v>
      </c>
      <c r="F217" s="422" t="s">
        <v>2164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162</v>
      </c>
      <c r="C218" s="376" t="s">
        <v>162</v>
      </c>
      <c r="D218" s="372" t="s">
        <v>441</v>
      </c>
      <c r="E218" s="372" t="s">
        <v>437</v>
      </c>
      <c r="F218" s="422" t="s">
        <v>245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162</v>
      </c>
      <c r="C219" s="376" t="s">
        <v>162</v>
      </c>
      <c r="D219" s="372" t="s">
        <v>441</v>
      </c>
      <c r="E219" s="372" t="s">
        <v>437</v>
      </c>
      <c r="F219" s="422" t="s">
        <v>254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162</v>
      </c>
      <c r="C220" s="376" t="s">
        <v>162</v>
      </c>
      <c r="D220" s="372" t="s">
        <v>860</v>
      </c>
      <c r="E220" s="372"/>
      <c r="F220" s="422" t="s">
        <v>1050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162</v>
      </c>
      <c r="C221" s="376" t="s">
        <v>162</v>
      </c>
      <c r="D221" s="372" t="s">
        <v>860</v>
      </c>
      <c r="E221" s="372" t="s">
        <v>437</v>
      </c>
      <c r="F221" s="422" t="s">
        <v>1164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162</v>
      </c>
      <c r="C222" s="376" t="s">
        <v>162</v>
      </c>
      <c r="D222" s="372" t="s">
        <v>860</v>
      </c>
      <c r="E222" s="372" t="s">
        <v>437</v>
      </c>
      <c r="F222" s="422" t="s">
        <v>2167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162</v>
      </c>
      <c r="C223" s="376" t="s">
        <v>162</v>
      </c>
      <c r="D223" s="372" t="s">
        <v>860</v>
      </c>
      <c r="E223" s="372" t="s">
        <v>437</v>
      </c>
      <c r="F223" s="422" t="s">
        <v>283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1175</v>
      </c>
      <c r="C224" s="385" t="s">
        <v>1018</v>
      </c>
      <c r="D224" s="380"/>
      <c r="E224" s="380"/>
      <c r="F224" s="424" t="s">
        <v>2168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1175</v>
      </c>
      <c r="C225" s="372" t="s">
        <v>1018</v>
      </c>
      <c r="D225" s="372" t="s">
        <v>518</v>
      </c>
      <c r="E225" s="372"/>
      <c r="F225" s="422" t="s">
        <v>1022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1175</v>
      </c>
      <c r="C226" s="372" t="s">
        <v>1018</v>
      </c>
      <c r="D226" s="372" t="s">
        <v>518</v>
      </c>
      <c r="E226" s="372" t="s">
        <v>56</v>
      </c>
      <c r="F226" s="422" t="s">
        <v>1167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252</v>
      </c>
      <c r="C227" s="386" t="s">
        <v>252</v>
      </c>
      <c r="D227" s="386"/>
      <c r="E227" s="386"/>
      <c r="F227" s="424" t="s">
        <v>2168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252</v>
      </c>
      <c r="C228" s="376" t="s">
        <v>252</v>
      </c>
      <c r="D228" s="372" t="s">
        <v>159</v>
      </c>
      <c r="E228" s="387"/>
      <c r="F228" s="422" t="s">
        <v>1176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252</v>
      </c>
      <c r="C229" s="376" t="s">
        <v>252</v>
      </c>
      <c r="D229" s="372" t="s">
        <v>159</v>
      </c>
      <c r="E229" s="387" t="s">
        <v>1159</v>
      </c>
      <c r="F229" s="422" t="s">
        <v>75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1180</v>
      </c>
      <c r="B230" s="376" t="s">
        <v>252</v>
      </c>
      <c r="C230" s="376" t="s">
        <v>252</v>
      </c>
      <c r="D230" s="372" t="s">
        <v>159</v>
      </c>
      <c r="E230" s="387" t="s">
        <v>1159</v>
      </c>
      <c r="F230" s="422" t="s">
        <v>957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252</v>
      </c>
      <c r="C231" s="376" t="s">
        <v>252</v>
      </c>
      <c r="D231" s="372" t="s">
        <v>159</v>
      </c>
      <c r="E231" s="387" t="s">
        <v>1159</v>
      </c>
      <c r="F231" s="422" t="s">
        <v>1004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252</v>
      </c>
      <c r="C232" s="376" t="s">
        <v>252</v>
      </c>
      <c r="D232" s="372" t="s">
        <v>159</v>
      </c>
      <c r="E232" s="387" t="s">
        <v>1159</v>
      </c>
      <c r="F232" s="422" t="s">
        <v>1181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252</v>
      </c>
      <c r="C233" s="376" t="s">
        <v>252</v>
      </c>
      <c r="D233" s="372" t="s">
        <v>159</v>
      </c>
      <c r="E233" s="387" t="s">
        <v>1159</v>
      </c>
      <c r="F233" s="422" t="s">
        <v>1182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252</v>
      </c>
      <c r="C234" s="376" t="s">
        <v>252</v>
      </c>
      <c r="D234" s="372" t="s">
        <v>159</v>
      </c>
      <c r="E234" s="387" t="s">
        <v>1159</v>
      </c>
      <c r="F234" s="422" t="s">
        <v>1183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252</v>
      </c>
      <c r="C235" s="376" t="s">
        <v>252</v>
      </c>
      <c r="D235" s="372" t="s">
        <v>159</v>
      </c>
      <c r="E235" s="387" t="s">
        <v>1159</v>
      </c>
      <c r="F235" s="422" t="s">
        <v>1184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252</v>
      </c>
      <c r="C236" s="376" t="s">
        <v>252</v>
      </c>
      <c r="D236" s="372" t="s">
        <v>159</v>
      </c>
      <c r="E236" s="387" t="s">
        <v>1159</v>
      </c>
      <c r="F236" s="422" t="s">
        <v>1185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252</v>
      </c>
      <c r="C237" s="376" t="s">
        <v>252</v>
      </c>
      <c r="D237" s="372" t="s">
        <v>159</v>
      </c>
      <c r="E237" s="387" t="s">
        <v>1159</v>
      </c>
      <c r="F237" s="422" t="s">
        <v>1160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252</v>
      </c>
      <c r="C238" s="376" t="s">
        <v>252</v>
      </c>
      <c r="D238" s="372" t="s">
        <v>159</v>
      </c>
      <c r="E238" s="387" t="s">
        <v>1159</v>
      </c>
      <c r="F238" s="422" t="s">
        <v>1170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252</v>
      </c>
      <c r="C239" s="376" t="s">
        <v>252</v>
      </c>
      <c r="D239" s="372" t="s">
        <v>518</v>
      </c>
      <c r="E239" s="372"/>
      <c r="F239" s="422" t="s">
        <v>1176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252</v>
      </c>
      <c r="C240" s="376" t="s">
        <v>252</v>
      </c>
      <c r="D240" s="372" t="s">
        <v>518</v>
      </c>
      <c r="E240" s="372" t="s">
        <v>56</v>
      </c>
      <c r="F240" s="422" t="s">
        <v>2172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252</v>
      </c>
      <c r="C241" s="376" t="s">
        <v>252</v>
      </c>
      <c r="D241" s="372" t="s">
        <v>518</v>
      </c>
      <c r="E241" s="372" t="s">
        <v>56</v>
      </c>
      <c r="F241" s="422" t="s">
        <v>1182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252</v>
      </c>
      <c r="C242" s="376" t="s">
        <v>252</v>
      </c>
      <c r="D242" s="372" t="s">
        <v>518</v>
      </c>
      <c r="E242" s="372" t="s">
        <v>56</v>
      </c>
      <c r="F242" s="422" t="s">
        <v>1188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252</v>
      </c>
      <c r="C243" s="376" t="s">
        <v>252</v>
      </c>
      <c r="D243" s="372" t="s">
        <v>518</v>
      </c>
      <c r="E243" s="372" t="s">
        <v>56</v>
      </c>
      <c r="F243" s="422" t="s">
        <v>1190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252</v>
      </c>
      <c r="C244" s="376" t="s">
        <v>252</v>
      </c>
      <c r="D244" s="372" t="s">
        <v>518</v>
      </c>
      <c r="E244" s="372" t="s">
        <v>56</v>
      </c>
      <c r="F244" s="422" t="s">
        <v>1191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252</v>
      </c>
      <c r="C245" s="376" t="s">
        <v>252</v>
      </c>
      <c r="D245" s="372" t="s">
        <v>518</v>
      </c>
      <c r="E245" s="372" t="s">
        <v>56</v>
      </c>
      <c r="F245" s="422" t="s">
        <v>1193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252</v>
      </c>
      <c r="C246" s="376" t="s">
        <v>252</v>
      </c>
      <c r="D246" s="372" t="s">
        <v>518</v>
      </c>
      <c r="E246" s="372" t="s">
        <v>56</v>
      </c>
      <c r="F246" s="422" t="s">
        <v>1194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252</v>
      </c>
      <c r="C247" s="376" t="s">
        <v>252</v>
      </c>
      <c r="D247" s="372" t="s">
        <v>518</v>
      </c>
      <c r="E247" s="372" t="s">
        <v>56</v>
      </c>
      <c r="F247" s="422" t="s">
        <v>1196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252</v>
      </c>
      <c r="C248" s="376" t="s">
        <v>252</v>
      </c>
      <c r="D248" s="372" t="s">
        <v>518</v>
      </c>
      <c r="E248" s="372" t="s">
        <v>56</v>
      </c>
      <c r="F248" s="422" t="s">
        <v>1197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252</v>
      </c>
      <c r="C249" s="376" t="s">
        <v>252</v>
      </c>
      <c r="D249" s="372" t="s">
        <v>518</v>
      </c>
      <c r="E249" s="372" t="s">
        <v>56</v>
      </c>
      <c r="F249" s="422" t="s">
        <v>1199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252</v>
      </c>
      <c r="C250" s="376" t="s">
        <v>252</v>
      </c>
      <c r="D250" s="372" t="s">
        <v>518</v>
      </c>
      <c r="E250" s="372" t="s">
        <v>56</v>
      </c>
      <c r="F250" s="422" t="s">
        <v>1200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252</v>
      </c>
      <c r="C251" s="376" t="s">
        <v>252</v>
      </c>
      <c r="D251" s="372" t="s">
        <v>518</v>
      </c>
      <c r="E251" s="372" t="s">
        <v>56</v>
      </c>
      <c r="F251" s="422" t="s">
        <v>1201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252</v>
      </c>
      <c r="C252" s="376" t="s">
        <v>252</v>
      </c>
      <c r="D252" s="372" t="s">
        <v>518</v>
      </c>
      <c r="E252" s="372" t="s">
        <v>56</v>
      </c>
      <c r="F252" s="422" t="s">
        <v>1203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252</v>
      </c>
      <c r="C253" s="376" t="s">
        <v>252</v>
      </c>
      <c r="D253" s="372" t="s">
        <v>518</v>
      </c>
      <c r="E253" s="372" t="s">
        <v>56</v>
      </c>
      <c r="F253" s="422" t="s">
        <v>1204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252</v>
      </c>
      <c r="C254" s="376" t="s">
        <v>252</v>
      </c>
      <c r="D254" s="372" t="s">
        <v>518</v>
      </c>
      <c r="E254" s="372" t="s">
        <v>56</v>
      </c>
      <c r="F254" s="422" t="s">
        <v>1205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252</v>
      </c>
      <c r="C255" s="376" t="s">
        <v>252</v>
      </c>
      <c r="D255" s="372" t="s">
        <v>518</v>
      </c>
      <c r="E255" s="372" t="s">
        <v>56</v>
      </c>
      <c r="F255" s="422" t="s">
        <v>1206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252</v>
      </c>
      <c r="C256" s="376" t="s">
        <v>252</v>
      </c>
      <c r="D256" s="372" t="s">
        <v>441</v>
      </c>
      <c r="E256" s="372"/>
      <c r="F256" s="422" t="s">
        <v>1176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252</v>
      </c>
      <c r="C257" s="376" t="s">
        <v>252</v>
      </c>
      <c r="D257" s="372" t="s">
        <v>441</v>
      </c>
      <c r="E257" s="372" t="s">
        <v>437</v>
      </c>
      <c r="F257" s="422" t="s">
        <v>1208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903</v>
      </c>
      <c r="C258" s="380" t="s">
        <v>903</v>
      </c>
      <c r="D258" s="380"/>
      <c r="E258" s="380"/>
      <c r="F258" s="424" t="s">
        <v>2177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903</v>
      </c>
      <c r="C259" s="376" t="s">
        <v>903</v>
      </c>
      <c r="D259" s="372" t="s">
        <v>159</v>
      </c>
      <c r="E259" s="376"/>
      <c r="F259" s="422" t="s">
        <v>1022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903</v>
      </c>
      <c r="C260" s="376" t="s">
        <v>903</v>
      </c>
      <c r="D260" s="372" t="s">
        <v>159</v>
      </c>
      <c r="E260" s="376" t="s">
        <v>1159</v>
      </c>
      <c r="F260" s="422" t="s">
        <v>242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903</v>
      </c>
      <c r="C261" s="376" t="s">
        <v>903</v>
      </c>
      <c r="D261" s="372" t="s">
        <v>159</v>
      </c>
      <c r="E261" s="376" t="s">
        <v>1159</v>
      </c>
      <c r="F261" s="422" t="s">
        <v>243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903</v>
      </c>
      <c r="C262" s="376" t="s">
        <v>903</v>
      </c>
      <c r="D262" s="372" t="s">
        <v>159</v>
      </c>
      <c r="E262" s="376" t="s">
        <v>1159</v>
      </c>
      <c r="F262" s="422" t="s">
        <v>490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903</v>
      </c>
      <c r="C263" s="376" t="s">
        <v>903</v>
      </c>
      <c r="D263" s="372" t="s">
        <v>159</v>
      </c>
      <c r="E263" s="376" t="s">
        <v>1159</v>
      </c>
      <c r="F263" s="422" t="s">
        <v>245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903</v>
      </c>
      <c r="C264" s="376" t="s">
        <v>903</v>
      </c>
      <c r="D264" s="372" t="s">
        <v>159</v>
      </c>
      <c r="E264" s="376" t="s">
        <v>1159</v>
      </c>
      <c r="F264" s="422" t="s">
        <v>246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903</v>
      </c>
      <c r="C265" s="376" t="s">
        <v>903</v>
      </c>
      <c r="D265" s="372" t="s">
        <v>159</v>
      </c>
      <c r="E265" s="376" t="s">
        <v>1159</v>
      </c>
      <c r="F265" s="422" t="s">
        <v>247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903</v>
      </c>
      <c r="C266" s="376" t="s">
        <v>903</v>
      </c>
      <c r="D266" s="372" t="s">
        <v>159</v>
      </c>
      <c r="E266" s="376" t="s">
        <v>1159</v>
      </c>
      <c r="F266" s="422" t="s">
        <v>248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903</v>
      </c>
      <c r="C267" s="376" t="s">
        <v>903</v>
      </c>
      <c r="D267" s="372" t="s">
        <v>159</v>
      </c>
      <c r="E267" s="376" t="s">
        <v>1159</v>
      </c>
      <c r="F267" s="422" t="s">
        <v>251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903</v>
      </c>
      <c r="C268" s="376" t="s">
        <v>903</v>
      </c>
      <c r="D268" s="372" t="s">
        <v>159</v>
      </c>
      <c r="E268" s="376" t="s">
        <v>1159</v>
      </c>
      <c r="F268" s="422" t="s">
        <v>2178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903</v>
      </c>
      <c r="C269" s="376" t="s">
        <v>903</v>
      </c>
      <c r="D269" s="372" t="s">
        <v>518</v>
      </c>
      <c r="E269" s="372"/>
      <c r="F269" s="422" t="s">
        <v>1022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903</v>
      </c>
      <c r="C270" s="376" t="s">
        <v>903</v>
      </c>
      <c r="D270" s="372" t="s">
        <v>518</v>
      </c>
      <c r="E270" s="372" t="s">
        <v>56</v>
      </c>
      <c r="F270" s="422" t="s">
        <v>273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903</v>
      </c>
      <c r="C271" s="376" t="s">
        <v>903</v>
      </c>
      <c r="D271" s="372" t="s">
        <v>518</v>
      </c>
      <c r="E271" s="372" t="s">
        <v>56</v>
      </c>
      <c r="F271" s="422" t="s">
        <v>246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903</v>
      </c>
      <c r="C272" s="376" t="s">
        <v>903</v>
      </c>
      <c r="D272" s="372" t="s">
        <v>518</v>
      </c>
      <c r="E272" s="372" t="s">
        <v>56</v>
      </c>
      <c r="F272" s="422" t="s">
        <v>247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903</v>
      </c>
      <c r="C273" s="376" t="s">
        <v>903</v>
      </c>
      <c r="D273" s="372" t="s">
        <v>518</v>
      </c>
      <c r="E273" s="372" t="s">
        <v>56</v>
      </c>
      <c r="F273" s="422" t="s">
        <v>243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903</v>
      </c>
      <c r="C274" s="376" t="s">
        <v>903</v>
      </c>
      <c r="D274" s="372" t="s">
        <v>518</v>
      </c>
      <c r="E274" s="372" t="s">
        <v>56</v>
      </c>
      <c r="F274" s="422" t="s">
        <v>245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903</v>
      </c>
      <c r="C275" s="376" t="s">
        <v>903</v>
      </c>
      <c r="D275" s="372" t="s">
        <v>518</v>
      </c>
      <c r="E275" s="372" t="s">
        <v>56</v>
      </c>
      <c r="F275" s="422" t="s">
        <v>551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903</v>
      </c>
      <c r="C276" s="376" t="s">
        <v>903</v>
      </c>
      <c r="D276" s="372" t="s">
        <v>441</v>
      </c>
      <c r="E276" s="372"/>
      <c r="F276" s="422" t="s">
        <v>1022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903</v>
      </c>
      <c r="C277" s="376" t="s">
        <v>903</v>
      </c>
      <c r="D277" s="372" t="s">
        <v>441</v>
      </c>
      <c r="E277" s="372" t="s">
        <v>437</v>
      </c>
      <c r="F277" s="422" t="s">
        <v>442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903</v>
      </c>
      <c r="C278" s="376" t="s">
        <v>903</v>
      </c>
      <c r="D278" s="372" t="s">
        <v>441</v>
      </c>
      <c r="E278" s="372" t="s">
        <v>437</v>
      </c>
      <c r="F278" s="422" t="s">
        <v>463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903</v>
      </c>
      <c r="C279" s="376" t="s">
        <v>903</v>
      </c>
      <c r="D279" s="372" t="s">
        <v>860</v>
      </c>
      <c r="E279" s="372"/>
      <c r="F279" s="422" t="s">
        <v>1022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502</v>
      </c>
      <c r="C280" s="385" t="s">
        <v>502</v>
      </c>
      <c r="D280" s="385"/>
      <c r="E280" s="380"/>
      <c r="F280" s="424" t="s">
        <v>1989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502</v>
      </c>
      <c r="C281" s="372" t="s">
        <v>502</v>
      </c>
      <c r="D281" s="372" t="s">
        <v>159</v>
      </c>
      <c r="E281" s="376"/>
      <c r="F281" s="422" t="s">
        <v>1022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502</v>
      </c>
      <c r="C282" s="372" t="s">
        <v>502</v>
      </c>
      <c r="D282" s="372" t="s">
        <v>159</v>
      </c>
      <c r="E282" s="376" t="s">
        <v>1159</v>
      </c>
      <c r="F282" s="422" t="s">
        <v>226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502</v>
      </c>
      <c r="C283" s="372" t="s">
        <v>502</v>
      </c>
      <c r="D283" s="372" t="s">
        <v>159</v>
      </c>
      <c r="E283" s="376" t="s">
        <v>1159</v>
      </c>
      <c r="F283" s="422" t="s">
        <v>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502</v>
      </c>
      <c r="C284" s="372" t="s">
        <v>502</v>
      </c>
      <c r="D284" s="372" t="s">
        <v>518</v>
      </c>
      <c r="E284" s="372"/>
      <c r="F284" s="422" t="s">
        <v>1022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502</v>
      </c>
      <c r="C285" s="372" t="s">
        <v>502</v>
      </c>
      <c r="D285" s="372" t="s">
        <v>441</v>
      </c>
      <c r="E285" s="372"/>
      <c r="F285" s="422" t="s">
        <v>1022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502</v>
      </c>
      <c r="C286" s="372" t="s">
        <v>502</v>
      </c>
      <c r="D286" s="372" t="s">
        <v>860</v>
      </c>
      <c r="E286" s="372"/>
      <c r="F286" s="422" t="s">
        <v>1022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414</v>
      </c>
      <c r="C287" s="380" t="s">
        <v>414</v>
      </c>
      <c r="D287" s="380"/>
      <c r="E287" s="380"/>
      <c r="F287" s="424" t="s">
        <v>1989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414</v>
      </c>
      <c r="C288" s="376" t="s">
        <v>414</v>
      </c>
      <c r="D288" s="372" t="s">
        <v>159</v>
      </c>
      <c r="E288" s="376"/>
      <c r="F288" s="422" t="s">
        <v>1022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414</v>
      </c>
      <c r="C289" s="376" t="s">
        <v>414</v>
      </c>
      <c r="D289" s="372" t="s">
        <v>159</v>
      </c>
      <c r="E289" s="376" t="s">
        <v>1236</v>
      </c>
      <c r="F289" s="422" t="s">
        <v>226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414</v>
      </c>
      <c r="C290" s="376" t="s">
        <v>414</v>
      </c>
      <c r="D290" s="372" t="s">
        <v>159</v>
      </c>
      <c r="E290" s="376" t="s">
        <v>1236</v>
      </c>
      <c r="F290" s="422" t="s">
        <v>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414</v>
      </c>
      <c r="C291" s="376" t="s">
        <v>414</v>
      </c>
      <c r="D291" s="372" t="s">
        <v>159</v>
      </c>
      <c r="E291" s="376" t="s">
        <v>1236</v>
      </c>
      <c r="F291" s="422" t="s">
        <v>208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414</v>
      </c>
      <c r="C292" s="376" t="s">
        <v>414</v>
      </c>
      <c r="D292" s="372" t="s">
        <v>518</v>
      </c>
      <c r="E292" s="372"/>
      <c r="F292" s="422" t="s">
        <v>1022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414</v>
      </c>
      <c r="C293" s="376" t="s">
        <v>414</v>
      </c>
      <c r="D293" s="372" t="s">
        <v>518</v>
      </c>
      <c r="E293" s="372" t="s">
        <v>56</v>
      </c>
      <c r="F293" s="422" t="s">
        <v>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414</v>
      </c>
      <c r="C294" s="376" t="s">
        <v>414</v>
      </c>
      <c r="D294" s="372" t="s">
        <v>441</v>
      </c>
      <c r="E294" s="372"/>
      <c r="F294" s="422" t="s">
        <v>1022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414</v>
      </c>
      <c r="C295" s="376" t="s">
        <v>414</v>
      </c>
      <c r="D295" s="372" t="s">
        <v>441</v>
      </c>
      <c r="E295" s="372" t="s">
        <v>437</v>
      </c>
      <c r="F295" s="422" t="s">
        <v>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414</v>
      </c>
      <c r="C296" s="376" t="s">
        <v>414</v>
      </c>
      <c r="D296" s="372" t="s">
        <v>441</v>
      </c>
      <c r="E296" s="372" t="s">
        <v>437</v>
      </c>
      <c r="F296" s="422" t="s">
        <v>208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414</v>
      </c>
      <c r="C297" s="376" t="s">
        <v>414</v>
      </c>
      <c r="D297" s="372" t="s">
        <v>860</v>
      </c>
      <c r="E297" s="372"/>
      <c r="F297" s="422" t="s">
        <v>1022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414</v>
      </c>
      <c r="C298" s="376" t="s">
        <v>414</v>
      </c>
      <c r="D298" s="372" t="s">
        <v>860</v>
      </c>
      <c r="E298" s="372" t="s">
        <v>437</v>
      </c>
      <c r="F298" s="422" t="s">
        <v>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414</v>
      </c>
      <c r="C299" s="376" t="s">
        <v>414</v>
      </c>
      <c r="D299" s="372" t="s">
        <v>860</v>
      </c>
      <c r="E299" s="372" t="s">
        <v>437</v>
      </c>
      <c r="F299" s="422" t="s">
        <v>208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612</v>
      </c>
      <c r="C300" s="380" t="s">
        <v>612</v>
      </c>
      <c r="D300" s="380"/>
      <c r="E300" s="380"/>
      <c r="F300" s="424" t="s">
        <v>2179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612</v>
      </c>
      <c r="C301" s="376" t="s">
        <v>612</v>
      </c>
      <c r="D301" s="372" t="s">
        <v>159</v>
      </c>
      <c r="E301" s="376"/>
      <c r="F301" s="422" t="s">
        <v>1022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612</v>
      </c>
      <c r="C302" s="376" t="s">
        <v>612</v>
      </c>
      <c r="D302" s="372" t="s">
        <v>159</v>
      </c>
      <c r="E302" s="376" t="s">
        <v>1236</v>
      </c>
      <c r="F302" s="422" t="s">
        <v>226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612</v>
      </c>
      <c r="C303" s="376" t="s">
        <v>612</v>
      </c>
      <c r="D303" s="372" t="s">
        <v>159</v>
      </c>
      <c r="E303" s="376" t="s">
        <v>1236</v>
      </c>
      <c r="F303" s="422" t="s">
        <v>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612</v>
      </c>
      <c r="C304" s="376" t="s">
        <v>612</v>
      </c>
      <c r="D304" s="372" t="s">
        <v>159</v>
      </c>
      <c r="E304" s="376" t="s">
        <v>1236</v>
      </c>
      <c r="F304" s="422" t="s">
        <v>208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612</v>
      </c>
      <c r="C305" s="376" t="s">
        <v>612</v>
      </c>
      <c r="D305" s="372" t="s">
        <v>518</v>
      </c>
      <c r="E305" s="372"/>
      <c r="F305" s="422" t="s">
        <v>1022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612</v>
      </c>
      <c r="C306" s="376" t="s">
        <v>612</v>
      </c>
      <c r="D306" s="372" t="s">
        <v>518</v>
      </c>
      <c r="E306" s="376" t="s">
        <v>1236</v>
      </c>
      <c r="F306" s="422" t="s">
        <v>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612</v>
      </c>
      <c r="C307" s="376" t="s">
        <v>612</v>
      </c>
      <c r="D307" s="372" t="s">
        <v>441</v>
      </c>
      <c r="E307" s="372"/>
      <c r="F307" s="422" t="s">
        <v>1022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612</v>
      </c>
      <c r="C308" s="376" t="s">
        <v>612</v>
      </c>
      <c r="D308" s="372" t="s">
        <v>441</v>
      </c>
      <c r="E308" s="376" t="s">
        <v>1236</v>
      </c>
      <c r="F308" s="422" t="s">
        <v>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612</v>
      </c>
      <c r="C309" s="376" t="s">
        <v>612</v>
      </c>
      <c r="D309" s="372" t="s">
        <v>441</v>
      </c>
      <c r="E309" s="376" t="s">
        <v>1236</v>
      </c>
      <c r="F309" s="422" t="s">
        <v>208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612</v>
      </c>
      <c r="C310" s="376" t="s">
        <v>612</v>
      </c>
      <c r="D310" s="372" t="s">
        <v>860</v>
      </c>
      <c r="E310" s="376"/>
      <c r="F310" s="422" t="s">
        <v>1022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612</v>
      </c>
      <c r="C311" s="376" t="s">
        <v>612</v>
      </c>
      <c r="D311" s="372" t="s">
        <v>860</v>
      </c>
      <c r="E311" s="376" t="s">
        <v>1236</v>
      </c>
      <c r="F311" s="422" t="s">
        <v>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612</v>
      </c>
      <c r="C312" s="376" t="s">
        <v>612</v>
      </c>
      <c r="D312" s="372" t="s">
        <v>860</v>
      </c>
      <c r="E312" s="376" t="s">
        <v>1236</v>
      </c>
      <c r="F312" s="422" t="s">
        <v>208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225</v>
      </c>
      <c r="C313" s="380" t="s">
        <v>1241</v>
      </c>
      <c r="D313" s="385"/>
      <c r="E313" s="380"/>
      <c r="F313" s="424" t="s">
        <v>2180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225</v>
      </c>
      <c r="C314" s="376" t="s">
        <v>1241</v>
      </c>
      <c r="D314" s="372" t="s">
        <v>159</v>
      </c>
      <c r="E314" s="376"/>
      <c r="F314" s="422" t="s">
        <v>1022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225</v>
      </c>
      <c r="C315" s="376" t="s">
        <v>1241</v>
      </c>
      <c r="D315" s="372" t="s">
        <v>159</v>
      </c>
      <c r="E315" s="376" t="s">
        <v>1100</v>
      </c>
      <c r="F315" s="422" t="s">
        <v>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225</v>
      </c>
      <c r="C316" s="376" t="s">
        <v>1241</v>
      </c>
      <c r="D316" s="372" t="s">
        <v>159</v>
      </c>
      <c r="E316" s="376" t="s">
        <v>1100</v>
      </c>
      <c r="F316" s="422" t="s">
        <v>208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225</v>
      </c>
      <c r="C317" s="376" t="s">
        <v>1241</v>
      </c>
      <c r="D317" s="372" t="s">
        <v>518</v>
      </c>
      <c r="E317" s="372"/>
      <c r="F317" s="422" t="s">
        <v>1022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225</v>
      </c>
      <c r="C318" s="376" t="s">
        <v>1241</v>
      </c>
      <c r="D318" s="372" t="s">
        <v>518</v>
      </c>
      <c r="E318" s="372" t="s">
        <v>56</v>
      </c>
      <c r="F318" s="422" t="s">
        <v>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225</v>
      </c>
      <c r="C319" s="376" t="s">
        <v>1241</v>
      </c>
      <c r="D319" s="372" t="s">
        <v>441</v>
      </c>
      <c r="E319" s="372"/>
      <c r="F319" s="422" t="s">
        <v>1022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225</v>
      </c>
      <c r="C320" s="376" t="s">
        <v>1241</v>
      </c>
      <c r="D320" s="372" t="s">
        <v>441</v>
      </c>
      <c r="E320" s="372" t="s">
        <v>437</v>
      </c>
      <c r="F320" s="422" t="s">
        <v>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225</v>
      </c>
      <c r="C321" s="376" t="s">
        <v>1241</v>
      </c>
      <c r="D321" s="372" t="s">
        <v>441</v>
      </c>
      <c r="E321" s="372" t="s">
        <v>437</v>
      </c>
      <c r="F321" s="422" t="s">
        <v>208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225</v>
      </c>
      <c r="C322" s="376" t="s">
        <v>1241</v>
      </c>
      <c r="D322" s="372" t="s">
        <v>860</v>
      </c>
      <c r="E322" s="372"/>
      <c r="F322" s="422" t="s">
        <v>1022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225</v>
      </c>
      <c r="C323" s="376" t="s">
        <v>1241</v>
      </c>
      <c r="D323" s="372" t="s">
        <v>860</v>
      </c>
      <c r="E323" s="372" t="s">
        <v>437</v>
      </c>
      <c r="F323" s="422" t="s">
        <v>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6.45" outlineLevel="1" collapsed="1">
      <c r="A324" s="372"/>
      <c r="B324" s="380" t="s">
        <v>229</v>
      </c>
      <c r="C324" s="380" t="s">
        <v>1245</v>
      </c>
      <c r="D324" s="385"/>
      <c r="E324" s="380"/>
      <c r="F324" s="424" t="s">
        <v>2181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229</v>
      </c>
      <c r="C325" s="376" t="s">
        <v>1245</v>
      </c>
      <c r="D325" s="372" t="s">
        <v>159</v>
      </c>
      <c r="E325" s="376"/>
      <c r="F325" s="422" t="s">
        <v>1022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229</v>
      </c>
      <c r="C326" s="376" t="s">
        <v>1245</v>
      </c>
      <c r="D326" s="372" t="s">
        <v>159</v>
      </c>
      <c r="E326" s="376" t="s">
        <v>1100</v>
      </c>
      <c r="F326" s="422" t="s">
        <v>1238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229</v>
      </c>
      <c r="C327" s="376" t="s">
        <v>1245</v>
      </c>
      <c r="D327" s="372" t="s">
        <v>159</v>
      </c>
      <c r="E327" s="376" t="s">
        <v>1100</v>
      </c>
      <c r="F327" s="422" t="s">
        <v>1239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229</v>
      </c>
      <c r="C328" s="376" t="s">
        <v>1245</v>
      </c>
      <c r="D328" s="372" t="s">
        <v>159</v>
      </c>
      <c r="E328" s="376" t="s">
        <v>1100</v>
      </c>
      <c r="F328" s="422" t="s">
        <v>1246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229</v>
      </c>
      <c r="C329" s="376" t="s">
        <v>1245</v>
      </c>
      <c r="D329" s="372" t="s">
        <v>159</v>
      </c>
      <c r="E329" s="376" t="s">
        <v>1100</v>
      </c>
      <c r="F329" s="422" t="s">
        <v>1247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229</v>
      </c>
      <c r="C330" s="376" t="s">
        <v>1245</v>
      </c>
      <c r="D330" s="372" t="s">
        <v>518</v>
      </c>
      <c r="E330" s="372"/>
      <c r="F330" s="422" t="s">
        <v>1022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229</v>
      </c>
      <c r="C331" s="376" t="s">
        <v>1245</v>
      </c>
      <c r="D331" s="372" t="s">
        <v>518</v>
      </c>
      <c r="E331" s="372" t="s">
        <v>56</v>
      </c>
      <c r="F331" s="422" t="s">
        <v>1238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229</v>
      </c>
      <c r="C332" s="376" t="s">
        <v>1245</v>
      </c>
      <c r="D332" s="372" t="s">
        <v>518</v>
      </c>
      <c r="E332" s="372" t="s">
        <v>56</v>
      </c>
      <c r="F332" s="422" t="s">
        <v>1239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229</v>
      </c>
      <c r="C333" s="376" t="s">
        <v>1245</v>
      </c>
      <c r="D333" s="372" t="s">
        <v>518</v>
      </c>
      <c r="E333" s="372" t="s">
        <v>56</v>
      </c>
      <c r="F333" s="422" t="s">
        <v>1246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229</v>
      </c>
      <c r="C334" s="376" t="s">
        <v>1245</v>
      </c>
      <c r="D334" s="372" t="s">
        <v>441</v>
      </c>
      <c r="E334" s="372"/>
      <c r="F334" s="422" t="s">
        <v>1022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229</v>
      </c>
      <c r="C335" s="376" t="s">
        <v>1245</v>
      </c>
      <c r="D335" s="372" t="s">
        <v>441</v>
      </c>
      <c r="E335" s="372" t="s">
        <v>437</v>
      </c>
      <c r="F335" s="424" t="s">
        <v>208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229</v>
      </c>
      <c r="C336" s="376" t="s">
        <v>1245</v>
      </c>
      <c r="D336" s="372" t="s">
        <v>441</v>
      </c>
      <c r="E336" s="372" t="s">
        <v>437</v>
      </c>
      <c r="F336" s="424" t="s">
        <v>1238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229</v>
      </c>
      <c r="C337" s="376" t="s">
        <v>1245</v>
      </c>
      <c r="D337" s="372" t="s">
        <v>441</v>
      </c>
      <c r="E337" s="372" t="s">
        <v>437</v>
      </c>
      <c r="F337" s="422" t="s">
        <v>1239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229</v>
      </c>
      <c r="C338" s="376" t="s">
        <v>1245</v>
      </c>
      <c r="D338" s="372" t="s">
        <v>441</v>
      </c>
      <c r="E338" s="372" t="s">
        <v>437</v>
      </c>
      <c r="F338" s="422" t="s">
        <v>1246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229</v>
      </c>
      <c r="C339" s="376" t="s">
        <v>1245</v>
      </c>
      <c r="D339" s="372" t="s">
        <v>441</v>
      </c>
      <c r="E339" s="372" t="s">
        <v>437</v>
      </c>
      <c r="F339" s="422" t="s">
        <v>1247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229</v>
      </c>
      <c r="C340" s="376" t="s">
        <v>1245</v>
      </c>
      <c r="D340" s="372" t="s">
        <v>860</v>
      </c>
      <c r="E340" s="372"/>
      <c r="F340" s="422" t="s">
        <v>1022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229</v>
      </c>
      <c r="C341" s="376" t="s">
        <v>1245</v>
      </c>
      <c r="D341" s="372" t="s">
        <v>860</v>
      </c>
      <c r="E341" s="372" t="s">
        <v>437</v>
      </c>
      <c r="F341" s="422" t="s">
        <v>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229</v>
      </c>
      <c r="C342" s="376" t="s">
        <v>1245</v>
      </c>
      <c r="D342" s="372" t="s">
        <v>860</v>
      </c>
      <c r="E342" s="372" t="s">
        <v>437</v>
      </c>
      <c r="F342" s="424" t="s">
        <v>1238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229</v>
      </c>
      <c r="C343" s="376" t="s">
        <v>1245</v>
      </c>
      <c r="D343" s="372" t="s">
        <v>860</v>
      </c>
      <c r="E343" s="372" t="s">
        <v>437</v>
      </c>
      <c r="F343" s="422" t="s">
        <v>1246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918</v>
      </c>
      <c r="C344" s="380" t="s">
        <v>1250</v>
      </c>
      <c r="D344" s="385"/>
      <c r="E344" s="380"/>
      <c r="F344" s="424" t="s">
        <v>2048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918</v>
      </c>
      <c r="C345" s="376" t="s">
        <v>1250</v>
      </c>
      <c r="D345" s="372" t="s">
        <v>159</v>
      </c>
      <c r="E345" s="376"/>
      <c r="F345" s="422" t="s">
        <v>1022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918</v>
      </c>
      <c r="C346" s="376" t="s">
        <v>1250</v>
      </c>
      <c r="D346" s="372" t="s">
        <v>159</v>
      </c>
      <c r="E346" s="376" t="s">
        <v>1236</v>
      </c>
      <c r="F346" s="422" t="s">
        <v>1252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918</v>
      </c>
      <c r="C347" s="376" t="s">
        <v>1250</v>
      </c>
      <c r="D347" s="372" t="s">
        <v>159</v>
      </c>
      <c r="E347" s="376" t="s">
        <v>1236</v>
      </c>
      <c r="F347" s="422" t="s">
        <v>1253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918</v>
      </c>
      <c r="C348" s="376" t="s">
        <v>1250</v>
      </c>
      <c r="D348" s="372" t="s">
        <v>159</v>
      </c>
      <c r="E348" s="376" t="s">
        <v>1236</v>
      </c>
      <c r="F348" s="422" t="s">
        <v>1254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918</v>
      </c>
      <c r="C349" s="376" t="s">
        <v>1250</v>
      </c>
      <c r="D349" s="372" t="s">
        <v>159</v>
      </c>
      <c r="E349" s="376" t="s">
        <v>1236</v>
      </c>
      <c r="F349" s="422" t="s">
        <v>1255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918</v>
      </c>
      <c r="C350" s="376" t="s">
        <v>1250</v>
      </c>
      <c r="D350" s="372" t="s">
        <v>860</v>
      </c>
      <c r="E350" s="372"/>
      <c r="F350" s="422" t="s">
        <v>1022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918</v>
      </c>
      <c r="C351" s="376" t="s">
        <v>1250</v>
      </c>
      <c r="D351" s="372" t="s">
        <v>860</v>
      </c>
      <c r="E351" s="372" t="s">
        <v>437</v>
      </c>
      <c r="F351" s="422" t="s">
        <v>1256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918</v>
      </c>
      <c r="C352" s="376" t="s">
        <v>1250</v>
      </c>
      <c r="D352" s="372" t="s">
        <v>518</v>
      </c>
      <c r="E352" s="376"/>
      <c r="F352" s="422" t="s">
        <v>1022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918</v>
      </c>
      <c r="C353" s="376" t="s">
        <v>1250</v>
      </c>
      <c r="D353" s="372" t="s">
        <v>518</v>
      </c>
      <c r="E353" s="376" t="s">
        <v>56</v>
      </c>
      <c r="F353" s="422" t="s">
        <v>1255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498</v>
      </c>
      <c r="C354" s="380" t="s">
        <v>1258</v>
      </c>
      <c r="D354" s="385"/>
      <c r="E354" s="380"/>
      <c r="F354" s="424" t="s">
        <v>2177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498</v>
      </c>
      <c r="C355" s="376" t="s">
        <v>1258</v>
      </c>
      <c r="D355" s="372" t="s">
        <v>159</v>
      </c>
      <c r="E355" s="376"/>
      <c r="F355" s="422" t="s">
        <v>1022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498</v>
      </c>
      <c r="C356" s="376" t="s">
        <v>1258</v>
      </c>
      <c r="D356" s="372" t="s">
        <v>159</v>
      </c>
      <c r="E356" s="376" t="s">
        <v>1100</v>
      </c>
      <c r="F356" s="422" t="s">
        <v>226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498</v>
      </c>
      <c r="C357" s="376" t="s">
        <v>1258</v>
      </c>
      <c r="D357" s="372" t="s">
        <v>159</v>
      </c>
      <c r="E357" s="376" t="s">
        <v>1100</v>
      </c>
      <c r="F357" s="422" t="s">
        <v>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498</v>
      </c>
      <c r="C358" s="376" t="s">
        <v>1258</v>
      </c>
      <c r="D358" s="372" t="s">
        <v>518</v>
      </c>
      <c r="E358" s="372"/>
      <c r="F358" s="422" t="s">
        <v>1022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498</v>
      </c>
      <c r="C359" s="376" t="s">
        <v>1258</v>
      </c>
      <c r="D359" s="372" t="s">
        <v>441</v>
      </c>
      <c r="E359" s="372"/>
      <c r="F359" s="422" t="s">
        <v>1022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498</v>
      </c>
      <c r="C360" s="376" t="s">
        <v>1258</v>
      </c>
      <c r="D360" s="372" t="s">
        <v>860</v>
      </c>
      <c r="E360" s="372"/>
      <c r="F360" s="422" t="s">
        <v>1022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1260</v>
      </c>
      <c r="C361" s="386" t="s">
        <v>160</v>
      </c>
      <c r="D361" s="386"/>
      <c r="E361" s="386"/>
      <c r="F361" s="424" t="s">
        <v>947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162</v>
      </c>
      <c r="C362" s="387" t="s">
        <v>160</v>
      </c>
      <c r="D362" s="372" t="s">
        <v>159</v>
      </c>
      <c r="E362" s="372" t="s">
        <v>47</v>
      </c>
      <c r="F362" s="428" t="s">
        <v>2184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163</v>
      </c>
      <c r="C363" s="387" t="s">
        <v>160</v>
      </c>
      <c r="D363" s="372" t="s">
        <v>159</v>
      </c>
      <c r="E363" s="372" t="s">
        <v>47</v>
      </c>
      <c r="F363" s="422" t="s">
        <v>2185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164</v>
      </c>
      <c r="C364" s="387" t="s">
        <v>160</v>
      </c>
      <c r="D364" s="372" t="s">
        <v>159</v>
      </c>
      <c r="E364" s="372" t="s">
        <v>47</v>
      </c>
      <c r="F364" s="422" t="s">
        <v>2186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165</v>
      </c>
      <c r="C365" s="387" t="s">
        <v>160</v>
      </c>
      <c r="D365" s="372" t="s">
        <v>159</v>
      </c>
      <c r="E365" s="372" t="s">
        <v>47</v>
      </c>
      <c r="F365" s="422" t="s">
        <v>2187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1273</v>
      </c>
      <c r="C366" s="387" t="s">
        <v>160</v>
      </c>
      <c r="D366" s="372" t="s">
        <v>159</v>
      </c>
      <c r="E366" s="372" t="s">
        <v>47</v>
      </c>
      <c r="F366" s="422" t="s">
        <v>2188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1276</v>
      </c>
      <c r="C367" s="385" t="s">
        <v>1277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469</v>
      </c>
      <c r="C368" s="372" t="s">
        <v>1049</v>
      </c>
      <c r="D368" s="372" t="s">
        <v>518</v>
      </c>
      <c r="E368" s="372" t="s">
        <v>56</v>
      </c>
      <c r="F368" s="422" t="s">
        <v>2189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">
      <c r="A370" s="372"/>
      <c r="B370" s="430" t="s">
        <v>1285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outlineLevel="1" collapsed="1">
      <c r="A372" s="372"/>
      <c r="B372" s="380" t="s">
        <v>902</v>
      </c>
      <c r="C372" s="385" t="s">
        <v>1018</v>
      </c>
      <c r="D372" s="380"/>
      <c r="E372" s="380"/>
      <c r="F372" s="424" t="s">
        <v>2190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902</v>
      </c>
      <c r="C373" s="372" t="s">
        <v>1018</v>
      </c>
      <c r="D373" s="372" t="s">
        <v>159</v>
      </c>
      <c r="E373" s="376"/>
      <c r="F373" s="422" t="s">
        <v>2191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902</v>
      </c>
      <c r="C374" s="372" t="s">
        <v>1018</v>
      </c>
      <c r="D374" s="372" t="s">
        <v>159</v>
      </c>
      <c r="E374" s="376" t="s">
        <v>1100</v>
      </c>
      <c r="F374" s="422" t="s">
        <v>205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902</v>
      </c>
      <c r="C375" s="372" t="s">
        <v>1018</v>
      </c>
      <c r="D375" s="372" t="s">
        <v>159</v>
      </c>
      <c r="E375" s="376" t="s">
        <v>1100</v>
      </c>
      <c r="F375" s="422" t="s">
        <v>206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902</v>
      </c>
      <c r="C376" s="372" t="s">
        <v>1018</v>
      </c>
      <c r="D376" s="372" t="s">
        <v>159</v>
      </c>
      <c r="E376" s="376" t="s">
        <v>1100</v>
      </c>
      <c r="F376" s="422" t="s">
        <v>208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902</v>
      </c>
      <c r="C377" s="372" t="s">
        <v>1018</v>
      </c>
      <c r="D377" s="372" t="s">
        <v>159</v>
      </c>
      <c r="E377" s="376" t="s">
        <v>1159</v>
      </c>
      <c r="F377" s="422" t="s">
        <v>290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902</v>
      </c>
      <c r="C378" s="372" t="s">
        <v>1018</v>
      </c>
      <c r="D378" s="372" t="s">
        <v>159</v>
      </c>
      <c r="E378" s="376" t="s">
        <v>1159</v>
      </c>
      <c r="F378" s="422" t="s">
        <v>1287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902</v>
      </c>
      <c r="C379" s="372" t="s">
        <v>1018</v>
      </c>
      <c r="D379" s="372" t="s">
        <v>518</v>
      </c>
      <c r="E379" s="372"/>
      <c r="F379" s="422" t="s">
        <v>2191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902</v>
      </c>
      <c r="C380" s="372" t="s">
        <v>1018</v>
      </c>
      <c r="D380" s="372" t="s">
        <v>518</v>
      </c>
      <c r="E380" s="372" t="s">
        <v>56</v>
      </c>
      <c r="F380" s="427" t="s">
        <v>206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902</v>
      </c>
      <c r="C381" s="372" t="s">
        <v>1018</v>
      </c>
      <c r="D381" s="372" t="s">
        <v>441</v>
      </c>
      <c r="E381" s="372"/>
      <c r="F381" s="422" t="s">
        <v>2191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902</v>
      </c>
      <c r="C382" s="372" t="s">
        <v>1018</v>
      </c>
      <c r="D382" s="372" t="s">
        <v>441</v>
      </c>
      <c r="E382" s="372" t="s">
        <v>437</v>
      </c>
      <c r="F382" s="422" t="s">
        <v>206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902</v>
      </c>
      <c r="C383" s="372" t="s">
        <v>1018</v>
      </c>
      <c r="D383" s="372" t="s">
        <v>441</v>
      </c>
      <c r="E383" s="372" t="s">
        <v>437</v>
      </c>
      <c r="F383" s="422" t="s">
        <v>208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902</v>
      </c>
      <c r="C384" s="372" t="s">
        <v>1018</v>
      </c>
      <c r="D384" s="372" t="s">
        <v>860</v>
      </c>
      <c r="E384" s="372"/>
      <c r="F384" s="422" t="s">
        <v>2191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902</v>
      </c>
      <c r="C385" s="372" t="s">
        <v>1018</v>
      </c>
      <c r="D385" s="372" t="s">
        <v>860</v>
      </c>
      <c r="E385" s="372" t="s">
        <v>437</v>
      </c>
      <c r="F385" s="422" t="s">
        <v>206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902</v>
      </c>
      <c r="C386" s="372" t="s">
        <v>1018</v>
      </c>
      <c r="D386" s="372" t="s">
        <v>860</v>
      </c>
      <c r="E386" s="372" t="s">
        <v>437</v>
      </c>
      <c r="F386" s="422" t="s">
        <v>208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6.45" outlineLevel="1" collapsed="1">
      <c r="A387" s="372"/>
      <c r="B387" s="380" t="s">
        <v>1290</v>
      </c>
      <c r="C387" s="380" t="s">
        <v>969</v>
      </c>
      <c r="D387" s="380"/>
      <c r="E387" s="380"/>
      <c r="F387" s="424" t="s">
        <v>2192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1290</v>
      </c>
      <c r="C388" s="376" t="s">
        <v>969</v>
      </c>
      <c r="D388" s="372" t="s">
        <v>159</v>
      </c>
      <c r="E388" s="376"/>
      <c r="F388" s="422" t="s">
        <v>2193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1290</v>
      </c>
      <c r="C389" s="376" t="s">
        <v>969</v>
      </c>
      <c r="D389" s="372" t="s">
        <v>159</v>
      </c>
      <c r="E389" s="376" t="s">
        <v>664</v>
      </c>
      <c r="F389" s="422" t="s">
        <v>205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1290</v>
      </c>
      <c r="C390" s="376" t="s">
        <v>969</v>
      </c>
      <c r="D390" s="372" t="s">
        <v>159</v>
      </c>
      <c r="E390" s="376" t="s">
        <v>664</v>
      </c>
      <c r="F390" s="422" t="s">
        <v>206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1290</v>
      </c>
      <c r="C391" s="376" t="s">
        <v>969</v>
      </c>
      <c r="D391" s="372" t="s">
        <v>159</v>
      </c>
      <c r="E391" s="372" t="s">
        <v>664</v>
      </c>
      <c r="F391" s="422" t="s">
        <v>208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1290</v>
      </c>
      <c r="C392" s="376" t="s">
        <v>969</v>
      </c>
      <c r="D392" s="372" t="s">
        <v>518</v>
      </c>
      <c r="E392" s="372"/>
      <c r="F392" s="422" t="s">
        <v>2194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1290</v>
      </c>
      <c r="C393" s="376" t="s">
        <v>969</v>
      </c>
      <c r="D393" s="372" t="s">
        <v>518</v>
      </c>
      <c r="E393" s="372" t="s">
        <v>56</v>
      </c>
      <c r="F393" s="422" t="s">
        <v>206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1290</v>
      </c>
      <c r="C394" s="376" t="s">
        <v>969</v>
      </c>
      <c r="D394" s="372" t="s">
        <v>441</v>
      </c>
      <c r="E394" s="372"/>
      <c r="F394" s="422" t="s">
        <v>2195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1290</v>
      </c>
      <c r="C395" s="376" t="s">
        <v>969</v>
      </c>
      <c r="D395" s="372" t="s">
        <v>441</v>
      </c>
      <c r="E395" s="372" t="s">
        <v>437</v>
      </c>
      <c r="F395" s="422" t="s">
        <v>206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1290</v>
      </c>
      <c r="C396" s="376" t="s">
        <v>969</v>
      </c>
      <c r="D396" s="372" t="s">
        <v>441</v>
      </c>
      <c r="E396" s="372" t="s">
        <v>437</v>
      </c>
      <c r="F396" s="422" t="s">
        <v>208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1290</v>
      </c>
      <c r="C397" s="376" t="s">
        <v>969</v>
      </c>
      <c r="D397" s="372" t="s">
        <v>860</v>
      </c>
      <c r="E397" s="372"/>
      <c r="F397" s="422" t="s">
        <v>2195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1290</v>
      </c>
      <c r="C398" s="376" t="s">
        <v>969</v>
      </c>
      <c r="D398" s="372" t="s">
        <v>860</v>
      </c>
      <c r="E398" s="372" t="s">
        <v>437</v>
      </c>
      <c r="F398" s="422" t="s">
        <v>206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1290</v>
      </c>
      <c r="C399" s="376" t="s">
        <v>969</v>
      </c>
      <c r="D399" s="372" t="s">
        <v>860</v>
      </c>
      <c r="E399" s="372" t="s">
        <v>437</v>
      </c>
      <c r="F399" s="422" t="s">
        <v>208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6.45" outlineLevel="1" collapsed="1">
      <c r="A400" s="385"/>
      <c r="B400" s="386" t="s">
        <v>1299</v>
      </c>
      <c r="C400" s="386" t="s">
        <v>1300</v>
      </c>
      <c r="D400" s="386"/>
      <c r="E400" s="386"/>
      <c r="F400" s="426" t="s">
        <v>2196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1299</v>
      </c>
      <c r="C401" s="372" t="s">
        <v>1300</v>
      </c>
      <c r="D401" s="372" t="s">
        <v>159</v>
      </c>
      <c r="E401" s="376"/>
      <c r="F401" s="422" t="s">
        <v>2197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1299</v>
      </c>
      <c r="C402" s="372" t="s">
        <v>1300</v>
      </c>
      <c r="D402" s="372" t="s">
        <v>159</v>
      </c>
      <c r="E402" s="376" t="s">
        <v>1100</v>
      </c>
      <c r="F402" s="422" t="s">
        <v>199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1299</v>
      </c>
      <c r="C403" s="372" t="s">
        <v>1300</v>
      </c>
      <c r="D403" s="372" t="s">
        <v>159</v>
      </c>
      <c r="E403" s="376" t="s">
        <v>1100</v>
      </c>
      <c r="F403" s="422" t="s">
        <v>209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1299</v>
      </c>
      <c r="C404" s="372" t="s">
        <v>1300</v>
      </c>
      <c r="D404" s="372" t="s">
        <v>159</v>
      </c>
      <c r="E404" s="376" t="s">
        <v>1100</v>
      </c>
      <c r="F404" s="422" t="s">
        <v>198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1299</v>
      </c>
      <c r="C405" s="372" t="s">
        <v>1300</v>
      </c>
      <c r="D405" s="372" t="s">
        <v>518</v>
      </c>
      <c r="E405" s="372"/>
      <c r="F405" s="422" t="s">
        <v>2197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1299</v>
      </c>
      <c r="C406" s="372" t="s">
        <v>1300</v>
      </c>
      <c r="D406" s="372" t="s">
        <v>518</v>
      </c>
      <c r="E406" s="372" t="s">
        <v>56</v>
      </c>
      <c r="F406" s="427" t="s">
        <v>206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1299</v>
      </c>
      <c r="C407" s="372" t="s">
        <v>1300</v>
      </c>
      <c r="D407" s="372" t="s">
        <v>518</v>
      </c>
      <c r="E407" s="372" t="s">
        <v>56</v>
      </c>
      <c r="F407" s="422" t="s">
        <v>199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1299</v>
      </c>
      <c r="C408" s="372" t="s">
        <v>1300</v>
      </c>
      <c r="D408" s="372" t="s">
        <v>441</v>
      </c>
      <c r="E408" s="372"/>
      <c r="F408" s="422" t="s">
        <v>2197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1299</v>
      </c>
      <c r="C409" s="372" t="s">
        <v>1300</v>
      </c>
      <c r="D409" s="372" t="s">
        <v>441</v>
      </c>
      <c r="E409" s="372" t="s">
        <v>437</v>
      </c>
      <c r="F409" s="422" t="s">
        <v>206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1299</v>
      </c>
      <c r="C410" s="372" t="s">
        <v>1300</v>
      </c>
      <c r="D410" s="372" t="s">
        <v>441</v>
      </c>
      <c r="E410" s="372" t="s">
        <v>437</v>
      </c>
      <c r="F410" s="422" t="s">
        <v>199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1299</v>
      </c>
      <c r="C411" s="372" t="s">
        <v>1300</v>
      </c>
      <c r="D411" s="372" t="s">
        <v>441</v>
      </c>
      <c r="E411" s="372" t="s">
        <v>437</v>
      </c>
      <c r="F411" s="422" t="s">
        <v>209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1299</v>
      </c>
      <c r="C412" s="372" t="s">
        <v>1300</v>
      </c>
      <c r="D412" s="372" t="s">
        <v>860</v>
      </c>
      <c r="E412" s="372"/>
      <c r="F412" s="422" t="s">
        <v>2197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1299</v>
      </c>
      <c r="C413" s="372" t="s">
        <v>1300</v>
      </c>
      <c r="D413" s="372" t="s">
        <v>860</v>
      </c>
      <c r="E413" s="372" t="s">
        <v>437</v>
      </c>
      <c r="F413" s="422" t="s">
        <v>206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1299</v>
      </c>
      <c r="C414" s="372" t="s">
        <v>1300</v>
      </c>
      <c r="D414" s="372" t="s">
        <v>860</v>
      </c>
      <c r="E414" s="372" t="s">
        <v>437</v>
      </c>
      <c r="F414" s="422" t="s">
        <v>199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6.45" outlineLevel="1" collapsed="1">
      <c r="A415" s="393"/>
      <c r="B415" s="386" t="s">
        <v>1309</v>
      </c>
      <c r="C415" s="386" t="s">
        <v>1310</v>
      </c>
      <c r="D415" s="407"/>
      <c r="E415" s="386"/>
      <c r="F415" s="426" t="s">
        <v>2198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1310</v>
      </c>
      <c r="C416" s="387" t="s">
        <v>1310</v>
      </c>
      <c r="D416" s="441" t="s">
        <v>159</v>
      </c>
      <c r="E416" s="387"/>
      <c r="F416" s="428" t="s">
        <v>2199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1310</v>
      </c>
      <c r="C417" s="387" t="s">
        <v>1310</v>
      </c>
      <c r="D417" s="441" t="s">
        <v>159</v>
      </c>
      <c r="E417" s="387" t="s">
        <v>1100</v>
      </c>
      <c r="F417" s="428" t="s">
        <v>205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1310</v>
      </c>
      <c r="C418" s="387" t="s">
        <v>1310</v>
      </c>
      <c r="D418" s="441" t="s">
        <v>159</v>
      </c>
      <c r="E418" s="387" t="s">
        <v>1100</v>
      </c>
      <c r="F418" s="428" t="s">
        <v>206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1310</v>
      </c>
      <c r="C419" s="387" t="s">
        <v>1310</v>
      </c>
      <c r="D419" s="441" t="s">
        <v>159</v>
      </c>
      <c r="E419" s="387" t="s">
        <v>1100</v>
      </c>
      <c r="F419" s="428" t="s">
        <v>208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1310</v>
      </c>
      <c r="C420" s="387" t="s">
        <v>1310</v>
      </c>
      <c r="D420" s="441" t="s">
        <v>159</v>
      </c>
      <c r="E420" s="387" t="s">
        <v>1100</v>
      </c>
      <c r="F420" s="428" t="s">
        <v>209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1310</v>
      </c>
      <c r="C421" s="387" t="s">
        <v>1310</v>
      </c>
      <c r="D421" s="441" t="s">
        <v>159</v>
      </c>
      <c r="E421" s="387" t="s">
        <v>1159</v>
      </c>
      <c r="F421" s="428" t="s">
        <v>2200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1310</v>
      </c>
      <c r="C422" s="387" t="s">
        <v>1310</v>
      </c>
      <c r="D422" s="441" t="s">
        <v>159</v>
      </c>
      <c r="E422" s="387" t="s">
        <v>1159</v>
      </c>
      <c r="F422" s="428" t="s">
        <v>2201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1310</v>
      </c>
      <c r="C423" s="387" t="s">
        <v>1310</v>
      </c>
      <c r="D423" s="441" t="s">
        <v>518</v>
      </c>
      <c r="E423" s="441"/>
      <c r="F423" s="428" t="s">
        <v>2199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1310</v>
      </c>
      <c r="C424" s="387" t="s">
        <v>1310</v>
      </c>
      <c r="D424" s="441" t="s">
        <v>518</v>
      </c>
      <c r="E424" s="441" t="s">
        <v>56</v>
      </c>
      <c r="F424" s="428" t="s">
        <v>206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1310</v>
      </c>
      <c r="C425" s="387" t="s">
        <v>1310</v>
      </c>
      <c r="D425" s="441" t="s">
        <v>518</v>
      </c>
      <c r="E425" s="441" t="s">
        <v>56</v>
      </c>
      <c r="F425" s="428" t="s">
        <v>209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1310</v>
      </c>
      <c r="C426" s="387" t="s">
        <v>1310</v>
      </c>
      <c r="D426" s="441" t="s">
        <v>441</v>
      </c>
      <c r="E426" s="441"/>
      <c r="F426" s="428" t="s">
        <v>2199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1310</v>
      </c>
      <c r="C427" s="387" t="s">
        <v>1310</v>
      </c>
      <c r="D427" s="441" t="s">
        <v>441</v>
      </c>
      <c r="E427" s="441" t="s">
        <v>437</v>
      </c>
      <c r="F427" s="428" t="s">
        <v>206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1310</v>
      </c>
      <c r="C428" s="387" t="s">
        <v>1310</v>
      </c>
      <c r="D428" s="441" t="s">
        <v>441</v>
      </c>
      <c r="E428" s="441" t="s">
        <v>437</v>
      </c>
      <c r="F428" s="428" t="s">
        <v>208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1310</v>
      </c>
      <c r="C429" s="387" t="s">
        <v>1310</v>
      </c>
      <c r="D429" s="441" t="s">
        <v>441</v>
      </c>
      <c r="E429" s="441" t="s">
        <v>437</v>
      </c>
      <c r="F429" s="428" t="s">
        <v>209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1310</v>
      </c>
      <c r="C430" s="387" t="s">
        <v>1310</v>
      </c>
      <c r="D430" s="441" t="s">
        <v>860</v>
      </c>
      <c r="E430" s="441"/>
      <c r="F430" s="428" t="s">
        <v>2202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1310</v>
      </c>
      <c r="C431" s="387" t="s">
        <v>1310</v>
      </c>
      <c r="D431" s="441" t="s">
        <v>860</v>
      </c>
      <c r="E431" s="441" t="s">
        <v>437</v>
      </c>
      <c r="F431" s="428" t="s">
        <v>206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1310</v>
      </c>
      <c r="C432" s="387" t="s">
        <v>1310</v>
      </c>
      <c r="D432" s="441" t="s">
        <v>860</v>
      </c>
      <c r="E432" s="441" t="s">
        <v>437</v>
      </c>
      <c r="F432" s="428" t="s">
        <v>209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1320</v>
      </c>
      <c r="C433" s="386" t="s">
        <v>1321</v>
      </c>
      <c r="D433" s="386"/>
      <c r="E433" s="386"/>
      <c r="F433" s="426" t="s">
        <v>2203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1321</v>
      </c>
      <c r="C434" s="387" t="s">
        <v>1321</v>
      </c>
      <c r="D434" s="441" t="s">
        <v>159</v>
      </c>
      <c r="E434" s="387"/>
      <c r="F434" s="428" t="s">
        <v>2204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1321</v>
      </c>
      <c r="C435" s="387" t="s">
        <v>1321</v>
      </c>
      <c r="D435" s="441" t="s">
        <v>159</v>
      </c>
      <c r="E435" s="387" t="s">
        <v>664</v>
      </c>
      <c r="F435" s="428" t="s">
        <v>205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1321</v>
      </c>
      <c r="C436" s="387" t="s">
        <v>1321</v>
      </c>
      <c r="D436" s="441" t="s">
        <v>159</v>
      </c>
      <c r="E436" s="387" t="s">
        <v>664</v>
      </c>
      <c r="F436" s="428" t="s">
        <v>206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1321</v>
      </c>
      <c r="C437" s="387" t="s">
        <v>1321</v>
      </c>
      <c r="D437" s="441" t="s">
        <v>159</v>
      </c>
      <c r="E437" s="387" t="s">
        <v>664</v>
      </c>
      <c r="F437" s="428" t="s">
        <v>208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1321</v>
      </c>
      <c r="C438" s="387" t="s">
        <v>1321</v>
      </c>
      <c r="D438" s="441" t="s">
        <v>518</v>
      </c>
      <c r="E438" s="441"/>
      <c r="F438" s="428" t="s">
        <v>2204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1321</v>
      </c>
      <c r="C439" s="387" t="s">
        <v>1321</v>
      </c>
      <c r="D439" s="441" t="s">
        <v>518</v>
      </c>
      <c r="E439" s="441" t="s">
        <v>56</v>
      </c>
      <c r="F439" s="428" t="s">
        <v>206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1321</v>
      </c>
      <c r="C440" s="387" t="s">
        <v>1321</v>
      </c>
      <c r="D440" s="441" t="s">
        <v>441</v>
      </c>
      <c r="E440" s="441"/>
      <c r="F440" s="428" t="s">
        <v>2204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1321</v>
      </c>
      <c r="C441" s="387" t="s">
        <v>1321</v>
      </c>
      <c r="D441" s="441" t="s">
        <v>441</v>
      </c>
      <c r="E441" s="441" t="s">
        <v>437</v>
      </c>
      <c r="F441" s="428" t="s">
        <v>206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1321</v>
      </c>
      <c r="C442" s="387" t="s">
        <v>1321</v>
      </c>
      <c r="D442" s="441" t="s">
        <v>441</v>
      </c>
      <c r="E442" s="441" t="s">
        <v>437</v>
      </c>
      <c r="F442" s="428" t="s">
        <v>208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1321</v>
      </c>
      <c r="C443" s="387" t="s">
        <v>1321</v>
      </c>
      <c r="D443" s="441" t="s">
        <v>860</v>
      </c>
      <c r="E443" s="441"/>
      <c r="F443" s="428" t="s">
        <v>2204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1329</v>
      </c>
      <c r="C444" s="386" t="s">
        <v>1330</v>
      </c>
      <c r="D444" s="386"/>
      <c r="E444" s="386"/>
      <c r="F444" s="426" t="s">
        <v>2203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1330</v>
      </c>
      <c r="C445" s="387" t="s">
        <v>1330</v>
      </c>
      <c r="D445" s="372" t="s">
        <v>159</v>
      </c>
      <c r="E445" s="387"/>
      <c r="F445" s="428" t="s">
        <v>2204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1330</v>
      </c>
      <c r="C446" s="387" t="s">
        <v>1330</v>
      </c>
      <c r="D446" s="372" t="s">
        <v>159</v>
      </c>
      <c r="E446" s="387" t="s">
        <v>664</v>
      </c>
      <c r="F446" s="428" t="s">
        <v>205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1330</v>
      </c>
      <c r="C447" s="387" t="s">
        <v>1330</v>
      </c>
      <c r="D447" s="372" t="s">
        <v>159</v>
      </c>
      <c r="E447" s="387" t="s">
        <v>664</v>
      </c>
      <c r="F447" s="428" t="s">
        <v>206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1330</v>
      </c>
      <c r="C448" s="387" t="s">
        <v>1330</v>
      </c>
      <c r="D448" s="372" t="s">
        <v>159</v>
      </c>
      <c r="E448" s="387" t="s">
        <v>664</v>
      </c>
      <c r="F448" s="428" t="s">
        <v>208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1330</v>
      </c>
      <c r="C449" s="387" t="s">
        <v>1330</v>
      </c>
      <c r="D449" s="372" t="s">
        <v>518</v>
      </c>
      <c r="E449" s="372"/>
      <c r="F449" s="428" t="s">
        <v>2204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1330</v>
      </c>
      <c r="C450" s="387" t="s">
        <v>1330</v>
      </c>
      <c r="D450" s="372" t="s">
        <v>518</v>
      </c>
      <c r="E450" s="372" t="s">
        <v>56</v>
      </c>
      <c r="F450" s="428" t="s">
        <v>206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1330</v>
      </c>
      <c r="C451" s="387" t="s">
        <v>1330</v>
      </c>
      <c r="D451" s="372" t="s">
        <v>441</v>
      </c>
      <c r="E451" s="372"/>
      <c r="F451" s="428" t="s">
        <v>2205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1330</v>
      </c>
      <c r="C452" s="387" t="s">
        <v>1330</v>
      </c>
      <c r="D452" s="372" t="s">
        <v>441</v>
      </c>
      <c r="E452" s="372" t="s">
        <v>437</v>
      </c>
      <c r="F452" s="428" t="s">
        <v>206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1330</v>
      </c>
      <c r="C453" s="387" t="s">
        <v>1330</v>
      </c>
      <c r="D453" s="372" t="s">
        <v>441</v>
      </c>
      <c r="E453" s="372" t="s">
        <v>437</v>
      </c>
      <c r="F453" s="428" t="s">
        <v>208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1330</v>
      </c>
      <c r="C454" s="387" t="s">
        <v>1330</v>
      </c>
      <c r="D454" s="372" t="s">
        <v>860</v>
      </c>
      <c r="E454" s="372"/>
      <c r="F454" s="428" t="s">
        <v>2205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1273</v>
      </c>
      <c r="C455" s="380" t="s">
        <v>1273</v>
      </c>
      <c r="D455" s="385"/>
      <c r="E455" s="380"/>
      <c r="F455" s="424" t="s">
        <v>2206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1273</v>
      </c>
      <c r="C456" s="376" t="s">
        <v>1273</v>
      </c>
      <c r="D456" s="372" t="s">
        <v>1335</v>
      </c>
      <c r="E456" s="372"/>
      <c r="F456" s="422" t="s">
        <v>2207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1273</v>
      </c>
      <c r="C457" s="376" t="s">
        <v>1273</v>
      </c>
      <c r="D457" s="372" t="s">
        <v>1335</v>
      </c>
      <c r="E457" s="372" t="s">
        <v>664</v>
      </c>
      <c r="F457" s="422" t="s">
        <v>374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1273</v>
      </c>
      <c r="C458" s="376" t="s">
        <v>1273</v>
      </c>
      <c r="D458" s="372" t="s">
        <v>1335</v>
      </c>
      <c r="E458" s="372" t="s">
        <v>664</v>
      </c>
      <c r="F458" s="422" t="s">
        <v>206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1273</v>
      </c>
      <c r="C459" s="376" t="s">
        <v>1273</v>
      </c>
      <c r="D459" s="372" t="s">
        <v>1335</v>
      </c>
      <c r="E459" s="372" t="s">
        <v>664</v>
      </c>
      <c r="F459" s="422" t="s">
        <v>1339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1273</v>
      </c>
      <c r="C460" s="376" t="s">
        <v>1273</v>
      </c>
      <c r="D460" s="372" t="s">
        <v>1335</v>
      </c>
      <c r="E460" s="372" t="s">
        <v>664</v>
      </c>
      <c r="F460" s="422" t="s">
        <v>2208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1273</v>
      </c>
      <c r="C461" s="376" t="s">
        <v>1273</v>
      </c>
      <c r="D461" s="372" t="s">
        <v>1335</v>
      </c>
      <c r="E461" s="372" t="s">
        <v>664</v>
      </c>
      <c r="F461" s="422" t="s">
        <v>198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1273</v>
      </c>
      <c r="C462" s="376" t="s">
        <v>1273</v>
      </c>
      <c r="D462" s="372" t="s">
        <v>1335</v>
      </c>
      <c r="E462" s="372" t="s">
        <v>664</v>
      </c>
      <c r="F462" s="422" t="s">
        <v>2237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1273</v>
      </c>
      <c r="C463" s="376" t="s">
        <v>1273</v>
      </c>
      <c r="D463" s="372" t="s">
        <v>159</v>
      </c>
      <c r="E463" s="376"/>
      <c r="F463" s="422" t="s">
        <v>2210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1273</v>
      </c>
      <c r="C464" s="376" t="s">
        <v>1273</v>
      </c>
      <c r="D464" s="372" t="s">
        <v>159</v>
      </c>
      <c r="E464" s="376" t="s">
        <v>1159</v>
      </c>
      <c r="F464" s="406" t="s">
        <v>290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1273</v>
      </c>
      <c r="C465" s="376" t="s">
        <v>1273</v>
      </c>
      <c r="D465" s="372" t="s">
        <v>159</v>
      </c>
      <c r="E465" s="376" t="s">
        <v>1159</v>
      </c>
      <c r="F465" s="406" t="s">
        <v>1287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1273</v>
      </c>
      <c r="C466" s="376" t="s">
        <v>1273</v>
      </c>
      <c r="D466" s="372" t="s">
        <v>159</v>
      </c>
      <c r="E466" s="376" t="s">
        <v>1159</v>
      </c>
      <c r="F466" s="406" t="s">
        <v>2212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1273</v>
      </c>
      <c r="C467" s="376" t="s">
        <v>1273</v>
      </c>
      <c r="D467" s="372" t="s">
        <v>518</v>
      </c>
      <c r="E467" s="372"/>
      <c r="F467" s="422" t="s">
        <v>2213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1273</v>
      </c>
      <c r="C468" s="376" t="s">
        <v>1273</v>
      </c>
      <c r="D468" s="372" t="s">
        <v>518</v>
      </c>
      <c r="E468" s="372" t="s">
        <v>56</v>
      </c>
      <c r="F468" s="422" t="s">
        <v>206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1273</v>
      </c>
      <c r="C469" s="376" t="s">
        <v>1273</v>
      </c>
      <c r="D469" s="372" t="s">
        <v>518</v>
      </c>
      <c r="E469" s="372" t="s">
        <v>56</v>
      </c>
      <c r="F469" s="422" t="s">
        <v>199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1273</v>
      </c>
      <c r="C470" s="376" t="s">
        <v>1273</v>
      </c>
      <c r="D470" s="372" t="s">
        <v>518</v>
      </c>
      <c r="E470" s="372" t="s">
        <v>56</v>
      </c>
      <c r="F470" s="422" t="s">
        <v>608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1273</v>
      </c>
      <c r="C471" s="376" t="s">
        <v>1273</v>
      </c>
      <c r="D471" s="372" t="s">
        <v>441</v>
      </c>
      <c r="E471" s="372"/>
      <c r="F471" s="422" t="s">
        <v>2214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1273</v>
      </c>
      <c r="C472" s="376" t="s">
        <v>1273</v>
      </c>
      <c r="D472" s="372" t="s">
        <v>441</v>
      </c>
      <c r="E472" s="372" t="s">
        <v>437</v>
      </c>
      <c r="F472" s="422" t="s">
        <v>206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1273</v>
      </c>
      <c r="C473" s="376" t="s">
        <v>1273</v>
      </c>
      <c r="D473" s="372" t="s">
        <v>441</v>
      </c>
      <c r="E473" s="372" t="s">
        <v>437</v>
      </c>
      <c r="F473" s="422" t="s">
        <v>208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1273</v>
      </c>
      <c r="C474" s="376" t="s">
        <v>1273</v>
      </c>
      <c r="D474" s="372" t="s">
        <v>441</v>
      </c>
      <c r="E474" s="372" t="s">
        <v>437</v>
      </c>
      <c r="F474" s="422" t="s">
        <v>199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1273</v>
      </c>
      <c r="C475" s="376" t="s">
        <v>1273</v>
      </c>
      <c r="D475" s="372" t="s">
        <v>441</v>
      </c>
      <c r="E475" s="372" t="s">
        <v>437</v>
      </c>
      <c r="F475" s="422" t="s">
        <v>209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1273</v>
      </c>
      <c r="C476" s="376" t="s">
        <v>1273</v>
      </c>
      <c r="D476" s="372" t="s">
        <v>860</v>
      </c>
      <c r="E476" s="372"/>
      <c r="F476" s="422" t="s">
        <v>2214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1273</v>
      </c>
      <c r="C477" s="376" t="s">
        <v>1273</v>
      </c>
      <c r="D477" s="372" t="s">
        <v>860</v>
      </c>
      <c r="E477" s="372" t="s">
        <v>437</v>
      </c>
      <c r="F477" s="464" t="s">
        <v>206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1273</v>
      </c>
      <c r="C478" s="376" t="s">
        <v>1273</v>
      </c>
      <c r="D478" s="372" t="s">
        <v>860</v>
      </c>
      <c r="E478" s="372" t="s">
        <v>437</v>
      </c>
      <c r="F478" s="422" t="s">
        <v>199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1273</v>
      </c>
      <c r="C479" s="376" t="s">
        <v>1273</v>
      </c>
      <c r="D479" s="372" t="s">
        <v>860</v>
      </c>
      <c r="E479" s="372" t="s">
        <v>437</v>
      </c>
      <c r="F479" s="422" t="s">
        <v>608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1347</v>
      </c>
      <c r="C480" s="380" t="s">
        <v>163</v>
      </c>
      <c r="D480" s="380"/>
      <c r="E480" s="385"/>
      <c r="F480" s="424" t="s">
        <v>2216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1347</v>
      </c>
      <c r="C481" s="376" t="s">
        <v>1089</v>
      </c>
      <c r="D481" s="372" t="s">
        <v>1335</v>
      </c>
      <c r="E481" s="372"/>
      <c r="F481" s="422" t="s">
        <v>2217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1347</v>
      </c>
      <c r="C482" s="376" t="s">
        <v>1089</v>
      </c>
      <c r="D482" s="372" t="s">
        <v>1335</v>
      </c>
      <c r="E482" s="372" t="s">
        <v>437</v>
      </c>
      <c r="F482" s="422" t="s">
        <v>205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1347</v>
      </c>
      <c r="C483" s="376" t="s">
        <v>1089</v>
      </c>
      <c r="D483" s="372" t="s">
        <v>1335</v>
      </c>
      <c r="E483" s="372" t="s">
        <v>437</v>
      </c>
      <c r="F483" s="422" t="s">
        <v>206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1347</v>
      </c>
      <c r="C484" s="376" t="s">
        <v>1089</v>
      </c>
      <c r="D484" s="372" t="s">
        <v>1335</v>
      </c>
      <c r="E484" s="372" t="s">
        <v>437</v>
      </c>
      <c r="F484" s="422" t="s">
        <v>208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1347</v>
      </c>
      <c r="C485" s="376" t="s">
        <v>1089</v>
      </c>
      <c r="D485" s="372" t="s">
        <v>1335</v>
      </c>
      <c r="E485" s="372" t="s">
        <v>437</v>
      </c>
      <c r="F485" s="422" t="s">
        <v>608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1347</v>
      </c>
      <c r="C486" s="376" t="s">
        <v>1089</v>
      </c>
      <c r="D486" s="372" t="s">
        <v>159</v>
      </c>
      <c r="E486" s="372"/>
      <c r="F486" s="422" t="s">
        <v>2210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1347</v>
      </c>
      <c r="C487" s="376" t="s">
        <v>1089</v>
      </c>
      <c r="D487" s="372" t="s">
        <v>518</v>
      </c>
      <c r="E487" s="372"/>
      <c r="F487" s="422" t="s">
        <v>2218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1347</v>
      </c>
      <c r="C488" s="376" t="s">
        <v>1089</v>
      </c>
      <c r="D488" s="372" t="s">
        <v>518</v>
      </c>
      <c r="E488" s="372" t="s">
        <v>56</v>
      </c>
      <c r="F488" s="422" t="s">
        <v>206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1347</v>
      </c>
      <c r="C489" s="376" t="s">
        <v>1089</v>
      </c>
      <c r="D489" s="372" t="s">
        <v>518</v>
      </c>
      <c r="E489" s="372" t="s">
        <v>56</v>
      </c>
      <c r="F489" s="422" t="s">
        <v>608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1347</v>
      </c>
      <c r="C490" s="376" t="s">
        <v>1089</v>
      </c>
      <c r="D490" s="372" t="s">
        <v>441</v>
      </c>
      <c r="E490" s="372"/>
      <c r="F490" s="422" t="s">
        <v>2210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1347</v>
      </c>
      <c r="C491" s="376" t="s">
        <v>1089</v>
      </c>
      <c r="D491" s="372" t="s">
        <v>441</v>
      </c>
      <c r="E491" s="372" t="s">
        <v>437</v>
      </c>
      <c r="F491" s="422" t="s">
        <v>206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1347</v>
      </c>
      <c r="C492" s="376" t="s">
        <v>1089</v>
      </c>
      <c r="D492" s="372" t="s">
        <v>441</v>
      </c>
      <c r="E492" s="372" t="s">
        <v>437</v>
      </c>
      <c r="F492" s="422" t="s">
        <v>208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1347</v>
      </c>
      <c r="C493" s="376" t="s">
        <v>1089</v>
      </c>
      <c r="D493" s="372" t="s">
        <v>441</v>
      </c>
      <c r="E493" s="372" t="s">
        <v>437</v>
      </c>
      <c r="F493" s="422" t="s">
        <v>608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1347</v>
      </c>
      <c r="C494" s="376" t="s">
        <v>1089</v>
      </c>
      <c r="D494" s="372" t="s">
        <v>860</v>
      </c>
      <c r="E494" s="372"/>
      <c r="F494" s="422" t="s">
        <v>2210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1347</v>
      </c>
      <c r="C495" s="376" t="s">
        <v>1089</v>
      </c>
      <c r="D495" s="372" t="s">
        <v>860</v>
      </c>
      <c r="E495" s="372" t="s">
        <v>437</v>
      </c>
      <c r="F495" s="422" t="s">
        <v>206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1347</v>
      </c>
      <c r="C496" s="376" t="s">
        <v>1089</v>
      </c>
      <c r="D496" s="372" t="s">
        <v>860</v>
      </c>
      <c r="E496" s="372" t="s">
        <v>437</v>
      </c>
      <c r="F496" s="422" t="s">
        <v>208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1347</v>
      </c>
      <c r="C497" s="376" t="s">
        <v>1089</v>
      </c>
      <c r="D497" s="372" t="s">
        <v>860</v>
      </c>
      <c r="E497" s="372" t="s">
        <v>437</v>
      </c>
      <c r="F497" s="422" t="s">
        <v>608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2219</v>
      </c>
      <c r="C498" s="386" t="s">
        <v>1089</v>
      </c>
      <c r="D498" s="391"/>
      <c r="E498" s="385"/>
      <c r="F498" s="424" t="s">
        <v>2220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2219</v>
      </c>
      <c r="C499" s="387" t="s">
        <v>1089</v>
      </c>
      <c r="D499" s="372" t="s">
        <v>1335</v>
      </c>
      <c r="E499" s="372"/>
      <c r="F499" s="422" t="s">
        <v>2221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2219</v>
      </c>
      <c r="C500" s="387" t="s">
        <v>1089</v>
      </c>
      <c r="D500" s="372" t="s">
        <v>1335</v>
      </c>
      <c r="E500" s="372" t="s">
        <v>437</v>
      </c>
      <c r="F500" s="422" t="s">
        <v>205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2219</v>
      </c>
      <c r="C501" s="387" t="s">
        <v>1089</v>
      </c>
      <c r="D501" s="372" t="s">
        <v>1335</v>
      </c>
      <c r="E501" s="372" t="s">
        <v>437</v>
      </c>
      <c r="F501" s="422" t="s">
        <v>206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2219</v>
      </c>
      <c r="C502" s="387" t="s">
        <v>1089</v>
      </c>
      <c r="D502" s="372" t="s">
        <v>1335</v>
      </c>
      <c r="E502" s="372" t="s">
        <v>437</v>
      </c>
      <c r="F502" s="422" t="s">
        <v>208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2219</v>
      </c>
      <c r="C503" s="387" t="s">
        <v>1089</v>
      </c>
      <c r="D503" s="372" t="s">
        <v>159</v>
      </c>
      <c r="E503" s="372"/>
      <c r="F503" s="422" t="s">
        <v>2221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2219</v>
      </c>
      <c r="C504" s="387" t="s">
        <v>1089</v>
      </c>
      <c r="D504" s="372" t="s">
        <v>159</v>
      </c>
      <c r="E504" s="372" t="s">
        <v>1159</v>
      </c>
      <c r="F504" s="422" t="s">
        <v>206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2219</v>
      </c>
      <c r="C505" s="387" t="s">
        <v>1089</v>
      </c>
      <c r="D505" s="372" t="s">
        <v>518</v>
      </c>
      <c r="E505" s="372"/>
      <c r="F505" s="422" t="s">
        <v>2221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2219</v>
      </c>
      <c r="C506" s="387" t="s">
        <v>1089</v>
      </c>
      <c r="D506" s="372" t="s">
        <v>518</v>
      </c>
      <c r="E506" s="372" t="s">
        <v>56</v>
      </c>
      <c r="F506" s="422" t="s">
        <v>206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2219</v>
      </c>
      <c r="C507" s="387" t="s">
        <v>1089</v>
      </c>
      <c r="D507" s="372" t="s">
        <v>441</v>
      </c>
      <c r="E507" s="372"/>
      <c r="F507" s="422" t="s">
        <v>2221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2219</v>
      </c>
      <c r="C508" s="387" t="s">
        <v>1089</v>
      </c>
      <c r="D508" s="373" t="s">
        <v>441</v>
      </c>
      <c r="E508" s="373" t="s">
        <v>437</v>
      </c>
      <c r="F508" s="422" t="s">
        <v>206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2219</v>
      </c>
      <c r="C509" s="387" t="s">
        <v>1089</v>
      </c>
      <c r="D509" s="373" t="s">
        <v>441</v>
      </c>
      <c r="E509" s="373" t="s">
        <v>437</v>
      </c>
      <c r="F509" s="422" t="s">
        <v>208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2219</v>
      </c>
      <c r="C510" s="387" t="s">
        <v>1089</v>
      </c>
      <c r="D510" s="372" t="s">
        <v>860</v>
      </c>
      <c r="E510" s="372"/>
      <c r="F510" s="422" t="s">
        <v>2221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2219</v>
      </c>
      <c r="C511" s="387" t="s">
        <v>1089</v>
      </c>
      <c r="D511" s="372" t="s">
        <v>860</v>
      </c>
      <c r="E511" s="373" t="s">
        <v>437</v>
      </c>
      <c r="F511" s="422" t="s">
        <v>206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2219</v>
      </c>
      <c r="C512" s="387" t="s">
        <v>1089</v>
      </c>
      <c r="D512" s="372" t="s">
        <v>860</v>
      </c>
      <c r="E512" s="373" t="s">
        <v>437</v>
      </c>
      <c r="F512" s="422" t="s">
        <v>208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609</v>
      </c>
      <c r="C513" s="386" t="s">
        <v>1089</v>
      </c>
      <c r="D513" s="391" t="s">
        <v>1364</v>
      </c>
      <c r="E513" s="385"/>
      <c r="F513" s="424" t="s">
        <v>2220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609</v>
      </c>
      <c r="C514" s="387" t="s">
        <v>1089</v>
      </c>
      <c r="D514" s="372" t="s">
        <v>1335</v>
      </c>
      <c r="E514" s="372"/>
      <c r="F514" s="422" t="s">
        <v>2221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609</v>
      </c>
      <c r="C515" s="387" t="s">
        <v>1089</v>
      </c>
      <c r="D515" s="372" t="s">
        <v>1335</v>
      </c>
      <c r="E515" s="372" t="s">
        <v>437</v>
      </c>
      <c r="F515" s="422" t="s">
        <v>2222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609</v>
      </c>
      <c r="C516" s="387" t="s">
        <v>1089</v>
      </c>
      <c r="D516" s="372" t="s">
        <v>1335</v>
      </c>
      <c r="E516" s="372" t="s">
        <v>437</v>
      </c>
      <c r="F516" s="422" t="s">
        <v>2223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609</v>
      </c>
      <c r="C517" s="387" t="s">
        <v>1089</v>
      </c>
      <c r="D517" s="372" t="s">
        <v>1335</v>
      </c>
      <c r="E517" s="372" t="s">
        <v>437</v>
      </c>
      <c r="F517" s="422" t="s">
        <v>199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609</v>
      </c>
      <c r="C518" s="387" t="s">
        <v>1089</v>
      </c>
      <c r="D518" s="372" t="s">
        <v>1335</v>
      </c>
      <c r="E518" s="372" t="s">
        <v>437</v>
      </c>
      <c r="F518" s="422" t="s">
        <v>608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609</v>
      </c>
      <c r="C519" s="387" t="s">
        <v>1089</v>
      </c>
      <c r="D519" s="372" t="s">
        <v>1335</v>
      </c>
      <c r="E519" s="372" t="s">
        <v>437</v>
      </c>
      <c r="F519" s="422" t="s">
        <v>198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609</v>
      </c>
      <c r="C520" s="387" t="s">
        <v>1089</v>
      </c>
      <c r="D520" s="372" t="s">
        <v>1335</v>
      </c>
      <c r="E520" s="372" t="s">
        <v>437</v>
      </c>
      <c r="F520" s="422" t="s">
        <v>2224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609</v>
      </c>
      <c r="C521" s="387" t="s">
        <v>1089</v>
      </c>
      <c r="D521" s="372" t="s">
        <v>159</v>
      </c>
      <c r="E521" s="372"/>
      <c r="F521" s="422" t="s">
        <v>2221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609</v>
      </c>
      <c r="C522" s="387" t="s">
        <v>1089</v>
      </c>
      <c r="D522" s="372" t="s">
        <v>159</v>
      </c>
      <c r="E522" s="372" t="s">
        <v>1159</v>
      </c>
      <c r="F522" s="422" t="s">
        <v>206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609</v>
      </c>
      <c r="C523" s="387" t="s">
        <v>1089</v>
      </c>
      <c r="D523" s="372" t="s">
        <v>518</v>
      </c>
      <c r="E523" s="372"/>
      <c r="F523" s="422" t="s">
        <v>2221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609</v>
      </c>
      <c r="C524" s="387" t="s">
        <v>1089</v>
      </c>
      <c r="D524" s="372" t="s">
        <v>518</v>
      </c>
      <c r="E524" s="372" t="s">
        <v>56</v>
      </c>
      <c r="F524" s="422" t="s">
        <v>206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609</v>
      </c>
      <c r="C525" s="387" t="s">
        <v>1089</v>
      </c>
      <c r="D525" s="372" t="s">
        <v>518</v>
      </c>
      <c r="E525" s="372" t="s">
        <v>56</v>
      </c>
      <c r="F525" s="422" t="s">
        <v>199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609</v>
      </c>
      <c r="C526" s="387" t="s">
        <v>1089</v>
      </c>
      <c r="D526" s="372" t="s">
        <v>518</v>
      </c>
      <c r="E526" s="372" t="s">
        <v>56</v>
      </c>
      <c r="F526" s="422" t="s">
        <v>608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609</v>
      </c>
      <c r="C527" s="387" t="s">
        <v>1089</v>
      </c>
      <c r="D527" s="372" t="s">
        <v>518</v>
      </c>
      <c r="E527" s="372" t="s">
        <v>56</v>
      </c>
      <c r="F527" s="422" t="s">
        <v>2224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609</v>
      </c>
      <c r="C528" s="387" t="s">
        <v>1089</v>
      </c>
      <c r="D528" s="372" t="s">
        <v>441</v>
      </c>
      <c r="E528" s="372"/>
      <c r="F528" s="422" t="s">
        <v>2221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609</v>
      </c>
      <c r="C529" s="387" t="s">
        <v>1089</v>
      </c>
      <c r="D529" s="372" t="s">
        <v>441</v>
      </c>
      <c r="E529" s="372" t="s">
        <v>437</v>
      </c>
      <c r="F529" s="422" t="s">
        <v>206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2225</v>
      </c>
      <c r="B530" s="372" t="s">
        <v>609</v>
      </c>
      <c r="C530" s="387" t="s">
        <v>1089</v>
      </c>
      <c r="D530" s="372" t="s">
        <v>441</v>
      </c>
      <c r="E530" s="372" t="s">
        <v>437</v>
      </c>
      <c r="F530" s="422" t="s">
        <v>2223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609</v>
      </c>
      <c r="C531" s="387" t="s">
        <v>1089</v>
      </c>
      <c r="D531" s="372" t="s">
        <v>441</v>
      </c>
      <c r="E531" s="372" t="s">
        <v>437</v>
      </c>
      <c r="F531" s="422" t="s">
        <v>199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609</v>
      </c>
      <c r="C532" s="387" t="s">
        <v>1089</v>
      </c>
      <c r="D532" s="372" t="s">
        <v>441</v>
      </c>
      <c r="E532" s="372" t="s">
        <v>437</v>
      </c>
      <c r="F532" s="422" t="s">
        <v>608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609</v>
      </c>
      <c r="C533" s="387" t="s">
        <v>1089</v>
      </c>
      <c r="D533" s="372" t="s">
        <v>441</v>
      </c>
      <c r="E533" s="372" t="s">
        <v>437</v>
      </c>
      <c r="F533" s="422" t="s">
        <v>2226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609</v>
      </c>
      <c r="C534" s="387" t="s">
        <v>1089</v>
      </c>
      <c r="D534" s="372" t="s">
        <v>860</v>
      </c>
      <c r="E534" s="372"/>
      <c r="F534" s="422" t="s">
        <v>2221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609</v>
      </c>
      <c r="C535" s="387" t="s">
        <v>1089</v>
      </c>
      <c r="D535" s="372" t="s">
        <v>860</v>
      </c>
      <c r="E535" s="372" t="s">
        <v>437</v>
      </c>
      <c r="F535" s="422" t="s">
        <v>206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609</v>
      </c>
      <c r="C536" s="387" t="s">
        <v>1089</v>
      </c>
      <c r="D536" s="372" t="s">
        <v>860</v>
      </c>
      <c r="E536" s="372" t="s">
        <v>437</v>
      </c>
      <c r="F536" s="422" t="s">
        <v>199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609</v>
      </c>
      <c r="C537" s="387" t="s">
        <v>1089</v>
      </c>
      <c r="D537" s="372" t="s">
        <v>860</v>
      </c>
      <c r="E537" s="372" t="s">
        <v>437</v>
      </c>
      <c r="F537" s="422" t="s">
        <v>608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609</v>
      </c>
      <c r="C538" s="387" t="s">
        <v>1089</v>
      </c>
      <c r="D538" s="372" t="s">
        <v>860</v>
      </c>
      <c r="E538" s="372" t="s">
        <v>437</v>
      </c>
      <c r="F538" s="422" t="s">
        <v>198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609</v>
      </c>
      <c r="C539" s="387" t="s">
        <v>1089</v>
      </c>
      <c r="D539" s="372" t="s">
        <v>860</v>
      </c>
      <c r="E539" s="372" t="s">
        <v>437</v>
      </c>
      <c r="F539" s="422" t="s">
        <v>2226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285</v>
      </c>
      <c r="C540" s="380" t="s">
        <v>285</v>
      </c>
      <c r="D540" s="380" t="s">
        <v>2227</v>
      </c>
      <c r="E540" s="385"/>
      <c r="F540" s="424" t="s">
        <v>2228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285</v>
      </c>
      <c r="C541" s="376" t="s">
        <v>1089</v>
      </c>
      <c r="D541" s="372" t="s">
        <v>1335</v>
      </c>
      <c r="E541" s="372"/>
      <c r="F541" s="422" t="s">
        <v>2217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285</v>
      </c>
      <c r="C542" s="376" t="s">
        <v>1089</v>
      </c>
      <c r="D542" s="372" t="s">
        <v>159</v>
      </c>
      <c r="E542" s="372"/>
      <c r="F542" s="422" t="s">
        <v>2210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285</v>
      </c>
      <c r="C543" s="376" t="s">
        <v>1089</v>
      </c>
      <c r="D543" s="372" t="s">
        <v>518</v>
      </c>
      <c r="E543" s="372"/>
      <c r="F543" s="422" t="s">
        <v>2229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285</v>
      </c>
      <c r="C544" s="376" t="s">
        <v>1089</v>
      </c>
      <c r="D544" s="372" t="s">
        <v>441</v>
      </c>
      <c r="E544" s="372"/>
      <c r="F544" s="422" t="s">
        <v>2210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285</v>
      </c>
      <c r="C545" s="376" t="s">
        <v>1089</v>
      </c>
      <c r="D545" s="372" t="s">
        <v>860</v>
      </c>
      <c r="E545" s="372"/>
      <c r="F545" s="422" t="s">
        <v>2210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916</v>
      </c>
      <c r="C546" s="380" t="s">
        <v>916</v>
      </c>
      <c r="D546" s="391"/>
      <c r="E546" s="380"/>
      <c r="F546" s="426" t="s">
        <v>2230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916</v>
      </c>
      <c r="C547" s="372" t="s">
        <v>916</v>
      </c>
      <c r="D547" s="372" t="s">
        <v>159</v>
      </c>
      <c r="E547" s="376"/>
      <c r="F547" s="422" t="s">
        <v>2231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916</v>
      </c>
      <c r="C548" s="372" t="s">
        <v>916</v>
      </c>
      <c r="D548" s="372" t="s">
        <v>159</v>
      </c>
      <c r="E548" s="376" t="s">
        <v>1159</v>
      </c>
      <c r="F548" s="422" t="s">
        <v>205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916</v>
      </c>
      <c r="C549" s="372" t="s">
        <v>916</v>
      </c>
      <c r="D549" s="372" t="s">
        <v>518</v>
      </c>
      <c r="E549" s="372"/>
      <c r="F549" s="422" t="s">
        <v>2213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916</v>
      </c>
      <c r="C550" s="372" t="s">
        <v>916</v>
      </c>
      <c r="D550" s="372" t="s">
        <v>441</v>
      </c>
      <c r="E550" s="372"/>
      <c r="F550" s="422" t="s">
        <v>2232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916</v>
      </c>
      <c r="C551" s="372" t="s">
        <v>916</v>
      </c>
      <c r="D551" s="372" t="s">
        <v>860</v>
      </c>
      <c r="E551" s="372"/>
      <c r="F551" s="422" t="s">
        <v>2232</v>
      </c>
      <c r="G551" s="372"/>
      <c r="H551" s="377"/>
      <c r="I551" s="397"/>
      <c r="J551" s="372"/>
      <c r="K551" s="377"/>
      <c r="L551" s="397"/>
      <c r="M551" s="372"/>
    </row>
    <row r="552" spans="1:13" ht="26.45" outlineLevel="1" collapsed="1">
      <c r="A552" s="372"/>
      <c r="B552" s="386" t="s">
        <v>912</v>
      </c>
      <c r="C552" s="386" t="s">
        <v>1387</v>
      </c>
      <c r="D552" s="386"/>
      <c r="E552" s="407"/>
      <c r="F552" s="426" t="s">
        <v>2230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1388</v>
      </c>
      <c r="C553" s="372" t="s">
        <v>1388</v>
      </c>
      <c r="D553" s="372" t="s">
        <v>159</v>
      </c>
      <c r="E553" s="376"/>
      <c r="F553" s="422" t="s">
        <v>2231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1388</v>
      </c>
      <c r="C554" s="372" t="s">
        <v>1388</v>
      </c>
      <c r="D554" s="372" t="s">
        <v>518</v>
      </c>
      <c r="E554" s="372"/>
      <c r="F554" s="422" t="s">
        <v>2213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1388</v>
      </c>
      <c r="C555" s="372" t="s">
        <v>1388</v>
      </c>
      <c r="D555" s="372" t="s">
        <v>441</v>
      </c>
      <c r="E555" s="372"/>
      <c r="F555" s="422" t="s">
        <v>2232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1388</v>
      </c>
      <c r="C556" s="372" t="s">
        <v>1388</v>
      </c>
      <c r="D556" s="372" t="s">
        <v>860</v>
      </c>
      <c r="E556" s="372"/>
      <c r="F556" s="422" t="s">
        <v>2232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1392</v>
      </c>
      <c r="C557" s="380" t="s">
        <v>1392</v>
      </c>
      <c r="D557" s="380"/>
      <c r="E557" s="380"/>
      <c r="F557" s="424" t="s">
        <v>1989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1392</v>
      </c>
      <c r="C558" s="376" t="s">
        <v>1392</v>
      </c>
      <c r="D558" s="372" t="s">
        <v>1335</v>
      </c>
      <c r="E558" s="376"/>
      <c r="F558" s="422" t="s">
        <v>1393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1392</v>
      </c>
      <c r="C559" s="376" t="s">
        <v>1392</v>
      </c>
      <c r="D559" s="372" t="s">
        <v>1335</v>
      </c>
      <c r="E559" s="376" t="s">
        <v>437</v>
      </c>
      <c r="F559" s="422" t="s">
        <v>205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1392</v>
      </c>
      <c r="C560" s="376" t="s">
        <v>1392</v>
      </c>
      <c r="D560" s="372" t="s">
        <v>1335</v>
      </c>
      <c r="E560" s="376" t="s">
        <v>437</v>
      </c>
      <c r="F560" s="422" t="s">
        <v>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1392</v>
      </c>
      <c r="C561" s="376" t="s">
        <v>1392</v>
      </c>
      <c r="D561" s="372" t="s">
        <v>1335</v>
      </c>
      <c r="E561" s="376" t="s">
        <v>437</v>
      </c>
      <c r="F561" s="422" t="s">
        <v>208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1392</v>
      </c>
      <c r="C562" s="376" t="s">
        <v>1392</v>
      </c>
      <c r="D562" s="372" t="s">
        <v>518</v>
      </c>
      <c r="E562" s="372"/>
      <c r="F562" s="422" t="s">
        <v>1393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1392</v>
      </c>
      <c r="C563" s="376" t="s">
        <v>1392</v>
      </c>
      <c r="D563" s="372" t="s">
        <v>518</v>
      </c>
      <c r="E563" s="372" t="s">
        <v>56</v>
      </c>
      <c r="F563" s="422" t="s">
        <v>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1392</v>
      </c>
      <c r="C564" s="376" t="s">
        <v>1392</v>
      </c>
      <c r="D564" s="372" t="s">
        <v>441</v>
      </c>
      <c r="E564" s="372"/>
      <c r="F564" s="422" t="s">
        <v>1393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1392</v>
      </c>
      <c r="C565" s="376" t="s">
        <v>1392</v>
      </c>
      <c r="D565" s="372" t="s">
        <v>441</v>
      </c>
      <c r="E565" s="372" t="s">
        <v>437</v>
      </c>
      <c r="F565" s="422" t="s">
        <v>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1392</v>
      </c>
      <c r="C566" s="376" t="s">
        <v>1392</v>
      </c>
      <c r="D566" s="372" t="s">
        <v>441</v>
      </c>
      <c r="E566" s="372" t="s">
        <v>437</v>
      </c>
      <c r="F566" s="422" t="s">
        <v>208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1392</v>
      </c>
      <c r="C567" s="376" t="s">
        <v>1392</v>
      </c>
      <c r="D567" s="372" t="s">
        <v>860</v>
      </c>
      <c r="E567" s="372"/>
      <c r="F567" s="422" t="s">
        <v>1393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1392</v>
      </c>
      <c r="C568" s="376" t="s">
        <v>1392</v>
      </c>
      <c r="D568" s="372" t="s">
        <v>860</v>
      </c>
      <c r="E568" s="372" t="s">
        <v>437</v>
      </c>
      <c r="F568" s="422" t="s">
        <v>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1392</v>
      </c>
      <c r="C569" s="376" t="s">
        <v>1392</v>
      </c>
      <c r="D569" s="372" t="s">
        <v>860</v>
      </c>
      <c r="E569" s="372" t="s">
        <v>437</v>
      </c>
      <c r="F569" s="422" t="s">
        <v>208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497</v>
      </c>
      <c r="C570" s="385" t="s">
        <v>1394</v>
      </c>
      <c r="D570" s="385"/>
      <c r="E570" s="380"/>
      <c r="F570" s="424" t="s">
        <v>1989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497</v>
      </c>
      <c r="C571" s="372" t="s">
        <v>1394</v>
      </c>
      <c r="D571" s="372" t="s">
        <v>159</v>
      </c>
      <c r="E571" s="376"/>
      <c r="F571" s="422" t="s">
        <v>1989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497</v>
      </c>
      <c r="C572" s="372" t="s">
        <v>1394</v>
      </c>
      <c r="D572" s="372" t="s">
        <v>159</v>
      </c>
      <c r="E572" s="376" t="s">
        <v>664</v>
      </c>
      <c r="F572" s="422" t="s">
        <v>226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497</v>
      </c>
      <c r="C573" s="372" t="s">
        <v>1394</v>
      </c>
      <c r="D573" s="372" t="s">
        <v>159</v>
      </c>
      <c r="E573" s="376" t="s">
        <v>664</v>
      </c>
      <c r="F573" s="422" t="s">
        <v>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497</v>
      </c>
      <c r="C574" s="372" t="s">
        <v>1394</v>
      </c>
      <c r="D574" s="372" t="s">
        <v>159</v>
      </c>
      <c r="E574" s="376" t="s">
        <v>664</v>
      </c>
      <c r="F574" s="422" t="s">
        <v>208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497</v>
      </c>
      <c r="C575" s="372" t="s">
        <v>1394</v>
      </c>
      <c r="D575" s="372" t="s">
        <v>518</v>
      </c>
      <c r="E575" s="372"/>
      <c r="F575" s="422" t="s">
        <v>1989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497</v>
      </c>
      <c r="C576" s="372" t="s">
        <v>1394</v>
      </c>
      <c r="D576" s="372" t="s">
        <v>518</v>
      </c>
      <c r="E576" s="372" t="s">
        <v>56</v>
      </c>
      <c r="F576" s="422" t="s">
        <v>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497</v>
      </c>
      <c r="C577" s="372" t="s">
        <v>1394</v>
      </c>
      <c r="D577" s="372" t="s">
        <v>441</v>
      </c>
      <c r="E577" s="372"/>
      <c r="F577" s="422" t="s">
        <v>1989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497</v>
      </c>
      <c r="C578" s="372" t="s">
        <v>1394</v>
      </c>
      <c r="D578" s="372" t="s">
        <v>441</v>
      </c>
      <c r="E578" s="372" t="s">
        <v>437</v>
      </c>
      <c r="F578" s="422" t="s">
        <v>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497</v>
      </c>
      <c r="C579" s="372" t="s">
        <v>1394</v>
      </c>
      <c r="D579" s="372" t="s">
        <v>441</v>
      </c>
      <c r="E579" s="372" t="s">
        <v>437</v>
      </c>
      <c r="F579" s="422" t="s">
        <v>208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497</v>
      </c>
      <c r="C580" s="372" t="s">
        <v>1394</v>
      </c>
      <c r="D580" s="372" t="s">
        <v>860</v>
      </c>
      <c r="E580" s="372"/>
      <c r="F580" s="422" t="s">
        <v>1989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497</v>
      </c>
      <c r="C581" s="372" t="s">
        <v>1394</v>
      </c>
      <c r="D581" s="372" t="s">
        <v>860</v>
      </c>
      <c r="E581" s="372" t="s">
        <v>437</v>
      </c>
      <c r="F581" s="422" t="s">
        <v>208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1399</v>
      </c>
      <c r="C582" s="450" t="s">
        <v>1400</v>
      </c>
      <c r="D582" s="451"/>
      <c r="E582" s="450"/>
      <c r="F582" s="452" t="s">
        <v>2233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1400</v>
      </c>
      <c r="C583" s="456" t="s">
        <v>1400</v>
      </c>
      <c r="D583" s="457" t="s">
        <v>159</v>
      </c>
      <c r="E583" s="456"/>
      <c r="F583" s="425" t="s">
        <v>1022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1400</v>
      </c>
      <c r="C584" s="456" t="s">
        <v>1400</v>
      </c>
      <c r="D584" s="457" t="s">
        <v>159</v>
      </c>
      <c r="E584" s="456" t="s">
        <v>1236</v>
      </c>
      <c r="F584" s="425" t="s">
        <v>226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1400</v>
      </c>
      <c r="C585" s="456" t="s">
        <v>1400</v>
      </c>
      <c r="D585" s="457" t="s">
        <v>159</v>
      </c>
      <c r="E585" s="456" t="s">
        <v>1236</v>
      </c>
      <c r="F585" s="425" t="s">
        <v>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1400</v>
      </c>
      <c r="C586" s="456" t="s">
        <v>1400</v>
      </c>
      <c r="D586" s="457" t="s">
        <v>159</v>
      </c>
      <c r="E586" s="456" t="s">
        <v>1236</v>
      </c>
      <c r="F586" s="425" t="s">
        <v>208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1400</v>
      </c>
      <c r="C587" s="456" t="s">
        <v>1400</v>
      </c>
      <c r="D587" s="457" t="s">
        <v>518</v>
      </c>
      <c r="E587" s="457"/>
      <c r="F587" s="425" t="s">
        <v>1022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1400</v>
      </c>
      <c r="C588" s="456" t="s">
        <v>1400</v>
      </c>
      <c r="D588" s="457" t="s">
        <v>518</v>
      </c>
      <c r="E588" s="457" t="s">
        <v>56</v>
      </c>
      <c r="F588" s="425" t="s">
        <v>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1400</v>
      </c>
      <c r="C589" s="456" t="s">
        <v>1400</v>
      </c>
      <c r="D589" s="457" t="s">
        <v>441</v>
      </c>
      <c r="E589" s="457"/>
      <c r="F589" s="425" t="s">
        <v>1022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1400</v>
      </c>
      <c r="C590" s="456" t="s">
        <v>1400</v>
      </c>
      <c r="D590" s="457" t="s">
        <v>441</v>
      </c>
      <c r="E590" s="457" t="s">
        <v>437</v>
      </c>
      <c r="F590" s="425" t="s">
        <v>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1400</v>
      </c>
      <c r="C591" s="456" t="s">
        <v>1400</v>
      </c>
      <c r="D591" s="457" t="s">
        <v>441</v>
      </c>
      <c r="E591" s="457" t="s">
        <v>437</v>
      </c>
      <c r="F591" s="425" t="s">
        <v>208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1400</v>
      </c>
      <c r="C592" s="456" t="s">
        <v>1400</v>
      </c>
      <c r="D592" s="457" t="s">
        <v>860</v>
      </c>
      <c r="E592" s="457"/>
      <c r="F592" s="425" t="s">
        <v>1022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1400</v>
      </c>
      <c r="C593" s="456" t="s">
        <v>1400</v>
      </c>
      <c r="D593" s="457" t="s">
        <v>860</v>
      </c>
      <c r="E593" s="457" t="s">
        <v>437</v>
      </c>
      <c r="F593" s="425" t="s">
        <v>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1400</v>
      </c>
      <c r="C594" s="456" t="s">
        <v>1400</v>
      </c>
      <c r="D594" s="457" t="s">
        <v>860</v>
      </c>
      <c r="E594" s="457" t="s">
        <v>437</v>
      </c>
      <c r="F594" s="425" t="s">
        <v>208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6.45" outlineLevel="1" collapsed="1">
      <c r="A595" s="457"/>
      <c r="B595" s="450" t="s">
        <v>369</v>
      </c>
      <c r="C595" s="450" t="s">
        <v>843</v>
      </c>
      <c r="D595" s="450"/>
      <c r="E595" s="450"/>
      <c r="F595" s="452" t="s">
        <v>2234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369</v>
      </c>
      <c r="C596" s="376" t="s">
        <v>843</v>
      </c>
      <c r="D596" s="372" t="s">
        <v>159</v>
      </c>
      <c r="E596" s="376"/>
      <c r="F596" s="422" t="s">
        <v>2235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369</v>
      </c>
      <c r="C597" s="376" t="s">
        <v>843</v>
      </c>
      <c r="D597" s="372" t="s">
        <v>159</v>
      </c>
      <c r="E597" s="376" t="s">
        <v>664</v>
      </c>
      <c r="F597" s="422" t="s">
        <v>370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369</v>
      </c>
      <c r="C598" s="376" t="s">
        <v>843</v>
      </c>
      <c r="D598" s="372" t="s">
        <v>159</v>
      </c>
      <c r="E598" s="376" t="s">
        <v>664</v>
      </c>
      <c r="F598" s="422" t="s">
        <v>230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369</v>
      </c>
      <c r="C599" s="376" t="s">
        <v>843</v>
      </c>
      <c r="D599" s="372" t="s">
        <v>159</v>
      </c>
      <c r="E599" s="376" t="s">
        <v>664</v>
      </c>
      <c r="F599" s="422" t="s">
        <v>208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369</v>
      </c>
      <c r="C600" s="376" t="s">
        <v>843</v>
      </c>
      <c r="D600" s="372" t="s">
        <v>159</v>
      </c>
      <c r="E600" s="376" t="s">
        <v>1159</v>
      </c>
      <c r="F600" s="406" t="s">
        <v>38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369</v>
      </c>
      <c r="C601" s="376" t="s">
        <v>843</v>
      </c>
      <c r="D601" s="372" t="s">
        <v>159</v>
      </c>
      <c r="E601" s="376" t="s">
        <v>1159</v>
      </c>
      <c r="F601" s="406" t="s">
        <v>1343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369</v>
      </c>
      <c r="C602" s="376" t="s">
        <v>843</v>
      </c>
      <c r="D602" s="372" t="s">
        <v>518</v>
      </c>
      <c r="E602" s="372"/>
      <c r="F602" s="422" t="s">
        <v>2213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369</v>
      </c>
      <c r="C603" s="376" t="s">
        <v>843</v>
      </c>
      <c r="D603" s="372" t="s">
        <v>518</v>
      </c>
      <c r="E603" s="372" t="s">
        <v>56</v>
      </c>
      <c r="F603" s="422" t="s">
        <v>370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369</v>
      </c>
      <c r="C604" s="376" t="s">
        <v>843</v>
      </c>
      <c r="D604" s="372" t="s">
        <v>518</v>
      </c>
      <c r="E604" s="372" t="s">
        <v>56</v>
      </c>
      <c r="F604" s="422" t="s">
        <v>230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369</v>
      </c>
      <c r="C605" s="376" t="s">
        <v>843</v>
      </c>
      <c r="D605" s="372" t="s">
        <v>441</v>
      </c>
      <c r="E605" s="372"/>
      <c r="F605" s="422" t="s">
        <v>2236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369</v>
      </c>
      <c r="C606" s="376" t="s">
        <v>843</v>
      </c>
      <c r="D606" s="372" t="s">
        <v>441</v>
      </c>
      <c r="E606" s="372" t="s">
        <v>437</v>
      </c>
      <c r="F606" s="422" t="s">
        <v>206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369</v>
      </c>
      <c r="C607" s="376" t="s">
        <v>843</v>
      </c>
      <c r="D607" s="372" t="s">
        <v>441</v>
      </c>
      <c r="E607" s="372" t="s">
        <v>437</v>
      </c>
      <c r="F607" s="422" t="s">
        <v>208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369</v>
      </c>
      <c r="C608" s="376" t="s">
        <v>843</v>
      </c>
      <c r="D608" s="372" t="s">
        <v>441</v>
      </c>
      <c r="E608" s="372" t="s">
        <v>437</v>
      </c>
      <c r="F608" s="422" t="s">
        <v>230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369</v>
      </c>
      <c r="C609" s="376" t="s">
        <v>843</v>
      </c>
      <c r="D609" s="372" t="s">
        <v>860</v>
      </c>
      <c r="E609" s="372"/>
      <c r="F609" s="422" t="s">
        <v>2236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369</v>
      </c>
      <c r="C610" s="376" t="s">
        <v>843</v>
      </c>
      <c r="D610" s="372" t="s">
        <v>860</v>
      </c>
      <c r="E610" s="372" t="s">
        <v>437</v>
      </c>
      <c r="F610" s="422" t="s">
        <v>206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369</v>
      </c>
      <c r="C611" s="376" t="s">
        <v>843</v>
      </c>
      <c r="D611" s="372" t="s">
        <v>860</v>
      </c>
      <c r="E611" s="372" t="s">
        <v>437</v>
      </c>
      <c r="F611" s="422" t="s">
        <v>208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3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5703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2238</v>
      </c>
      <c r="C2" s="418"/>
      <c r="D2" s="418"/>
      <c r="E2" s="418"/>
      <c r="F2" s="469"/>
      <c r="G2" s="419" t="s">
        <v>2047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935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1364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1100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897</v>
      </c>
      <c r="C9" s="475" t="s">
        <v>1089</v>
      </c>
      <c r="D9" s="475" t="s">
        <v>159</v>
      </c>
      <c r="E9" s="475" t="s">
        <v>1100</v>
      </c>
      <c r="F9" s="475" t="s">
        <v>2239</v>
      </c>
      <c r="G9" s="476">
        <v>0</v>
      </c>
      <c r="H9" s="476">
        <v>0</v>
      </c>
    </row>
    <row r="10" spans="1:24" outlineLevel="1">
      <c r="B10" s="475" t="s">
        <v>898</v>
      </c>
      <c r="C10" s="446" t="s">
        <v>1099</v>
      </c>
      <c r="D10" s="445" t="s">
        <v>159</v>
      </c>
      <c r="E10" s="446" t="s">
        <v>1100</v>
      </c>
      <c r="F10" s="475" t="s">
        <v>2240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898</v>
      </c>
      <c r="C11" s="447" t="s">
        <v>1099</v>
      </c>
      <c r="D11" s="443" t="s">
        <v>159</v>
      </c>
      <c r="E11" s="447" t="s">
        <v>1100</v>
      </c>
      <c r="F11" s="477" t="s">
        <v>174</v>
      </c>
      <c r="G11" s="478">
        <v>7.0000000000000007E-2</v>
      </c>
      <c r="H11" s="478">
        <v>1</v>
      </c>
    </row>
    <row r="12" spans="1:24" outlineLevel="2">
      <c r="B12" s="477" t="s">
        <v>898</v>
      </c>
      <c r="C12" s="447" t="s">
        <v>1099</v>
      </c>
      <c r="D12" s="443" t="s">
        <v>159</v>
      </c>
      <c r="E12" s="447" t="s">
        <v>1100</v>
      </c>
      <c r="F12" s="477" t="s">
        <v>175</v>
      </c>
      <c r="G12" s="478">
        <v>0.18</v>
      </c>
      <c r="H12" s="478">
        <v>1</v>
      </c>
    </row>
    <row r="13" spans="1:24" outlineLevel="1">
      <c r="B13" s="475" t="s">
        <v>899</v>
      </c>
      <c r="C13" s="446" t="s">
        <v>1107</v>
      </c>
      <c r="D13" s="445" t="s">
        <v>159</v>
      </c>
      <c r="E13" s="446" t="s">
        <v>1100</v>
      </c>
      <c r="F13" s="475" t="s">
        <v>2241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899</v>
      </c>
      <c r="C14" s="447" t="s">
        <v>1107</v>
      </c>
      <c r="D14" s="443" t="s">
        <v>159</v>
      </c>
      <c r="E14" s="447" t="s">
        <v>1100</v>
      </c>
      <c r="F14" s="477" t="s">
        <v>188</v>
      </c>
      <c r="G14" s="478">
        <v>0.3</v>
      </c>
      <c r="H14" s="478">
        <v>1</v>
      </c>
    </row>
    <row r="15" spans="1:24" outlineLevel="2">
      <c r="B15" s="477" t="s">
        <v>899</v>
      </c>
      <c r="C15" s="447" t="s">
        <v>1107</v>
      </c>
      <c r="D15" s="443" t="s">
        <v>159</v>
      </c>
      <c r="E15" s="447" t="s">
        <v>1100</v>
      </c>
      <c r="F15" s="477" t="s">
        <v>189</v>
      </c>
      <c r="G15" s="478">
        <v>0.3</v>
      </c>
      <c r="H15" s="478">
        <v>1</v>
      </c>
    </row>
    <row r="16" spans="1:24" outlineLevel="2">
      <c r="B16" s="477" t="s">
        <v>899</v>
      </c>
      <c r="C16" s="447" t="s">
        <v>1107</v>
      </c>
      <c r="D16" s="443" t="s">
        <v>159</v>
      </c>
      <c r="E16" s="447" t="s">
        <v>1100</v>
      </c>
      <c r="F16" s="477" t="s">
        <v>190</v>
      </c>
      <c r="G16" s="478">
        <v>0.03</v>
      </c>
      <c r="H16" s="478">
        <v>1</v>
      </c>
    </row>
    <row r="17" spans="2:8" outlineLevel="2">
      <c r="B17" s="477" t="s">
        <v>899</v>
      </c>
      <c r="C17" s="447" t="s">
        <v>1107</v>
      </c>
      <c r="D17" s="443" t="s">
        <v>159</v>
      </c>
      <c r="E17" s="447" t="s">
        <v>1100</v>
      </c>
      <c r="F17" s="477" t="s">
        <v>2122</v>
      </c>
      <c r="G17" s="478">
        <v>1.7453571000000001</v>
      </c>
      <c r="H17" s="478">
        <v>1</v>
      </c>
    </row>
    <row r="18" spans="2:8" outlineLevel="1">
      <c r="B18" s="475" t="s">
        <v>1137</v>
      </c>
      <c r="C18" s="446" t="s">
        <v>956</v>
      </c>
      <c r="D18" s="445" t="s">
        <v>159</v>
      </c>
      <c r="E18" s="446" t="s">
        <v>1100</v>
      </c>
      <c r="F18" s="475" t="s">
        <v>2242</v>
      </c>
      <c r="G18" s="476">
        <v>0.30105801900000001</v>
      </c>
      <c r="H18" s="476">
        <f>SUM(H19:H21)</f>
        <v>3</v>
      </c>
    </row>
    <row r="19" spans="2:8" outlineLevel="2">
      <c r="B19" s="477" t="s">
        <v>1137</v>
      </c>
      <c r="C19" s="447" t="s">
        <v>956</v>
      </c>
      <c r="D19" s="443" t="s">
        <v>159</v>
      </c>
      <c r="E19" s="447" t="s">
        <v>1100</v>
      </c>
      <c r="F19" s="477" t="s">
        <v>2139</v>
      </c>
      <c r="G19" s="478">
        <v>9.2092275000000001E-2</v>
      </c>
      <c r="H19" s="478">
        <v>1</v>
      </c>
    </row>
    <row r="20" spans="2:8" outlineLevel="2">
      <c r="B20" s="477" t="s">
        <v>1137</v>
      </c>
      <c r="C20" s="447" t="s">
        <v>956</v>
      </c>
      <c r="D20" s="443" t="s">
        <v>159</v>
      </c>
      <c r="E20" s="447" t="s">
        <v>1100</v>
      </c>
      <c r="F20" s="477" t="s">
        <v>2140</v>
      </c>
      <c r="G20" s="478">
        <v>0.13060359000000002</v>
      </c>
      <c r="H20" s="478">
        <v>1</v>
      </c>
    </row>
    <row r="21" spans="2:8" outlineLevel="2">
      <c r="B21" s="477" t="s">
        <v>1137</v>
      </c>
      <c r="C21" s="447" t="s">
        <v>956</v>
      </c>
      <c r="D21" s="443" t="s">
        <v>159</v>
      </c>
      <c r="E21" s="447" t="s">
        <v>1100</v>
      </c>
      <c r="F21" s="477" t="s">
        <v>2141</v>
      </c>
      <c r="G21" s="478">
        <v>7.8362154000000003E-2</v>
      </c>
      <c r="H21" s="478">
        <v>1</v>
      </c>
    </row>
    <row r="22" spans="2:8" outlineLevel="1">
      <c r="B22" s="475" t="s">
        <v>1299</v>
      </c>
      <c r="C22" s="446" t="s">
        <v>1300</v>
      </c>
      <c r="D22" s="445" t="s">
        <v>159</v>
      </c>
      <c r="E22" s="446" t="s">
        <v>1100</v>
      </c>
      <c r="F22" s="475" t="s">
        <v>2243</v>
      </c>
      <c r="G22" s="476">
        <v>8.7813947704253064</v>
      </c>
      <c r="H22" s="476">
        <f>SUM(H23:H25)</f>
        <v>3</v>
      </c>
    </row>
    <row r="23" spans="2:8" outlineLevel="2">
      <c r="B23" s="477" t="s">
        <v>1299</v>
      </c>
      <c r="C23" s="447" t="s">
        <v>1300</v>
      </c>
      <c r="D23" s="443" t="s">
        <v>159</v>
      </c>
      <c r="E23" s="447" t="s">
        <v>1100</v>
      </c>
      <c r="F23" s="477" t="s">
        <v>199</v>
      </c>
      <c r="G23" s="478">
        <v>4.3906973852126532</v>
      </c>
      <c r="H23" s="478">
        <v>1</v>
      </c>
    </row>
    <row r="24" spans="2:8" outlineLevel="2">
      <c r="B24" s="477" t="s">
        <v>1299</v>
      </c>
      <c r="C24" s="447" t="s">
        <v>1300</v>
      </c>
      <c r="D24" s="443" t="s">
        <v>159</v>
      </c>
      <c r="E24" s="447" t="s">
        <v>1100</v>
      </c>
      <c r="F24" s="477" t="s">
        <v>209</v>
      </c>
      <c r="G24" s="478">
        <v>2.1953486926063266</v>
      </c>
      <c r="H24" s="478">
        <v>1</v>
      </c>
    </row>
    <row r="25" spans="2:8" outlineLevel="2">
      <c r="B25" s="477" t="s">
        <v>1299</v>
      </c>
      <c r="C25" s="447" t="s">
        <v>1300</v>
      </c>
      <c r="D25" s="443" t="s">
        <v>159</v>
      </c>
      <c r="E25" s="447" t="s">
        <v>1100</v>
      </c>
      <c r="F25" s="477" t="s">
        <v>198</v>
      </c>
      <c r="G25" s="478">
        <v>2.1953486926063266</v>
      </c>
      <c r="H25" s="478">
        <v>1</v>
      </c>
    </row>
    <row r="26" spans="2:8" outlineLevel="1">
      <c r="B26" s="475" t="s">
        <v>901</v>
      </c>
      <c r="C26" s="446" t="s">
        <v>1089</v>
      </c>
      <c r="D26" s="445" t="s">
        <v>159</v>
      </c>
      <c r="E26" s="446" t="s">
        <v>1100</v>
      </c>
      <c r="F26" s="475" t="s">
        <v>2244</v>
      </c>
      <c r="G26" s="476">
        <v>0.96000000000000008</v>
      </c>
      <c r="H26" s="476">
        <f>SUM(H27:H31)</f>
        <v>5</v>
      </c>
    </row>
    <row r="27" spans="2:8" outlineLevel="2">
      <c r="B27" s="477" t="s">
        <v>901</v>
      </c>
      <c r="C27" s="447" t="s">
        <v>1089</v>
      </c>
      <c r="D27" s="443" t="s">
        <v>159</v>
      </c>
      <c r="E27" s="447" t="s">
        <v>1100</v>
      </c>
      <c r="F27" s="477" t="s">
        <v>216</v>
      </c>
      <c r="G27" s="478">
        <v>0.51</v>
      </c>
      <c r="H27" s="478">
        <v>1</v>
      </c>
    </row>
    <row r="28" spans="2:8" outlineLevel="2">
      <c r="B28" s="477" t="s">
        <v>901</v>
      </c>
      <c r="C28" s="447" t="s">
        <v>1089</v>
      </c>
      <c r="D28" s="443" t="s">
        <v>159</v>
      </c>
      <c r="E28" s="447" t="s">
        <v>1100</v>
      </c>
      <c r="F28" s="477" t="s">
        <v>218</v>
      </c>
      <c r="G28" s="478">
        <v>0.3</v>
      </c>
      <c r="H28" s="478">
        <v>1</v>
      </c>
    </row>
    <row r="29" spans="2:8" outlineLevel="2">
      <c r="B29" s="477" t="s">
        <v>901</v>
      </c>
      <c r="C29" s="447" t="s">
        <v>1089</v>
      </c>
      <c r="D29" s="443" t="s">
        <v>159</v>
      </c>
      <c r="E29" s="447" t="s">
        <v>1100</v>
      </c>
      <c r="F29" s="477" t="s">
        <v>190</v>
      </c>
      <c r="G29" s="478">
        <v>0.09</v>
      </c>
      <c r="H29" s="478">
        <v>1</v>
      </c>
    </row>
    <row r="30" spans="2:8" outlineLevel="2">
      <c r="B30" s="477" t="s">
        <v>901</v>
      </c>
      <c r="C30" s="447" t="s">
        <v>1089</v>
      </c>
      <c r="D30" s="443" t="s">
        <v>159</v>
      </c>
      <c r="E30" s="447" t="s">
        <v>1100</v>
      </c>
      <c r="F30" s="477" t="s">
        <v>174</v>
      </c>
      <c r="G30" s="478">
        <v>0.03</v>
      </c>
      <c r="H30" s="478">
        <v>1</v>
      </c>
    </row>
    <row r="31" spans="2:8" outlineLevel="2">
      <c r="B31" s="477" t="s">
        <v>901</v>
      </c>
      <c r="C31" s="447" t="s">
        <v>1089</v>
      </c>
      <c r="D31" s="443" t="s">
        <v>159</v>
      </c>
      <c r="E31" s="447" t="s">
        <v>1100</v>
      </c>
      <c r="F31" s="477" t="s">
        <v>195</v>
      </c>
      <c r="G31" s="478">
        <v>0.03</v>
      </c>
      <c r="H31" s="478">
        <v>1</v>
      </c>
    </row>
    <row r="32" spans="2:8" outlineLevel="1">
      <c r="B32" s="475" t="s">
        <v>225</v>
      </c>
      <c r="C32" s="446" t="s">
        <v>1241</v>
      </c>
      <c r="D32" s="445" t="s">
        <v>159</v>
      </c>
      <c r="E32" s="446" t="s">
        <v>1100</v>
      </c>
      <c r="F32" s="475" t="s">
        <v>2245</v>
      </c>
      <c r="G32" s="476">
        <v>0.10500000000000001</v>
      </c>
      <c r="H32" s="476">
        <f>SUM(H33:H34)</f>
        <v>2</v>
      </c>
    </row>
    <row r="33" spans="2:8" outlineLevel="2">
      <c r="B33" s="477" t="s">
        <v>225</v>
      </c>
      <c r="C33" s="447" t="s">
        <v>1241</v>
      </c>
      <c r="D33" s="443" t="s">
        <v>159</v>
      </c>
      <c r="E33" s="447" t="s">
        <v>1100</v>
      </c>
      <c r="F33" s="477" t="s">
        <v>36</v>
      </c>
      <c r="G33" s="478">
        <v>6.3E-2</v>
      </c>
      <c r="H33" s="478">
        <v>1</v>
      </c>
    </row>
    <row r="34" spans="2:8" outlineLevel="2">
      <c r="B34" s="477" t="s">
        <v>225</v>
      </c>
      <c r="C34" s="447" t="s">
        <v>1241</v>
      </c>
      <c r="D34" s="443" t="s">
        <v>159</v>
      </c>
      <c r="E34" s="447" t="s">
        <v>1100</v>
      </c>
      <c r="F34" s="477" t="s">
        <v>208</v>
      </c>
      <c r="G34" s="478">
        <v>4.2000000000000003E-2</v>
      </c>
      <c r="H34" s="478">
        <v>1</v>
      </c>
    </row>
    <row r="35" spans="2:8" outlineLevel="1">
      <c r="B35" s="475" t="s">
        <v>229</v>
      </c>
      <c r="C35" s="446" t="s">
        <v>1245</v>
      </c>
      <c r="D35" s="445" t="s">
        <v>159</v>
      </c>
      <c r="E35" s="479" t="s">
        <v>1100</v>
      </c>
      <c r="F35" s="475" t="s">
        <v>2246</v>
      </c>
      <c r="G35" s="476">
        <v>0.77993999999999997</v>
      </c>
      <c r="H35" s="476">
        <f>SUM(H36:H39)</f>
        <v>4</v>
      </c>
    </row>
    <row r="36" spans="2:8" outlineLevel="2">
      <c r="B36" s="477" t="s">
        <v>229</v>
      </c>
      <c r="C36" s="447" t="s">
        <v>1245</v>
      </c>
      <c r="D36" s="443" t="s">
        <v>159</v>
      </c>
      <c r="E36" s="382" t="s">
        <v>1100</v>
      </c>
      <c r="F36" s="477" t="s">
        <v>1238</v>
      </c>
      <c r="G36" s="478">
        <v>0.12999000000000002</v>
      </c>
      <c r="H36" s="478">
        <v>1</v>
      </c>
    </row>
    <row r="37" spans="2:8" outlineLevel="2">
      <c r="B37" s="477" t="s">
        <v>229</v>
      </c>
      <c r="C37" s="447" t="s">
        <v>1245</v>
      </c>
      <c r="D37" s="443" t="s">
        <v>159</v>
      </c>
      <c r="E37" s="382" t="s">
        <v>1100</v>
      </c>
      <c r="F37" s="477" t="s">
        <v>1239</v>
      </c>
      <c r="G37" s="478">
        <v>0.25998000000000004</v>
      </c>
      <c r="H37" s="478">
        <v>1</v>
      </c>
    </row>
    <row r="38" spans="2:8" outlineLevel="2">
      <c r="B38" s="477" t="s">
        <v>229</v>
      </c>
      <c r="C38" s="447" t="s">
        <v>1245</v>
      </c>
      <c r="D38" s="443" t="s">
        <v>159</v>
      </c>
      <c r="E38" s="382" t="s">
        <v>1100</v>
      </c>
      <c r="F38" s="477" t="s">
        <v>1246</v>
      </c>
      <c r="G38" s="478">
        <v>0.19498499999999999</v>
      </c>
      <c r="H38" s="478">
        <v>1</v>
      </c>
    </row>
    <row r="39" spans="2:8" outlineLevel="2">
      <c r="B39" s="477" t="s">
        <v>229</v>
      </c>
      <c r="C39" s="447" t="s">
        <v>1245</v>
      </c>
      <c r="D39" s="443" t="s">
        <v>159</v>
      </c>
      <c r="E39" s="382" t="s">
        <v>1100</v>
      </c>
      <c r="F39" s="477" t="s">
        <v>1247</v>
      </c>
      <c r="G39" s="478">
        <v>0.19498499999999999</v>
      </c>
      <c r="H39" s="478">
        <v>1</v>
      </c>
    </row>
    <row r="40" spans="2:8" outlineLevel="1">
      <c r="B40" s="475" t="s">
        <v>498</v>
      </c>
      <c r="C40" s="446" t="s">
        <v>1258</v>
      </c>
      <c r="D40" s="445" t="s">
        <v>159</v>
      </c>
      <c r="E40" s="446" t="s">
        <v>1100</v>
      </c>
      <c r="F40" s="475" t="s">
        <v>2247</v>
      </c>
      <c r="G40" s="476">
        <v>0.43996002400000001</v>
      </c>
      <c r="H40" s="476">
        <f>SUM(H41:H42)</f>
        <v>2</v>
      </c>
    </row>
    <row r="41" spans="2:8" outlineLevel="2">
      <c r="B41" s="477" t="s">
        <v>498</v>
      </c>
      <c r="C41" s="447" t="s">
        <v>1258</v>
      </c>
      <c r="D41" s="443" t="s">
        <v>159</v>
      </c>
      <c r="E41" s="447" t="s">
        <v>1100</v>
      </c>
      <c r="F41" s="468" t="s">
        <v>226</v>
      </c>
      <c r="G41" s="480">
        <v>0.17598400959999999</v>
      </c>
      <c r="H41" s="478">
        <v>1</v>
      </c>
    </row>
    <row r="42" spans="2:8" outlineLevel="2">
      <c r="B42" s="477" t="s">
        <v>498</v>
      </c>
      <c r="C42" s="447" t="s">
        <v>1258</v>
      </c>
      <c r="D42" s="443" t="s">
        <v>159</v>
      </c>
      <c r="E42" s="447" t="s">
        <v>1100</v>
      </c>
      <c r="F42" s="468" t="s">
        <v>36</v>
      </c>
      <c r="G42" s="480">
        <v>0.26397601440000001</v>
      </c>
      <c r="H42" s="478">
        <v>1</v>
      </c>
    </row>
    <row r="43" spans="2:8" outlineLevel="1">
      <c r="B43" s="475" t="s">
        <v>902</v>
      </c>
      <c r="C43" s="446" t="s">
        <v>1018</v>
      </c>
      <c r="D43" s="445" t="s">
        <v>159</v>
      </c>
      <c r="E43" s="446" t="s">
        <v>1100</v>
      </c>
      <c r="F43" s="475" t="s">
        <v>2248</v>
      </c>
      <c r="G43" s="476">
        <v>1.18</v>
      </c>
      <c r="H43" s="476">
        <f>SUM(H44:H46)</f>
        <v>3</v>
      </c>
    </row>
    <row r="44" spans="2:8" outlineLevel="2">
      <c r="B44" s="477" t="s">
        <v>902</v>
      </c>
      <c r="C44" s="447" t="s">
        <v>1018</v>
      </c>
      <c r="D44" s="443" t="s">
        <v>159</v>
      </c>
      <c r="E44" s="447" t="s">
        <v>1100</v>
      </c>
      <c r="F44" s="477" t="s">
        <v>205</v>
      </c>
      <c r="G44" s="478">
        <v>0.54</v>
      </c>
      <c r="H44" s="478">
        <v>1</v>
      </c>
    </row>
    <row r="45" spans="2:8" outlineLevel="2">
      <c r="B45" s="477" t="s">
        <v>902</v>
      </c>
      <c r="C45" s="447" t="s">
        <v>1018</v>
      </c>
      <c r="D45" s="443" t="s">
        <v>159</v>
      </c>
      <c r="E45" s="447" t="s">
        <v>1100</v>
      </c>
      <c r="F45" s="477" t="s">
        <v>206</v>
      </c>
      <c r="G45" s="478">
        <v>0.43</v>
      </c>
      <c r="H45" s="478">
        <v>1</v>
      </c>
    </row>
    <row r="46" spans="2:8" outlineLevel="2">
      <c r="B46" s="477" t="s">
        <v>902</v>
      </c>
      <c r="C46" s="447" t="s">
        <v>1018</v>
      </c>
      <c r="D46" s="443" t="s">
        <v>159</v>
      </c>
      <c r="E46" s="447" t="s">
        <v>1100</v>
      </c>
      <c r="F46" s="477" t="s">
        <v>208</v>
      </c>
      <c r="G46" s="478">
        <v>0.21</v>
      </c>
      <c r="H46" s="478">
        <v>1</v>
      </c>
    </row>
    <row r="47" spans="2:8" outlineLevel="1">
      <c r="B47" s="475" t="s">
        <v>1310</v>
      </c>
      <c r="C47" s="446" t="s">
        <v>1310</v>
      </c>
      <c r="D47" s="445" t="s">
        <v>159</v>
      </c>
      <c r="E47" s="481" t="s">
        <v>1100</v>
      </c>
      <c r="F47" s="475" t="s">
        <v>2249</v>
      </c>
      <c r="G47" s="476">
        <v>13.810550000000003</v>
      </c>
      <c r="H47" s="476">
        <f>SUM(H48:H51)</f>
        <v>4</v>
      </c>
    </row>
    <row r="48" spans="2:8" outlineLevel="2">
      <c r="B48" s="477" t="s">
        <v>1310</v>
      </c>
      <c r="C48" s="447" t="s">
        <v>1310</v>
      </c>
      <c r="D48" s="443" t="s">
        <v>159</v>
      </c>
      <c r="E48" s="448" t="s">
        <v>1100</v>
      </c>
      <c r="F48" s="482" t="s">
        <v>205</v>
      </c>
      <c r="G48" s="483">
        <v>4.7746000000000013</v>
      </c>
      <c r="H48" s="478">
        <v>1</v>
      </c>
    </row>
    <row r="49" spans="2:8" outlineLevel="2">
      <c r="B49" s="477" t="s">
        <v>1310</v>
      </c>
      <c r="C49" s="447" t="s">
        <v>1310</v>
      </c>
      <c r="D49" s="443" t="s">
        <v>159</v>
      </c>
      <c r="E49" s="448" t="s">
        <v>1100</v>
      </c>
      <c r="F49" s="482" t="s">
        <v>206</v>
      </c>
      <c r="G49" s="483">
        <v>4.3640000000000008</v>
      </c>
      <c r="H49" s="478">
        <v>1</v>
      </c>
    </row>
    <row r="50" spans="2:8" outlineLevel="2">
      <c r="B50" s="477" t="s">
        <v>1310</v>
      </c>
      <c r="C50" s="447" t="s">
        <v>1310</v>
      </c>
      <c r="D50" s="443" t="s">
        <v>159</v>
      </c>
      <c r="E50" s="448" t="s">
        <v>1100</v>
      </c>
      <c r="F50" s="482" t="s">
        <v>208</v>
      </c>
      <c r="G50" s="483">
        <v>2.2846500000000005</v>
      </c>
      <c r="H50" s="478">
        <v>1</v>
      </c>
    </row>
    <row r="51" spans="2:8" outlineLevel="2">
      <c r="B51" s="477" t="s">
        <v>1310</v>
      </c>
      <c r="C51" s="447" t="s">
        <v>1310</v>
      </c>
      <c r="D51" s="443" t="s">
        <v>159</v>
      </c>
      <c r="E51" s="448" t="s">
        <v>1100</v>
      </c>
      <c r="F51" s="482" t="s">
        <v>209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495" customWidth="1"/>
    <col min="2" max="2" width="6.42578125" style="495" bestFit="1" customWidth="1"/>
    <col min="3" max="3" width="19.42578125" style="495" customWidth="1"/>
    <col min="4" max="4" width="16.28515625" style="495" bestFit="1" customWidth="1"/>
    <col min="5" max="5" width="12.5703125" style="495" customWidth="1"/>
    <col min="6" max="6" width="13.7109375" style="495" bestFit="1" customWidth="1"/>
    <col min="7" max="7" width="66.28515625" style="498" bestFit="1" customWidth="1"/>
    <col min="8" max="9" width="11" style="495" customWidth="1"/>
    <col min="10" max="10" width="0.5703125" style="495" customWidth="1"/>
    <col min="11" max="12" width="9.42578125" style="495" bestFit="1"/>
    <col min="13" max="14" width="9.5703125" style="495" bestFit="1" customWidth="1"/>
    <col min="15" max="15" width="7" style="495" bestFit="1" customWidth="1"/>
    <col min="16" max="16" width="8.5703125" style="495" bestFit="1" customWidth="1"/>
    <col min="17" max="17" width="12.5703125" style="495" customWidth="1"/>
    <col min="18" max="18" width="7.5703125" style="495" bestFit="1" customWidth="1"/>
    <col min="19" max="19" width="5.5703125" style="495" bestFit="1" customWidth="1"/>
    <col min="20" max="20" width="9.42578125" style="495" bestFit="1" customWidth="1"/>
    <col min="21" max="24" width="9.42578125" style="495" bestFit="1"/>
    <col min="25" max="25" width="9.42578125" style="495" bestFit="1" customWidth="1"/>
    <col min="26" max="34" width="9.42578125" style="495" bestFit="1"/>
    <col min="35" max="16384" width="9.42578125" style="495"/>
  </cols>
  <sheetData>
    <row r="2" spans="1:25" s="496" customFormat="1" ht="17.45">
      <c r="A2" s="376"/>
      <c r="B2" s="376"/>
      <c r="C2" s="418" t="s">
        <v>2238</v>
      </c>
      <c r="D2" s="418"/>
      <c r="E2" s="418"/>
      <c r="F2" s="418"/>
      <c r="G2" s="469"/>
      <c r="H2" s="419" t="s">
        <v>2047</v>
      </c>
      <c r="I2" s="419" t="s">
        <v>726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935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1364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6">
      <c r="A7" s="376"/>
      <c r="B7" s="376" t="s">
        <v>2250</v>
      </c>
      <c r="C7" s="470" t="s">
        <v>950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891</v>
      </c>
      <c r="D9" s="446" t="s">
        <v>949</v>
      </c>
      <c r="E9" s="445" t="s">
        <v>159</v>
      </c>
      <c r="F9" s="446" t="s">
        <v>950</v>
      </c>
      <c r="G9" s="475" t="s">
        <v>2251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891</v>
      </c>
      <c r="D10" s="447" t="s">
        <v>949</v>
      </c>
      <c r="E10" s="443" t="s">
        <v>159</v>
      </c>
      <c r="F10" s="447" t="s">
        <v>950</v>
      </c>
      <c r="G10" s="477" t="s">
        <v>2049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891</v>
      </c>
      <c r="D11" s="447" t="s">
        <v>949</v>
      </c>
      <c r="E11" s="443" t="s">
        <v>159</v>
      </c>
      <c r="F11" s="447" t="s">
        <v>950</v>
      </c>
      <c r="G11" s="477" t="s">
        <v>2051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891</v>
      </c>
      <c r="D12" s="446" t="s">
        <v>956</v>
      </c>
      <c r="E12" s="445" t="s">
        <v>159</v>
      </c>
      <c r="F12" s="446" t="s">
        <v>950</v>
      </c>
      <c r="G12" s="475" t="s">
        <v>2251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891</v>
      </c>
      <c r="D13" s="447" t="s">
        <v>956</v>
      </c>
      <c r="E13" s="443" t="s">
        <v>159</v>
      </c>
      <c r="F13" s="447" t="s">
        <v>950</v>
      </c>
      <c r="G13" s="477" t="s">
        <v>247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891</v>
      </c>
      <c r="D14" s="447" t="s">
        <v>956</v>
      </c>
      <c r="E14" s="443" t="s">
        <v>159</v>
      </c>
      <c r="F14" s="447" t="s">
        <v>950</v>
      </c>
      <c r="G14" s="477" t="s">
        <v>251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891</v>
      </c>
      <c r="D15" s="446" t="s">
        <v>969</v>
      </c>
      <c r="E15" s="445" t="s">
        <v>159</v>
      </c>
      <c r="F15" s="446" t="s">
        <v>950</v>
      </c>
      <c r="G15" s="475" t="s">
        <v>2251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891</v>
      </c>
      <c r="D16" s="447" t="s">
        <v>969</v>
      </c>
      <c r="E16" s="443" t="s">
        <v>159</v>
      </c>
      <c r="F16" s="447" t="s">
        <v>950</v>
      </c>
      <c r="G16" s="468" t="s">
        <v>297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891</v>
      </c>
      <c r="D17" s="447" t="s">
        <v>969</v>
      </c>
      <c r="E17" s="443" t="s">
        <v>159</v>
      </c>
      <c r="F17" s="447" t="s">
        <v>950</v>
      </c>
      <c r="G17" s="468" t="s">
        <v>206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891</v>
      </c>
      <c r="D18" s="447" t="s">
        <v>969</v>
      </c>
      <c r="E18" s="443" t="s">
        <v>159</v>
      </c>
      <c r="F18" s="447" t="s">
        <v>950</v>
      </c>
      <c r="G18" s="468" t="s">
        <v>208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891</v>
      </c>
      <c r="D19" s="447" t="s">
        <v>969</v>
      </c>
      <c r="E19" s="443" t="s">
        <v>159</v>
      </c>
      <c r="F19" s="447" t="s">
        <v>950</v>
      </c>
      <c r="G19" s="468" t="s">
        <v>199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891</v>
      </c>
      <c r="D20" s="447" t="s">
        <v>969</v>
      </c>
      <c r="E20" s="443" t="s">
        <v>159</v>
      </c>
      <c r="F20" s="447" t="s">
        <v>950</v>
      </c>
      <c r="G20" s="468" t="s">
        <v>2059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891</v>
      </c>
      <c r="D21" s="447" t="s">
        <v>969</v>
      </c>
      <c r="E21" s="443" t="s">
        <v>159</v>
      </c>
      <c r="F21" s="447" t="s">
        <v>950</v>
      </c>
      <c r="G21" s="468" t="s">
        <v>2061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891</v>
      </c>
      <c r="D22" s="447" t="s">
        <v>969</v>
      </c>
      <c r="E22" s="443" t="s">
        <v>159</v>
      </c>
      <c r="F22" s="447" t="s">
        <v>950</v>
      </c>
      <c r="G22" s="468" t="s">
        <v>2062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891</v>
      </c>
      <c r="D23" s="447" t="s">
        <v>969</v>
      </c>
      <c r="E23" s="443" t="s">
        <v>159</v>
      </c>
      <c r="F23" s="447" t="s">
        <v>950</v>
      </c>
      <c r="G23" s="468" t="s">
        <v>2064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891</v>
      </c>
      <c r="D24" s="447" t="s">
        <v>969</v>
      </c>
      <c r="E24" s="443" t="s">
        <v>159</v>
      </c>
      <c r="F24" s="447" t="s">
        <v>950</v>
      </c>
      <c r="G24" s="468" t="s">
        <v>2060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891</v>
      </c>
      <c r="D25" s="447" t="s">
        <v>969</v>
      </c>
      <c r="E25" s="443" t="s">
        <v>159</v>
      </c>
      <c r="F25" s="447" t="s">
        <v>950</v>
      </c>
      <c r="G25" s="468" t="s">
        <v>2063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891</v>
      </c>
      <c r="D26" s="447" t="s">
        <v>969</v>
      </c>
      <c r="E26" s="443" t="s">
        <v>159</v>
      </c>
      <c r="F26" s="447" t="s">
        <v>950</v>
      </c>
      <c r="G26" s="468" t="s">
        <v>2065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891</v>
      </c>
      <c r="D27" s="447" t="s">
        <v>969</v>
      </c>
      <c r="E27" s="443" t="s">
        <v>159</v>
      </c>
      <c r="F27" s="447" t="s">
        <v>950</v>
      </c>
      <c r="G27" s="468" t="s">
        <v>2066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891</v>
      </c>
      <c r="D28" s="447" t="s">
        <v>969</v>
      </c>
      <c r="E28" s="443" t="s">
        <v>159</v>
      </c>
      <c r="F28" s="447" t="s">
        <v>950</v>
      </c>
      <c r="G28" s="468" t="s">
        <v>2067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891</v>
      </c>
      <c r="D29" s="447" t="s">
        <v>969</v>
      </c>
      <c r="E29" s="443" t="s">
        <v>159</v>
      </c>
      <c r="F29" s="447" t="s">
        <v>950</v>
      </c>
      <c r="G29" s="468" t="s">
        <v>2068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891</v>
      </c>
      <c r="D30" s="447" t="s">
        <v>969</v>
      </c>
      <c r="E30" s="443" t="s">
        <v>159</v>
      </c>
      <c r="F30" s="447" t="s">
        <v>950</v>
      </c>
      <c r="G30" s="468" t="s">
        <v>490</v>
      </c>
      <c r="H30" s="480">
        <v>0.05</v>
      </c>
      <c r="I30" s="478">
        <v>1</v>
      </c>
    </row>
    <row r="31" spans="2:9" outlineLevel="1">
      <c r="B31" s="373"/>
      <c r="C31" s="475" t="s">
        <v>894</v>
      </c>
      <c r="D31" s="446" t="s">
        <v>1021</v>
      </c>
      <c r="E31" s="445" t="s">
        <v>159</v>
      </c>
      <c r="F31" s="446" t="s">
        <v>950</v>
      </c>
      <c r="G31" s="475" t="s">
        <v>2252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894</v>
      </c>
      <c r="D32" s="447" t="s">
        <v>1021</v>
      </c>
      <c r="E32" s="443" t="s">
        <v>159</v>
      </c>
      <c r="F32" s="447" t="s">
        <v>950</v>
      </c>
      <c r="G32" s="477" t="s">
        <v>334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894</v>
      </c>
      <c r="D33" s="447" t="s">
        <v>1021</v>
      </c>
      <c r="E33" s="443" t="s">
        <v>159</v>
      </c>
      <c r="F33" s="447" t="s">
        <v>950</v>
      </c>
      <c r="G33" s="477" t="s">
        <v>335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894</v>
      </c>
      <c r="D34" s="447" t="s">
        <v>1021</v>
      </c>
      <c r="E34" s="443" t="s">
        <v>159</v>
      </c>
      <c r="F34" s="447" t="s">
        <v>950</v>
      </c>
      <c r="G34" s="477" t="s">
        <v>336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894</v>
      </c>
      <c r="D35" s="447" t="s">
        <v>1021</v>
      </c>
      <c r="E35" s="443" t="s">
        <v>159</v>
      </c>
      <c r="F35" s="447" t="s">
        <v>950</v>
      </c>
      <c r="G35" s="477" t="s">
        <v>2091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894</v>
      </c>
      <c r="D36" s="447" t="s">
        <v>1021</v>
      </c>
      <c r="E36" s="443" t="s">
        <v>159</v>
      </c>
      <c r="F36" s="447" t="s">
        <v>950</v>
      </c>
      <c r="G36" s="477" t="s">
        <v>337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894</v>
      </c>
      <c r="D37" s="447" t="s">
        <v>1021</v>
      </c>
      <c r="E37" s="443" t="s">
        <v>159</v>
      </c>
      <c r="F37" s="447" t="s">
        <v>950</v>
      </c>
      <c r="G37" s="477" t="s">
        <v>338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894</v>
      </c>
      <c r="D38" s="447" t="s">
        <v>1021</v>
      </c>
      <c r="E38" s="443" t="s">
        <v>159</v>
      </c>
      <c r="F38" s="447" t="s">
        <v>950</v>
      </c>
      <c r="G38" s="477" t="s">
        <v>339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894</v>
      </c>
      <c r="D39" s="447" t="s">
        <v>1021</v>
      </c>
      <c r="E39" s="443" t="s">
        <v>159</v>
      </c>
      <c r="F39" s="447" t="s">
        <v>950</v>
      </c>
      <c r="G39" s="477" t="s">
        <v>340</v>
      </c>
      <c r="H39" s="478">
        <v>0.03</v>
      </c>
      <c r="I39" s="478">
        <v>1</v>
      </c>
    </row>
    <row r="40" spans="2:9" outlineLevel="1">
      <c r="B40" s="373"/>
      <c r="C40" s="475" t="s">
        <v>469</v>
      </c>
      <c r="D40" s="446" t="s">
        <v>1049</v>
      </c>
      <c r="E40" s="445" t="s">
        <v>159</v>
      </c>
      <c r="F40" s="446" t="s">
        <v>950</v>
      </c>
      <c r="G40" s="475" t="s">
        <v>2253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469</v>
      </c>
      <c r="D41" s="447" t="s">
        <v>1049</v>
      </c>
      <c r="E41" s="443" t="s">
        <v>159</v>
      </c>
      <c r="F41" s="447" t="s">
        <v>950</v>
      </c>
      <c r="G41" s="477" t="s">
        <v>2103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469</v>
      </c>
      <c r="D42" s="447" t="s">
        <v>1049</v>
      </c>
      <c r="E42" s="443" t="s">
        <v>159</v>
      </c>
      <c r="F42" s="447" t="s">
        <v>950</v>
      </c>
      <c r="G42" s="477" t="s">
        <v>2104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469</v>
      </c>
      <c r="D43" s="447" t="s">
        <v>1049</v>
      </c>
      <c r="E43" s="443" t="s">
        <v>159</v>
      </c>
      <c r="F43" s="447" t="s">
        <v>950</v>
      </c>
      <c r="G43" s="477" t="s">
        <v>2105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469</v>
      </c>
      <c r="D44" s="447" t="s">
        <v>1049</v>
      </c>
      <c r="E44" s="443" t="s">
        <v>159</v>
      </c>
      <c r="F44" s="447" t="s">
        <v>950</v>
      </c>
      <c r="G44" s="477" t="s">
        <v>2106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469</v>
      </c>
      <c r="D45" s="447" t="s">
        <v>1049</v>
      </c>
      <c r="E45" s="443" t="s">
        <v>159</v>
      </c>
      <c r="F45" s="447" t="s">
        <v>950</v>
      </c>
      <c r="G45" s="477" t="s">
        <v>1536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469</v>
      </c>
      <c r="D46" s="447" t="s">
        <v>1049</v>
      </c>
      <c r="E46" s="443" t="s">
        <v>159</v>
      </c>
      <c r="F46" s="447" t="s">
        <v>950</v>
      </c>
      <c r="G46" s="477" t="s">
        <v>1542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469</v>
      </c>
      <c r="D47" s="447" t="s">
        <v>1049</v>
      </c>
      <c r="E47" s="443" t="s">
        <v>159</v>
      </c>
      <c r="F47" s="447" t="s">
        <v>950</v>
      </c>
      <c r="G47" s="477" t="s">
        <v>2108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469</v>
      </c>
      <c r="D48" s="447" t="s">
        <v>1049</v>
      </c>
      <c r="E48" s="443" t="s">
        <v>159</v>
      </c>
      <c r="F48" s="447" t="s">
        <v>950</v>
      </c>
      <c r="G48" s="477" t="s">
        <v>2109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469</v>
      </c>
      <c r="D49" s="447" t="s">
        <v>1049</v>
      </c>
      <c r="E49" s="443" t="s">
        <v>159</v>
      </c>
      <c r="F49" s="447" t="s">
        <v>950</v>
      </c>
      <c r="G49" s="477" t="s">
        <v>244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469</v>
      </c>
      <c r="D50" s="447" t="s">
        <v>1049</v>
      </c>
      <c r="E50" s="443" t="s">
        <v>159</v>
      </c>
      <c r="F50" s="447" t="s">
        <v>950</v>
      </c>
      <c r="G50" s="477" t="s">
        <v>860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469</v>
      </c>
      <c r="D51" s="447" t="s">
        <v>1049</v>
      </c>
      <c r="E51" s="443" t="s">
        <v>159</v>
      </c>
      <c r="F51" s="447" t="s">
        <v>950</v>
      </c>
      <c r="G51" s="477" t="s">
        <v>221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469</v>
      </c>
      <c r="D52" s="447" t="s">
        <v>1049</v>
      </c>
      <c r="E52" s="443" t="s">
        <v>159</v>
      </c>
      <c r="F52" s="447" t="s">
        <v>950</v>
      </c>
      <c r="G52" s="477" t="s">
        <v>245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469</v>
      </c>
      <c r="D53" s="447" t="s">
        <v>1049</v>
      </c>
      <c r="E53" s="443" t="s">
        <v>159</v>
      </c>
      <c r="F53" s="447" t="s">
        <v>950</v>
      </c>
      <c r="G53" s="477" t="s">
        <v>283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469</v>
      </c>
      <c r="D54" s="447" t="s">
        <v>1049</v>
      </c>
      <c r="E54" s="443" t="s">
        <v>159</v>
      </c>
      <c r="F54" s="447" t="s">
        <v>950</v>
      </c>
      <c r="G54" s="477" t="s">
        <v>543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469</v>
      </c>
      <c r="D55" s="447" t="s">
        <v>1049</v>
      </c>
      <c r="E55" s="443" t="s">
        <v>159</v>
      </c>
      <c r="F55" s="447" t="s">
        <v>950</v>
      </c>
      <c r="G55" s="477" t="s">
        <v>2107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469</v>
      </c>
      <c r="D56" s="447" t="s">
        <v>1049</v>
      </c>
      <c r="E56" s="443" t="s">
        <v>159</v>
      </c>
      <c r="F56" s="447" t="s">
        <v>950</v>
      </c>
      <c r="G56" s="477" t="s">
        <v>544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469</v>
      </c>
      <c r="D57" s="447" t="s">
        <v>1049</v>
      </c>
      <c r="E57" s="443" t="s">
        <v>159</v>
      </c>
      <c r="F57" s="447" t="s">
        <v>950</v>
      </c>
      <c r="G57" s="477" t="s">
        <v>545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469</v>
      </c>
      <c r="D58" s="447" t="s">
        <v>1049</v>
      </c>
      <c r="E58" s="443" t="s">
        <v>159</v>
      </c>
      <c r="F58" s="447" t="s">
        <v>950</v>
      </c>
      <c r="G58" s="477" t="s">
        <v>1546</v>
      </c>
      <c r="H58" s="478">
        <v>0.96</v>
      </c>
      <c r="I58" s="478">
        <v>1</v>
      </c>
    </row>
    <row r="59" spans="2:9" outlineLevel="1">
      <c r="B59" s="373"/>
      <c r="C59" s="475" t="s">
        <v>1388</v>
      </c>
      <c r="D59" s="446" t="s">
        <v>1388</v>
      </c>
      <c r="E59" s="445" t="s">
        <v>159</v>
      </c>
      <c r="F59" s="446" t="s">
        <v>950</v>
      </c>
      <c r="G59" s="475" t="s">
        <v>2254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8075-98ED-4261-84A3-19046D6974AF}">
  <sheetPr>
    <outlinePr summaryBelow="0" summaryRight="0"/>
    <pageSetUpPr fitToPage="1"/>
  </sheetPr>
  <dimension ref="A2:AA181"/>
  <sheetViews>
    <sheetView zoomScale="90" zoomScaleNormal="90" workbookViewId="0">
      <pane xSplit="2" ySplit="4" topLeftCell="C37" activePane="bottomRight" state="frozen"/>
      <selection pane="bottomRight" activeCell="X41" sqref="X41"/>
      <selection pane="bottomLeft" activeCell="A8" sqref="A8"/>
      <selection pane="topRight"/>
    </sheetView>
  </sheetViews>
  <sheetFormatPr defaultColWidth="9.42578125" defaultRowHeight="13.15" outlineLevelRow="4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50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hidden="1" customWidth="1"/>
    <col min="13" max="13" width="14.42578125" style="416" hidden="1" customWidth="1" collapsed="1"/>
    <col min="14" max="18" width="14.42578125" style="416" hidden="1" customWidth="1" outlineLevel="1"/>
    <col min="19" max="21" width="0.5703125" style="416" hidden="1" customWidth="1"/>
    <col min="22" max="22" width="16.28515625" style="416" customWidth="1"/>
    <col min="23" max="23" width="14.28515625" style="416" customWidth="1" outlineLevel="1"/>
    <col min="24" max="24" width="10.28515625" style="416" bestFit="1" customWidth="1"/>
    <col min="25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1868</v>
      </c>
      <c r="C2" s="418"/>
      <c r="D2" s="418"/>
      <c r="E2" s="418"/>
      <c r="F2" s="423"/>
      <c r="G2" s="689">
        <f>SUBTOTAL(9,G6:G181)</f>
        <v>78.739013967755753</v>
      </c>
      <c r="H2" s="690">
        <f>SUBTOTAL(9,H6:H181)</f>
        <v>116</v>
      </c>
      <c r="I2" s="626"/>
      <c r="J2" s="752"/>
      <c r="L2" s="418"/>
      <c r="M2" s="418"/>
      <c r="N2" s="418"/>
      <c r="O2" s="418"/>
      <c r="P2" s="418"/>
      <c r="Q2" s="418"/>
      <c r="R2" s="418"/>
      <c r="T2" s="752"/>
      <c r="V2" s="689">
        <f>SUBTOTAL(9,V6:V181)</f>
        <v>0.57284000000000002</v>
      </c>
      <c r="W2" s="765">
        <f>SUBTOTAL(9,W6:W181)</f>
        <v>5</v>
      </c>
      <c r="X2" s="610">
        <f>G2-V2</f>
        <v>78.166173967755753</v>
      </c>
      <c r="Y2" s="610">
        <f>H2-W2</f>
        <v>111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L3" s="376"/>
      <c r="M3" s="376"/>
      <c r="N3" s="376"/>
      <c r="O3" s="376"/>
      <c r="P3" s="376"/>
      <c r="Q3" s="376"/>
      <c r="R3" s="376"/>
      <c r="T3" s="752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871"/>
      <c r="J4" s="872"/>
      <c r="K4" s="873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T4" s="753"/>
      <c r="V4" s="693" t="s">
        <v>943</v>
      </c>
      <c r="W4" s="693" t="s">
        <v>944</v>
      </c>
      <c r="X4" s="764">
        <f>V2/G2</f>
        <v>7.2751736545060433E-3</v>
      </c>
      <c r="Y4" s="764">
        <f>W2/H2</f>
        <v>4.3103448275862072E-2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2"/>
      <c r="L5" s="376"/>
      <c r="M5" s="376"/>
      <c r="N5" s="376"/>
      <c r="O5" s="376"/>
      <c r="P5" s="376"/>
      <c r="Q5" s="376"/>
      <c r="R5" s="376"/>
      <c r="T5" s="752"/>
      <c r="V5" s="695"/>
      <c r="W5" s="696"/>
      <c r="X5" s="610"/>
      <c r="Y5" s="610"/>
      <c r="Z5" s="610"/>
      <c r="AA5" s="610"/>
    </row>
    <row r="6" spans="1:27" ht="15">
      <c r="A6" s="376"/>
      <c r="B6" s="430" t="s">
        <v>945</v>
      </c>
      <c r="C6" s="430"/>
      <c r="D6" s="430"/>
      <c r="E6" s="430"/>
      <c r="F6" s="697"/>
      <c r="G6" s="698">
        <f>SUBTOTAL(9,G8:G110)</f>
        <v>6.0335615060511385</v>
      </c>
      <c r="H6" s="699">
        <f>SUBTOTAL(9,H8:H110)</f>
        <v>68</v>
      </c>
      <c r="I6" s="626"/>
      <c r="J6" s="752"/>
      <c r="L6" s="430"/>
      <c r="M6" s="430"/>
      <c r="N6" s="430"/>
      <c r="O6" s="430"/>
      <c r="P6" s="430"/>
      <c r="Q6" s="430"/>
      <c r="R6" s="430"/>
      <c r="T6" s="752"/>
      <c r="V6" s="698">
        <f>SUBTOTAL(9,V8:V110)</f>
        <v>0.57284000000000002</v>
      </c>
      <c r="W6" s="699">
        <f>SUBTOTAL(9,W8:W110)</f>
        <v>5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2"/>
      <c r="L7" s="376"/>
      <c r="M7" s="376"/>
      <c r="N7" s="376"/>
      <c r="O7" s="376"/>
      <c r="P7" s="376"/>
      <c r="Q7" s="376"/>
      <c r="R7" s="376"/>
      <c r="T7" s="752"/>
      <c r="V7" s="695"/>
      <c r="W7" s="700"/>
      <c r="X7" s="610"/>
      <c r="Y7" s="610"/>
      <c r="Z7" s="610"/>
      <c r="AA7" s="610"/>
    </row>
    <row r="8" spans="1:27" s="711" customFormat="1" hidden="1" outlineLevel="1" collapsed="1">
      <c r="A8" s="386"/>
      <c r="B8" s="666" t="s">
        <v>1017</v>
      </c>
      <c r="C8" s="666" t="s">
        <v>1018</v>
      </c>
      <c r="D8" s="666"/>
      <c r="E8" s="666"/>
      <c r="F8" s="681" t="s">
        <v>947</v>
      </c>
      <c r="G8" s="715">
        <f>SUBTOTAL(9,G9:G10)</f>
        <v>0</v>
      </c>
      <c r="H8" s="716">
        <f>SUBTOTAL(9,H9:H10)</f>
        <v>0</v>
      </c>
      <c r="I8" s="710"/>
      <c r="J8" s="756"/>
      <c r="L8" s="666"/>
      <c r="M8" s="666"/>
      <c r="N8" s="666"/>
      <c r="O8" s="666"/>
      <c r="P8" s="666"/>
      <c r="Q8" s="666"/>
      <c r="R8" s="666"/>
      <c r="T8" s="756"/>
      <c r="V8" s="715">
        <f>SUBTOTAL(9,V9:V10)</f>
        <v>0</v>
      </c>
      <c r="W8" s="716">
        <f>SUBTOTAL(9,W9:W10)</f>
        <v>0</v>
      </c>
    </row>
    <row r="9" spans="1:27" hidden="1" outlineLevel="2">
      <c r="A9" s="376"/>
      <c r="B9" s="687" t="s">
        <v>1017</v>
      </c>
      <c r="C9" s="687" t="s">
        <v>1018</v>
      </c>
      <c r="D9" s="684"/>
      <c r="E9" s="684"/>
      <c r="F9" s="717" t="s">
        <v>1019</v>
      </c>
      <c r="G9" s="686">
        <f>SUBTOTAL(9,G10)</f>
        <v>0</v>
      </c>
      <c r="H9" s="691">
        <f>SUBTOTAL(9,H10)</f>
        <v>0</v>
      </c>
      <c r="I9" s="626"/>
      <c r="J9" s="752"/>
      <c r="L9" s="684"/>
      <c r="M9" s="684"/>
      <c r="N9" s="684"/>
      <c r="O9" s="684"/>
      <c r="P9" s="684"/>
      <c r="Q9" s="684"/>
      <c r="R9" s="684"/>
      <c r="T9" s="752"/>
      <c r="V9" s="686">
        <f>SUBTOTAL(9,V10)</f>
        <v>0</v>
      </c>
      <c r="W9" s="691">
        <f>SUBTOTAL(9,W10)</f>
        <v>0</v>
      </c>
    </row>
    <row r="10" spans="1:27" hidden="1" outlineLevel="2">
      <c r="A10" s="376"/>
      <c r="B10" s="386"/>
      <c r="C10" s="386"/>
      <c r="D10" s="380"/>
      <c r="E10" s="380"/>
      <c r="F10" s="623" t="s">
        <v>1020</v>
      </c>
      <c r="G10" s="718"/>
      <c r="H10" s="719"/>
      <c r="I10" s="626"/>
      <c r="J10" s="752"/>
      <c r="L10" s="380"/>
      <c r="M10" s="380"/>
      <c r="N10" s="380"/>
      <c r="O10" s="380"/>
      <c r="P10" s="380"/>
      <c r="Q10" s="380"/>
      <c r="R10" s="380"/>
      <c r="T10" s="752"/>
      <c r="V10" s="718"/>
      <c r="W10" s="719"/>
    </row>
    <row r="11" spans="1:27" s="612" customFormat="1" outlineLevel="1">
      <c r="A11" s="380"/>
      <c r="B11" s="665" t="s">
        <v>897</v>
      </c>
      <c r="C11" s="665" t="s">
        <v>1089</v>
      </c>
      <c r="D11" s="665"/>
      <c r="E11" s="665"/>
      <c r="F11" s="681" t="s">
        <v>947</v>
      </c>
      <c r="G11" s="701">
        <f>SUBTOTAL(9,G12:G14)</f>
        <v>2.3823562255988601E-2</v>
      </c>
      <c r="H11" s="702">
        <f>SUBTOTAL(9,H12:H14)</f>
        <v>2</v>
      </c>
      <c r="I11" s="627"/>
      <c r="J11" s="754"/>
      <c r="L11" s="665"/>
      <c r="M11" s="665"/>
      <c r="N11" s="665" t="s">
        <v>1091</v>
      </c>
      <c r="O11" s="665" t="s">
        <v>1092</v>
      </c>
      <c r="P11" s="665" t="s">
        <v>1093</v>
      </c>
      <c r="Q11" s="665"/>
      <c r="R11" s="665"/>
      <c r="T11" s="754"/>
      <c r="V11" s="701">
        <f>SUBTOTAL(9,V12:V14)</f>
        <v>0</v>
      </c>
      <c r="W11" s="702">
        <f>SUBTOTAL(9,W12:W16)</f>
        <v>0</v>
      </c>
    </row>
    <row r="12" spans="1:27" outlineLevel="2">
      <c r="A12" s="376"/>
      <c r="B12" s="684" t="s">
        <v>897</v>
      </c>
      <c r="C12" s="684" t="s">
        <v>1089</v>
      </c>
      <c r="D12" s="684" t="s">
        <v>518</v>
      </c>
      <c r="E12" s="684"/>
      <c r="F12" s="685" t="s">
        <v>1022</v>
      </c>
      <c r="G12" s="713">
        <f>SUBTOTAL(9,G13:G14)</f>
        <v>2.3823562255988601E-2</v>
      </c>
      <c r="H12" s="714">
        <f>SUBTOTAL(9,H13:H14)</f>
        <v>2</v>
      </c>
      <c r="I12" s="626"/>
      <c r="J12" s="752"/>
      <c r="L12" s="684"/>
      <c r="M12" s="684"/>
      <c r="N12" s="684"/>
      <c r="O12" s="684"/>
      <c r="P12" s="684"/>
      <c r="Q12" s="684"/>
      <c r="R12" s="684"/>
      <c r="T12" s="752"/>
      <c r="V12" s="713">
        <f>SUBTOTAL(9,V13:V14)</f>
        <v>0</v>
      </c>
      <c r="W12" s="714">
        <f>SUBTOTAL(9,W13:W14)</f>
        <v>0</v>
      </c>
    </row>
    <row r="13" spans="1:27" ht="26.45" outlineLevel="3">
      <c r="A13" s="376"/>
      <c r="B13" s="376" t="s">
        <v>897</v>
      </c>
      <c r="C13" s="376" t="s">
        <v>1089</v>
      </c>
      <c r="D13" s="376" t="s">
        <v>518</v>
      </c>
      <c r="E13" s="376" t="s">
        <v>56</v>
      </c>
      <c r="F13" s="608" t="s">
        <v>1097</v>
      </c>
      <c r="G13" s="695">
        <v>1.1911781127994301E-2</v>
      </c>
      <c r="H13" s="700">
        <v>1</v>
      </c>
      <c r="I13" s="626"/>
      <c r="J13" s="752"/>
      <c r="L13" s="376" t="s">
        <v>56</v>
      </c>
      <c r="M13" s="376" t="s">
        <v>959</v>
      </c>
      <c r="N13" s="376" t="s">
        <v>1095</v>
      </c>
      <c r="O13" s="376"/>
      <c r="P13" s="376" t="s">
        <v>1096</v>
      </c>
      <c r="Q13" s="376"/>
      <c r="R13" s="376"/>
      <c r="T13" s="752"/>
      <c r="V13" s="609">
        <f t="shared" ref="V13:V14" si="0">IF(W13=1,G13,0)</f>
        <v>0</v>
      </c>
      <c r="W13" s="692"/>
      <c r="X13" s="874">
        <v>46295</v>
      </c>
      <c r="Z13" s="416" t="s">
        <v>2255</v>
      </c>
    </row>
    <row r="14" spans="1:27" outlineLevel="3">
      <c r="A14" s="376"/>
      <c r="B14" s="376" t="s">
        <v>897</v>
      </c>
      <c r="C14" s="376" t="s">
        <v>1089</v>
      </c>
      <c r="D14" s="376" t="s">
        <v>518</v>
      </c>
      <c r="E14" s="376" t="s">
        <v>56</v>
      </c>
      <c r="F14" s="608" t="s">
        <v>1098</v>
      </c>
      <c r="G14" s="695">
        <v>1.1911781127994301E-2</v>
      </c>
      <c r="H14" s="700">
        <v>1</v>
      </c>
      <c r="I14" s="626"/>
      <c r="J14" s="752"/>
      <c r="L14" s="376" t="s">
        <v>56</v>
      </c>
      <c r="M14" s="376" t="s">
        <v>959</v>
      </c>
      <c r="N14" s="376" t="s">
        <v>1095</v>
      </c>
      <c r="O14" s="376"/>
      <c r="P14" s="376" t="s">
        <v>1096</v>
      </c>
      <c r="Q14" s="376"/>
      <c r="R14" s="376"/>
      <c r="T14" s="752"/>
      <c r="V14" s="609">
        <f t="shared" si="0"/>
        <v>0</v>
      </c>
      <c r="W14" s="692"/>
      <c r="X14" s="874">
        <v>46310</v>
      </c>
    </row>
    <row r="15" spans="1:27" outlineLevel="2">
      <c r="A15" s="376"/>
      <c r="B15" s="687" t="s">
        <v>897</v>
      </c>
      <c r="C15" s="687" t="s">
        <v>1089</v>
      </c>
      <c r="D15" s="684" t="s">
        <v>860</v>
      </c>
      <c r="E15" s="684"/>
      <c r="F15" s="717"/>
      <c r="G15" s="686">
        <f>SUBTOTAL(9,G16)</f>
        <v>0</v>
      </c>
      <c r="H15" s="691">
        <f>SUBTOTAL(9,H16)</f>
        <v>0</v>
      </c>
      <c r="I15" s="626"/>
      <c r="J15" s="752"/>
      <c r="L15" s="684"/>
      <c r="M15" s="684"/>
      <c r="N15" s="684"/>
      <c r="O15" s="684"/>
      <c r="P15" s="684"/>
      <c r="Q15" s="684"/>
      <c r="R15" s="684"/>
      <c r="T15" s="752"/>
      <c r="V15" s="686">
        <f>SUBTOTAL(9,V16)</f>
        <v>0</v>
      </c>
      <c r="W15" s="691">
        <f>SUBTOTAL(9,W16)</f>
        <v>0</v>
      </c>
    </row>
    <row r="16" spans="1:27" outlineLevel="3">
      <c r="A16" s="376"/>
      <c r="B16" s="386" t="s">
        <v>897</v>
      </c>
      <c r="C16" s="376" t="s">
        <v>1089</v>
      </c>
      <c r="D16" s="376" t="s">
        <v>860</v>
      </c>
      <c r="E16" s="376" t="s">
        <v>437</v>
      </c>
      <c r="F16" s="623" t="s">
        <v>1900</v>
      </c>
      <c r="G16" s="718"/>
      <c r="H16" s="719"/>
      <c r="I16" s="626"/>
      <c r="J16" s="752"/>
      <c r="L16" s="380"/>
      <c r="M16" s="380"/>
      <c r="N16" s="380"/>
      <c r="O16" s="380"/>
      <c r="P16" s="380"/>
      <c r="Q16" s="380"/>
      <c r="R16" s="380"/>
      <c r="T16" s="752"/>
      <c r="V16" s="718"/>
      <c r="W16" s="692"/>
    </row>
    <row r="17" spans="1:26" s="612" customFormat="1" outlineLevel="1">
      <c r="A17" s="380"/>
      <c r="B17" s="665" t="s">
        <v>899</v>
      </c>
      <c r="C17" s="665" t="s">
        <v>1107</v>
      </c>
      <c r="D17" s="665"/>
      <c r="E17" s="665"/>
      <c r="F17" s="681" t="s">
        <v>947</v>
      </c>
      <c r="G17" s="701">
        <f>SUBTOTAL(9,G18:G39)</f>
        <v>2.5099999999999998</v>
      </c>
      <c r="H17" s="702">
        <f>SUBTOTAL(9,H18:H39)</f>
        <v>19</v>
      </c>
      <c r="I17" s="627"/>
      <c r="J17" s="754"/>
      <c r="L17" s="665"/>
      <c r="M17" s="665"/>
      <c r="N17" s="665"/>
      <c r="O17" s="665"/>
      <c r="P17" s="665"/>
      <c r="Q17" s="665"/>
      <c r="R17" s="665"/>
      <c r="T17" s="754"/>
      <c r="V17" s="701">
        <f>SUBTOTAL(9,V18:V39)</f>
        <v>0.18</v>
      </c>
      <c r="W17" s="702">
        <f>SUBTOTAL(9,W18:W39)</f>
        <v>1</v>
      </c>
    </row>
    <row r="18" spans="1:26" outlineLevel="2">
      <c r="A18" s="376"/>
      <c r="B18" s="684" t="s">
        <v>899</v>
      </c>
      <c r="C18" s="684" t="s">
        <v>1107</v>
      </c>
      <c r="D18" s="684" t="s">
        <v>159</v>
      </c>
      <c r="E18" s="684"/>
      <c r="F18" s="685" t="s">
        <v>1022</v>
      </c>
      <c r="G18" s="713">
        <f>SUBTOTAL(9,G19:G29)</f>
        <v>1.9100000000000001</v>
      </c>
      <c r="H18" s="714">
        <f>SUBTOTAL(9,H19:H29)</f>
        <v>11</v>
      </c>
      <c r="I18" s="626"/>
      <c r="J18" s="752"/>
      <c r="L18" s="684"/>
      <c r="M18" s="684"/>
      <c r="N18" s="684"/>
      <c r="O18" s="684"/>
      <c r="P18" s="684"/>
      <c r="Q18" s="684"/>
      <c r="R18" s="684"/>
      <c r="T18" s="752"/>
      <c r="V18" s="713">
        <f>SUBTOTAL(9,V19:V29)</f>
        <v>0</v>
      </c>
      <c r="W18" s="714">
        <f>SUBTOTAL(9,W19:W29)</f>
        <v>0</v>
      </c>
    </row>
    <row r="19" spans="1:26" outlineLevel="3">
      <c r="A19" s="376"/>
      <c r="B19" s="376" t="s">
        <v>899</v>
      </c>
      <c r="C19" s="376" t="s">
        <v>1107</v>
      </c>
      <c r="D19" s="376" t="s">
        <v>159</v>
      </c>
      <c r="E19" s="376" t="s">
        <v>1100</v>
      </c>
      <c r="F19" s="608" t="s">
        <v>1869</v>
      </c>
      <c r="G19" s="695">
        <v>0.13</v>
      </c>
      <c r="H19" s="700">
        <v>1</v>
      </c>
      <c r="I19" s="626"/>
      <c r="J19" s="752"/>
      <c r="L19" s="376" t="s">
        <v>1100</v>
      </c>
      <c r="M19" s="376" t="s">
        <v>1090</v>
      </c>
      <c r="N19" s="376" t="s">
        <v>1110</v>
      </c>
      <c r="O19" s="376" t="s">
        <v>1111</v>
      </c>
      <c r="P19" s="376" t="s">
        <v>1112</v>
      </c>
      <c r="Q19" s="376"/>
      <c r="R19" s="376"/>
      <c r="T19" s="752"/>
      <c r="V19" s="609">
        <f t="shared" ref="V19:V29" si="1">IF(W19=1,G19,0)</f>
        <v>0</v>
      </c>
      <c r="W19" s="692"/>
      <c r="X19" s="874">
        <v>46283</v>
      </c>
    </row>
    <row r="20" spans="1:26" outlineLevel="3">
      <c r="A20" s="376"/>
      <c r="B20" s="376" t="s">
        <v>899</v>
      </c>
      <c r="C20" s="376" t="s">
        <v>1107</v>
      </c>
      <c r="D20" s="376" t="s">
        <v>159</v>
      </c>
      <c r="E20" s="376" t="s">
        <v>1100</v>
      </c>
      <c r="F20" s="608" t="s">
        <v>1109</v>
      </c>
      <c r="G20" s="609">
        <v>0.13</v>
      </c>
      <c r="H20" s="692">
        <v>1</v>
      </c>
      <c r="I20" s="626"/>
      <c r="J20" s="752"/>
      <c r="L20" s="376" t="s">
        <v>1100</v>
      </c>
      <c r="M20" s="376" t="s">
        <v>1090</v>
      </c>
      <c r="N20" s="376" t="s">
        <v>1110</v>
      </c>
      <c r="O20" s="376" t="s">
        <v>1111</v>
      </c>
      <c r="P20" s="376" t="s">
        <v>1112</v>
      </c>
      <c r="Q20" s="376"/>
      <c r="R20" s="376"/>
      <c r="T20" s="752"/>
      <c r="V20" s="609">
        <f>IF(W20=1,G20,0)</f>
        <v>0</v>
      </c>
      <c r="W20" s="692"/>
      <c r="X20" s="874">
        <v>46283</v>
      </c>
    </row>
    <row r="21" spans="1:26" outlineLevel="3">
      <c r="A21" s="376"/>
      <c r="B21" s="376" t="s">
        <v>899</v>
      </c>
      <c r="C21" s="376" t="s">
        <v>1107</v>
      </c>
      <c r="D21" s="376" t="s">
        <v>159</v>
      </c>
      <c r="E21" s="376" t="s">
        <v>1100</v>
      </c>
      <c r="F21" s="608" t="s">
        <v>1113</v>
      </c>
      <c r="G21" s="695">
        <v>0.13</v>
      </c>
      <c r="H21" s="700">
        <v>1</v>
      </c>
      <c r="I21" s="626"/>
      <c r="J21" s="752"/>
      <c r="L21" s="376" t="s">
        <v>1100</v>
      </c>
      <c r="M21" s="376" t="s">
        <v>1090</v>
      </c>
      <c r="N21" s="376" t="s">
        <v>1110</v>
      </c>
      <c r="O21" s="376" t="s">
        <v>1111</v>
      </c>
      <c r="P21" s="376" t="s">
        <v>1112</v>
      </c>
      <c r="Q21" s="376"/>
      <c r="R21" s="376"/>
      <c r="T21" s="752"/>
      <c r="V21" s="609">
        <f t="shared" si="1"/>
        <v>0</v>
      </c>
      <c r="W21" s="692"/>
      <c r="X21" s="874">
        <v>46283</v>
      </c>
    </row>
    <row r="22" spans="1:26" ht="26.45" outlineLevel="3">
      <c r="A22" s="376"/>
      <c r="B22" s="376" t="s">
        <v>899</v>
      </c>
      <c r="C22" s="376" t="s">
        <v>1107</v>
      </c>
      <c r="D22" s="376" t="s">
        <v>159</v>
      </c>
      <c r="E22" s="376" t="s">
        <v>1100</v>
      </c>
      <c r="F22" s="760" t="s">
        <v>1114</v>
      </c>
      <c r="G22" s="695">
        <v>0.22</v>
      </c>
      <c r="H22" s="700">
        <v>1</v>
      </c>
      <c r="I22" s="626"/>
      <c r="J22" s="752"/>
      <c r="L22" s="376" t="s">
        <v>1100</v>
      </c>
      <c r="M22" s="376" t="s">
        <v>1090</v>
      </c>
      <c r="N22" s="376" t="s">
        <v>1110</v>
      </c>
      <c r="O22" s="376" t="s">
        <v>1111</v>
      </c>
      <c r="P22" s="376" t="s">
        <v>1112</v>
      </c>
      <c r="Q22" s="376"/>
      <c r="R22" s="376"/>
      <c r="T22" s="752"/>
      <c r="V22" s="609">
        <f t="shared" si="1"/>
        <v>0</v>
      </c>
      <c r="W22" s="692"/>
      <c r="Z22" s="416" t="s">
        <v>2256</v>
      </c>
    </row>
    <row r="23" spans="1:26" ht="26.45" outlineLevel="3">
      <c r="A23" s="376"/>
      <c r="B23" s="376" t="s">
        <v>899</v>
      </c>
      <c r="C23" s="376" t="s">
        <v>1107</v>
      </c>
      <c r="D23" s="376" t="s">
        <v>159</v>
      </c>
      <c r="E23" s="376" t="s">
        <v>1100</v>
      </c>
      <c r="F23" s="760" t="s">
        <v>1115</v>
      </c>
      <c r="G23" s="695">
        <v>0.22</v>
      </c>
      <c r="H23" s="700">
        <v>1</v>
      </c>
      <c r="I23" s="626"/>
      <c r="J23" s="752"/>
      <c r="L23" s="376" t="s">
        <v>1100</v>
      </c>
      <c r="M23" s="376" t="s">
        <v>1090</v>
      </c>
      <c r="N23" s="376" t="s">
        <v>1110</v>
      </c>
      <c r="O23" s="376" t="s">
        <v>1111</v>
      </c>
      <c r="P23" s="376" t="s">
        <v>1112</v>
      </c>
      <c r="Q23" s="376"/>
      <c r="R23" s="376"/>
      <c r="T23" s="752"/>
      <c r="V23" s="609">
        <f t="shared" si="1"/>
        <v>0</v>
      </c>
      <c r="W23" s="692"/>
    </row>
    <row r="24" spans="1:26" ht="26.45" outlineLevel="3">
      <c r="A24" s="376"/>
      <c r="B24" s="376" t="s">
        <v>899</v>
      </c>
      <c r="C24" s="376" t="s">
        <v>1107</v>
      </c>
      <c r="D24" s="376" t="s">
        <v>159</v>
      </c>
      <c r="E24" s="376" t="s">
        <v>1100</v>
      </c>
      <c r="F24" s="760" t="s">
        <v>1116</v>
      </c>
      <c r="G24" s="695">
        <v>0.22</v>
      </c>
      <c r="H24" s="700">
        <v>1</v>
      </c>
      <c r="I24" s="626"/>
      <c r="J24" s="752"/>
      <c r="L24" s="376" t="s">
        <v>1100</v>
      </c>
      <c r="M24" s="376" t="s">
        <v>1090</v>
      </c>
      <c r="N24" s="376" t="s">
        <v>1110</v>
      </c>
      <c r="O24" s="376" t="s">
        <v>1111</v>
      </c>
      <c r="P24" s="376" t="s">
        <v>1112</v>
      </c>
      <c r="Q24" s="376"/>
      <c r="R24" s="376"/>
      <c r="T24" s="752"/>
      <c r="V24" s="609">
        <f t="shared" si="1"/>
        <v>0</v>
      </c>
      <c r="W24" s="692"/>
    </row>
    <row r="25" spans="1:26" outlineLevel="3">
      <c r="A25" s="376"/>
      <c r="B25" s="376" t="s">
        <v>899</v>
      </c>
      <c r="C25" s="376" t="s">
        <v>1107</v>
      </c>
      <c r="D25" s="376" t="s">
        <v>159</v>
      </c>
      <c r="E25" s="376" t="s">
        <v>1100</v>
      </c>
      <c r="F25" s="608" t="s">
        <v>1117</v>
      </c>
      <c r="G25" s="695">
        <v>0.03</v>
      </c>
      <c r="H25" s="700">
        <v>1</v>
      </c>
      <c r="I25" s="626"/>
      <c r="J25" s="752"/>
      <c r="L25" s="376" t="s">
        <v>1100</v>
      </c>
      <c r="M25" s="376" t="s">
        <v>1090</v>
      </c>
      <c r="N25" s="376" t="s">
        <v>1110</v>
      </c>
      <c r="O25" s="376" t="s">
        <v>1111</v>
      </c>
      <c r="P25" s="376" t="s">
        <v>1112</v>
      </c>
      <c r="Q25" s="376"/>
      <c r="R25" s="376"/>
      <c r="T25" s="752"/>
      <c r="V25" s="609">
        <f t="shared" si="1"/>
        <v>0</v>
      </c>
      <c r="W25" s="692"/>
      <c r="X25" s="874">
        <v>46290</v>
      </c>
    </row>
    <row r="26" spans="1:26" outlineLevel="3">
      <c r="A26" s="376"/>
      <c r="B26" s="376" t="s">
        <v>899</v>
      </c>
      <c r="C26" s="376" t="s">
        <v>1107</v>
      </c>
      <c r="D26" s="376" t="s">
        <v>159</v>
      </c>
      <c r="E26" s="376" t="s">
        <v>1100</v>
      </c>
      <c r="F26" s="760" t="s">
        <v>1094</v>
      </c>
      <c r="G26" s="609">
        <v>0.02</v>
      </c>
      <c r="H26" s="692">
        <v>1</v>
      </c>
      <c r="I26" s="626"/>
      <c r="J26" s="752"/>
      <c r="L26" s="376" t="s">
        <v>1100</v>
      </c>
      <c r="M26" s="376" t="s">
        <v>1090</v>
      </c>
      <c r="N26" s="376" t="s">
        <v>1110</v>
      </c>
      <c r="O26" s="376" t="s">
        <v>1111</v>
      </c>
      <c r="P26" s="376" t="s">
        <v>1112</v>
      </c>
      <c r="Q26" s="376"/>
      <c r="R26" s="376"/>
      <c r="T26" s="752"/>
      <c r="V26" s="609">
        <f>IF(W26=1,G26,0)</f>
        <v>0</v>
      </c>
      <c r="W26" s="692"/>
    </row>
    <row r="27" spans="1:26" outlineLevel="3">
      <c r="A27" s="376"/>
      <c r="B27" s="376" t="s">
        <v>899</v>
      </c>
      <c r="C27" s="376" t="s">
        <v>1107</v>
      </c>
      <c r="D27" s="376" t="s">
        <v>159</v>
      </c>
      <c r="E27" s="376" t="s">
        <v>1100</v>
      </c>
      <c r="F27" s="760" t="s">
        <v>1106</v>
      </c>
      <c r="G27" s="609">
        <v>0.01</v>
      </c>
      <c r="H27" s="692">
        <v>1</v>
      </c>
      <c r="I27" s="626"/>
      <c r="J27" s="752"/>
      <c r="L27" s="376" t="s">
        <v>1100</v>
      </c>
      <c r="M27" s="376" t="s">
        <v>1090</v>
      </c>
      <c r="N27" s="376" t="s">
        <v>1110</v>
      </c>
      <c r="O27" s="376" t="s">
        <v>1111</v>
      </c>
      <c r="P27" s="376" t="s">
        <v>1112</v>
      </c>
      <c r="Q27" s="376"/>
      <c r="R27" s="376"/>
      <c r="T27" s="752"/>
      <c r="V27" s="609">
        <f>IF(W27=1,G27,0)</f>
        <v>0</v>
      </c>
      <c r="W27" s="692"/>
    </row>
    <row r="28" spans="1:26" outlineLevel="3">
      <c r="A28" s="376"/>
      <c r="B28" s="376" t="s">
        <v>899</v>
      </c>
      <c r="C28" s="376" t="s">
        <v>1107</v>
      </c>
      <c r="D28" s="376" t="s">
        <v>159</v>
      </c>
      <c r="E28" s="376" t="s">
        <v>1100</v>
      </c>
      <c r="F28" s="608" t="s">
        <v>1120</v>
      </c>
      <c r="G28" s="695">
        <v>0.4</v>
      </c>
      <c r="H28" s="700">
        <v>1</v>
      </c>
      <c r="I28" s="626"/>
      <c r="J28" s="752"/>
      <c r="L28" s="376" t="s">
        <v>1100</v>
      </c>
      <c r="M28" s="376" t="s">
        <v>1090</v>
      </c>
      <c r="N28" s="376" t="s">
        <v>1110</v>
      </c>
      <c r="O28" s="376" t="s">
        <v>1111</v>
      </c>
      <c r="P28" s="376" t="s">
        <v>1112</v>
      </c>
      <c r="Q28" s="376"/>
      <c r="R28" s="376"/>
      <c r="T28" s="752"/>
      <c r="V28" s="609">
        <f t="shared" si="1"/>
        <v>0</v>
      </c>
      <c r="W28" s="692"/>
      <c r="X28" s="874">
        <v>46295</v>
      </c>
      <c r="Y28" s="416" t="s">
        <v>1364</v>
      </c>
    </row>
    <row r="29" spans="1:26" outlineLevel="3">
      <c r="A29" s="376"/>
      <c r="B29" s="376" t="s">
        <v>899</v>
      </c>
      <c r="C29" s="376" t="s">
        <v>1107</v>
      </c>
      <c r="D29" s="376" t="s">
        <v>159</v>
      </c>
      <c r="E29" s="376" t="s">
        <v>1100</v>
      </c>
      <c r="F29" s="608" t="s">
        <v>1121</v>
      </c>
      <c r="G29" s="695">
        <v>0.4</v>
      </c>
      <c r="H29" s="700">
        <v>1</v>
      </c>
      <c r="I29" s="626"/>
      <c r="J29" s="752"/>
      <c r="L29" s="376" t="s">
        <v>1100</v>
      </c>
      <c r="M29" s="376" t="s">
        <v>1090</v>
      </c>
      <c r="N29" s="376" t="s">
        <v>1110</v>
      </c>
      <c r="O29" s="376" t="s">
        <v>1111</v>
      </c>
      <c r="P29" s="376" t="s">
        <v>1112</v>
      </c>
      <c r="Q29" s="376"/>
      <c r="R29" s="376"/>
      <c r="T29" s="752"/>
      <c r="V29" s="609">
        <f t="shared" si="1"/>
        <v>0</v>
      </c>
      <c r="W29" s="692"/>
      <c r="X29" s="874">
        <v>46295</v>
      </c>
    </row>
    <row r="30" spans="1:26" outlineLevel="2">
      <c r="A30" s="376"/>
      <c r="B30" s="684" t="s">
        <v>899</v>
      </c>
      <c r="C30" s="684" t="s">
        <v>1107</v>
      </c>
      <c r="D30" s="684" t="s">
        <v>518</v>
      </c>
      <c r="E30" s="684"/>
      <c r="F30" s="685" t="s">
        <v>1022</v>
      </c>
      <c r="G30" s="713">
        <f>SUBTOTAL(9,G31:G37)</f>
        <v>0.58000000000000007</v>
      </c>
      <c r="H30" s="714">
        <f>SUBTOTAL(9,H31:H37)</f>
        <v>7</v>
      </c>
      <c r="I30" s="626"/>
      <c r="J30" s="752"/>
      <c r="L30" s="684"/>
      <c r="M30" s="684"/>
      <c r="N30" s="684"/>
      <c r="O30" s="684"/>
      <c r="P30" s="684"/>
      <c r="Q30" s="684"/>
      <c r="R30" s="684"/>
      <c r="T30" s="752"/>
      <c r="V30" s="713">
        <f>SUBTOTAL(9,V31:V37)</f>
        <v>0.18</v>
      </c>
      <c r="W30" s="714">
        <f>SUBTOTAL(9,W31:W37)</f>
        <v>1</v>
      </c>
    </row>
    <row r="31" spans="1:26" outlineLevel="3">
      <c r="A31" s="376"/>
      <c r="B31" s="376" t="s">
        <v>899</v>
      </c>
      <c r="C31" s="376" t="s">
        <v>1107</v>
      </c>
      <c r="D31" s="376" t="s">
        <v>518</v>
      </c>
      <c r="E31" s="376" t="s">
        <v>56</v>
      </c>
      <c r="F31" s="760" t="s">
        <v>1132</v>
      </c>
      <c r="G31" s="695">
        <v>0.09</v>
      </c>
      <c r="H31" s="700">
        <v>1</v>
      </c>
      <c r="I31" s="626"/>
      <c r="J31" s="752"/>
      <c r="L31" s="376" t="s">
        <v>56</v>
      </c>
      <c r="M31" s="376" t="s">
        <v>959</v>
      </c>
      <c r="N31" s="376" t="s">
        <v>1124</v>
      </c>
      <c r="O31" s="376"/>
      <c r="P31" s="376" t="s">
        <v>1105</v>
      </c>
      <c r="Q31" s="376"/>
      <c r="R31" s="376">
        <v>0</v>
      </c>
      <c r="T31" s="752"/>
      <c r="V31" s="609">
        <f t="shared" ref="V31:V37" si="2">IF(W31=1,G31,0)</f>
        <v>0</v>
      </c>
      <c r="W31" s="692"/>
    </row>
    <row r="32" spans="1:26" outlineLevel="3">
      <c r="A32" s="376"/>
      <c r="B32" s="376" t="s">
        <v>899</v>
      </c>
      <c r="C32" s="376" t="s">
        <v>1107</v>
      </c>
      <c r="D32" s="376" t="s">
        <v>518</v>
      </c>
      <c r="E32" s="376" t="s">
        <v>56</v>
      </c>
      <c r="F32" s="760" t="s">
        <v>1133</v>
      </c>
      <c r="G32" s="695">
        <v>0.09</v>
      </c>
      <c r="H32" s="700">
        <v>1</v>
      </c>
      <c r="I32" s="626"/>
      <c r="J32" s="752"/>
      <c r="L32" s="376" t="s">
        <v>56</v>
      </c>
      <c r="M32" s="376" t="s">
        <v>959</v>
      </c>
      <c r="N32" s="376" t="s">
        <v>1124</v>
      </c>
      <c r="O32" s="376"/>
      <c r="P32" s="376" t="s">
        <v>1105</v>
      </c>
      <c r="Q32" s="376"/>
      <c r="R32" s="376">
        <v>0</v>
      </c>
      <c r="T32" s="752"/>
      <c r="V32" s="609">
        <f t="shared" si="2"/>
        <v>0</v>
      </c>
      <c r="W32" s="692"/>
    </row>
    <row r="33" spans="1:24" outlineLevel="3">
      <c r="A33" s="376"/>
      <c r="B33" s="376" t="s">
        <v>899</v>
      </c>
      <c r="C33" s="376" t="s">
        <v>1107</v>
      </c>
      <c r="D33" s="376" t="s">
        <v>518</v>
      </c>
      <c r="E33" s="376" t="s">
        <v>56</v>
      </c>
      <c r="F33" s="760" t="s">
        <v>1134</v>
      </c>
      <c r="G33" s="695">
        <v>0.09</v>
      </c>
      <c r="H33" s="700">
        <v>1</v>
      </c>
      <c r="I33" s="626"/>
      <c r="J33" s="752"/>
      <c r="L33" s="376" t="s">
        <v>56</v>
      </c>
      <c r="M33" s="376" t="s">
        <v>959</v>
      </c>
      <c r="N33" s="376" t="s">
        <v>1124</v>
      </c>
      <c r="O33" s="376"/>
      <c r="P33" s="376" t="s">
        <v>1105</v>
      </c>
      <c r="Q33" s="376"/>
      <c r="R33" s="376">
        <v>0</v>
      </c>
      <c r="T33" s="752"/>
      <c r="V33" s="609">
        <f t="shared" si="2"/>
        <v>0</v>
      </c>
      <c r="W33" s="692"/>
    </row>
    <row r="34" spans="1:24" outlineLevel="3">
      <c r="A34" s="376"/>
      <c r="B34" s="376" t="s">
        <v>899</v>
      </c>
      <c r="C34" s="376" t="s">
        <v>1107</v>
      </c>
      <c r="D34" s="376" t="s">
        <v>518</v>
      </c>
      <c r="E34" s="376" t="s">
        <v>56</v>
      </c>
      <c r="F34" s="608" t="s">
        <v>1944</v>
      </c>
      <c r="G34" s="609">
        <v>0.18</v>
      </c>
      <c r="H34" s="692">
        <v>1</v>
      </c>
      <c r="I34" s="626"/>
      <c r="J34" s="752"/>
      <c r="L34" s="376" t="s">
        <v>56</v>
      </c>
      <c r="M34" s="376" t="s">
        <v>959</v>
      </c>
      <c r="N34" s="376" t="s">
        <v>1136</v>
      </c>
      <c r="O34" s="376"/>
      <c r="P34" s="376" t="s">
        <v>1105</v>
      </c>
      <c r="Q34" s="376"/>
      <c r="R34" s="376">
        <v>0</v>
      </c>
      <c r="T34" s="752"/>
      <c r="V34" s="609">
        <f>IF(W34=1,G34,0)</f>
        <v>0.18</v>
      </c>
      <c r="W34" s="692">
        <v>1</v>
      </c>
    </row>
    <row r="35" spans="1:24" outlineLevel="3">
      <c r="A35" s="376"/>
      <c r="B35" s="376" t="s">
        <v>899</v>
      </c>
      <c r="C35" s="376" t="s">
        <v>1107</v>
      </c>
      <c r="D35" s="376" t="s">
        <v>518</v>
      </c>
      <c r="E35" s="376" t="s">
        <v>56</v>
      </c>
      <c r="F35" s="608" t="s">
        <v>1945</v>
      </c>
      <c r="G35" s="609">
        <v>0.13</v>
      </c>
      <c r="H35" s="692">
        <v>1</v>
      </c>
      <c r="I35" s="626"/>
      <c r="J35" s="752"/>
      <c r="L35" s="376" t="s">
        <v>56</v>
      </c>
      <c r="M35" s="376" t="s">
        <v>959</v>
      </c>
      <c r="N35" s="376" t="s">
        <v>1136</v>
      </c>
      <c r="O35" s="376"/>
      <c r="P35" s="376" t="s">
        <v>1105</v>
      </c>
      <c r="Q35" s="376"/>
      <c r="R35" s="376">
        <v>0</v>
      </c>
      <c r="T35" s="752"/>
      <c r="V35" s="609">
        <f>IF(W35=1,G35,0)</f>
        <v>0</v>
      </c>
      <c r="W35" s="692"/>
      <c r="X35" s="874">
        <v>46356</v>
      </c>
    </row>
    <row r="36" spans="1:24" outlineLevel="3">
      <c r="A36" s="376"/>
      <c r="B36" s="376" t="s">
        <v>899</v>
      </c>
      <c r="C36" s="376" t="s">
        <v>1107</v>
      </c>
      <c r="D36" s="376" t="s">
        <v>518</v>
      </c>
      <c r="E36" s="376" t="s">
        <v>56</v>
      </c>
      <c r="F36" s="760" t="s">
        <v>1094</v>
      </c>
      <c r="G36" s="695">
        <v>0</v>
      </c>
      <c r="H36" s="700">
        <v>1</v>
      </c>
      <c r="I36" s="626"/>
      <c r="J36" s="752"/>
      <c r="L36" s="376" t="s">
        <v>56</v>
      </c>
      <c r="M36" s="376" t="s">
        <v>959</v>
      </c>
      <c r="N36" s="376" t="s">
        <v>1136</v>
      </c>
      <c r="O36" s="376"/>
      <c r="P36" s="376" t="s">
        <v>1105</v>
      </c>
      <c r="Q36" s="376"/>
      <c r="R36" s="376">
        <v>0</v>
      </c>
      <c r="T36" s="752"/>
      <c r="V36" s="609">
        <f t="shared" si="2"/>
        <v>0</v>
      </c>
      <c r="W36" s="692"/>
    </row>
    <row r="37" spans="1:24" outlineLevel="3">
      <c r="A37" s="376"/>
      <c r="B37" s="376" t="s">
        <v>899</v>
      </c>
      <c r="C37" s="376" t="s">
        <v>1107</v>
      </c>
      <c r="D37" s="376" t="s">
        <v>518</v>
      </c>
      <c r="E37" s="376" t="s">
        <v>56</v>
      </c>
      <c r="F37" s="760" t="s">
        <v>1106</v>
      </c>
      <c r="G37" s="695">
        <v>0</v>
      </c>
      <c r="H37" s="700">
        <v>1</v>
      </c>
      <c r="I37" s="626"/>
      <c r="J37" s="752"/>
      <c r="L37" s="376" t="s">
        <v>56</v>
      </c>
      <c r="M37" s="376" t="s">
        <v>959</v>
      </c>
      <c r="N37" s="376" t="s">
        <v>1136</v>
      </c>
      <c r="O37" s="376"/>
      <c r="P37" s="376" t="s">
        <v>1105</v>
      </c>
      <c r="Q37" s="376"/>
      <c r="R37" s="376">
        <v>0</v>
      </c>
      <c r="T37" s="752"/>
      <c r="V37" s="609">
        <f t="shared" si="2"/>
        <v>0</v>
      </c>
      <c r="W37" s="692"/>
    </row>
    <row r="38" spans="1:24" outlineLevel="2">
      <c r="A38" s="376"/>
      <c r="B38" s="684" t="s">
        <v>899</v>
      </c>
      <c r="C38" s="684" t="s">
        <v>1107</v>
      </c>
      <c r="D38" s="684" t="s">
        <v>441</v>
      </c>
      <c r="E38" s="684"/>
      <c r="F38" s="685" t="s">
        <v>1022</v>
      </c>
      <c r="G38" s="686">
        <f>SUBTOTAL(9,G39)</f>
        <v>0.02</v>
      </c>
      <c r="H38" s="691">
        <f>SUBTOTAL(9,H39)</f>
        <v>1</v>
      </c>
      <c r="I38" s="626"/>
      <c r="J38" s="752"/>
      <c r="L38" s="684"/>
      <c r="M38" s="684"/>
      <c r="N38" s="684"/>
      <c r="O38" s="684"/>
      <c r="P38" s="684"/>
      <c r="Q38" s="684"/>
      <c r="R38" s="684"/>
      <c r="T38" s="752"/>
      <c r="V38" s="686">
        <f>SUBTOTAL(9,V39)</f>
        <v>0</v>
      </c>
      <c r="W38" s="691">
        <f>SUBTOTAL(9,W39)</f>
        <v>0</v>
      </c>
    </row>
    <row r="39" spans="1:24" outlineLevel="3">
      <c r="A39" s="376"/>
      <c r="B39" s="376" t="s">
        <v>899</v>
      </c>
      <c r="C39" s="376" t="s">
        <v>1107</v>
      </c>
      <c r="D39" s="376" t="s">
        <v>441</v>
      </c>
      <c r="E39" s="376" t="s">
        <v>437</v>
      </c>
      <c r="F39" s="760" t="s">
        <v>1106</v>
      </c>
      <c r="G39" s="609">
        <v>0.02</v>
      </c>
      <c r="H39" s="692">
        <v>1</v>
      </c>
      <c r="I39" s="626"/>
      <c r="J39" s="752"/>
      <c r="L39" s="376" t="s">
        <v>437</v>
      </c>
      <c r="M39" s="376" t="s">
        <v>966</v>
      </c>
      <c r="N39" s="376" t="s">
        <v>1124</v>
      </c>
      <c r="O39" s="376"/>
      <c r="P39" s="376" t="s">
        <v>1105</v>
      </c>
      <c r="Q39" s="376"/>
      <c r="R39" s="376">
        <v>0</v>
      </c>
      <c r="T39" s="752"/>
      <c r="V39" s="609">
        <f>IF(W39=1,G39,0)</f>
        <v>0</v>
      </c>
      <c r="W39" s="692" t="s">
        <v>1078</v>
      </c>
    </row>
    <row r="40" spans="1:24" s="612" customFormat="1" outlineLevel="1">
      <c r="A40" s="380"/>
      <c r="B40" s="666" t="s">
        <v>1137</v>
      </c>
      <c r="C40" s="666" t="s">
        <v>956</v>
      </c>
      <c r="D40" s="666"/>
      <c r="E40" s="666"/>
      <c r="F40" s="681" t="s">
        <v>947</v>
      </c>
      <c r="G40" s="701">
        <f>SUBTOTAL(9,G41:G53)</f>
        <v>0.65298114171514998</v>
      </c>
      <c r="H40" s="702">
        <f>SUBTOTAL(9,H41:H53)</f>
        <v>10</v>
      </c>
      <c r="I40" s="627"/>
      <c r="J40" s="754"/>
      <c r="L40" s="666"/>
      <c r="M40" s="666"/>
      <c r="N40" s="666"/>
      <c r="O40" s="666"/>
      <c r="P40" s="666"/>
      <c r="Q40" s="666"/>
      <c r="R40" s="666"/>
      <c r="T40" s="754"/>
      <c r="V40" s="701">
        <f>SUBTOTAL(9,V41:V53)</f>
        <v>0</v>
      </c>
      <c r="W40" s="702">
        <f>SUBTOTAL(9,W41:W53)</f>
        <v>0</v>
      </c>
    </row>
    <row r="41" spans="1:24" ht="26.45" outlineLevel="2">
      <c r="A41" s="376"/>
      <c r="B41" s="684" t="s">
        <v>1137</v>
      </c>
      <c r="C41" s="684" t="s">
        <v>956</v>
      </c>
      <c r="D41" s="684" t="s">
        <v>159</v>
      </c>
      <c r="E41" s="684"/>
      <c r="F41" s="685" t="s">
        <v>1138</v>
      </c>
      <c r="G41" s="686">
        <f>SUBTOTAL(9,G42:G44)</f>
        <v>0.30105801900000001</v>
      </c>
      <c r="H41" s="691">
        <f>SUBTOTAL(9,H42:H44)</f>
        <v>3</v>
      </c>
      <c r="I41" s="626"/>
      <c r="J41" s="752"/>
      <c r="L41" s="684"/>
      <c r="M41" s="684"/>
      <c r="N41" s="684"/>
      <c r="O41" s="684"/>
      <c r="P41" s="684"/>
      <c r="Q41" s="684"/>
      <c r="R41" s="684"/>
      <c r="T41" s="752"/>
      <c r="V41" s="686">
        <f>SUBTOTAL(9,V42:V44)</f>
        <v>0</v>
      </c>
      <c r="W41" s="691">
        <f>SUBTOTAL(9,W42:W44)</f>
        <v>0</v>
      </c>
    </row>
    <row r="42" spans="1:24" outlineLevel="3">
      <c r="A42" s="376"/>
      <c r="B42" s="376" t="s">
        <v>1137</v>
      </c>
      <c r="C42" s="376" t="s">
        <v>956</v>
      </c>
      <c r="D42" s="376" t="s">
        <v>159</v>
      </c>
      <c r="E42" s="376" t="s">
        <v>1100</v>
      </c>
      <c r="F42" s="608" t="s">
        <v>1139</v>
      </c>
      <c r="G42" s="609">
        <v>0.13060359000000002</v>
      </c>
      <c r="H42" s="692">
        <v>1</v>
      </c>
      <c r="I42" s="626"/>
      <c r="J42" s="752"/>
      <c r="L42" s="376" t="s">
        <v>1100</v>
      </c>
      <c r="M42" s="376" t="s">
        <v>1090</v>
      </c>
      <c r="N42" s="376" t="s">
        <v>1110</v>
      </c>
      <c r="O42" s="376" t="s">
        <v>1140</v>
      </c>
      <c r="P42" s="376" t="s">
        <v>1111</v>
      </c>
      <c r="Q42" s="376"/>
      <c r="R42" s="376"/>
      <c r="T42" s="752"/>
      <c r="V42" s="609">
        <f t="shared" ref="V42:V44" si="3">IF(W42=1,G42,0)</f>
        <v>0</v>
      </c>
      <c r="W42" s="692"/>
    </row>
    <row r="43" spans="1:24" outlineLevel="3">
      <c r="A43" s="376"/>
      <c r="B43" s="376" t="s">
        <v>1137</v>
      </c>
      <c r="C43" s="376" t="s">
        <v>956</v>
      </c>
      <c r="D43" s="376" t="s">
        <v>159</v>
      </c>
      <c r="E43" s="376" t="s">
        <v>1100</v>
      </c>
      <c r="F43" s="608" t="s">
        <v>1141</v>
      </c>
      <c r="G43" s="609">
        <v>7.8362154000000003E-2</v>
      </c>
      <c r="H43" s="692">
        <v>1</v>
      </c>
      <c r="I43" s="626"/>
      <c r="J43" s="752"/>
      <c r="L43" s="376" t="s">
        <v>1100</v>
      </c>
      <c r="M43" s="376" t="s">
        <v>1090</v>
      </c>
      <c r="N43" s="376" t="s">
        <v>1110</v>
      </c>
      <c r="O43" s="376" t="s">
        <v>1140</v>
      </c>
      <c r="P43" s="376" t="s">
        <v>1111</v>
      </c>
      <c r="Q43" s="376"/>
      <c r="R43" s="376"/>
      <c r="T43" s="752"/>
      <c r="V43" s="609">
        <f t="shared" si="3"/>
        <v>0</v>
      </c>
      <c r="W43" s="692"/>
    </row>
    <row r="44" spans="1:24" outlineLevel="3">
      <c r="A44" s="376"/>
      <c r="B44" s="376" t="s">
        <v>1137</v>
      </c>
      <c r="C44" s="376" t="s">
        <v>956</v>
      </c>
      <c r="D44" s="376" t="s">
        <v>159</v>
      </c>
      <c r="E44" s="376" t="s">
        <v>1100</v>
      </c>
      <c r="F44" s="608" t="s">
        <v>1142</v>
      </c>
      <c r="G44" s="609">
        <v>9.2092275000000001E-2</v>
      </c>
      <c r="H44" s="692">
        <v>1</v>
      </c>
      <c r="I44" s="626"/>
      <c r="J44" s="752"/>
      <c r="L44" s="376" t="s">
        <v>1100</v>
      </c>
      <c r="M44" s="376" t="s">
        <v>1090</v>
      </c>
      <c r="N44" s="376" t="s">
        <v>1110</v>
      </c>
      <c r="O44" s="376" t="s">
        <v>1140</v>
      </c>
      <c r="P44" s="376" t="s">
        <v>1111</v>
      </c>
      <c r="Q44" s="376"/>
      <c r="R44" s="376"/>
      <c r="T44" s="752"/>
      <c r="V44" s="609">
        <f t="shared" si="3"/>
        <v>0</v>
      </c>
      <c r="W44" s="692"/>
    </row>
    <row r="45" spans="1:24" ht="26.45" outlineLevel="2">
      <c r="A45" s="376"/>
      <c r="B45" s="684" t="s">
        <v>1137</v>
      </c>
      <c r="C45" s="684" t="s">
        <v>956</v>
      </c>
      <c r="D45" s="684" t="s">
        <v>518</v>
      </c>
      <c r="E45" s="684"/>
      <c r="F45" s="685" t="s">
        <v>1138</v>
      </c>
      <c r="G45" s="686">
        <f>SUBTOTAL(9,G46:G49)</f>
        <v>0.28480034280014982</v>
      </c>
      <c r="H45" s="691">
        <f>SUBTOTAL(9,H46:H49)</f>
        <v>4</v>
      </c>
      <c r="I45" s="626"/>
      <c r="J45" s="752"/>
      <c r="L45" s="684"/>
      <c r="M45" s="684"/>
      <c r="N45" s="684"/>
      <c r="O45" s="684"/>
      <c r="P45" s="684"/>
      <c r="Q45" s="684"/>
      <c r="R45" s="684"/>
      <c r="T45" s="752"/>
      <c r="V45" s="686">
        <f>SUBTOTAL(9,V46:V49)</f>
        <v>0</v>
      </c>
      <c r="W45" s="691">
        <f>SUBTOTAL(9,W46:W49)</f>
        <v>0</v>
      </c>
    </row>
    <row r="46" spans="1:24" outlineLevel="3">
      <c r="A46" s="376"/>
      <c r="B46" s="376" t="s">
        <v>1137</v>
      </c>
      <c r="C46" s="376" t="s">
        <v>956</v>
      </c>
      <c r="D46" s="376" t="s">
        <v>518</v>
      </c>
      <c r="E46" s="376" t="s">
        <v>56</v>
      </c>
      <c r="F46" s="608" t="s">
        <v>1139</v>
      </c>
      <c r="G46" s="609">
        <v>0.11799571852507491</v>
      </c>
      <c r="H46" s="692">
        <v>1</v>
      </c>
      <c r="I46" s="626"/>
      <c r="J46" s="752"/>
      <c r="L46" s="376" t="s">
        <v>56</v>
      </c>
      <c r="M46" s="376" t="s">
        <v>959</v>
      </c>
      <c r="N46" s="376" t="s">
        <v>1095</v>
      </c>
      <c r="O46" s="376"/>
      <c r="P46" s="376" t="s">
        <v>1143</v>
      </c>
      <c r="Q46" s="376"/>
      <c r="R46" s="376">
        <v>0</v>
      </c>
      <c r="T46" s="752"/>
      <c r="V46" s="609">
        <f t="shared" ref="V46:V49" si="4">IF(W46=1,G46,0)</f>
        <v>0</v>
      </c>
      <c r="W46" s="692"/>
    </row>
    <row r="47" spans="1:24" outlineLevel="3">
      <c r="A47" s="376"/>
      <c r="B47" s="376" t="s">
        <v>1137</v>
      </c>
      <c r="C47" s="376" t="s">
        <v>956</v>
      </c>
      <c r="D47" s="376" t="s">
        <v>518</v>
      </c>
      <c r="E47" s="376" t="s">
        <v>56</v>
      </c>
      <c r="F47" s="608" t="s">
        <v>1141</v>
      </c>
      <c r="G47" s="609">
        <v>0.11799571852507491</v>
      </c>
      <c r="H47" s="692">
        <v>1</v>
      </c>
      <c r="I47" s="626"/>
      <c r="J47" s="752"/>
      <c r="L47" s="376" t="s">
        <v>56</v>
      </c>
      <c r="M47" s="376" t="s">
        <v>959</v>
      </c>
      <c r="N47" s="376" t="s">
        <v>1095</v>
      </c>
      <c r="O47" s="376"/>
      <c r="P47" s="376" t="s">
        <v>1143</v>
      </c>
      <c r="Q47" s="376"/>
      <c r="R47" s="376">
        <v>0</v>
      </c>
      <c r="T47" s="752"/>
      <c r="V47" s="609">
        <f t="shared" si="4"/>
        <v>0</v>
      </c>
      <c r="W47" s="692"/>
    </row>
    <row r="48" spans="1:24" outlineLevel="3">
      <c r="A48" s="376"/>
      <c r="B48" s="376" t="s">
        <v>1137</v>
      </c>
      <c r="C48" s="376" t="s">
        <v>956</v>
      </c>
      <c r="D48" s="376" t="s">
        <v>518</v>
      </c>
      <c r="E48" s="376" t="s">
        <v>56</v>
      </c>
      <c r="F48" s="608" t="s">
        <v>1144</v>
      </c>
      <c r="G48" s="609">
        <v>9.7617811500000009E-3</v>
      </c>
      <c r="H48" s="692">
        <v>1</v>
      </c>
      <c r="I48" s="626"/>
      <c r="J48" s="752"/>
      <c r="L48" s="376" t="s">
        <v>56</v>
      </c>
      <c r="M48" s="376"/>
      <c r="N48" s="376" t="s">
        <v>1145</v>
      </c>
      <c r="O48" s="376"/>
      <c r="P48" s="376"/>
      <c r="Q48" s="376"/>
      <c r="R48" s="376">
        <v>0</v>
      </c>
      <c r="T48" s="752"/>
      <c r="V48" s="609">
        <f t="shared" si="4"/>
        <v>0</v>
      </c>
      <c r="W48" s="692"/>
    </row>
    <row r="49" spans="1:23" outlineLevel="3">
      <c r="A49" s="376"/>
      <c r="B49" s="376" t="s">
        <v>1137</v>
      </c>
      <c r="C49" s="376" t="s">
        <v>956</v>
      </c>
      <c r="D49" s="376" t="s">
        <v>518</v>
      </c>
      <c r="E49" s="376" t="s">
        <v>56</v>
      </c>
      <c r="F49" s="608" t="s">
        <v>1142</v>
      </c>
      <c r="G49" s="609">
        <v>3.9047124600000004E-2</v>
      </c>
      <c r="H49" s="692">
        <v>1</v>
      </c>
      <c r="I49" s="626"/>
      <c r="J49" s="752"/>
      <c r="L49" s="376" t="s">
        <v>56</v>
      </c>
      <c r="M49" s="376"/>
      <c r="N49" s="376" t="s">
        <v>1145</v>
      </c>
      <c r="O49" s="376"/>
      <c r="P49" s="376"/>
      <c r="Q49" s="376"/>
      <c r="R49" s="376">
        <v>0</v>
      </c>
      <c r="T49" s="752"/>
      <c r="V49" s="609">
        <f t="shared" si="4"/>
        <v>0</v>
      </c>
      <c r="W49" s="692"/>
    </row>
    <row r="50" spans="1:23" ht="26.45" outlineLevel="2">
      <c r="A50" s="376"/>
      <c r="B50" s="684" t="s">
        <v>1137</v>
      </c>
      <c r="C50" s="684" t="s">
        <v>956</v>
      </c>
      <c r="D50" s="684" t="s">
        <v>441</v>
      </c>
      <c r="E50" s="684"/>
      <c r="F50" s="685" t="s">
        <v>1146</v>
      </c>
      <c r="G50" s="686">
        <f>SUBTOTAL(9,G51:G53)</f>
        <v>6.7122779915E-2</v>
      </c>
      <c r="H50" s="691">
        <f>SUBTOTAL(9,H51:H53)</f>
        <v>3</v>
      </c>
      <c r="I50" s="626"/>
      <c r="J50" s="752"/>
      <c r="L50" s="684"/>
      <c r="M50" s="684"/>
      <c r="N50" s="684"/>
      <c r="O50" s="684"/>
      <c r="P50" s="684"/>
      <c r="Q50" s="684"/>
      <c r="R50" s="684"/>
      <c r="T50" s="752"/>
      <c r="V50" s="686">
        <f>SUBTOTAL(9,V51:V53)</f>
        <v>0</v>
      </c>
      <c r="W50" s="691">
        <f>SUBTOTAL(9,W51:W53)</f>
        <v>0</v>
      </c>
    </row>
    <row r="51" spans="1:23" outlineLevel="3">
      <c r="A51" s="376"/>
      <c r="B51" s="376" t="s">
        <v>1137</v>
      </c>
      <c r="C51" s="376" t="s">
        <v>956</v>
      </c>
      <c r="D51" s="376" t="s">
        <v>441</v>
      </c>
      <c r="E51" s="376" t="s">
        <v>437</v>
      </c>
      <c r="F51" s="608" t="s">
        <v>1139</v>
      </c>
      <c r="G51" s="609">
        <v>3.0822447240000002E-2</v>
      </c>
      <c r="H51" s="692">
        <v>1</v>
      </c>
      <c r="I51" s="626"/>
      <c r="J51" s="752"/>
      <c r="L51" s="376" t="s">
        <v>437</v>
      </c>
      <c r="M51" s="376" t="s">
        <v>966</v>
      </c>
      <c r="N51" s="376" t="s">
        <v>1147</v>
      </c>
      <c r="O51" s="376" t="s">
        <v>1148</v>
      </c>
      <c r="P51" s="376"/>
      <c r="Q51" s="376"/>
      <c r="R51" s="376"/>
      <c r="T51" s="752"/>
      <c r="V51" s="609">
        <f t="shared" ref="V51:V53" si="5">IF(W51=1,G51,0)</f>
        <v>0</v>
      </c>
      <c r="W51" s="692"/>
    </row>
    <row r="52" spans="1:23" outlineLevel="3">
      <c r="A52" s="376"/>
      <c r="B52" s="376" t="s">
        <v>1137</v>
      </c>
      <c r="C52" s="376" t="s">
        <v>956</v>
      </c>
      <c r="D52" s="376" t="s">
        <v>441</v>
      </c>
      <c r="E52" s="376" t="s">
        <v>437</v>
      </c>
      <c r="F52" s="608" t="s">
        <v>1141</v>
      </c>
      <c r="G52" s="609">
        <v>0.02</v>
      </c>
      <c r="H52" s="692">
        <v>1</v>
      </c>
      <c r="I52" s="626"/>
      <c r="J52" s="752"/>
      <c r="L52" s="376" t="s">
        <v>437</v>
      </c>
      <c r="M52" s="376" t="s">
        <v>966</v>
      </c>
      <c r="N52" s="376" t="s">
        <v>1147</v>
      </c>
      <c r="O52" s="376" t="s">
        <v>1148</v>
      </c>
      <c r="P52" s="376"/>
      <c r="Q52" s="376"/>
      <c r="R52" s="376"/>
      <c r="T52" s="752"/>
      <c r="V52" s="609">
        <f>IF(W52=1,G52,0)</f>
        <v>0</v>
      </c>
      <c r="W52" s="692"/>
    </row>
    <row r="53" spans="1:23" outlineLevel="3">
      <c r="A53" s="376"/>
      <c r="B53" s="376" t="s">
        <v>1137</v>
      </c>
      <c r="C53" s="376" t="s">
        <v>956</v>
      </c>
      <c r="D53" s="376" t="s">
        <v>441</v>
      </c>
      <c r="E53" s="376" t="s">
        <v>437</v>
      </c>
      <c r="F53" s="608" t="s">
        <v>1142</v>
      </c>
      <c r="G53" s="609">
        <v>1.6300332674999998E-2</v>
      </c>
      <c r="H53" s="692">
        <v>1</v>
      </c>
      <c r="I53" s="626"/>
      <c r="J53" s="752"/>
      <c r="L53" s="376" t="s">
        <v>437</v>
      </c>
      <c r="M53" s="376" t="s">
        <v>966</v>
      </c>
      <c r="N53" s="376" t="s">
        <v>1147</v>
      </c>
      <c r="O53" s="376" t="s">
        <v>1148</v>
      </c>
      <c r="P53" s="376"/>
      <c r="Q53" s="376"/>
      <c r="R53" s="376"/>
      <c r="T53" s="752"/>
      <c r="V53" s="609">
        <f t="shared" si="5"/>
        <v>0</v>
      </c>
      <c r="W53" s="692"/>
    </row>
    <row r="54" spans="1:23" outlineLevel="1">
      <c r="A54" s="376"/>
      <c r="B54" s="665" t="s">
        <v>901</v>
      </c>
      <c r="C54" s="665" t="s">
        <v>1089</v>
      </c>
      <c r="D54" s="665"/>
      <c r="E54" s="665"/>
      <c r="F54" s="681" t="s">
        <v>947</v>
      </c>
      <c r="G54" s="701">
        <f>SUBTOTAL(9,G55:G64)</f>
        <v>0.7300000000000002</v>
      </c>
      <c r="H54" s="702">
        <f>SUBTOTAL(9,H55:H64)</f>
        <v>7</v>
      </c>
      <c r="I54" s="626"/>
      <c r="J54" s="752"/>
      <c r="L54" s="665"/>
      <c r="M54" s="665"/>
      <c r="N54" s="665"/>
      <c r="O54" s="665"/>
      <c r="P54" s="665"/>
      <c r="Q54" s="665"/>
      <c r="R54" s="665"/>
      <c r="T54" s="752"/>
      <c r="V54" s="701">
        <f>SUBTOTAL(9,V55:V64)</f>
        <v>0.17</v>
      </c>
      <c r="W54" s="702">
        <f>SUBTOTAL(9,W55:W64)</f>
        <v>1</v>
      </c>
    </row>
    <row r="55" spans="1:23" outlineLevel="2">
      <c r="A55" s="376"/>
      <c r="B55" s="684" t="s">
        <v>901</v>
      </c>
      <c r="C55" s="684" t="s">
        <v>1089</v>
      </c>
      <c r="D55" s="684" t="s">
        <v>159</v>
      </c>
      <c r="E55" s="684"/>
      <c r="F55" s="685" t="s">
        <v>1022</v>
      </c>
      <c r="G55" s="713">
        <f>SUBTOTAL(9,G56:G57)</f>
        <v>0.39</v>
      </c>
      <c r="H55" s="714">
        <f>SUBTOTAL(9,H56:H57)</f>
        <v>2</v>
      </c>
      <c r="I55" s="626"/>
      <c r="J55" s="752"/>
      <c r="L55" s="684"/>
      <c r="M55" s="684"/>
      <c r="N55" s="684"/>
      <c r="O55" s="684"/>
      <c r="P55" s="684"/>
      <c r="Q55" s="684"/>
      <c r="R55" s="684"/>
      <c r="T55" s="752"/>
      <c r="V55" s="713">
        <f>SUBTOTAL(9,V56:V57)</f>
        <v>0</v>
      </c>
      <c r="W55" s="714">
        <f>SUBTOTAL(9,W56:W57)</f>
        <v>0</v>
      </c>
    </row>
    <row r="56" spans="1:23" outlineLevel="3">
      <c r="A56" s="376"/>
      <c r="B56" s="376" t="s">
        <v>901</v>
      </c>
      <c r="C56" s="376" t="s">
        <v>1089</v>
      </c>
      <c r="D56" s="376" t="s">
        <v>159</v>
      </c>
      <c r="E56" s="376" t="s">
        <v>1100</v>
      </c>
      <c r="F56" s="608" t="s">
        <v>1149</v>
      </c>
      <c r="G56" s="695">
        <v>0.3</v>
      </c>
      <c r="H56" s="700">
        <v>1</v>
      </c>
      <c r="I56" s="626"/>
      <c r="J56" s="752"/>
      <c r="L56" s="376" t="s">
        <v>1100</v>
      </c>
      <c r="M56" s="376" t="s">
        <v>1090</v>
      </c>
      <c r="N56" s="376" t="s">
        <v>1150</v>
      </c>
      <c r="O56" s="376" t="s">
        <v>1151</v>
      </c>
      <c r="P56" s="376" t="s">
        <v>1152</v>
      </c>
      <c r="Q56" s="376"/>
      <c r="R56" s="376"/>
      <c r="T56" s="752"/>
      <c r="V56" s="609">
        <f t="shared" ref="V56:V57" si="6">IF(W56=1,G56,0)</f>
        <v>0</v>
      </c>
      <c r="W56" s="692"/>
    </row>
    <row r="57" spans="1:23" outlineLevel="3">
      <c r="A57" s="376"/>
      <c r="B57" s="376" t="s">
        <v>901</v>
      </c>
      <c r="C57" s="376" t="s">
        <v>1089</v>
      </c>
      <c r="D57" s="376" t="s">
        <v>159</v>
      </c>
      <c r="E57" s="376" t="s">
        <v>1100</v>
      </c>
      <c r="F57" s="608" t="s">
        <v>1117</v>
      </c>
      <c r="G57" s="695">
        <v>0.09</v>
      </c>
      <c r="H57" s="700">
        <v>1</v>
      </c>
      <c r="I57" s="626"/>
      <c r="J57" s="752"/>
      <c r="L57" s="376" t="s">
        <v>1100</v>
      </c>
      <c r="M57" s="376" t="s">
        <v>1090</v>
      </c>
      <c r="N57" s="376" t="s">
        <v>1150</v>
      </c>
      <c r="O57" s="376" t="s">
        <v>1151</v>
      </c>
      <c r="P57" s="376" t="s">
        <v>1152</v>
      </c>
      <c r="Q57" s="376"/>
      <c r="R57" s="376"/>
      <c r="T57" s="752"/>
      <c r="V57" s="609">
        <f t="shared" si="6"/>
        <v>0</v>
      </c>
      <c r="W57" s="692"/>
    </row>
    <row r="58" spans="1:23" outlineLevel="2">
      <c r="A58" s="376"/>
      <c r="B58" s="684" t="s">
        <v>901</v>
      </c>
      <c r="C58" s="684" t="s">
        <v>1089</v>
      </c>
      <c r="D58" s="684" t="s">
        <v>518</v>
      </c>
      <c r="E58" s="684"/>
      <c r="F58" s="685" t="s">
        <v>1022</v>
      </c>
      <c r="G58" s="713">
        <f>SUBTOTAL(9,G59:G62)</f>
        <v>0.30000000000000004</v>
      </c>
      <c r="H58" s="714">
        <f>SUBTOTAL(9,H59:H62)</f>
        <v>4</v>
      </c>
      <c r="I58" s="626"/>
      <c r="J58" s="752"/>
      <c r="L58" s="684"/>
      <c r="M58" s="684"/>
      <c r="N58" s="684"/>
      <c r="O58" s="684"/>
      <c r="P58" s="684"/>
      <c r="Q58" s="684"/>
      <c r="R58" s="684"/>
      <c r="T58" s="752"/>
      <c r="V58" s="713">
        <f>SUBTOTAL(9,V59:V62)</f>
        <v>0.17</v>
      </c>
      <c r="W58" s="714">
        <f>SUBTOTAL(9,W59:W62)</f>
        <v>1</v>
      </c>
    </row>
    <row r="59" spans="1:23" outlineLevel="3">
      <c r="A59" s="376"/>
      <c r="B59" s="376" t="s">
        <v>901</v>
      </c>
      <c r="C59" s="376" t="s">
        <v>1089</v>
      </c>
      <c r="D59" s="376" t="s">
        <v>518</v>
      </c>
      <c r="E59" s="376" t="s">
        <v>56</v>
      </c>
      <c r="F59" s="608" t="s">
        <v>1156</v>
      </c>
      <c r="G59" s="609">
        <v>0.17</v>
      </c>
      <c r="H59" s="700">
        <v>1</v>
      </c>
      <c r="I59" s="626"/>
      <c r="J59" s="752"/>
      <c r="L59" s="376" t="s">
        <v>56</v>
      </c>
      <c r="M59" s="376" t="s">
        <v>959</v>
      </c>
      <c r="N59" s="376" t="s">
        <v>1154</v>
      </c>
      <c r="O59" s="376"/>
      <c r="P59" s="376" t="s">
        <v>1155</v>
      </c>
      <c r="Q59" s="376"/>
      <c r="R59" s="376">
        <v>0</v>
      </c>
      <c r="T59" s="752"/>
      <c r="V59" s="609">
        <f t="shared" ref="V59:V62" si="7">IF(W59=1,G59,0)</f>
        <v>0.17</v>
      </c>
      <c r="W59" s="692">
        <v>1</v>
      </c>
    </row>
    <row r="60" spans="1:23" outlineLevel="3">
      <c r="A60" s="376"/>
      <c r="B60" s="376" t="s">
        <v>901</v>
      </c>
      <c r="C60" s="376" t="s">
        <v>1089</v>
      </c>
      <c r="D60" s="376" t="s">
        <v>518</v>
      </c>
      <c r="E60" s="376" t="s">
        <v>56</v>
      </c>
      <c r="F60" s="608" t="s">
        <v>1094</v>
      </c>
      <c r="G60" s="695">
        <v>0.03</v>
      </c>
      <c r="H60" s="700">
        <v>1</v>
      </c>
      <c r="I60" s="626"/>
      <c r="J60" s="752"/>
      <c r="L60" s="376" t="s">
        <v>56</v>
      </c>
      <c r="M60" s="376" t="s">
        <v>959</v>
      </c>
      <c r="N60" s="376" t="s">
        <v>1154</v>
      </c>
      <c r="O60" s="376"/>
      <c r="P60" s="376" t="s">
        <v>1155</v>
      </c>
      <c r="Q60" s="376"/>
      <c r="R60" s="376">
        <v>0</v>
      </c>
      <c r="T60" s="752"/>
      <c r="V60" s="609">
        <f t="shared" si="7"/>
        <v>0</v>
      </c>
      <c r="W60" s="692"/>
    </row>
    <row r="61" spans="1:23" outlineLevel="3">
      <c r="A61" s="376"/>
      <c r="B61" s="376" t="s">
        <v>901</v>
      </c>
      <c r="C61" s="376" t="s">
        <v>1089</v>
      </c>
      <c r="D61" s="376" t="s">
        <v>518</v>
      </c>
      <c r="E61" s="376" t="s">
        <v>56</v>
      </c>
      <c r="F61" s="608" t="s">
        <v>1106</v>
      </c>
      <c r="G61" s="695">
        <v>0.03</v>
      </c>
      <c r="H61" s="700">
        <v>1</v>
      </c>
      <c r="I61" s="626"/>
      <c r="J61" s="752"/>
      <c r="L61" s="376" t="s">
        <v>56</v>
      </c>
      <c r="M61" s="376" t="s">
        <v>959</v>
      </c>
      <c r="N61" s="376" t="s">
        <v>1154</v>
      </c>
      <c r="O61" s="376"/>
      <c r="P61" s="376" t="s">
        <v>1155</v>
      </c>
      <c r="Q61" s="376"/>
      <c r="R61" s="376">
        <v>0</v>
      </c>
      <c r="T61" s="752"/>
      <c r="V61" s="609">
        <f t="shared" si="7"/>
        <v>0</v>
      </c>
      <c r="W61" s="692"/>
    </row>
    <row r="62" spans="1:23" ht="26.45" outlineLevel="3">
      <c r="A62" s="376"/>
      <c r="B62" s="376" t="s">
        <v>901</v>
      </c>
      <c r="C62" s="376" t="s">
        <v>1089</v>
      </c>
      <c r="D62" s="376" t="s">
        <v>518</v>
      </c>
      <c r="E62" s="376" t="s">
        <v>56</v>
      </c>
      <c r="F62" s="608" t="s">
        <v>1157</v>
      </c>
      <c r="G62" s="695">
        <v>7.0000000000000007E-2</v>
      </c>
      <c r="H62" s="700">
        <v>1</v>
      </c>
      <c r="I62" s="626"/>
      <c r="J62" s="752"/>
      <c r="L62" s="376" t="s">
        <v>56</v>
      </c>
      <c r="M62" s="376" t="s">
        <v>959</v>
      </c>
      <c r="N62" s="376" t="s">
        <v>1154</v>
      </c>
      <c r="O62" s="376"/>
      <c r="P62" s="376" t="s">
        <v>1155</v>
      </c>
      <c r="Q62" s="376"/>
      <c r="R62" s="376">
        <v>0</v>
      </c>
      <c r="T62" s="752"/>
      <c r="V62" s="609">
        <f t="shared" si="7"/>
        <v>0</v>
      </c>
      <c r="W62" s="692"/>
    </row>
    <row r="63" spans="1:23" outlineLevel="2">
      <c r="A63" s="376"/>
      <c r="B63" s="684" t="s">
        <v>901</v>
      </c>
      <c r="C63" s="684" t="s">
        <v>1089</v>
      </c>
      <c r="D63" s="684" t="s">
        <v>441</v>
      </c>
      <c r="E63" s="684"/>
      <c r="F63" s="685" t="s">
        <v>1022</v>
      </c>
      <c r="G63" s="713">
        <f>SUBTOTAL(9,G64)</f>
        <v>0.04</v>
      </c>
      <c r="H63" s="714">
        <f>SUBTOTAL(9,H64)</f>
        <v>1</v>
      </c>
      <c r="I63" s="626"/>
      <c r="J63" s="752"/>
      <c r="L63" s="684"/>
      <c r="M63" s="684"/>
      <c r="N63" s="684"/>
      <c r="O63" s="684"/>
      <c r="P63" s="684"/>
      <c r="Q63" s="684"/>
      <c r="R63" s="684"/>
      <c r="T63" s="752"/>
      <c r="V63" s="713">
        <f>SUBTOTAL(9,V64)</f>
        <v>0</v>
      </c>
      <c r="W63" s="714">
        <f>SUBTOTAL(9,W64)</f>
        <v>0</v>
      </c>
    </row>
    <row r="64" spans="1:23" outlineLevel="3">
      <c r="A64" s="376"/>
      <c r="B64" s="376" t="s">
        <v>901</v>
      </c>
      <c r="C64" s="376" t="s">
        <v>1089</v>
      </c>
      <c r="D64" s="376" t="s">
        <v>441</v>
      </c>
      <c r="E64" s="376" t="s">
        <v>437</v>
      </c>
      <c r="F64" s="608" t="s">
        <v>1106</v>
      </c>
      <c r="G64" s="695">
        <v>0.04</v>
      </c>
      <c r="H64" s="700">
        <v>1</v>
      </c>
      <c r="I64" s="626"/>
      <c r="J64" s="752"/>
      <c r="L64" s="376" t="s">
        <v>437</v>
      </c>
      <c r="M64" s="376" t="s">
        <v>966</v>
      </c>
      <c r="N64" s="376" t="s">
        <v>967</v>
      </c>
      <c r="O64" s="376" t="s">
        <v>995</v>
      </c>
      <c r="P64" s="376"/>
      <c r="Q64" s="376"/>
      <c r="R64" s="376"/>
      <c r="T64" s="752"/>
      <c r="V64" s="609">
        <f t="shared" ref="V64" si="8">IF(W64=1,G64,0)</f>
        <v>0</v>
      </c>
      <c r="W64" s="700"/>
    </row>
    <row r="65" spans="1:23" outlineLevel="1">
      <c r="A65" s="376"/>
      <c r="B65" s="665" t="s">
        <v>225</v>
      </c>
      <c r="C65" s="665" t="s">
        <v>1241</v>
      </c>
      <c r="D65" s="665"/>
      <c r="E65" s="665"/>
      <c r="F65" s="681" t="s">
        <v>947</v>
      </c>
      <c r="G65" s="701">
        <f>SUBTOTAL(9,G66:G80)</f>
        <v>0.31710000000000005</v>
      </c>
      <c r="H65" s="702">
        <f>SUBTOTAL(9,H66:H80)</f>
        <v>11</v>
      </c>
      <c r="I65" s="626"/>
      <c r="J65" s="752"/>
      <c r="L65" s="665"/>
      <c r="M65" s="665"/>
      <c r="N65" s="665"/>
      <c r="O65" s="665"/>
      <c r="P65" s="665"/>
      <c r="Q65" s="665"/>
      <c r="R65" s="665"/>
      <c r="T65" s="752"/>
      <c r="V65" s="701">
        <f>SUBTOTAL(9,V66:V80)</f>
        <v>0</v>
      </c>
      <c r="W65" s="702">
        <f>SUBTOTAL(9,W66:W80)</f>
        <v>0</v>
      </c>
    </row>
    <row r="66" spans="1:23" outlineLevel="2">
      <c r="A66" s="376"/>
      <c r="B66" s="684" t="s">
        <v>225</v>
      </c>
      <c r="C66" s="684" t="s">
        <v>1241</v>
      </c>
      <c r="D66" s="684" t="s">
        <v>159</v>
      </c>
      <c r="E66" s="684"/>
      <c r="F66" s="685" t="s">
        <v>1870</v>
      </c>
      <c r="G66" s="713">
        <f>SUBTOTAL(9,G67:G69)</f>
        <v>0.189</v>
      </c>
      <c r="H66" s="714">
        <f>SUBTOTAL(9,H67:H68)</f>
        <v>2</v>
      </c>
      <c r="I66" s="626"/>
      <c r="J66" s="752"/>
      <c r="L66" s="684"/>
      <c r="M66" s="684"/>
      <c r="N66" s="684"/>
      <c r="O66" s="684"/>
      <c r="P66" s="684"/>
      <c r="Q66" s="684"/>
      <c r="R66" s="684"/>
      <c r="T66" s="752"/>
      <c r="V66" s="713">
        <f>SUBTOTAL(9,V67:V68)</f>
        <v>0</v>
      </c>
      <c r="W66" s="714">
        <f>SUBTOTAL(9,W67:W68)</f>
        <v>0</v>
      </c>
    </row>
    <row r="67" spans="1:23" outlineLevel="3">
      <c r="A67" s="376"/>
      <c r="B67" s="376" t="s">
        <v>225</v>
      </c>
      <c r="C67" s="376" t="s">
        <v>1241</v>
      </c>
      <c r="D67" s="376" t="s">
        <v>159</v>
      </c>
      <c r="E67" s="376" t="s">
        <v>1100</v>
      </c>
      <c r="F67" s="608" t="s">
        <v>36</v>
      </c>
      <c r="G67" s="695">
        <v>6.3E-2</v>
      </c>
      <c r="H67" s="700">
        <v>1</v>
      </c>
      <c r="I67" s="626"/>
      <c r="J67" s="752"/>
      <c r="L67" s="376" t="s">
        <v>1100</v>
      </c>
      <c r="M67" s="376" t="s">
        <v>1150</v>
      </c>
      <c r="N67" s="376" t="s">
        <v>1101</v>
      </c>
      <c r="O67" s="376"/>
      <c r="P67" s="376"/>
      <c r="Q67" s="376"/>
      <c r="R67" s="376"/>
      <c r="T67" s="752"/>
      <c r="V67" s="609">
        <f t="shared" ref="V67:V69" si="9">IF(W67=1,G67,0)</f>
        <v>0</v>
      </c>
      <c r="W67" s="700"/>
    </row>
    <row r="68" spans="1:23" outlineLevel="3">
      <c r="A68" s="376"/>
      <c r="B68" s="376" t="s">
        <v>225</v>
      </c>
      <c r="C68" s="376" t="s">
        <v>1241</v>
      </c>
      <c r="D68" s="376" t="s">
        <v>159</v>
      </c>
      <c r="E68" s="376" t="s">
        <v>1100</v>
      </c>
      <c r="F68" s="608" t="s">
        <v>1238</v>
      </c>
      <c r="G68" s="695">
        <v>4.2000000000000003E-2</v>
      </c>
      <c r="H68" s="700">
        <v>1</v>
      </c>
      <c r="I68" s="626"/>
      <c r="J68" s="752"/>
      <c r="L68" s="376" t="s">
        <v>1100</v>
      </c>
      <c r="M68" s="376" t="s">
        <v>1150</v>
      </c>
      <c r="N68" s="376" t="s">
        <v>1101</v>
      </c>
      <c r="O68" s="376"/>
      <c r="P68" s="376"/>
      <c r="Q68" s="376"/>
      <c r="R68" s="376"/>
      <c r="T68" s="752"/>
      <c r="V68" s="609">
        <f t="shared" si="9"/>
        <v>0</v>
      </c>
      <c r="W68" s="700"/>
    </row>
    <row r="69" spans="1:23" outlineLevel="3">
      <c r="A69" s="376"/>
      <c r="B69" s="376" t="s">
        <v>225</v>
      </c>
      <c r="C69" s="376" t="s">
        <v>1241</v>
      </c>
      <c r="D69" s="376" t="s">
        <v>159</v>
      </c>
      <c r="E69" s="376" t="s">
        <v>1100</v>
      </c>
      <c r="F69" s="608" t="s">
        <v>1239</v>
      </c>
      <c r="G69" s="695">
        <v>8.4000000000000005E-2</v>
      </c>
      <c r="H69" s="700">
        <v>1</v>
      </c>
      <c r="I69" s="626"/>
      <c r="J69" s="752"/>
      <c r="L69" s="376" t="s">
        <v>1100</v>
      </c>
      <c r="M69" s="376" t="s">
        <v>1150</v>
      </c>
      <c r="N69" s="376" t="s">
        <v>1101</v>
      </c>
      <c r="O69" s="376"/>
      <c r="P69" s="376"/>
      <c r="Q69" s="376"/>
      <c r="R69" s="376"/>
      <c r="T69" s="752"/>
      <c r="V69" s="609">
        <f t="shared" si="9"/>
        <v>0</v>
      </c>
      <c r="W69" s="700"/>
    </row>
    <row r="70" spans="1:23" outlineLevel="2">
      <c r="A70" s="376"/>
      <c r="B70" s="684" t="s">
        <v>225</v>
      </c>
      <c r="C70" s="684" t="s">
        <v>1241</v>
      </c>
      <c r="D70" s="684" t="s">
        <v>518</v>
      </c>
      <c r="E70" s="684"/>
      <c r="F70" s="685" t="s">
        <v>1870</v>
      </c>
      <c r="G70" s="713">
        <f>SUBTOTAL(9,G71:G73)</f>
        <v>8.6400000000000005E-2</v>
      </c>
      <c r="H70" s="714">
        <f>SUBTOTAL(9,H71:H72)</f>
        <v>2</v>
      </c>
      <c r="I70" s="626"/>
      <c r="J70" s="752"/>
      <c r="L70" s="684"/>
      <c r="M70" s="684"/>
      <c r="N70" s="684"/>
      <c r="O70" s="684"/>
      <c r="P70" s="684"/>
      <c r="Q70" s="684"/>
      <c r="R70" s="684"/>
      <c r="T70" s="752"/>
      <c r="V70" s="713">
        <f>SUBTOTAL(9,V71:V72)</f>
        <v>0</v>
      </c>
      <c r="W70" s="714">
        <f>SUBTOTAL(9,W71:W72)</f>
        <v>0</v>
      </c>
    </row>
    <row r="71" spans="1:23" outlineLevel="3">
      <c r="A71" s="376"/>
      <c r="B71" s="376" t="s">
        <v>225</v>
      </c>
      <c r="C71" s="376" t="s">
        <v>1241</v>
      </c>
      <c r="D71" s="376" t="s">
        <v>518</v>
      </c>
      <c r="E71" s="376" t="s">
        <v>56</v>
      </c>
      <c r="F71" s="608" t="s">
        <v>36</v>
      </c>
      <c r="G71" s="609">
        <v>1.9200000000000002E-2</v>
      </c>
      <c r="H71" s="692">
        <v>1</v>
      </c>
      <c r="I71" s="626"/>
      <c r="J71" s="752"/>
      <c r="L71" s="376" t="s">
        <v>56</v>
      </c>
      <c r="M71" s="376" t="s">
        <v>1038</v>
      </c>
      <c r="N71" s="376" t="s">
        <v>1039</v>
      </c>
      <c r="O71" s="376" t="s">
        <v>1043</v>
      </c>
      <c r="P71" s="376" t="s">
        <v>1040</v>
      </c>
      <c r="Q71" s="376"/>
      <c r="R71" s="376">
        <v>0</v>
      </c>
      <c r="T71" s="752"/>
      <c r="V71" s="609">
        <f t="shared" ref="V71:V73" si="10">IF(W71=1,G71,0)</f>
        <v>0</v>
      </c>
      <c r="W71" s="692"/>
    </row>
    <row r="72" spans="1:23" outlineLevel="3">
      <c r="A72" s="376"/>
      <c r="B72" s="376" t="s">
        <v>225</v>
      </c>
      <c r="C72" s="376" t="s">
        <v>1241</v>
      </c>
      <c r="D72" s="376" t="s">
        <v>518</v>
      </c>
      <c r="E72" s="376" t="s">
        <v>56</v>
      </c>
      <c r="F72" s="608" t="s">
        <v>1238</v>
      </c>
      <c r="G72" s="609">
        <v>1.9199999999999998E-2</v>
      </c>
      <c r="H72" s="692">
        <v>1</v>
      </c>
      <c r="I72" s="626"/>
      <c r="J72" s="752"/>
      <c r="L72" s="376" t="s">
        <v>56</v>
      </c>
      <c r="M72" s="376" t="s">
        <v>1038</v>
      </c>
      <c r="N72" s="376" t="s">
        <v>1039</v>
      </c>
      <c r="O72" s="376" t="s">
        <v>1043</v>
      </c>
      <c r="P72" s="376" t="s">
        <v>1040</v>
      </c>
      <c r="Q72" s="376"/>
      <c r="R72" s="376">
        <v>0</v>
      </c>
      <c r="T72" s="752"/>
      <c r="V72" s="609">
        <f t="shared" si="10"/>
        <v>0</v>
      </c>
      <c r="W72" s="692"/>
    </row>
    <row r="73" spans="1:23" outlineLevel="3">
      <c r="A73" s="376"/>
      <c r="B73" s="376" t="s">
        <v>225</v>
      </c>
      <c r="C73" s="376" t="s">
        <v>1241</v>
      </c>
      <c r="D73" s="376" t="s">
        <v>518</v>
      </c>
      <c r="E73" s="376" t="s">
        <v>56</v>
      </c>
      <c r="F73" s="608" t="s">
        <v>1239</v>
      </c>
      <c r="G73" s="695">
        <v>4.8000000000000001E-2</v>
      </c>
      <c r="H73" s="700">
        <v>1</v>
      </c>
      <c r="I73" s="626"/>
      <c r="J73" s="752"/>
      <c r="L73" s="376" t="s">
        <v>56</v>
      </c>
      <c r="M73" s="376" t="s">
        <v>1038</v>
      </c>
      <c r="N73" s="376" t="s">
        <v>1039</v>
      </c>
      <c r="O73" s="376" t="s">
        <v>1043</v>
      </c>
      <c r="P73" s="376" t="s">
        <v>1040</v>
      </c>
      <c r="Q73" s="376"/>
      <c r="R73" s="376">
        <v>0</v>
      </c>
      <c r="T73" s="752"/>
      <c r="V73" s="609">
        <f t="shared" si="10"/>
        <v>0</v>
      </c>
      <c r="W73" s="700"/>
    </row>
    <row r="74" spans="1:23" outlineLevel="2">
      <c r="A74" s="376"/>
      <c r="B74" s="684" t="s">
        <v>225</v>
      </c>
      <c r="C74" s="684" t="s">
        <v>1241</v>
      </c>
      <c r="D74" s="684" t="s">
        <v>441</v>
      </c>
      <c r="E74" s="684"/>
      <c r="F74" s="685" t="s">
        <v>1870</v>
      </c>
      <c r="G74" s="713">
        <f>SUBTOTAL(9,G75:G77)</f>
        <v>2.9700000000000001E-2</v>
      </c>
      <c r="H74" s="714">
        <f>SUBTOTAL(9,H75:H76)</f>
        <v>2</v>
      </c>
      <c r="I74" s="626"/>
      <c r="J74" s="752"/>
      <c r="L74" s="684"/>
      <c r="M74" s="684"/>
      <c r="N74" s="684"/>
      <c r="O74" s="684"/>
      <c r="P74" s="684"/>
      <c r="Q74" s="684"/>
      <c r="R74" s="684"/>
      <c r="T74" s="752"/>
      <c r="V74" s="713">
        <f>SUBTOTAL(9,V75:V76)</f>
        <v>0</v>
      </c>
      <c r="W74" s="714">
        <f>SUBTOTAL(9,W75:W76)</f>
        <v>0</v>
      </c>
    </row>
    <row r="75" spans="1:23" outlineLevel="3">
      <c r="A75" s="376"/>
      <c r="B75" s="376" t="s">
        <v>225</v>
      </c>
      <c r="C75" s="376" t="s">
        <v>1241</v>
      </c>
      <c r="D75" s="376" t="s">
        <v>441</v>
      </c>
      <c r="E75" s="376" t="s">
        <v>437</v>
      </c>
      <c r="F75" s="608" t="s">
        <v>36</v>
      </c>
      <c r="G75" s="609">
        <v>5.4000000000000003E-3</v>
      </c>
      <c r="H75" s="692">
        <v>1</v>
      </c>
      <c r="I75" s="626"/>
      <c r="J75" s="752"/>
      <c r="L75" s="376" t="s">
        <v>437</v>
      </c>
      <c r="M75" s="376" t="s">
        <v>966</v>
      </c>
      <c r="N75" s="376" t="s">
        <v>967</v>
      </c>
      <c r="O75" s="376" t="s">
        <v>1243</v>
      </c>
      <c r="P75" s="376"/>
      <c r="Q75" s="376"/>
      <c r="R75" s="376"/>
      <c r="T75" s="752"/>
      <c r="V75" s="609">
        <f t="shared" ref="V75:V77" si="11">IF(W75=1,G75,0)</f>
        <v>0</v>
      </c>
      <c r="W75" s="692"/>
    </row>
    <row r="76" spans="1:23" outlineLevel="3">
      <c r="A76" s="376"/>
      <c r="B76" s="376" t="s">
        <v>225</v>
      </c>
      <c r="C76" s="376" t="s">
        <v>1241</v>
      </c>
      <c r="D76" s="376" t="s">
        <v>441</v>
      </c>
      <c r="E76" s="376" t="s">
        <v>437</v>
      </c>
      <c r="F76" s="608" t="s">
        <v>1238</v>
      </c>
      <c r="G76" s="609">
        <v>5.4000000000000003E-3</v>
      </c>
      <c r="H76" s="692">
        <v>1</v>
      </c>
      <c r="I76" s="626"/>
      <c r="J76" s="752"/>
      <c r="L76" s="376" t="s">
        <v>437</v>
      </c>
      <c r="M76" s="376" t="s">
        <v>966</v>
      </c>
      <c r="N76" s="376" t="s">
        <v>967</v>
      </c>
      <c r="O76" s="376" t="s">
        <v>1243</v>
      </c>
      <c r="P76" s="376"/>
      <c r="Q76" s="376"/>
      <c r="R76" s="376"/>
      <c r="T76" s="752"/>
      <c r="V76" s="609">
        <f t="shared" si="11"/>
        <v>0</v>
      </c>
      <c r="W76" s="692"/>
    </row>
    <row r="77" spans="1:23" outlineLevel="3">
      <c r="A77" s="376"/>
      <c r="B77" s="376" t="s">
        <v>225</v>
      </c>
      <c r="C77" s="376" t="s">
        <v>1241</v>
      </c>
      <c r="D77" s="376" t="s">
        <v>441</v>
      </c>
      <c r="E77" s="376" t="s">
        <v>437</v>
      </c>
      <c r="F77" s="608" t="s">
        <v>1239</v>
      </c>
      <c r="G77" s="695">
        <v>1.89E-2</v>
      </c>
      <c r="H77" s="700">
        <v>1</v>
      </c>
      <c r="I77" s="626"/>
      <c r="J77" s="752"/>
      <c r="L77" s="376" t="s">
        <v>437</v>
      </c>
      <c r="M77" s="376" t="s">
        <v>966</v>
      </c>
      <c r="N77" s="376" t="s">
        <v>967</v>
      </c>
      <c r="O77" s="376" t="s">
        <v>1243</v>
      </c>
      <c r="P77" s="376"/>
      <c r="Q77" s="376"/>
      <c r="R77" s="376"/>
      <c r="T77" s="752"/>
      <c r="V77" s="609">
        <f t="shared" si="11"/>
        <v>0</v>
      </c>
      <c r="W77" s="700"/>
    </row>
    <row r="78" spans="1:23" outlineLevel="2">
      <c r="A78" s="376"/>
      <c r="B78" s="684" t="s">
        <v>225</v>
      </c>
      <c r="C78" s="684" t="s">
        <v>1241</v>
      </c>
      <c r="D78" s="684" t="s">
        <v>860</v>
      </c>
      <c r="E78" s="684"/>
      <c r="F78" s="685" t="s">
        <v>1901</v>
      </c>
      <c r="G78" s="713">
        <f>SUBTOTAL(9,G79:G80)</f>
        <v>1.2E-2</v>
      </c>
      <c r="H78" s="714">
        <f>SUBTOTAL(9,H79:H80)</f>
        <v>2</v>
      </c>
      <c r="I78" s="626"/>
      <c r="J78" s="752"/>
      <c r="L78" s="684"/>
      <c r="M78" s="684"/>
      <c r="N78" s="684"/>
      <c r="O78" s="684"/>
      <c r="P78" s="684"/>
      <c r="Q78" s="684"/>
      <c r="R78" s="684"/>
      <c r="T78" s="752"/>
      <c r="V78" s="713">
        <f>SUBTOTAL(9,V79:V80)</f>
        <v>0</v>
      </c>
      <c r="W78" s="714">
        <f>SUBTOTAL(9,W79:W80)</f>
        <v>0</v>
      </c>
    </row>
    <row r="79" spans="1:23" outlineLevel="3">
      <c r="A79" s="376"/>
      <c r="B79" s="376" t="s">
        <v>225</v>
      </c>
      <c r="C79" s="376" t="s">
        <v>1241</v>
      </c>
      <c r="D79" s="376" t="s">
        <v>860</v>
      </c>
      <c r="E79" s="376" t="s">
        <v>437</v>
      </c>
      <c r="F79" s="608" t="s">
        <v>36</v>
      </c>
      <c r="G79" s="609">
        <v>6.0000000000000001E-3</v>
      </c>
      <c r="H79" s="692">
        <v>1</v>
      </c>
      <c r="I79" s="626"/>
      <c r="J79" s="752"/>
      <c r="L79" s="376" t="s">
        <v>437</v>
      </c>
      <c r="M79" s="376" t="s">
        <v>996</v>
      </c>
      <c r="N79" s="376" t="s">
        <v>1244</v>
      </c>
      <c r="O79" s="376"/>
      <c r="P79" s="376"/>
      <c r="Q79" s="376"/>
      <c r="R79" s="376"/>
      <c r="T79" s="752"/>
      <c r="V79" s="609">
        <f t="shared" ref="V79:V80" si="12">IF(W79=1,G79,0)</f>
        <v>0</v>
      </c>
      <c r="W79" s="692"/>
    </row>
    <row r="80" spans="1:23" outlineLevel="3">
      <c r="A80" s="376"/>
      <c r="B80" s="376" t="s">
        <v>225</v>
      </c>
      <c r="C80" s="376" t="s">
        <v>1241</v>
      </c>
      <c r="D80" s="376" t="s">
        <v>860</v>
      </c>
      <c r="E80" s="376" t="s">
        <v>437</v>
      </c>
      <c r="F80" s="608" t="s">
        <v>1238</v>
      </c>
      <c r="G80" s="609">
        <v>6.0000000000000001E-3</v>
      </c>
      <c r="H80" s="692">
        <v>1</v>
      </c>
      <c r="I80" s="626"/>
      <c r="J80" s="752"/>
      <c r="L80" s="376" t="s">
        <v>437</v>
      </c>
      <c r="M80" s="376" t="s">
        <v>996</v>
      </c>
      <c r="N80" s="376" t="s">
        <v>1244</v>
      </c>
      <c r="O80" s="376"/>
      <c r="P80" s="376"/>
      <c r="Q80" s="376"/>
      <c r="R80" s="376"/>
      <c r="T80" s="752"/>
      <c r="V80" s="609">
        <f t="shared" si="12"/>
        <v>0</v>
      </c>
      <c r="W80" s="692"/>
    </row>
    <row r="81" spans="1:24" outlineLevel="1">
      <c r="A81" s="376"/>
      <c r="B81" s="665" t="s">
        <v>229</v>
      </c>
      <c r="C81" s="665" t="s">
        <v>1245</v>
      </c>
      <c r="D81" s="665"/>
      <c r="E81" s="665"/>
      <c r="F81" s="681" t="s">
        <v>947</v>
      </c>
      <c r="G81" s="701">
        <f>SUBTOTAL(9,G82:G98)</f>
        <v>1.1977650000000002</v>
      </c>
      <c r="H81" s="702">
        <f>SUBTOTAL(9,H82:H98)</f>
        <v>13</v>
      </c>
      <c r="I81" s="626"/>
      <c r="J81" s="752"/>
      <c r="L81" s="665"/>
      <c r="M81" s="665"/>
      <c r="N81" s="665"/>
      <c r="O81" s="665"/>
      <c r="P81" s="665"/>
      <c r="Q81" s="665"/>
      <c r="R81" s="665"/>
      <c r="T81" s="752"/>
      <c r="V81" s="701">
        <f>SUBTOTAL(9,V82:V98)</f>
        <v>0.22284000000000001</v>
      </c>
      <c r="W81" s="702">
        <f>SUBTOTAL(9,W82:W98)</f>
        <v>3</v>
      </c>
      <c r="X81" s="416" t="s">
        <v>2257</v>
      </c>
    </row>
    <row r="82" spans="1:24" outlineLevel="2">
      <c r="A82" s="376"/>
      <c r="B82" s="684" t="s">
        <v>229</v>
      </c>
      <c r="C82" s="684" t="s">
        <v>1245</v>
      </c>
      <c r="D82" s="684" t="s">
        <v>159</v>
      </c>
      <c r="E82" s="684"/>
      <c r="F82" s="685" t="s">
        <v>1022</v>
      </c>
      <c r="G82" s="713">
        <f>SUBTOTAL(9,G83:G86)</f>
        <v>0.77993999999999997</v>
      </c>
      <c r="H82" s="714">
        <f>SUBTOTAL(9,H83:H86)</f>
        <v>4</v>
      </c>
      <c r="I82" s="626"/>
      <c r="J82" s="752"/>
      <c r="L82" s="684"/>
      <c r="M82" s="684"/>
      <c r="N82" s="684"/>
      <c r="O82" s="684"/>
      <c r="P82" s="684"/>
      <c r="Q82" s="684"/>
      <c r="R82" s="684"/>
      <c r="T82" s="752"/>
      <c r="V82" s="713">
        <f>SUBTOTAL(9,V83:V86)</f>
        <v>0</v>
      </c>
      <c r="W82" s="714">
        <f>SUBTOTAL(9,W83:W86)</f>
        <v>0</v>
      </c>
    </row>
    <row r="83" spans="1:24" outlineLevel="3">
      <c r="A83" s="376"/>
      <c r="B83" s="376" t="s">
        <v>229</v>
      </c>
      <c r="C83" s="376" t="s">
        <v>1245</v>
      </c>
      <c r="D83" s="376" t="s">
        <v>159</v>
      </c>
      <c r="E83" s="376" t="s">
        <v>1100</v>
      </c>
      <c r="F83" s="608" t="s">
        <v>1238</v>
      </c>
      <c r="G83" s="609">
        <v>0.12999000000000002</v>
      </c>
      <c r="H83" s="700">
        <v>1</v>
      </c>
      <c r="I83" s="626"/>
      <c r="J83" s="752"/>
      <c r="L83" s="376" t="s">
        <v>1100</v>
      </c>
      <c r="M83" s="376" t="s">
        <v>1103</v>
      </c>
      <c r="N83" s="376" t="s">
        <v>1091</v>
      </c>
      <c r="O83" s="376" t="s">
        <v>1104</v>
      </c>
      <c r="P83" s="376"/>
      <c r="Q83" s="376"/>
      <c r="R83" s="376"/>
      <c r="T83" s="752"/>
      <c r="V83" s="609">
        <f t="shared" ref="V83:V86" si="13">IF(W83=1,G83,0)</f>
        <v>0</v>
      </c>
      <c r="W83" s="700"/>
    </row>
    <row r="84" spans="1:24" outlineLevel="3">
      <c r="A84" s="376"/>
      <c r="B84" s="376" t="s">
        <v>229</v>
      </c>
      <c r="C84" s="376" t="s">
        <v>1245</v>
      </c>
      <c r="D84" s="376" t="s">
        <v>159</v>
      </c>
      <c r="E84" s="376" t="s">
        <v>1100</v>
      </c>
      <c r="F84" s="608" t="s">
        <v>1239</v>
      </c>
      <c r="G84" s="695">
        <v>0.25998000000000004</v>
      </c>
      <c r="H84" s="700">
        <v>1</v>
      </c>
      <c r="I84" s="626"/>
      <c r="J84" s="752"/>
      <c r="L84" s="376" t="s">
        <v>1100</v>
      </c>
      <c r="M84" s="376" t="s">
        <v>1103</v>
      </c>
      <c r="N84" s="376" t="s">
        <v>1091</v>
      </c>
      <c r="O84" s="376" t="s">
        <v>1104</v>
      </c>
      <c r="P84" s="376"/>
      <c r="Q84" s="376"/>
      <c r="R84" s="376"/>
      <c r="T84" s="752"/>
      <c r="V84" s="609">
        <f t="shared" si="13"/>
        <v>0</v>
      </c>
      <c r="W84" s="700"/>
    </row>
    <row r="85" spans="1:24" outlineLevel="3">
      <c r="A85" s="376"/>
      <c r="B85" s="376" t="s">
        <v>229</v>
      </c>
      <c r="C85" s="376" t="s">
        <v>1245</v>
      </c>
      <c r="D85" s="376" t="s">
        <v>159</v>
      </c>
      <c r="E85" s="376" t="s">
        <v>1100</v>
      </c>
      <c r="F85" s="608" t="s">
        <v>1246</v>
      </c>
      <c r="G85" s="695">
        <v>0.19498499999999999</v>
      </c>
      <c r="H85" s="700">
        <v>1</v>
      </c>
      <c r="I85" s="626"/>
      <c r="J85" s="752"/>
      <c r="L85" s="376" t="s">
        <v>1100</v>
      </c>
      <c r="M85" s="376" t="s">
        <v>1103</v>
      </c>
      <c r="N85" s="376" t="s">
        <v>1091</v>
      </c>
      <c r="O85" s="376" t="s">
        <v>1104</v>
      </c>
      <c r="P85" s="376"/>
      <c r="Q85" s="376"/>
      <c r="R85" s="376"/>
      <c r="T85" s="752"/>
      <c r="V85" s="609">
        <f t="shared" si="13"/>
        <v>0</v>
      </c>
      <c r="W85" s="700"/>
    </row>
    <row r="86" spans="1:24" outlineLevel="3">
      <c r="A86" s="376"/>
      <c r="B86" s="376" t="s">
        <v>229</v>
      </c>
      <c r="C86" s="376" t="s">
        <v>1245</v>
      </c>
      <c r="D86" s="376" t="s">
        <v>159</v>
      </c>
      <c r="E86" s="376" t="s">
        <v>1100</v>
      </c>
      <c r="F86" s="608" t="s">
        <v>1247</v>
      </c>
      <c r="G86" s="695">
        <v>0.19498499999999999</v>
      </c>
      <c r="H86" s="700">
        <v>1</v>
      </c>
      <c r="I86" s="626"/>
      <c r="J86" s="752"/>
      <c r="L86" s="376" t="s">
        <v>1100</v>
      </c>
      <c r="M86" s="376" t="s">
        <v>1103</v>
      </c>
      <c r="N86" s="376" t="s">
        <v>1091</v>
      </c>
      <c r="O86" s="376" t="s">
        <v>1104</v>
      </c>
      <c r="P86" s="376"/>
      <c r="Q86" s="376"/>
      <c r="R86" s="376"/>
      <c r="T86" s="752"/>
      <c r="V86" s="609">
        <f t="shared" si="13"/>
        <v>0</v>
      </c>
      <c r="W86" s="700"/>
    </row>
    <row r="87" spans="1:24" outlineLevel="2">
      <c r="A87" s="376"/>
      <c r="B87" s="684" t="s">
        <v>229</v>
      </c>
      <c r="C87" s="684" t="s">
        <v>1245</v>
      </c>
      <c r="D87" s="684" t="s">
        <v>518</v>
      </c>
      <c r="E87" s="684"/>
      <c r="F87" s="685" t="s">
        <v>1022</v>
      </c>
      <c r="G87" s="713">
        <f>SUBTOTAL(9,G88:G90)</f>
        <v>0.22284000000000001</v>
      </c>
      <c r="H87" s="714">
        <f>SUBTOTAL(9,H88:H90)</f>
        <v>3</v>
      </c>
      <c r="I87" s="626"/>
      <c r="J87" s="752"/>
      <c r="L87" s="684"/>
      <c r="M87" s="684"/>
      <c r="N87" s="684"/>
      <c r="O87" s="684"/>
      <c r="P87" s="684"/>
      <c r="Q87" s="684"/>
      <c r="R87" s="684"/>
      <c r="T87" s="752"/>
      <c r="V87" s="713">
        <f>SUBTOTAL(9,V88:V90)</f>
        <v>0.22284000000000001</v>
      </c>
      <c r="W87" s="714">
        <f>SUBTOTAL(9,W88:W90)</f>
        <v>3</v>
      </c>
      <c r="X87" s="416" t="s">
        <v>2258</v>
      </c>
    </row>
    <row r="88" spans="1:24" outlineLevel="3">
      <c r="A88" s="376"/>
      <c r="B88" s="376" t="s">
        <v>229</v>
      </c>
      <c r="C88" s="376" t="s">
        <v>1245</v>
      </c>
      <c r="D88" s="376" t="s">
        <v>518</v>
      </c>
      <c r="E88" s="376" t="s">
        <v>56</v>
      </c>
      <c r="F88" s="608" t="s">
        <v>1238</v>
      </c>
      <c r="G88" s="609">
        <v>5.9424000000000005E-2</v>
      </c>
      <c r="H88" s="692">
        <v>1</v>
      </c>
      <c r="I88" s="626"/>
      <c r="J88" s="752"/>
      <c r="L88" s="376" t="s">
        <v>56</v>
      </c>
      <c r="M88" s="376" t="s">
        <v>1038</v>
      </c>
      <c r="N88" s="376" t="s">
        <v>1043</v>
      </c>
      <c r="O88" s="376" t="s">
        <v>1039</v>
      </c>
      <c r="P88" s="376" t="s">
        <v>1040</v>
      </c>
      <c r="Q88" s="376"/>
      <c r="R88" s="376">
        <v>0</v>
      </c>
      <c r="T88" s="752"/>
      <c r="V88" s="609">
        <f t="shared" ref="V88:V90" si="14">IF(W88=1,G88,0)</f>
        <v>5.9424000000000005E-2</v>
      </c>
      <c r="W88" s="692">
        <v>1</v>
      </c>
    </row>
    <row r="89" spans="1:24" outlineLevel="3">
      <c r="A89" s="376"/>
      <c r="B89" s="376" t="s">
        <v>229</v>
      </c>
      <c r="C89" s="376" t="s">
        <v>1245</v>
      </c>
      <c r="D89" s="376" t="s">
        <v>518</v>
      </c>
      <c r="E89" s="376" t="s">
        <v>56</v>
      </c>
      <c r="F89" s="608" t="s">
        <v>1239</v>
      </c>
      <c r="G89" s="609">
        <v>0.14856</v>
      </c>
      <c r="H89" s="692">
        <v>1</v>
      </c>
      <c r="I89" s="626"/>
      <c r="J89" s="752"/>
      <c r="L89" s="376" t="s">
        <v>56</v>
      </c>
      <c r="M89" s="376" t="s">
        <v>1038</v>
      </c>
      <c r="N89" s="376" t="s">
        <v>1043</v>
      </c>
      <c r="O89" s="376" t="s">
        <v>1039</v>
      </c>
      <c r="P89" s="376" t="s">
        <v>1040</v>
      </c>
      <c r="Q89" s="376"/>
      <c r="R89" s="376">
        <v>0</v>
      </c>
      <c r="T89" s="752"/>
      <c r="V89" s="609">
        <f t="shared" si="14"/>
        <v>0.14856</v>
      </c>
      <c r="W89" s="692">
        <v>1</v>
      </c>
    </row>
    <row r="90" spans="1:24" outlineLevel="3">
      <c r="A90" s="376"/>
      <c r="B90" s="376" t="s">
        <v>229</v>
      </c>
      <c r="C90" s="376" t="s">
        <v>1245</v>
      </c>
      <c r="D90" s="376" t="s">
        <v>518</v>
      </c>
      <c r="E90" s="376" t="s">
        <v>56</v>
      </c>
      <c r="F90" s="608" t="s">
        <v>1246</v>
      </c>
      <c r="G90" s="609">
        <v>1.4856000000000001E-2</v>
      </c>
      <c r="H90" s="692">
        <v>1</v>
      </c>
      <c r="I90" s="626"/>
      <c r="J90" s="752"/>
      <c r="L90" s="376" t="s">
        <v>56</v>
      </c>
      <c r="M90" s="376" t="s">
        <v>1038</v>
      </c>
      <c r="N90" s="376" t="s">
        <v>1043</v>
      </c>
      <c r="O90" s="376" t="s">
        <v>1039</v>
      </c>
      <c r="P90" s="376" t="s">
        <v>1040</v>
      </c>
      <c r="Q90" s="376"/>
      <c r="R90" s="376">
        <v>0</v>
      </c>
      <c r="T90" s="752"/>
      <c r="V90" s="609">
        <f t="shared" si="14"/>
        <v>1.4856000000000001E-2</v>
      </c>
      <c r="W90" s="692">
        <v>1</v>
      </c>
    </row>
    <row r="91" spans="1:24" outlineLevel="2">
      <c r="A91" s="376"/>
      <c r="B91" s="684" t="s">
        <v>229</v>
      </c>
      <c r="C91" s="684" t="s">
        <v>1245</v>
      </c>
      <c r="D91" s="684" t="s">
        <v>441</v>
      </c>
      <c r="E91" s="684"/>
      <c r="F91" s="685" t="s">
        <v>1022</v>
      </c>
      <c r="G91" s="713">
        <f>SUBTOTAL(9,G92:G95)</f>
        <v>0.1253475</v>
      </c>
      <c r="H91" s="714">
        <f>SUBTOTAL(9,H92:H95)</f>
        <v>4</v>
      </c>
      <c r="I91" s="626"/>
      <c r="J91" s="752"/>
      <c r="L91" s="684"/>
      <c r="M91" s="684"/>
      <c r="N91" s="684"/>
      <c r="O91" s="684"/>
      <c r="P91" s="684"/>
      <c r="Q91" s="684"/>
      <c r="R91" s="684"/>
      <c r="T91" s="752"/>
      <c r="V91" s="713">
        <f>SUBTOTAL(9,V92:V95)</f>
        <v>0</v>
      </c>
      <c r="W91" s="714">
        <f>SUBTOTAL(9,W92:W95)</f>
        <v>0</v>
      </c>
    </row>
    <row r="92" spans="1:24" outlineLevel="3">
      <c r="A92" s="376"/>
      <c r="B92" s="376" t="s">
        <v>229</v>
      </c>
      <c r="C92" s="376" t="s">
        <v>1245</v>
      </c>
      <c r="D92" s="376" t="s">
        <v>441</v>
      </c>
      <c r="E92" s="376" t="s">
        <v>437</v>
      </c>
      <c r="F92" s="608" t="s">
        <v>1238</v>
      </c>
      <c r="G92" s="609">
        <v>1.6713000000000002E-2</v>
      </c>
      <c r="H92" s="692">
        <v>1</v>
      </c>
      <c r="I92" s="626"/>
      <c r="J92" s="752"/>
      <c r="L92" s="376" t="s">
        <v>437</v>
      </c>
      <c r="M92" s="376" t="s">
        <v>966</v>
      </c>
      <c r="N92" s="376" t="s">
        <v>1173</v>
      </c>
      <c r="O92" s="376" t="s">
        <v>1248</v>
      </c>
      <c r="P92" s="376"/>
      <c r="Q92" s="376"/>
      <c r="R92" s="376"/>
      <c r="T92" s="752"/>
      <c r="V92" s="609">
        <f t="shared" ref="V92:V95" si="15">IF(W92=1,G92,0)</f>
        <v>0</v>
      </c>
      <c r="W92" s="692"/>
    </row>
    <row r="93" spans="1:24" outlineLevel="3">
      <c r="A93" s="376"/>
      <c r="B93" s="376" t="s">
        <v>229</v>
      </c>
      <c r="C93" s="376" t="s">
        <v>1245</v>
      </c>
      <c r="D93" s="376" t="s">
        <v>441</v>
      </c>
      <c r="E93" s="376" t="s">
        <v>437</v>
      </c>
      <c r="F93" s="608" t="s">
        <v>1239</v>
      </c>
      <c r="G93" s="609">
        <v>5.8495499999999999E-2</v>
      </c>
      <c r="H93" s="692">
        <v>1</v>
      </c>
      <c r="I93" s="626"/>
      <c r="J93" s="752"/>
      <c r="L93" s="376" t="s">
        <v>437</v>
      </c>
      <c r="M93" s="376" t="s">
        <v>966</v>
      </c>
      <c r="N93" s="376" t="s">
        <v>1173</v>
      </c>
      <c r="O93" s="376" t="s">
        <v>1248</v>
      </c>
      <c r="P93" s="376"/>
      <c r="Q93" s="376"/>
      <c r="R93" s="376"/>
      <c r="T93" s="752"/>
      <c r="V93" s="609">
        <f t="shared" si="15"/>
        <v>0</v>
      </c>
      <c r="W93" s="692"/>
    </row>
    <row r="94" spans="1:24" outlineLevel="3">
      <c r="A94" s="376"/>
      <c r="B94" s="376" t="s">
        <v>229</v>
      </c>
      <c r="C94" s="376" t="s">
        <v>1245</v>
      </c>
      <c r="D94" s="376" t="s">
        <v>441</v>
      </c>
      <c r="E94" s="376" t="s">
        <v>437</v>
      </c>
      <c r="F94" s="608" t="s">
        <v>1246</v>
      </c>
      <c r="G94" s="609">
        <v>2.5069499999999998E-2</v>
      </c>
      <c r="H94" s="692">
        <v>1</v>
      </c>
      <c r="I94" s="626"/>
      <c r="J94" s="752"/>
      <c r="L94" s="376" t="s">
        <v>437</v>
      </c>
      <c r="M94" s="376" t="s">
        <v>966</v>
      </c>
      <c r="N94" s="376" t="s">
        <v>1173</v>
      </c>
      <c r="O94" s="376" t="s">
        <v>1248</v>
      </c>
      <c r="P94" s="376"/>
      <c r="Q94" s="376"/>
      <c r="R94" s="376"/>
      <c r="T94" s="752"/>
      <c r="V94" s="609">
        <f t="shared" si="15"/>
        <v>0</v>
      </c>
      <c r="W94" s="692"/>
    </row>
    <row r="95" spans="1:24" outlineLevel="3">
      <c r="A95" s="376"/>
      <c r="B95" s="376" t="s">
        <v>229</v>
      </c>
      <c r="C95" s="376" t="s">
        <v>1245</v>
      </c>
      <c r="D95" s="376" t="s">
        <v>441</v>
      </c>
      <c r="E95" s="376" t="s">
        <v>437</v>
      </c>
      <c r="F95" s="608" t="s">
        <v>1247</v>
      </c>
      <c r="G95" s="609">
        <v>2.5069499999999998E-2</v>
      </c>
      <c r="H95" s="692">
        <v>1</v>
      </c>
      <c r="I95" s="626"/>
      <c r="J95" s="752"/>
      <c r="L95" s="376" t="s">
        <v>437</v>
      </c>
      <c r="M95" s="376" t="s">
        <v>966</v>
      </c>
      <c r="N95" s="376" t="s">
        <v>1173</v>
      </c>
      <c r="O95" s="376" t="s">
        <v>1248</v>
      </c>
      <c r="P95" s="376"/>
      <c r="Q95" s="376"/>
      <c r="R95" s="376"/>
      <c r="T95" s="752"/>
      <c r="V95" s="609">
        <f t="shared" si="15"/>
        <v>0</v>
      </c>
      <c r="W95" s="692"/>
    </row>
    <row r="96" spans="1:24" outlineLevel="2">
      <c r="A96" s="376"/>
      <c r="B96" s="684" t="s">
        <v>229</v>
      </c>
      <c r="C96" s="684" t="s">
        <v>1245</v>
      </c>
      <c r="D96" s="684" t="s">
        <v>860</v>
      </c>
      <c r="E96" s="684"/>
      <c r="F96" s="685" t="s">
        <v>1022</v>
      </c>
      <c r="G96" s="713">
        <f>SUBTOTAL(9,G97:G98)</f>
        <v>6.9637500000000005E-2</v>
      </c>
      <c r="H96" s="714">
        <f>SUBTOTAL(9,H97:H98)</f>
        <v>2</v>
      </c>
      <c r="I96" s="626"/>
      <c r="J96" s="752"/>
      <c r="L96" s="684"/>
      <c r="M96" s="684"/>
      <c r="N96" s="684"/>
      <c r="O96" s="684"/>
      <c r="P96" s="684"/>
      <c r="Q96" s="684"/>
      <c r="R96" s="684"/>
      <c r="T96" s="752"/>
      <c r="V96" s="713">
        <f>SUBTOTAL(9,V97:V98)</f>
        <v>0</v>
      </c>
      <c r="W96" s="714">
        <f>SUBTOTAL(9,W97:W98)</f>
        <v>0</v>
      </c>
    </row>
    <row r="97" spans="1:23" outlineLevel="3">
      <c r="A97" s="376"/>
      <c r="B97" s="376" t="s">
        <v>229</v>
      </c>
      <c r="C97" s="376" t="s">
        <v>1245</v>
      </c>
      <c r="D97" s="376" t="s">
        <v>860</v>
      </c>
      <c r="E97" s="376" t="s">
        <v>437</v>
      </c>
      <c r="F97" s="608" t="s">
        <v>1238</v>
      </c>
      <c r="G97" s="609">
        <v>1.857E-2</v>
      </c>
      <c r="H97" s="692">
        <v>1</v>
      </c>
      <c r="I97" s="626"/>
      <c r="J97" s="752"/>
      <c r="L97" s="376" t="s">
        <v>437</v>
      </c>
      <c r="M97" s="376" t="s">
        <v>996</v>
      </c>
      <c r="N97" s="376" t="s">
        <v>1244</v>
      </c>
      <c r="O97" s="376" t="s">
        <v>1249</v>
      </c>
      <c r="P97" s="376"/>
      <c r="Q97" s="376"/>
      <c r="R97" s="376"/>
      <c r="T97" s="752"/>
      <c r="V97" s="609">
        <f t="shared" ref="V97:V98" si="16">IF(W97=1,G97,0)</f>
        <v>0</v>
      </c>
      <c r="W97" s="692"/>
    </row>
    <row r="98" spans="1:23" outlineLevel="3">
      <c r="A98" s="376"/>
      <c r="B98" s="376" t="s">
        <v>229</v>
      </c>
      <c r="C98" s="376" t="s">
        <v>1245</v>
      </c>
      <c r="D98" s="376" t="s">
        <v>860</v>
      </c>
      <c r="E98" s="376" t="s">
        <v>437</v>
      </c>
      <c r="F98" s="608" t="s">
        <v>1246</v>
      </c>
      <c r="G98" s="609">
        <v>5.1067500000000002E-2</v>
      </c>
      <c r="H98" s="692">
        <v>1</v>
      </c>
      <c r="I98" s="626"/>
      <c r="J98" s="752"/>
      <c r="L98" s="376" t="s">
        <v>437</v>
      </c>
      <c r="M98" s="376" t="s">
        <v>996</v>
      </c>
      <c r="N98" s="376" t="s">
        <v>1244</v>
      </c>
      <c r="O98" s="376" t="s">
        <v>1249</v>
      </c>
      <c r="P98" s="376"/>
      <c r="Q98" s="376"/>
      <c r="R98" s="376"/>
      <c r="T98" s="752"/>
      <c r="V98" s="609">
        <f t="shared" si="16"/>
        <v>0</v>
      </c>
      <c r="W98" s="692"/>
    </row>
    <row r="99" spans="1:23" outlineLevel="1">
      <c r="A99" s="376"/>
      <c r="B99" s="665" t="s">
        <v>498</v>
      </c>
      <c r="C99" s="665" t="s">
        <v>1258</v>
      </c>
      <c r="D99" s="665"/>
      <c r="E99" s="665"/>
      <c r="F99" s="681" t="s">
        <v>947</v>
      </c>
      <c r="G99" s="701">
        <f>SUBTOTAL(9,G100:G108)</f>
        <v>0.56189180207999989</v>
      </c>
      <c r="H99" s="702">
        <f>SUBTOTAL(9,H100:H108)</f>
        <v>5</v>
      </c>
      <c r="I99" s="626"/>
      <c r="J99" s="752"/>
      <c r="L99" s="665"/>
      <c r="M99" s="665"/>
      <c r="N99" s="665"/>
      <c r="O99" s="665"/>
      <c r="P99" s="665"/>
      <c r="Q99" s="665"/>
      <c r="R99" s="665"/>
      <c r="T99" s="752"/>
      <c r="V99" s="701">
        <f>SUBTOTAL(9,V100:V108)</f>
        <v>0</v>
      </c>
      <c r="W99" s="702">
        <f>SUBTOTAL(9,W100:W108)</f>
        <v>0</v>
      </c>
    </row>
    <row r="100" spans="1:23" outlineLevel="2">
      <c r="A100" s="376"/>
      <c r="B100" s="684" t="s">
        <v>498</v>
      </c>
      <c r="C100" s="684" t="s">
        <v>1258</v>
      </c>
      <c r="D100" s="684" t="s">
        <v>159</v>
      </c>
      <c r="E100" s="684"/>
      <c r="F100" s="685" t="s">
        <v>1259</v>
      </c>
      <c r="G100" s="686">
        <f>SUBTOTAL(9,G101:G102)</f>
        <v>0.43996002400000001</v>
      </c>
      <c r="H100" s="691">
        <f>SUBTOTAL(9,H101:H102)</f>
        <v>2</v>
      </c>
      <c r="I100" s="626"/>
      <c r="J100" s="752"/>
      <c r="L100" s="684"/>
      <c r="M100" s="684"/>
      <c r="N100" s="684"/>
      <c r="O100" s="684"/>
      <c r="P100" s="684"/>
      <c r="Q100" s="684"/>
      <c r="R100" s="684"/>
      <c r="T100" s="752"/>
      <c r="V100" s="686">
        <f>SUBTOTAL(9,V101:V102)</f>
        <v>0</v>
      </c>
      <c r="W100" s="691">
        <f>SUBTOTAL(9,W101:W102)</f>
        <v>0</v>
      </c>
    </row>
    <row r="101" spans="1:23" outlineLevel="3">
      <c r="A101" s="376"/>
      <c r="B101" s="376" t="s">
        <v>498</v>
      </c>
      <c r="C101" s="376" t="s">
        <v>1258</v>
      </c>
      <c r="D101" s="376" t="s">
        <v>159</v>
      </c>
      <c r="E101" s="376" t="s">
        <v>1100</v>
      </c>
      <c r="F101" s="608" t="s">
        <v>1231</v>
      </c>
      <c r="G101" s="609">
        <v>0.17598400959999999</v>
      </c>
      <c r="H101" s="692">
        <v>1</v>
      </c>
      <c r="I101" s="626"/>
      <c r="J101" s="752"/>
      <c r="L101" s="376" t="s">
        <v>1100</v>
      </c>
      <c r="M101" s="376" t="s">
        <v>1090</v>
      </c>
      <c r="N101" s="376" t="s">
        <v>1150</v>
      </c>
      <c r="O101" s="376" t="s">
        <v>1152</v>
      </c>
      <c r="P101" s="376"/>
      <c r="Q101" s="376"/>
      <c r="R101" s="376"/>
      <c r="T101" s="752"/>
      <c r="V101" s="609">
        <f t="shared" ref="V101:V102" si="17">IF(W101=1,G101,0)</f>
        <v>0</v>
      </c>
      <c r="W101" s="692"/>
    </row>
    <row r="102" spans="1:23" outlineLevel="3">
      <c r="A102" s="376"/>
      <c r="B102" s="376" t="s">
        <v>498</v>
      </c>
      <c r="C102" s="376" t="s">
        <v>1258</v>
      </c>
      <c r="D102" s="376" t="s">
        <v>159</v>
      </c>
      <c r="E102" s="376" t="s">
        <v>1100</v>
      </c>
      <c r="F102" s="608" t="s">
        <v>36</v>
      </c>
      <c r="G102" s="609">
        <v>0.26397601440000001</v>
      </c>
      <c r="H102" s="692">
        <v>1</v>
      </c>
      <c r="I102" s="626"/>
      <c r="J102" s="752"/>
      <c r="L102" s="376" t="s">
        <v>1100</v>
      </c>
      <c r="M102" s="376" t="s">
        <v>1090</v>
      </c>
      <c r="N102" s="376" t="s">
        <v>1150</v>
      </c>
      <c r="O102" s="376" t="s">
        <v>1152</v>
      </c>
      <c r="P102" s="376"/>
      <c r="Q102" s="376"/>
      <c r="R102" s="376"/>
      <c r="T102" s="752"/>
      <c r="V102" s="609">
        <f t="shared" si="17"/>
        <v>0</v>
      </c>
      <c r="W102" s="692"/>
    </row>
    <row r="103" spans="1:23" outlineLevel="2">
      <c r="A103" s="376"/>
      <c r="B103" s="684" t="s">
        <v>498</v>
      </c>
      <c r="C103" s="684" t="s">
        <v>1258</v>
      </c>
      <c r="D103" s="684" t="s">
        <v>518</v>
      </c>
      <c r="E103" s="684"/>
      <c r="F103" s="685" t="s">
        <v>1259</v>
      </c>
      <c r="G103" s="686">
        <f>SUBTOTAL(9,G104)</f>
        <v>8.0449832960000009E-2</v>
      </c>
      <c r="H103" s="691">
        <f>SUBTOTAL(9,H104)</f>
        <v>1</v>
      </c>
      <c r="I103" s="626"/>
      <c r="J103" s="752"/>
      <c r="L103" s="684"/>
      <c r="M103" s="684"/>
      <c r="N103" s="684"/>
      <c r="O103" s="684"/>
      <c r="P103" s="684"/>
      <c r="Q103" s="684"/>
      <c r="R103" s="684"/>
      <c r="T103" s="752"/>
      <c r="V103" s="686">
        <f>SUBTOTAL(9,V104)</f>
        <v>0</v>
      </c>
      <c r="W103" s="691">
        <f>SUBTOTAL(9,W104)</f>
        <v>0</v>
      </c>
    </row>
    <row r="104" spans="1:23" outlineLevel="3">
      <c r="A104" s="376"/>
      <c r="B104" s="376" t="s">
        <v>498</v>
      </c>
      <c r="C104" s="376" t="s">
        <v>1258</v>
      </c>
      <c r="D104" s="376" t="s">
        <v>518</v>
      </c>
      <c r="E104" s="376" t="s">
        <v>56</v>
      </c>
      <c r="F104" s="608" t="s">
        <v>36</v>
      </c>
      <c r="G104" s="609">
        <v>8.0449832960000009E-2</v>
      </c>
      <c r="H104" s="692">
        <v>1</v>
      </c>
      <c r="I104" s="626"/>
      <c r="J104" s="752"/>
      <c r="L104" s="376" t="s">
        <v>56</v>
      </c>
      <c r="M104" s="376" t="s">
        <v>959</v>
      </c>
      <c r="N104" s="376" t="s">
        <v>1154</v>
      </c>
      <c r="O104" s="376"/>
      <c r="P104" s="376"/>
      <c r="Q104" s="376"/>
      <c r="R104" s="376"/>
      <c r="T104" s="752"/>
      <c r="V104" s="609">
        <f t="shared" ref="V104" si="18">IF(W104=1,G104,0)</f>
        <v>0</v>
      </c>
      <c r="W104" s="692"/>
    </row>
    <row r="105" spans="1:23" outlineLevel="2">
      <c r="A105" s="376"/>
      <c r="B105" s="684" t="s">
        <v>498</v>
      </c>
      <c r="C105" s="684" t="s">
        <v>1258</v>
      </c>
      <c r="D105" s="684" t="s">
        <v>441</v>
      </c>
      <c r="E105" s="684"/>
      <c r="F105" s="685" t="s">
        <v>1259</v>
      </c>
      <c r="G105" s="686">
        <f>SUBTOTAL(9,G106)</f>
        <v>2.2626515519999998E-2</v>
      </c>
      <c r="H105" s="691">
        <f>SUBTOTAL(9,H106)</f>
        <v>1</v>
      </c>
      <c r="I105" s="626"/>
      <c r="J105" s="752"/>
      <c r="L105" s="684"/>
      <c r="M105" s="684"/>
      <c r="N105" s="684"/>
      <c r="O105" s="684"/>
      <c r="P105" s="684"/>
      <c r="Q105" s="684"/>
      <c r="R105" s="684"/>
      <c r="T105" s="752"/>
      <c r="V105" s="686">
        <f>SUBTOTAL(9,V106)</f>
        <v>0</v>
      </c>
      <c r="W105" s="691">
        <f>SUBTOTAL(9,W106)</f>
        <v>0</v>
      </c>
    </row>
    <row r="106" spans="1:23" outlineLevel="3">
      <c r="A106" s="376"/>
      <c r="B106" s="376" t="s">
        <v>498</v>
      </c>
      <c r="C106" s="376" t="s">
        <v>1258</v>
      </c>
      <c r="D106" s="376" t="s">
        <v>441</v>
      </c>
      <c r="E106" s="376" t="s">
        <v>437</v>
      </c>
      <c r="F106" s="608" t="s">
        <v>36</v>
      </c>
      <c r="G106" s="609">
        <v>2.2626515519999998E-2</v>
      </c>
      <c r="H106" s="692">
        <v>1</v>
      </c>
      <c r="I106" s="626"/>
      <c r="J106" s="752"/>
      <c r="L106" s="376" t="s">
        <v>437</v>
      </c>
      <c r="M106" s="376" t="s">
        <v>1234</v>
      </c>
      <c r="N106" s="376"/>
      <c r="O106" s="376"/>
      <c r="P106" s="376"/>
      <c r="Q106" s="376"/>
      <c r="R106" s="376"/>
      <c r="T106" s="752"/>
      <c r="V106" s="609">
        <f t="shared" ref="V106" si="19">IF(W106=1,G106,0)</f>
        <v>0</v>
      </c>
      <c r="W106" s="692"/>
    </row>
    <row r="107" spans="1:23" outlineLevel="2">
      <c r="A107" s="376"/>
      <c r="B107" s="684" t="s">
        <v>498</v>
      </c>
      <c r="C107" s="684" t="s">
        <v>1258</v>
      </c>
      <c r="D107" s="684" t="s">
        <v>860</v>
      </c>
      <c r="E107" s="684"/>
      <c r="F107" s="685" t="s">
        <v>1259</v>
      </c>
      <c r="G107" s="686">
        <f>SUBTOTAL(9,G108)</f>
        <v>1.8855429600000001E-2</v>
      </c>
      <c r="H107" s="691">
        <f>SUBTOTAL(9,H108)</f>
        <v>1</v>
      </c>
      <c r="I107" s="626"/>
      <c r="J107" s="752"/>
      <c r="L107" s="684"/>
      <c r="M107" s="684"/>
      <c r="N107" s="684"/>
      <c r="O107" s="684"/>
      <c r="P107" s="684"/>
      <c r="Q107" s="684"/>
      <c r="R107" s="684"/>
      <c r="T107" s="752"/>
      <c r="V107" s="686">
        <f>SUBTOTAL(9,V108)</f>
        <v>0</v>
      </c>
      <c r="W107" s="691">
        <f>SUBTOTAL(9,W108)</f>
        <v>0</v>
      </c>
    </row>
    <row r="108" spans="1:23" outlineLevel="3">
      <c r="A108" s="376"/>
      <c r="B108" s="376" t="s">
        <v>498</v>
      </c>
      <c r="C108" s="376" t="s">
        <v>1258</v>
      </c>
      <c r="D108" s="376" t="s">
        <v>860</v>
      </c>
      <c r="E108" s="376" t="s">
        <v>437</v>
      </c>
      <c r="F108" s="608" t="s">
        <v>36</v>
      </c>
      <c r="G108" s="609">
        <v>1.8855429600000001E-2</v>
      </c>
      <c r="H108" s="692">
        <v>1</v>
      </c>
      <c r="I108" s="626"/>
      <c r="J108" s="752"/>
      <c r="L108" s="376" t="s">
        <v>437</v>
      </c>
      <c r="M108" s="376" t="s">
        <v>1234</v>
      </c>
      <c r="N108" s="376"/>
      <c r="O108" s="376"/>
      <c r="P108" s="376"/>
      <c r="Q108" s="376"/>
      <c r="R108" s="376"/>
      <c r="T108" s="752"/>
      <c r="V108" s="609">
        <f t="shared" ref="V108" si="20">IF(W108=1,G108,0)</f>
        <v>0</v>
      </c>
      <c r="W108" s="692"/>
    </row>
    <row r="109" spans="1:23" outlineLevel="1">
      <c r="A109" s="376"/>
      <c r="B109" s="667" t="s">
        <v>1276</v>
      </c>
      <c r="C109" s="665" t="s">
        <v>1277</v>
      </c>
      <c r="D109" s="665"/>
      <c r="E109" s="665"/>
      <c r="F109" s="681"/>
      <c r="G109" s="724">
        <f>SUBTOTAL(9,G110:G110)</f>
        <v>0.04</v>
      </c>
      <c r="H109" s="725">
        <f>SUBTOTAL(9,H110:H110)</f>
        <v>1</v>
      </c>
      <c r="I109" s="626"/>
      <c r="J109" s="752"/>
      <c r="L109" s="665"/>
      <c r="M109" s="665"/>
      <c r="N109" s="665"/>
      <c r="O109" s="665"/>
      <c r="P109" s="665"/>
      <c r="Q109" s="665"/>
      <c r="R109" s="665"/>
      <c r="T109" s="752"/>
      <c r="V109" s="724">
        <f>SUBTOTAL(9,V110:V110)</f>
        <v>0</v>
      </c>
      <c r="W109" s="725">
        <f>SUBTOTAL(9,W110:W110)</f>
        <v>0</v>
      </c>
    </row>
    <row r="110" spans="1:23" outlineLevel="2">
      <c r="A110" s="733" t="s">
        <v>1280</v>
      </c>
      <c r="B110" s="733" t="s">
        <v>1281</v>
      </c>
      <c r="C110" s="733" t="s">
        <v>1282</v>
      </c>
      <c r="D110" s="733" t="s">
        <v>518</v>
      </c>
      <c r="E110" s="733" t="s">
        <v>56</v>
      </c>
      <c r="F110" s="734" t="s">
        <v>1283</v>
      </c>
      <c r="G110" s="735">
        <v>0.04</v>
      </c>
      <c r="H110" s="736">
        <v>1</v>
      </c>
      <c r="I110" s="737"/>
      <c r="J110" s="757"/>
      <c r="K110" s="738"/>
      <c r="L110" s="733" t="s">
        <v>56</v>
      </c>
      <c r="M110" s="733" t="s">
        <v>1284</v>
      </c>
      <c r="N110" s="733" t="s">
        <v>1124</v>
      </c>
      <c r="O110" s="733"/>
      <c r="P110" s="733" t="s">
        <v>1168</v>
      </c>
      <c r="Q110" s="733"/>
      <c r="R110" s="733"/>
      <c r="S110" s="738"/>
      <c r="T110" s="757"/>
      <c r="U110" s="738"/>
      <c r="V110" s="609">
        <f t="shared" ref="V110" si="21">IF(W110=1,G110,0)</f>
        <v>0</v>
      </c>
      <c r="W110" s="736"/>
    </row>
    <row r="111" spans="1:23" ht="3" customHeight="1" outlineLevel="1">
      <c r="A111" s="376"/>
      <c r="B111" s="392"/>
      <c r="C111" s="376"/>
      <c r="D111" s="392"/>
      <c r="E111" s="392"/>
      <c r="F111" s="608"/>
      <c r="G111" s="695"/>
      <c r="H111" s="700"/>
      <c r="I111" s="626"/>
      <c r="J111" s="752"/>
      <c r="L111" s="392"/>
      <c r="M111" s="392"/>
      <c r="N111" s="392"/>
      <c r="O111" s="392"/>
      <c r="P111" s="392"/>
      <c r="Q111" s="392"/>
      <c r="R111" s="392"/>
      <c r="T111" s="752"/>
      <c r="V111" s="695"/>
      <c r="W111" s="700"/>
    </row>
    <row r="112" spans="1:23" ht="15">
      <c r="A112" s="376"/>
      <c r="B112" s="430" t="s">
        <v>1285</v>
      </c>
      <c r="C112" s="430"/>
      <c r="D112" s="430"/>
      <c r="E112" s="430"/>
      <c r="F112" s="697"/>
      <c r="G112" s="739">
        <f>SUBTOTAL(9,G114:G181)</f>
        <v>72.70545246170461</v>
      </c>
      <c r="H112" s="740">
        <f>SUBTOTAL(9,H114:H181)</f>
        <v>48</v>
      </c>
      <c r="I112" s="626"/>
      <c r="J112" s="752"/>
      <c r="L112" s="430"/>
      <c r="M112" s="430"/>
      <c r="N112" s="430"/>
      <c r="O112" s="430"/>
      <c r="P112" s="430"/>
      <c r="Q112" s="430"/>
      <c r="R112" s="430"/>
      <c r="T112" s="752"/>
      <c r="V112" s="739">
        <f>SUBTOTAL(9,V114:V181)</f>
        <v>0</v>
      </c>
      <c r="W112" s="740">
        <f>SUBTOTAL(9,W114:W181)</f>
        <v>0</v>
      </c>
    </row>
    <row r="113" spans="1:23" ht="3" customHeight="1" outlineLevel="1">
      <c r="A113" s="376"/>
      <c r="B113" s="376"/>
      <c r="C113" s="376"/>
      <c r="D113" s="376"/>
      <c r="E113" s="376"/>
      <c r="F113" s="608"/>
      <c r="G113" s="609"/>
      <c r="H113" s="692"/>
      <c r="I113" s="626"/>
      <c r="J113" s="752"/>
      <c r="L113" s="376"/>
      <c r="M113" s="376"/>
      <c r="N113" s="376"/>
      <c r="O113" s="376"/>
      <c r="P113" s="376"/>
      <c r="Q113" s="376"/>
      <c r="R113" s="376"/>
      <c r="T113" s="752"/>
      <c r="V113" s="609"/>
      <c r="W113" s="692"/>
    </row>
    <row r="114" spans="1:23" outlineLevel="1">
      <c r="A114" s="376"/>
      <c r="B114" s="665" t="s">
        <v>902</v>
      </c>
      <c r="C114" s="665" t="s">
        <v>1018</v>
      </c>
      <c r="D114" s="665"/>
      <c r="E114" s="665"/>
      <c r="F114" s="681" t="s">
        <v>947</v>
      </c>
      <c r="G114" s="724">
        <f>SUBTOTAL(9,G115:G128)</f>
        <v>1.6885800000000002</v>
      </c>
      <c r="H114" s="725">
        <f>SUBTOTAL(9,H115:H128)</f>
        <v>10</v>
      </c>
      <c r="I114" s="626"/>
      <c r="J114" s="752"/>
      <c r="L114" s="665"/>
      <c r="M114" s="665"/>
      <c r="N114" s="665"/>
      <c r="O114" s="665"/>
      <c r="P114" s="665"/>
      <c r="Q114" s="665"/>
      <c r="R114" s="665"/>
      <c r="T114" s="752"/>
      <c r="V114" s="724">
        <f>SUBTOTAL(9,V115:V128)</f>
        <v>0</v>
      </c>
      <c r="W114" s="725">
        <f>SUBTOTAL(9,W115:W128)</f>
        <v>0</v>
      </c>
    </row>
    <row r="115" spans="1:23" outlineLevel="2">
      <c r="A115" s="376"/>
      <c r="B115" s="684" t="s">
        <v>902</v>
      </c>
      <c r="C115" s="684" t="s">
        <v>1018</v>
      </c>
      <c r="D115" s="684" t="s">
        <v>159</v>
      </c>
      <c r="E115" s="684"/>
      <c r="F115" s="685" t="s">
        <v>1871</v>
      </c>
      <c r="G115" s="686">
        <f>SUBTOTAL(9,G116:G120)</f>
        <v>1.35</v>
      </c>
      <c r="H115" s="691">
        <f>SUBTOTAL(9,H116:H120)</f>
        <v>5</v>
      </c>
      <c r="I115" s="626"/>
      <c r="J115" s="752"/>
      <c r="L115" s="684"/>
      <c r="M115" s="684"/>
      <c r="N115" s="684"/>
      <c r="O115" s="684"/>
      <c r="P115" s="684"/>
      <c r="Q115" s="684"/>
      <c r="R115" s="684"/>
      <c r="T115" s="752"/>
      <c r="V115" s="686">
        <f>SUBTOTAL(9,V116:V120)</f>
        <v>0</v>
      </c>
      <c r="W115" s="691">
        <f>SUBTOTAL(9,W116:W120)</f>
        <v>0</v>
      </c>
    </row>
    <row r="116" spans="1:23" outlineLevel="3">
      <c r="A116" s="376"/>
      <c r="B116" s="376" t="s">
        <v>902</v>
      </c>
      <c r="C116" s="376" t="s">
        <v>1018</v>
      </c>
      <c r="D116" s="376" t="s">
        <v>159</v>
      </c>
      <c r="E116" s="376" t="s">
        <v>1100</v>
      </c>
      <c r="F116" s="608" t="s">
        <v>17</v>
      </c>
      <c r="G116" s="609">
        <v>0.54</v>
      </c>
      <c r="H116" s="692">
        <v>1</v>
      </c>
      <c r="I116" s="626"/>
      <c r="J116" s="752"/>
      <c r="L116" s="376" t="s">
        <v>1100</v>
      </c>
      <c r="M116" s="376" t="s">
        <v>1090</v>
      </c>
      <c r="N116" s="376" t="s">
        <v>1150</v>
      </c>
      <c r="O116" s="376" t="s">
        <v>1152</v>
      </c>
      <c r="P116" s="376"/>
      <c r="Q116" s="376"/>
      <c r="R116" s="376"/>
      <c r="T116" s="752"/>
      <c r="V116" s="609">
        <f t="shared" ref="V116:V120" si="22">IF(W116=1,G116,0)</f>
        <v>0</v>
      </c>
      <c r="W116" s="692"/>
    </row>
    <row r="117" spans="1:23" outlineLevel="3">
      <c r="A117" s="376"/>
      <c r="B117" s="376" t="s">
        <v>902</v>
      </c>
      <c r="C117" s="376" t="s">
        <v>1018</v>
      </c>
      <c r="D117" s="376" t="s">
        <v>159</v>
      </c>
      <c r="E117" s="376" t="s">
        <v>1100</v>
      </c>
      <c r="F117" s="608" t="s">
        <v>36</v>
      </c>
      <c r="G117" s="609">
        <v>0.43</v>
      </c>
      <c r="H117" s="692">
        <v>1</v>
      </c>
      <c r="I117" s="626"/>
      <c r="J117" s="752"/>
      <c r="L117" s="376" t="s">
        <v>1100</v>
      </c>
      <c r="M117" s="376" t="s">
        <v>1090</v>
      </c>
      <c r="N117" s="376" t="s">
        <v>1150</v>
      </c>
      <c r="O117" s="376" t="s">
        <v>1152</v>
      </c>
      <c r="P117" s="376"/>
      <c r="Q117" s="376"/>
      <c r="R117" s="376"/>
      <c r="T117" s="752"/>
      <c r="V117" s="609">
        <f t="shared" si="22"/>
        <v>0</v>
      </c>
      <c r="W117" s="692"/>
    </row>
    <row r="118" spans="1:23" outlineLevel="3">
      <c r="A118" s="376"/>
      <c r="B118" s="376" t="s">
        <v>902</v>
      </c>
      <c r="C118" s="376" t="s">
        <v>1018</v>
      </c>
      <c r="D118" s="376" t="s">
        <v>159</v>
      </c>
      <c r="E118" s="376" t="s">
        <v>1100</v>
      </c>
      <c r="F118" s="608" t="s">
        <v>208</v>
      </c>
      <c r="G118" s="609">
        <v>0.21</v>
      </c>
      <c r="H118" s="692">
        <v>1</v>
      </c>
      <c r="I118" s="626"/>
      <c r="J118" s="752"/>
      <c r="L118" s="376" t="s">
        <v>1100</v>
      </c>
      <c r="M118" s="376" t="s">
        <v>1090</v>
      </c>
      <c r="N118" s="376" t="s">
        <v>1150</v>
      </c>
      <c r="O118" s="376" t="s">
        <v>1152</v>
      </c>
      <c r="P118" s="376"/>
      <c r="Q118" s="376"/>
      <c r="R118" s="376"/>
      <c r="T118" s="752"/>
      <c r="V118" s="609">
        <f t="shared" si="22"/>
        <v>0</v>
      </c>
      <c r="W118" s="692"/>
    </row>
    <row r="119" spans="1:23" outlineLevel="3">
      <c r="A119" s="376"/>
      <c r="B119" s="376" t="s">
        <v>902</v>
      </c>
      <c r="C119" s="376" t="s">
        <v>1018</v>
      </c>
      <c r="D119" s="376" t="s">
        <v>159</v>
      </c>
      <c r="E119" s="376" t="s">
        <v>1159</v>
      </c>
      <c r="F119" s="608" t="s">
        <v>38</v>
      </c>
      <c r="G119" s="609">
        <v>0.11</v>
      </c>
      <c r="H119" s="692">
        <v>1</v>
      </c>
      <c r="I119" s="626"/>
      <c r="J119" s="752"/>
      <c r="L119" s="376" t="s">
        <v>1159</v>
      </c>
      <c r="M119" s="376" t="s">
        <v>1090</v>
      </c>
      <c r="N119" s="376" t="s">
        <v>1150</v>
      </c>
      <c r="O119" s="376" t="s">
        <v>1152</v>
      </c>
      <c r="P119" s="376"/>
      <c r="Q119" s="376"/>
      <c r="R119" s="376"/>
      <c r="T119" s="752"/>
      <c r="V119" s="609">
        <f t="shared" si="22"/>
        <v>0</v>
      </c>
      <c r="W119" s="692"/>
    </row>
    <row r="120" spans="1:23" outlineLevel="3">
      <c r="A120" s="376"/>
      <c r="B120" s="376" t="s">
        <v>902</v>
      </c>
      <c r="C120" s="376" t="s">
        <v>1018</v>
      </c>
      <c r="D120" s="376" t="s">
        <v>159</v>
      </c>
      <c r="E120" s="376" t="s">
        <v>1159</v>
      </c>
      <c r="F120" s="608" t="s">
        <v>1287</v>
      </c>
      <c r="G120" s="609">
        <v>0.06</v>
      </c>
      <c r="H120" s="692">
        <v>1</v>
      </c>
      <c r="I120" s="626"/>
      <c r="J120" s="752"/>
      <c r="L120" s="376" t="s">
        <v>1159</v>
      </c>
      <c r="M120" s="376" t="s">
        <v>1090</v>
      </c>
      <c r="N120" s="376" t="s">
        <v>1150</v>
      </c>
      <c r="O120" s="376" t="s">
        <v>1152</v>
      </c>
      <c r="P120" s="376"/>
      <c r="Q120" s="376"/>
      <c r="R120" s="376"/>
      <c r="T120" s="752"/>
      <c r="V120" s="609">
        <f t="shared" si="22"/>
        <v>0</v>
      </c>
      <c r="W120" s="692"/>
    </row>
    <row r="121" spans="1:23" outlineLevel="2">
      <c r="A121" s="376"/>
      <c r="B121" s="684" t="s">
        <v>902</v>
      </c>
      <c r="C121" s="684" t="s">
        <v>1018</v>
      </c>
      <c r="D121" s="684" t="s">
        <v>518</v>
      </c>
      <c r="E121" s="684"/>
      <c r="F121" s="685" t="s">
        <v>1259</v>
      </c>
      <c r="G121" s="686">
        <f>SUBTOTAL(9,G122)</f>
        <v>0.17172000000000001</v>
      </c>
      <c r="H121" s="691">
        <f>SUBTOTAL(9,H122)</f>
        <v>1</v>
      </c>
      <c r="I121" s="626"/>
      <c r="J121" s="752"/>
      <c r="L121" s="684"/>
      <c r="M121" s="684"/>
      <c r="N121" s="684"/>
      <c r="O121" s="684"/>
      <c r="P121" s="684"/>
      <c r="Q121" s="684"/>
      <c r="R121" s="684"/>
      <c r="T121" s="752"/>
      <c r="V121" s="686">
        <f>SUBTOTAL(9,V122)</f>
        <v>0</v>
      </c>
      <c r="W121" s="691">
        <f>SUBTOTAL(9,W122)</f>
        <v>0</v>
      </c>
    </row>
    <row r="122" spans="1:23" outlineLevel="4">
      <c r="A122" s="376"/>
      <c r="B122" s="376" t="s">
        <v>902</v>
      </c>
      <c r="C122" s="376" t="s">
        <v>1018</v>
      </c>
      <c r="D122" s="376" t="s">
        <v>518</v>
      </c>
      <c r="E122" s="376" t="s">
        <v>56</v>
      </c>
      <c r="F122" s="608" t="s">
        <v>36</v>
      </c>
      <c r="G122" s="609">
        <v>0.17172000000000001</v>
      </c>
      <c r="H122" s="692">
        <v>1</v>
      </c>
      <c r="I122" s="626"/>
      <c r="J122" s="752"/>
      <c r="L122" s="376" t="s">
        <v>56</v>
      </c>
      <c r="M122" s="376" t="s">
        <v>1284</v>
      </c>
      <c r="N122" s="376" t="s">
        <v>1288</v>
      </c>
      <c r="O122" s="376"/>
      <c r="P122" s="376" t="s">
        <v>1155</v>
      </c>
      <c r="Q122" s="376"/>
      <c r="R122" s="376">
        <v>0</v>
      </c>
      <c r="T122" s="752"/>
      <c r="V122" s="609">
        <f t="shared" ref="V122" si="23">IF(W122=1,G122,0)</f>
        <v>0</v>
      </c>
      <c r="W122" s="692"/>
    </row>
    <row r="123" spans="1:23" outlineLevel="2">
      <c r="A123" s="376"/>
      <c r="B123" s="684" t="s">
        <v>902</v>
      </c>
      <c r="C123" s="684" t="s">
        <v>1018</v>
      </c>
      <c r="D123" s="684" t="s">
        <v>441</v>
      </c>
      <c r="E123" s="684"/>
      <c r="F123" s="685" t="s">
        <v>1871</v>
      </c>
      <c r="G123" s="686">
        <f>SUBTOTAL(9,G124:G125)</f>
        <v>9.5579999999999998E-2</v>
      </c>
      <c r="H123" s="691">
        <f>SUBTOTAL(9,H124:H125)</f>
        <v>2</v>
      </c>
      <c r="I123" s="626"/>
      <c r="J123" s="752"/>
      <c r="L123" s="684"/>
      <c r="M123" s="684"/>
      <c r="N123" s="684"/>
      <c r="O123" s="684"/>
      <c r="P123" s="684"/>
      <c r="Q123" s="684"/>
      <c r="R123" s="684"/>
      <c r="T123" s="752"/>
      <c r="V123" s="686">
        <f>SUBTOTAL(9,V124:V125)</f>
        <v>0</v>
      </c>
      <c r="W123" s="691">
        <f>SUBTOTAL(9,W124:W125)</f>
        <v>0</v>
      </c>
    </row>
    <row r="124" spans="1:23" outlineLevel="4">
      <c r="A124" s="376"/>
      <c r="B124" s="376" t="s">
        <v>902</v>
      </c>
      <c r="C124" s="376" t="s">
        <v>1018</v>
      </c>
      <c r="D124" s="376" t="s">
        <v>441</v>
      </c>
      <c r="E124" s="376" t="s">
        <v>437</v>
      </c>
      <c r="F124" s="608" t="s">
        <v>36</v>
      </c>
      <c r="G124" s="609">
        <v>6.3719999999999999E-2</v>
      </c>
      <c r="H124" s="692">
        <v>1</v>
      </c>
      <c r="I124" s="626"/>
      <c r="J124" s="752"/>
      <c r="L124" s="376" t="s">
        <v>437</v>
      </c>
      <c r="M124" s="376" t="s">
        <v>966</v>
      </c>
      <c r="N124" s="376" t="s">
        <v>967</v>
      </c>
      <c r="O124" s="376" t="s">
        <v>1289</v>
      </c>
      <c r="P124" s="376"/>
      <c r="Q124" s="376"/>
      <c r="R124" s="376"/>
      <c r="T124" s="752"/>
      <c r="V124" s="609">
        <f t="shared" ref="V124:V125" si="24">IF(W124=1,G124,0)</f>
        <v>0</v>
      </c>
      <c r="W124" s="692"/>
    </row>
    <row r="125" spans="1:23" outlineLevel="4">
      <c r="A125" s="376"/>
      <c r="B125" s="376" t="s">
        <v>902</v>
      </c>
      <c r="C125" s="376" t="s">
        <v>1018</v>
      </c>
      <c r="D125" s="376" t="s">
        <v>441</v>
      </c>
      <c r="E125" s="376" t="s">
        <v>437</v>
      </c>
      <c r="F125" s="608" t="s">
        <v>208</v>
      </c>
      <c r="G125" s="609">
        <v>3.1859999999999999E-2</v>
      </c>
      <c r="H125" s="692">
        <v>1</v>
      </c>
      <c r="I125" s="626"/>
      <c r="J125" s="752"/>
      <c r="L125" s="376" t="s">
        <v>437</v>
      </c>
      <c r="M125" s="376" t="s">
        <v>966</v>
      </c>
      <c r="N125" s="376" t="s">
        <v>967</v>
      </c>
      <c r="O125" s="376" t="s">
        <v>1289</v>
      </c>
      <c r="P125" s="376"/>
      <c r="Q125" s="376"/>
      <c r="R125" s="376"/>
      <c r="T125" s="752"/>
      <c r="V125" s="609">
        <f t="shared" si="24"/>
        <v>0</v>
      </c>
      <c r="W125" s="692"/>
    </row>
    <row r="126" spans="1:23" outlineLevel="2">
      <c r="A126" s="376"/>
      <c r="B126" s="684" t="s">
        <v>902</v>
      </c>
      <c r="C126" s="684" t="s">
        <v>1018</v>
      </c>
      <c r="D126" s="684" t="s">
        <v>860</v>
      </c>
      <c r="E126" s="684"/>
      <c r="F126" s="685" t="s">
        <v>1871</v>
      </c>
      <c r="G126" s="686">
        <f>SUBTOTAL(9,G127:G128)</f>
        <v>7.1279999999999996E-2</v>
      </c>
      <c r="H126" s="691">
        <f>SUBTOTAL(9,H127:H128)</f>
        <v>2</v>
      </c>
      <c r="I126" s="626"/>
      <c r="J126" s="752"/>
      <c r="L126" s="684"/>
      <c r="M126" s="684"/>
      <c r="N126" s="684"/>
      <c r="O126" s="684"/>
      <c r="P126" s="684"/>
      <c r="Q126" s="684"/>
      <c r="R126" s="684"/>
      <c r="T126" s="752"/>
      <c r="V126" s="686">
        <f>SUBTOTAL(9,V127:V128)</f>
        <v>0</v>
      </c>
      <c r="W126" s="691">
        <f>SUBTOTAL(9,W127:W128)</f>
        <v>0</v>
      </c>
    </row>
    <row r="127" spans="1:23" outlineLevel="4">
      <c r="A127" s="376"/>
      <c r="B127" s="376" t="s">
        <v>902</v>
      </c>
      <c r="C127" s="376" t="s">
        <v>1018</v>
      </c>
      <c r="D127" s="376" t="s">
        <v>860</v>
      </c>
      <c r="E127" s="376" t="s">
        <v>437</v>
      </c>
      <c r="F127" s="608" t="s">
        <v>36</v>
      </c>
      <c r="G127" s="609">
        <v>5.3460000000000001E-2</v>
      </c>
      <c r="H127" s="692">
        <v>1</v>
      </c>
      <c r="I127" s="626"/>
      <c r="J127" s="752"/>
      <c r="L127" s="376" t="s">
        <v>437</v>
      </c>
      <c r="M127" s="376" t="s">
        <v>996</v>
      </c>
      <c r="N127" s="376" t="s">
        <v>1048</v>
      </c>
      <c r="O127" s="376"/>
      <c r="P127" s="376"/>
      <c r="Q127" s="376"/>
      <c r="R127" s="376"/>
      <c r="T127" s="752"/>
      <c r="V127" s="609">
        <f t="shared" ref="V127:V128" si="25">IF(W127=1,G127,0)</f>
        <v>0</v>
      </c>
      <c r="W127" s="692"/>
    </row>
    <row r="128" spans="1:23" outlineLevel="4">
      <c r="A128" s="376"/>
      <c r="B128" s="376" t="s">
        <v>902</v>
      </c>
      <c r="C128" s="376" t="s">
        <v>1018</v>
      </c>
      <c r="D128" s="376" t="s">
        <v>860</v>
      </c>
      <c r="E128" s="376" t="s">
        <v>437</v>
      </c>
      <c r="F128" s="608" t="s">
        <v>208</v>
      </c>
      <c r="G128" s="609">
        <v>1.7819999999999999E-2</v>
      </c>
      <c r="H128" s="692">
        <v>1</v>
      </c>
      <c r="I128" s="626"/>
      <c r="J128" s="752"/>
      <c r="L128" s="376" t="s">
        <v>437</v>
      </c>
      <c r="M128" s="376" t="s">
        <v>996</v>
      </c>
      <c r="N128" s="376" t="s">
        <v>1048</v>
      </c>
      <c r="O128" s="376"/>
      <c r="P128" s="376"/>
      <c r="Q128" s="376"/>
      <c r="R128" s="376"/>
      <c r="T128" s="752"/>
      <c r="V128" s="609">
        <f t="shared" si="25"/>
        <v>0</v>
      </c>
      <c r="W128" s="692"/>
    </row>
    <row r="129" spans="1:23" s="612" customFormat="1" outlineLevel="1">
      <c r="A129" s="380"/>
      <c r="B129" s="666" t="s">
        <v>1299</v>
      </c>
      <c r="C129" s="666" t="s">
        <v>1300</v>
      </c>
      <c r="D129" s="666"/>
      <c r="E129" s="666"/>
      <c r="F129" s="681" t="s">
        <v>947</v>
      </c>
      <c r="G129" s="724">
        <f>SUBTOTAL(9,G130:G140)</f>
        <v>13.33454795889083</v>
      </c>
      <c r="H129" s="725">
        <f>SUBTOTAL(9,H130:H140)</f>
        <v>8</v>
      </c>
      <c r="I129" s="627"/>
      <c r="J129" s="754"/>
      <c r="L129" s="666"/>
      <c r="M129" s="666"/>
      <c r="N129" s="666"/>
      <c r="O129" s="666"/>
      <c r="P129" s="666"/>
      <c r="Q129" s="666"/>
      <c r="R129" s="666"/>
      <c r="T129" s="754"/>
      <c r="V129" s="724">
        <f>SUBTOTAL(9,V130:V140)</f>
        <v>0</v>
      </c>
      <c r="W129" s="725">
        <f>SUBTOTAL(9,W130:W140)</f>
        <v>0</v>
      </c>
    </row>
    <row r="130" spans="1:23" ht="26.45" outlineLevel="2">
      <c r="A130" s="376"/>
      <c r="B130" s="684" t="s">
        <v>1299</v>
      </c>
      <c r="C130" s="684" t="s">
        <v>1300</v>
      </c>
      <c r="D130" s="684" t="s">
        <v>159</v>
      </c>
      <c r="E130" s="684"/>
      <c r="F130" s="685" t="s">
        <v>1301</v>
      </c>
      <c r="G130" s="686">
        <f>SUBTOTAL(9,G131:G133)</f>
        <v>8.7813947704253064</v>
      </c>
      <c r="H130" s="691">
        <f>SUBTOTAL(9,H131:H133)</f>
        <v>3</v>
      </c>
      <c r="I130" s="626"/>
      <c r="J130" s="752"/>
      <c r="L130" s="684"/>
      <c r="M130" s="684"/>
      <c r="N130" s="684"/>
      <c r="O130" s="684"/>
      <c r="P130" s="684"/>
      <c r="Q130" s="684"/>
      <c r="R130" s="684"/>
      <c r="T130" s="752"/>
      <c r="V130" s="686">
        <f>SUBTOTAL(9,V131:V133)</f>
        <v>0</v>
      </c>
      <c r="W130" s="691">
        <f>SUBTOTAL(9,W131:W133)</f>
        <v>0</v>
      </c>
    </row>
    <row r="131" spans="1:23" outlineLevel="3">
      <c r="A131" s="376"/>
      <c r="B131" s="376" t="s">
        <v>1299</v>
      </c>
      <c r="C131" s="376" t="s">
        <v>1300</v>
      </c>
      <c r="D131" s="376" t="s">
        <v>159</v>
      </c>
      <c r="E131" s="376" t="s">
        <v>1100</v>
      </c>
      <c r="F131" s="608" t="s">
        <v>971</v>
      </c>
      <c r="G131" s="609">
        <v>4.3906973852126532</v>
      </c>
      <c r="H131" s="692">
        <v>1</v>
      </c>
      <c r="I131" s="626"/>
      <c r="J131" s="752"/>
      <c r="L131" s="376" t="s">
        <v>1100</v>
      </c>
      <c r="M131" s="376" t="s">
        <v>1090</v>
      </c>
      <c r="N131" s="376" t="s">
        <v>1110</v>
      </c>
      <c r="O131" s="376" t="s">
        <v>1302</v>
      </c>
      <c r="P131" s="376" t="s">
        <v>1111</v>
      </c>
      <c r="Q131" s="376"/>
      <c r="R131" s="376"/>
      <c r="T131" s="752"/>
      <c r="V131" s="609">
        <f t="shared" ref="V131:V133" si="26">IF(W131=1,G131,0)</f>
        <v>0</v>
      </c>
      <c r="W131" s="692"/>
    </row>
    <row r="132" spans="1:23" outlineLevel="3">
      <c r="A132" s="376"/>
      <c r="B132" s="376" t="s">
        <v>1299</v>
      </c>
      <c r="C132" s="376" t="s">
        <v>1300</v>
      </c>
      <c r="D132" s="376" t="s">
        <v>159</v>
      </c>
      <c r="E132" s="376" t="s">
        <v>1100</v>
      </c>
      <c r="F132" s="608" t="s">
        <v>1303</v>
      </c>
      <c r="G132" s="609">
        <v>2.1953486926063266</v>
      </c>
      <c r="H132" s="692">
        <v>1</v>
      </c>
      <c r="I132" s="626"/>
      <c r="J132" s="752"/>
      <c r="L132" s="376" t="s">
        <v>1100</v>
      </c>
      <c r="M132" s="376" t="s">
        <v>1090</v>
      </c>
      <c r="N132" s="376" t="s">
        <v>1110</v>
      </c>
      <c r="O132" s="376" t="s">
        <v>1302</v>
      </c>
      <c r="P132" s="376" t="s">
        <v>1111</v>
      </c>
      <c r="Q132" s="376"/>
      <c r="R132" s="376"/>
      <c r="T132" s="752"/>
      <c r="V132" s="609">
        <f t="shared" si="26"/>
        <v>0</v>
      </c>
      <c r="W132" s="692"/>
    </row>
    <row r="133" spans="1:23" outlineLevel="3">
      <c r="A133" s="376"/>
      <c r="B133" s="376" t="s">
        <v>1299</v>
      </c>
      <c r="C133" s="376" t="s">
        <v>1300</v>
      </c>
      <c r="D133" s="376" t="s">
        <v>159</v>
      </c>
      <c r="E133" s="376" t="s">
        <v>1100</v>
      </c>
      <c r="F133" s="608" t="s">
        <v>1304</v>
      </c>
      <c r="G133" s="609">
        <v>2.1953486926063266</v>
      </c>
      <c r="H133" s="692">
        <v>1</v>
      </c>
      <c r="I133" s="626"/>
      <c r="J133" s="752"/>
      <c r="L133" s="376" t="s">
        <v>1100</v>
      </c>
      <c r="M133" s="376" t="s">
        <v>1090</v>
      </c>
      <c r="N133" s="376" t="s">
        <v>1110</v>
      </c>
      <c r="O133" s="376" t="s">
        <v>1302</v>
      </c>
      <c r="P133" s="376" t="s">
        <v>1111</v>
      </c>
      <c r="Q133" s="376"/>
      <c r="R133" s="376"/>
      <c r="T133" s="752"/>
      <c r="V133" s="609">
        <f t="shared" si="26"/>
        <v>0</v>
      </c>
      <c r="W133" s="692"/>
    </row>
    <row r="134" spans="1:23" ht="26.45" outlineLevel="2">
      <c r="A134" s="376"/>
      <c r="B134" s="684" t="s">
        <v>1299</v>
      </c>
      <c r="C134" s="684" t="s">
        <v>1300</v>
      </c>
      <c r="D134" s="684" t="s">
        <v>518</v>
      </c>
      <c r="E134" s="684"/>
      <c r="F134" s="685" t="s">
        <v>1305</v>
      </c>
      <c r="G134" s="686">
        <f>SUBTOTAL(9,G135:G136)</f>
        <v>3.257897459827789</v>
      </c>
      <c r="H134" s="691">
        <f>SUBTOTAL(9,H135:H136)</f>
        <v>2</v>
      </c>
      <c r="I134" s="626"/>
      <c r="J134" s="752"/>
      <c r="L134" s="684"/>
      <c r="M134" s="684"/>
      <c r="N134" s="684"/>
      <c r="O134" s="684"/>
      <c r="P134" s="684"/>
      <c r="Q134" s="684"/>
      <c r="R134" s="684"/>
      <c r="T134" s="752"/>
      <c r="V134" s="686">
        <f>SUBTOTAL(9,V135:V136)</f>
        <v>0</v>
      </c>
      <c r="W134" s="691">
        <f>SUBTOTAL(9,W135:W136)</f>
        <v>0</v>
      </c>
    </row>
    <row r="135" spans="1:23" outlineLevel="3">
      <c r="A135" s="376"/>
      <c r="B135" s="376" t="s">
        <v>1299</v>
      </c>
      <c r="C135" s="376" t="s">
        <v>1300</v>
      </c>
      <c r="D135" s="376" t="s">
        <v>518</v>
      </c>
      <c r="E135" s="376" t="s">
        <v>56</v>
      </c>
      <c r="F135" s="608" t="s">
        <v>36</v>
      </c>
      <c r="G135" s="609">
        <v>1.3962417684976238</v>
      </c>
      <c r="H135" s="692">
        <v>1</v>
      </c>
      <c r="I135" s="626"/>
      <c r="J135" s="752"/>
      <c r="L135" s="376" t="s">
        <v>56</v>
      </c>
      <c r="M135" s="376" t="s">
        <v>1284</v>
      </c>
      <c r="N135" s="376" t="s">
        <v>1306</v>
      </c>
      <c r="O135" s="376"/>
      <c r="P135" s="376" t="s">
        <v>1096</v>
      </c>
      <c r="Q135" s="376"/>
      <c r="R135" s="376">
        <v>0</v>
      </c>
      <c r="T135" s="752"/>
      <c r="V135" s="609">
        <f t="shared" ref="V135:V136" si="27">IF(W135=1,G135,0)</f>
        <v>0</v>
      </c>
      <c r="W135" s="692"/>
    </row>
    <row r="136" spans="1:23" outlineLevel="3">
      <c r="A136" s="376"/>
      <c r="B136" s="376" t="s">
        <v>1299</v>
      </c>
      <c r="C136" s="376" t="s">
        <v>1300</v>
      </c>
      <c r="D136" s="376" t="s">
        <v>518</v>
      </c>
      <c r="E136" s="376" t="s">
        <v>56</v>
      </c>
      <c r="F136" s="608" t="s">
        <v>971</v>
      </c>
      <c r="G136" s="609">
        <v>1.8616556913301652</v>
      </c>
      <c r="H136" s="692">
        <v>1</v>
      </c>
      <c r="I136" s="626"/>
      <c r="J136" s="752"/>
      <c r="L136" s="376" t="s">
        <v>56</v>
      </c>
      <c r="M136" s="376" t="s">
        <v>1284</v>
      </c>
      <c r="N136" s="376" t="s">
        <v>1306</v>
      </c>
      <c r="O136" s="376"/>
      <c r="P136" s="376" t="s">
        <v>1096</v>
      </c>
      <c r="Q136" s="376"/>
      <c r="R136" s="376">
        <v>0</v>
      </c>
      <c r="T136" s="752"/>
      <c r="V136" s="609">
        <f t="shared" si="27"/>
        <v>0</v>
      </c>
      <c r="W136" s="692"/>
    </row>
    <row r="137" spans="1:23" ht="39.6" outlineLevel="2">
      <c r="A137" s="376"/>
      <c r="B137" s="684" t="s">
        <v>1299</v>
      </c>
      <c r="C137" s="684" t="s">
        <v>1300</v>
      </c>
      <c r="D137" s="684" t="s">
        <v>441</v>
      </c>
      <c r="E137" s="684"/>
      <c r="F137" s="685" t="s">
        <v>1307</v>
      </c>
      <c r="G137" s="686">
        <f>SUBTOTAL(9,G138:G140)</f>
        <v>1.2952557286377333</v>
      </c>
      <c r="H137" s="691">
        <f>SUBTOTAL(9,H138:H140)</f>
        <v>3</v>
      </c>
      <c r="I137" s="626"/>
      <c r="J137" s="752"/>
      <c r="L137" s="684"/>
      <c r="M137" s="684"/>
      <c r="N137" s="684"/>
      <c r="O137" s="684"/>
      <c r="P137" s="684"/>
      <c r="Q137" s="684"/>
      <c r="R137" s="684"/>
      <c r="T137" s="752"/>
      <c r="V137" s="686">
        <f>SUBTOTAL(9,V138:V140)</f>
        <v>0</v>
      </c>
      <c r="W137" s="691">
        <f>SUBTOTAL(9,W138:W140)</f>
        <v>0</v>
      </c>
    </row>
    <row r="138" spans="1:23" outlineLevel="3">
      <c r="A138" s="376"/>
      <c r="B138" s="376" t="s">
        <v>1299</v>
      </c>
      <c r="C138" s="376" t="s">
        <v>1300</v>
      </c>
      <c r="D138" s="376" t="s">
        <v>441</v>
      </c>
      <c r="E138" s="376" t="s">
        <v>437</v>
      </c>
      <c r="F138" s="608" t="s">
        <v>36</v>
      </c>
      <c r="G138" s="609">
        <v>0.51810229145509312</v>
      </c>
      <c r="H138" s="692">
        <v>1</v>
      </c>
      <c r="I138" s="626"/>
      <c r="J138" s="752"/>
      <c r="L138" s="376" t="s">
        <v>437</v>
      </c>
      <c r="M138" s="376" t="s">
        <v>966</v>
      </c>
      <c r="N138" s="376" t="s">
        <v>1209</v>
      </c>
      <c r="O138" s="376" t="s">
        <v>1308</v>
      </c>
      <c r="P138" s="376"/>
      <c r="Q138" s="376"/>
      <c r="R138" s="376"/>
      <c r="T138" s="752"/>
      <c r="V138" s="609">
        <f t="shared" ref="V138:V140" si="28">IF(W138=1,G138,0)</f>
        <v>0</v>
      </c>
      <c r="W138" s="692"/>
    </row>
    <row r="139" spans="1:23" outlineLevel="3">
      <c r="A139" s="376"/>
      <c r="B139" s="376" t="s">
        <v>1299</v>
      </c>
      <c r="C139" s="376" t="s">
        <v>1300</v>
      </c>
      <c r="D139" s="376" t="s">
        <v>441</v>
      </c>
      <c r="E139" s="376" t="s">
        <v>437</v>
      </c>
      <c r="F139" s="608" t="s">
        <v>971</v>
      </c>
      <c r="G139" s="609">
        <v>0.51810229145509312</v>
      </c>
      <c r="H139" s="692">
        <v>1</v>
      </c>
      <c r="I139" s="626"/>
      <c r="J139" s="752"/>
      <c r="L139" s="376" t="s">
        <v>437</v>
      </c>
      <c r="M139" s="376" t="s">
        <v>966</v>
      </c>
      <c r="N139" s="376" t="s">
        <v>1209</v>
      </c>
      <c r="O139" s="376" t="s">
        <v>1308</v>
      </c>
      <c r="P139" s="376"/>
      <c r="Q139" s="376"/>
      <c r="R139" s="376"/>
      <c r="T139" s="752"/>
      <c r="V139" s="609">
        <f t="shared" si="28"/>
        <v>0</v>
      </c>
      <c r="W139" s="692"/>
    </row>
    <row r="140" spans="1:23" outlineLevel="3">
      <c r="A140" s="376"/>
      <c r="B140" s="376" t="s">
        <v>1299</v>
      </c>
      <c r="C140" s="376" t="s">
        <v>1300</v>
      </c>
      <c r="D140" s="376" t="s">
        <v>441</v>
      </c>
      <c r="E140" s="376" t="s">
        <v>437</v>
      </c>
      <c r="F140" s="608" t="s">
        <v>1303</v>
      </c>
      <c r="G140" s="609">
        <v>0.25905114572754701</v>
      </c>
      <c r="H140" s="692">
        <v>1</v>
      </c>
      <c r="I140" s="626"/>
      <c r="J140" s="752"/>
      <c r="L140" s="376" t="s">
        <v>437</v>
      </c>
      <c r="M140" s="376" t="s">
        <v>966</v>
      </c>
      <c r="N140" s="376" t="s">
        <v>1209</v>
      </c>
      <c r="O140" s="376" t="s">
        <v>1308</v>
      </c>
      <c r="P140" s="376"/>
      <c r="Q140" s="376"/>
      <c r="R140" s="376"/>
      <c r="T140" s="752"/>
      <c r="V140" s="609">
        <f t="shared" si="28"/>
        <v>0</v>
      </c>
      <c r="W140" s="692"/>
    </row>
    <row r="141" spans="1:23" s="742" customFormat="1" outlineLevel="1">
      <c r="A141" s="392"/>
      <c r="B141" s="666" t="s">
        <v>1309</v>
      </c>
      <c r="C141" s="666" t="s">
        <v>1310</v>
      </c>
      <c r="D141" s="666"/>
      <c r="E141" s="666"/>
      <c r="F141" s="681" t="s">
        <v>947</v>
      </c>
      <c r="G141" s="724">
        <f>SUBTOTAL(9,G142:G163)</f>
        <v>27.855016399999997</v>
      </c>
      <c r="H141" s="725">
        <f>SUBTOTAL(9,H142:H163)</f>
        <v>18</v>
      </c>
      <c r="I141" s="741"/>
      <c r="J141" s="758"/>
      <c r="K141" s="749"/>
      <c r="L141" s="666"/>
      <c r="M141" s="666"/>
      <c r="N141" s="666"/>
      <c r="O141" s="666"/>
      <c r="P141" s="666"/>
      <c r="Q141" s="666"/>
      <c r="R141" s="666"/>
      <c r="S141" s="749"/>
      <c r="T141" s="758"/>
      <c r="U141" s="749"/>
      <c r="V141" s="724">
        <f>SUBTOTAL(9,V142:V163)</f>
        <v>0</v>
      </c>
      <c r="W141" s="725">
        <f>SUBTOTAL(9,W142:W163)</f>
        <v>0</v>
      </c>
    </row>
    <row r="142" spans="1:23" s="742" customFormat="1" outlineLevel="2">
      <c r="A142" s="392"/>
      <c r="B142" s="687" t="s">
        <v>1310</v>
      </c>
      <c r="C142" s="687" t="s">
        <v>1310</v>
      </c>
      <c r="D142" s="687" t="s">
        <v>159</v>
      </c>
      <c r="E142" s="687"/>
      <c r="F142" s="717" t="s">
        <v>1872</v>
      </c>
      <c r="G142" s="743">
        <f>SUBTOTAL(9,G143:G151)</f>
        <v>21.485700000000001</v>
      </c>
      <c r="H142" s="744">
        <f>SUBTOTAL(9,H143:H151)</f>
        <v>9</v>
      </c>
      <c r="I142" s="741"/>
      <c r="J142" s="758"/>
      <c r="K142" s="749"/>
      <c r="L142" s="687"/>
      <c r="M142" s="687" t="s">
        <v>1312</v>
      </c>
      <c r="N142" s="687"/>
      <c r="O142" s="687"/>
      <c r="P142" s="687"/>
      <c r="Q142" s="687"/>
      <c r="R142" s="687"/>
      <c r="S142" s="749"/>
      <c r="T142" s="758"/>
      <c r="U142" s="749"/>
      <c r="V142" s="743">
        <f>SUBTOTAL(9,V143:V151)</f>
        <v>0</v>
      </c>
      <c r="W142" s="744">
        <f>SUBTOTAL(9,W143:W151)</f>
        <v>0</v>
      </c>
    </row>
    <row r="143" spans="1:23" s="742" customFormat="1" outlineLevel="3">
      <c r="A143" s="392"/>
      <c r="B143" s="387" t="s">
        <v>1310</v>
      </c>
      <c r="C143" s="387" t="s">
        <v>1310</v>
      </c>
      <c r="D143" s="387" t="s">
        <v>159</v>
      </c>
      <c r="E143" s="387" t="s">
        <v>1100</v>
      </c>
      <c r="F143" s="705" t="s">
        <v>17</v>
      </c>
      <c r="G143" s="706">
        <v>4.7746000000000013</v>
      </c>
      <c r="H143" s="707">
        <v>1</v>
      </c>
      <c r="I143" s="741"/>
      <c r="J143" s="758"/>
      <c r="K143" s="749"/>
      <c r="L143" s="387" t="s">
        <v>1100</v>
      </c>
      <c r="M143" s="387" t="s">
        <v>1103</v>
      </c>
      <c r="N143" s="387" t="s">
        <v>1313</v>
      </c>
      <c r="O143" s="387" t="s">
        <v>1314</v>
      </c>
      <c r="P143" s="387"/>
      <c r="Q143" s="387"/>
      <c r="R143" s="387"/>
      <c r="S143" s="749"/>
      <c r="T143" s="758"/>
      <c r="U143" s="749"/>
      <c r="V143" s="609">
        <f t="shared" ref="V143:V149" si="29">IF(W143=1,G143,0)</f>
        <v>0</v>
      </c>
      <c r="W143" s="707"/>
    </row>
    <row r="144" spans="1:23" s="742" customFormat="1" outlineLevel="3">
      <c r="A144" s="392"/>
      <c r="B144" s="387" t="s">
        <v>1310</v>
      </c>
      <c r="C144" s="387" t="s">
        <v>1310</v>
      </c>
      <c r="D144" s="387" t="s">
        <v>159</v>
      </c>
      <c r="E144" s="387" t="s">
        <v>1100</v>
      </c>
      <c r="F144" s="705" t="s">
        <v>36</v>
      </c>
      <c r="G144" s="706">
        <v>4.3640000000000008</v>
      </c>
      <c r="H144" s="707">
        <v>1</v>
      </c>
      <c r="I144" s="741"/>
      <c r="J144" s="758"/>
      <c r="K144" s="749"/>
      <c r="L144" s="387" t="s">
        <v>1100</v>
      </c>
      <c r="M144" s="387" t="s">
        <v>1103</v>
      </c>
      <c r="N144" s="387" t="s">
        <v>1313</v>
      </c>
      <c r="O144" s="387" t="s">
        <v>1314</v>
      </c>
      <c r="P144" s="387"/>
      <c r="Q144" s="387"/>
      <c r="R144" s="387"/>
      <c r="S144" s="749"/>
      <c r="T144" s="758"/>
      <c r="U144" s="749"/>
      <c r="V144" s="609">
        <f t="shared" si="29"/>
        <v>0</v>
      </c>
      <c r="W144" s="707"/>
    </row>
    <row r="145" spans="1:23" s="742" customFormat="1" outlineLevel="3">
      <c r="A145" s="392"/>
      <c r="B145" s="387" t="s">
        <v>1310</v>
      </c>
      <c r="C145" s="387" t="s">
        <v>1310</v>
      </c>
      <c r="D145" s="387" t="s">
        <v>159</v>
      </c>
      <c r="E145" s="387" t="s">
        <v>1100</v>
      </c>
      <c r="F145" s="705" t="s">
        <v>1237</v>
      </c>
      <c r="G145" s="706">
        <v>2.2846500000000005</v>
      </c>
      <c r="H145" s="707">
        <v>1</v>
      </c>
      <c r="I145" s="741"/>
      <c r="J145" s="758"/>
      <c r="K145" s="749"/>
      <c r="L145" s="387" t="s">
        <v>1100</v>
      </c>
      <c r="M145" s="387" t="s">
        <v>1103</v>
      </c>
      <c r="N145" s="387" t="s">
        <v>1313</v>
      </c>
      <c r="O145" s="387" t="s">
        <v>1314</v>
      </c>
      <c r="P145" s="387"/>
      <c r="Q145" s="387"/>
      <c r="R145" s="387"/>
      <c r="S145" s="749"/>
      <c r="T145" s="758"/>
      <c r="U145" s="749"/>
      <c r="V145" s="609">
        <f t="shared" si="29"/>
        <v>0</v>
      </c>
      <c r="W145" s="707"/>
    </row>
    <row r="146" spans="1:23" s="742" customFormat="1" outlineLevel="3">
      <c r="A146" s="392"/>
      <c r="B146" s="387" t="s">
        <v>1310</v>
      </c>
      <c r="C146" s="387" t="s">
        <v>1310</v>
      </c>
      <c r="D146" s="387" t="s">
        <v>159</v>
      </c>
      <c r="E146" s="387" t="s">
        <v>1100</v>
      </c>
      <c r="F146" s="705" t="s">
        <v>1326</v>
      </c>
      <c r="G146" s="706">
        <v>2.3873000000000006</v>
      </c>
      <c r="H146" s="707">
        <v>1</v>
      </c>
      <c r="I146" s="741"/>
      <c r="J146" s="758"/>
      <c r="K146" s="749"/>
      <c r="L146" s="387" t="s">
        <v>1100</v>
      </c>
      <c r="M146" s="387" t="s">
        <v>1103</v>
      </c>
      <c r="N146" s="387" t="s">
        <v>1313</v>
      </c>
      <c r="O146" s="387" t="s">
        <v>1314</v>
      </c>
      <c r="P146" s="387"/>
      <c r="Q146" s="387"/>
      <c r="R146" s="387"/>
      <c r="S146" s="749"/>
      <c r="T146" s="758"/>
      <c r="U146" s="749"/>
      <c r="V146" s="609">
        <f>IF(W146=1,G146,0)</f>
        <v>0</v>
      </c>
      <c r="W146" s="707"/>
    </row>
    <row r="147" spans="1:23" s="742" customFormat="1" outlineLevel="3">
      <c r="A147" s="392"/>
      <c r="B147" s="387" t="s">
        <v>1310</v>
      </c>
      <c r="C147" s="387" t="s">
        <v>1310</v>
      </c>
      <c r="D147" s="387" t="s">
        <v>159</v>
      </c>
      <c r="E147" s="387" t="s">
        <v>1100</v>
      </c>
      <c r="F147" s="705" t="s">
        <v>1303</v>
      </c>
      <c r="G147" s="706">
        <v>2.3873000000000006</v>
      </c>
      <c r="H147" s="707">
        <v>1</v>
      </c>
      <c r="I147" s="741"/>
      <c r="J147" s="758"/>
      <c r="K147" s="749"/>
      <c r="L147" s="387" t="s">
        <v>1100</v>
      </c>
      <c r="M147" s="387" t="s">
        <v>1103</v>
      </c>
      <c r="N147" s="387" t="s">
        <v>1313</v>
      </c>
      <c r="O147" s="387" t="s">
        <v>1314</v>
      </c>
      <c r="P147" s="387"/>
      <c r="Q147" s="387"/>
      <c r="R147" s="387"/>
      <c r="S147" s="749"/>
      <c r="T147" s="758"/>
      <c r="U147" s="749"/>
      <c r="V147" s="609">
        <f t="shared" si="29"/>
        <v>0</v>
      </c>
      <c r="W147" s="707"/>
    </row>
    <row r="148" spans="1:23" s="742" customFormat="1" outlineLevel="3">
      <c r="A148" s="392"/>
      <c r="B148" s="387" t="s">
        <v>1310</v>
      </c>
      <c r="C148" s="387" t="s">
        <v>1310</v>
      </c>
      <c r="D148" s="387" t="s">
        <v>159</v>
      </c>
      <c r="E148" s="387" t="s">
        <v>1100</v>
      </c>
      <c r="F148" s="705" t="s">
        <v>1873</v>
      </c>
      <c r="G148" s="706">
        <v>4.3640000000000008</v>
      </c>
      <c r="H148" s="707">
        <v>1</v>
      </c>
      <c r="I148" s="741"/>
      <c r="J148" s="758"/>
      <c r="K148" s="749"/>
      <c r="L148" s="387" t="s">
        <v>1100</v>
      </c>
      <c r="M148" s="387" t="s">
        <v>1103</v>
      </c>
      <c r="N148" s="387" t="s">
        <v>1313</v>
      </c>
      <c r="O148" s="387" t="s">
        <v>1314</v>
      </c>
      <c r="P148" s="387"/>
      <c r="Q148" s="387"/>
      <c r="R148" s="387"/>
      <c r="S148" s="749"/>
      <c r="T148" s="758"/>
      <c r="U148" s="749"/>
      <c r="V148" s="609">
        <f>IF(W148=1,G148,0)</f>
        <v>0</v>
      </c>
      <c r="W148" s="707"/>
    </row>
    <row r="149" spans="1:23" s="742" customFormat="1" outlineLevel="3">
      <c r="A149" s="392"/>
      <c r="B149" s="387" t="s">
        <v>1310</v>
      </c>
      <c r="C149" s="387" t="s">
        <v>1310</v>
      </c>
      <c r="D149" s="387" t="s">
        <v>159</v>
      </c>
      <c r="E149" s="387" t="s">
        <v>1159</v>
      </c>
      <c r="F149" s="705" t="s">
        <v>1315</v>
      </c>
      <c r="G149" s="706">
        <v>0.41060000000000008</v>
      </c>
      <c r="H149" s="707">
        <v>1</v>
      </c>
      <c r="I149" s="741"/>
      <c r="J149" s="758"/>
      <c r="K149" s="749"/>
      <c r="L149" s="387" t="s">
        <v>1159</v>
      </c>
      <c r="M149" s="387"/>
      <c r="N149" s="387"/>
      <c r="O149" s="387"/>
      <c r="P149" s="387"/>
      <c r="Q149" s="387"/>
      <c r="R149" s="387"/>
      <c r="S149" s="749"/>
      <c r="T149" s="758"/>
      <c r="U149" s="749"/>
      <c r="V149" s="609">
        <f t="shared" si="29"/>
        <v>0</v>
      </c>
      <c r="W149" s="707"/>
    </row>
    <row r="150" spans="1:23" s="742" customFormat="1" outlineLevel="3">
      <c r="A150" s="392"/>
      <c r="B150" s="387" t="s">
        <v>1310</v>
      </c>
      <c r="C150" s="387" t="s">
        <v>1310</v>
      </c>
      <c r="D150" s="387" t="s">
        <v>159</v>
      </c>
      <c r="E150" s="387" t="s">
        <v>1159</v>
      </c>
      <c r="F150" s="705" t="s">
        <v>1316</v>
      </c>
      <c r="G150" s="706">
        <v>0.10265000000000002</v>
      </c>
      <c r="H150" s="707">
        <v>1</v>
      </c>
      <c r="I150" s="741"/>
      <c r="J150" s="758"/>
      <c r="K150" s="749"/>
      <c r="L150" s="387" t="s">
        <v>1159</v>
      </c>
      <c r="M150" s="387"/>
      <c r="N150" s="387"/>
      <c r="O150" s="387"/>
      <c r="P150" s="387"/>
      <c r="Q150" s="387"/>
      <c r="R150" s="387"/>
      <c r="S150" s="749"/>
      <c r="T150" s="758"/>
      <c r="U150" s="749"/>
      <c r="V150" s="609">
        <f>IF(W150=1,G150,0)</f>
        <v>0</v>
      </c>
      <c r="W150" s="707"/>
    </row>
    <row r="151" spans="1:23" s="742" customFormat="1" outlineLevel="3">
      <c r="A151" s="392"/>
      <c r="B151" s="387" t="s">
        <v>1310</v>
      </c>
      <c r="C151" s="387" t="s">
        <v>1310</v>
      </c>
      <c r="D151" s="387" t="s">
        <v>159</v>
      </c>
      <c r="E151" s="387" t="s">
        <v>1159</v>
      </c>
      <c r="F151" s="705" t="s">
        <v>1888</v>
      </c>
      <c r="G151" s="706">
        <v>0.41060000000000008</v>
      </c>
      <c r="H151" s="707">
        <v>1</v>
      </c>
      <c r="I151" s="741"/>
      <c r="J151" s="758"/>
      <c r="K151" s="749"/>
      <c r="L151" s="387" t="s">
        <v>1159</v>
      </c>
      <c r="M151" s="387"/>
      <c r="N151" s="387"/>
      <c r="O151" s="387"/>
      <c r="P151" s="387"/>
      <c r="Q151" s="387"/>
      <c r="R151" s="387"/>
      <c r="S151" s="749"/>
      <c r="T151" s="758"/>
      <c r="U151" s="749"/>
      <c r="V151" s="609">
        <f>IF(W151=1,G151,0)</f>
        <v>0</v>
      </c>
      <c r="W151" s="707"/>
    </row>
    <row r="152" spans="1:23" s="742" customFormat="1" outlineLevel="2">
      <c r="A152" s="392"/>
      <c r="B152" s="687" t="s">
        <v>1310</v>
      </c>
      <c r="C152" s="687" t="s">
        <v>1310</v>
      </c>
      <c r="D152" s="687" t="s">
        <v>518</v>
      </c>
      <c r="E152" s="687"/>
      <c r="F152" s="717" t="s">
        <v>1902</v>
      </c>
      <c r="G152" s="743">
        <f>SUBTOTAL(9,G153:G155)</f>
        <v>4.0488608000000008</v>
      </c>
      <c r="H152" s="744">
        <f>SUBTOTAL(9,H153:H155)</f>
        <v>3</v>
      </c>
      <c r="I152" s="741"/>
      <c r="J152" s="758"/>
      <c r="K152" s="749"/>
      <c r="L152" s="687"/>
      <c r="M152" s="687"/>
      <c r="N152" s="687"/>
      <c r="O152" s="687"/>
      <c r="P152" s="687"/>
      <c r="Q152" s="687"/>
      <c r="R152" s="687"/>
      <c r="S152" s="749"/>
      <c r="T152" s="758"/>
      <c r="U152" s="749"/>
      <c r="V152" s="743">
        <f>SUBTOTAL(9,V153:V154)</f>
        <v>0</v>
      </c>
      <c r="W152" s="744">
        <f>SUBTOTAL(9,W153:W154)</f>
        <v>0</v>
      </c>
    </row>
    <row r="153" spans="1:23" s="742" customFormat="1" outlineLevel="3">
      <c r="A153" s="392"/>
      <c r="B153" s="387" t="s">
        <v>1310</v>
      </c>
      <c r="C153" s="387" t="s">
        <v>1310</v>
      </c>
      <c r="D153" s="387" t="s">
        <v>518</v>
      </c>
      <c r="E153" s="387" t="s">
        <v>56</v>
      </c>
      <c r="F153" s="705" t="s">
        <v>36</v>
      </c>
      <c r="G153" s="706">
        <v>1.5183228000000002</v>
      </c>
      <c r="H153" s="707">
        <v>1</v>
      </c>
      <c r="I153" s="741"/>
      <c r="J153" s="758"/>
      <c r="K153" s="749"/>
      <c r="L153" s="387" t="s">
        <v>56</v>
      </c>
      <c r="M153" s="387" t="s">
        <v>1038</v>
      </c>
      <c r="N153" s="387" t="s">
        <v>1075</v>
      </c>
      <c r="O153" s="387" t="s">
        <v>1279</v>
      </c>
      <c r="P153" s="387" t="s">
        <v>1040</v>
      </c>
      <c r="Q153" s="387"/>
      <c r="R153" s="387">
        <v>0</v>
      </c>
      <c r="S153" s="749"/>
      <c r="T153" s="758"/>
      <c r="U153" s="749"/>
      <c r="V153" s="609">
        <f t="shared" ref="V153:V154" si="30">IF(W153=1,G153,0)</f>
        <v>0</v>
      </c>
      <c r="W153" s="707"/>
    </row>
    <row r="154" spans="1:23" s="742" customFormat="1" outlineLevel="3">
      <c r="A154" s="392"/>
      <c r="B154" s="387" t="s">
        <v>1310</v>
      </c>
      <c r="C154" s="387" t="s">
        <v>1310</v>
      </c>
      <c r="D154" s="387" t="s">
        <v>518</v>
      </c>
      <c r="E154" s="387" t="s">
        <v>56</v>
      </c>
      <c r="F154" s="705" t="s">
        <v>1303</v>
      </c>
      <c r="G154" s="706">
        <v>0.5061076000000001</v>
      </c>
      <c r="H154" s="707">
        <v>1</v>
      </c>
      <c r="I154" s="741"/>
      <c r="J154" s="758"/>
      <c r="K154" s="749"/>
      <c r="L154" s="387" t="s">
        <v>56</v>
      </c>
      <c r="M154" s="387" t="s">
        <v>1038</v>
      </c>
      <c r="N154" s="387" t="s">
        <v>1075</v>
      </c>
      <c r="O154" s="387" t="s">
        <v>1279</v>
      </c>
      <c r="P154" s="387" t="s">
        <v>1040</v>
      </c>
      <c r="Q154" s="387"/>
      <c r="R154" s="387">
        <v>0</v>
      </c>
      <c r="S154" s="749"/>
      <c r="T154" s="758"/>
      <c r="U154" s="749"/>
      <c r="V154" s="609">
        <f t="shared" si="30"/>
        <v>0</v>
      </c>
      <c r="W154" s="707"/>
    </row>
    <row r="155" spans="1:23" s="742" customFormat="1" outlineLevel="3">
      <c r="A155" s="392"/>
      <c r="B155" s="387" t="s">
        <v>1310</v>
      </c>
      <c r="C155" s="387" t="s">
        <v>1310</v>
      </c>
      <c r="D155" s="387" t="s">
        <v>518</v>
      </c>
      <c r="E155" s="387" t="s">
        <v>56</v>
      </c>
      <c r="F155" s="705" t="s">
        <v>1873</v>
      </c>
      <c r="G155" s="706">
        <v>2.0244304000000004</v>
      </c>
      <c r="H155" s="707">
        <v>1</v>
      </c>
      <c r="I155" s="741"/>
      <c r="J155" s="758"/>
      <c r="K155" s="749"/>
      <c r="L155" s="387" t="s">
        <v>56</v>
      </c>
      <c r="M155" s="387" t="s">
        <v>1038</v>
      </c>
      <c r="N155" s="387" t="s">
        <v>1075</v>
      </c>
      <c r="O155" s="387" t="s">
        <v>1279</v>
      </c>
      <c r="P155" s="387" t="s">
        <v>1040</v>
      </c>
      <c r="Q155" s="387"/>
      <c r="R155" s="387">
        <v>0</v>
      </c>
      <c r="S155" s="749"/>
      <c r="T155" s="758"/>
      <c r="U155" s="749"/>
      <c r="V155" s="609">
        <f>IF(W155=1,G155,0)</f>
        <v>0</v>
      </c>
      <c r="W155" s="707"/>
    </row>
    <row r="156" spans="1:23" s="742" customFormat="1" outlineLevel="2">
      <c r="A156" s="392"/>
      <c r="B156" s="687" t="s">
        <v>1310</v>
      </c>
      <c r="C156" s="687" t="s">
        <v>1310</v>
      </c>
      <c r="D156" s="687" t="s">
        <v>441</v>
      </c>
      <c r="E156" s="687"/>
      <c r="F156" s="717" t="s">
        <v>1872</v>
      </c>
      <c r="G156" s="743">
        <f>SUBTOTAL(9,G157:G160)</f>
        <v>1.6902084000000004</v>
      </c>
      <c r="H156" s="744">
        <f>SUBTOTAL(9,H157:H160)</f>
        <v>4</v>
      </c>
      <c r="I156" s="741"/>
      <c r="J156" s="758"/>
      <c r="K156" s="749"/>
      <c r="L156" s="687"/>
      <c r="M156" s="687"/>
      <c r="N156" s="687"/>
      <c r="O156" s="687"/>
      <c r="P156" s="687"/>
      <c r="Q156" s="687"/>
      <c r="R156" s="687"/>
      <c r="S156" s="749"/>
      <c r="T156" s="758"/>
      <c r="U156" s="749"/>
      <c r="V156" s="743">
        <f>SUBTOTAL(9,V157:V159)</f>
        <v>0</v>
      </c>
      <c r="W156" s="744">
        <f>SUBTOTAL(9,W157:W159)</f>
        <v>0</v>
      </c>
    </row>
    <row r="157" spans="1:23" s="742" customFormat="1" outlineLevel="3">
      <c r="A157" s="392"/>
      <c r="B157" s="387" t="s">
        <v>1310</v>
      </c>
      <c r="C157" s="387" t="s">
        <v>1310</v>
      </c>
      <c r="D157" s="387" t="s">
        <v>441</v>
      </c>
      <c r="E157" s="387" t="s">
        <v>437</v>
      </c>
      <c r="F157" s="705" t="s">
        <v>36</v>
      </c>
      <c r="G157" s="706">
        <v>0.56340280000000009</v>
      </c>
      <c r="H157" s="707">
        <v>1</v>
      </c>
      <c r="I157" s="741"/>
      <c r="J157" s="758"/>
      <c r="K157" s="749"/>
      <c r="L157" s="387" t="s">
        <v>437</v>
      </c>
      <c r="M157" s="387" t="s">
        <v>966</v>
      </c>
      <c r="N157" s="387" t="s">
        <v>1318</v>
      </c>
      <c r="O157" s="387" t="s">
        <v>1319</v>
      </c>
      <c r="P157" s="387"/>
      <c r="Q157" s="387"/>
      <c r="R157" s="387"/>
      <c r="S157" s="749"/>
      <c r="T157" s="758"/>
      <c r="U157" s="749"/>
      <c r="V157" s="609">
        <f t="shared" ref="V157:V159" si="31">IF(W157=1,G157,0)</f>
        <v>0</v>
      </c>
      <c r="W157" s="707"/>
    </row>
    <row r="158" spans="1:23" s="742" customFormat="1" outlineLevel="3">
      <c r="A158" s="392"/>
      <c r="B158" s="387" t="s">
        <v>1310</v>
      </c>
      <c r="C158" s="387" t="s">
        <v>1310</v>
      </c>
      <c r="D158" s="387" t="s">
        <v>441</v>
      </c>
      <c r="E158" s="387" t="s">
        <v>437</v>
      </c>
      <c r="F158" s="705" t="s">
        <v>1237</v>
      </c>
      <c r="G158" s="706">
        <v>0.28170140000000005</v>
      </c>
      <c r="H158" s="707">
        <v>1</v>
      </c>
      <c r="I158" s="741"/>
      <c r="J158" s="758"/>
      <c r="K158" s="749"/>
      <c r="L158" s="387" t="s">
        <v>437</v>
      </c>
      <c r="M158" s="387" t="s">
        <v>966</v>
      </c>
      <c r="N158" s="387" t="s">
        <v>1318</v>
      </c>
      <c r="O158" s="387" t="s">
        <v>1319</v>
      </c>
      <c r="P158" s="387"/>
      <c r="Q158" s="387"/>
      <c r="R158" s="387"/>
      <c r="S158" s="749"/>
      <c r="T158" s="758"/>
      <c r="U158" s="749"/>
      <c r="V158" s="609">
        <f t="shared" si="31"/>
        <v>0</v>
      </c>
      <c r="W158" s="707"/>
    </row>
    <row r="159" spans="1:23" s="742" customFormat="1" outlineLevel="3">
      <c r="A159" s="392"/>
      <c r="B159" s="387" t="s">
        <v>1310</v>
      </c>
      <c r="C159" s="387" t="s">
        <v>1310</v>
      </c>
      <c r="D159" s="387" t="s">
        <v>441</v>
      </c>
      <c r="E159" s="387" t="s">
        <v>437</v>
      </c>
      <c r="F159" s="705" t="s">
        <v>1303</v>
      </c>
      <c r="G159" s="706">
        <v>0.28170140000000005</v>
      </c>
      <c r="H159" s="707">
        <v>1</v>
      </c>
      <c r="I159" s="741"/>
      <c r="J159" s="758"/>
      <c r="K159" s="749"/>
      <c r="L159" s="387" t="s">
        <v>437</v>
      </c>
      <c r="M159" s="387" t="s">
        <v>966</v>
      </c>
      <c r="N159" s="387" t="s">
        <v>1318</v>
      </c>
      <c r="O159" s="387" t="s">
        <v>1319</v>
      </c>
      <c r="P159" s="387"/>
      <c r="Q159" s="387"/>
      <c r="R159" s="387"/>
      <c r="S159" s="749"/>
      <c r="T159" s="758"/>
      <c r="U159" s="749"/>
      <c r="V159" s="609">
        <f t="shared" si="31"/>
        <v>0</v>
      </c>
      <c r="W159" s="707"/>
    </row>
    <row r="160" spans="1:23" s="742" customFormat="1" outlineLevel="3">
      <c r="A160" s="392"/>
      <c r="B160" s="387" t="s">
        <v>1310</v>
      </c>
      <c r="C160" s="387" t="s">
        <v>1310</v>
      </c>
      <c r="D160" s="387" t="s">
        <v>441</v>
      </c>
      <c r="E160" s="387" t="s">
        <v>437</v>
      </c>
      <c r="F160" s="705" t="s">
        <v>1873</v>
      </c>
      <c r="G160" s="706">
        <v>0.56340280000000009</v>
      </c>
      <c r="H160" s="707">
        <v>1</v>
      </c>
      <c r="I160" s="741"/>
      <c r="J160" s="758"/>
      <c r="K160" s="749"/>
      <c r="L160" s="387" t="s">
        <v>437</v>
      </c>
      <c r="M160" s="387" t="s">
        <v>966</v>
      </c>
      <c r="N160" s="387" t="s">
        <v>1318</v>
      </c>
      <c r="O160" s="387" t="s">
        <v>1319</v>
      </c>
      <c r="P160" s="387"/>
      <c r="Q160" s="387"/>
      <c r="R160" s="387"/>
      <c r="S160" s="749"/>
      <c r="T160" s="758"/>
      <c r="U160" s="749"/>
      <c r="V160" s="609">
        <f>IF(W160=1,G160,0)</f>
        <v>0</v>
      </c>
      <c r="W160" s="707"/>
    </row>
    <row r="161" spans="1:23" s="742" customFormat="1" outlineLevel="2">
      <c r="A161" s="392">
        <v>2</v>
      </c>
      <c r="B161" s="687" t="s">
        <v>1310</v>
      </c>
      <c r="C161" s="687" t="s">
        <v>1310</v>
      </c>
      <c r="D161" s="687" t="s">
        <v>860</v>
      </c>
      <c r="E161" s="687"/>
      <c r="F161" s="717" t="s">
        <v>1902</v>
      </c>
      <c r="G161" s="743">
        <f>SUBTOTAL(9,G162:G164)</f>
        <v>1.1029326000000002</v>
      </c>
      <c r="H161" s="744">
        <f>SUBTOTAL(9,H162:H164)</f>
        <v>3</v>
      </c>
      <c r="I161" s="741"/>
      <c r="J161" s="758"/>
      <c r="K161" s="749"/>
      <c r="L161" s="687"/>
      <c r="M161" s="687"/>
      <c r="N161" s="687"/>
      <c r="O161" s="687"/>
      <c r="P161" s="687"/>
      <c r="Q161" s="687"/>
      <c r="R161" s="687"/>
      <c r="S161" s="749"/>
      <c r="T161" s="758"/>
      <c r="U161" s="749"/>
      <c r="V161" s="743">
        <f>SUBTOTAL(9,V162:V163)</f>
        <v>0</v>
      </c>
      <c r="W161" s="744">
        <f>SUBTOTAL(9,W162:W163)</f>
        <v>0</v>
      </c>
    </row>
    <row r="162" spans="1:23" s="742" customFormat="1" outlineLevel="3">
      <c r="A162" s="392"/>
      <c r="B162" s="387" t="s">
        <v>1310</v>
      </c>
      <c r="C162" s="387" t="s">
        <v>1310</v>
      </c>
      <c r="D162" s="387" t="s">
        <v>860</v>
      </c>
      <c r="E162" s="387" t="s">
        <v>437</v>
      </c>
      <c r="F162" s="705" t="s">
        <v>36</v>
      </c>
      <c r="G162" s="706">
        <v>0.47268540000000003</v>
      </c>
      <c r="H162" s="707">
        <v>1</v>
      </c>
      <c r="I162" s="741"/>
      <c r="J162" s="758"/>
      <c r="K162" s="749"/>
      <c r="L162" s="387" t="s">
        <v>437</v>
      </c>
      <c r="M162" s="387" t="s">
        <v>996</v>
      </c>
      <c r="N162" s="387" t="s">
        <v>1048</v>
      </c>
      <c r="O162" s="387" t="s">
        <v>1249</v>
      </c>
      <c r="P162" s="387"/>
      <c r="Q162" s="387"/>
      <c r="R162" s="387"/>
      <c r="S162" s="749"/>
      <c r="T162" s="758"/>
      <c r="U162" s="749"/>
      <c r="V162" s="609">
        <f t="shared" ref="V162:V163" si="32">IF(W162=1,G162,0)</f>
        <v>0</v>
      </c>
      <c r="W162" s="707"/>
    </row>
    <row r="163" spans="1:23" s="742" customFormat="1" outlineLevel="3">
      <c r="A163" s="392"/>
      <c r="B163" s="387" t="s">
        <v>1310</v>
      </c>
      <c r="C163" s="387" t="s">
        <v>1310</v>
      </c>
      <c r="D163" s="387" t="s">
        <v>860</v>
      </c>
      <c r="E163" s="387" t="s">
        <v>437</v>
      </c>
      <c r="F163" s="705" t="s">
        <v>1303</v>
      </c>
      <c r="G163" s="706">
        <v>0.15756180000000003</v>
      </c>
      <c r="H163" s="707">
        <v>1</v>
      </c>
      <c r="I163" s="741"/>
      <c r="J163" s="758"/>
      <c r="K163" s="749"/>
      <c r="L163" s="387" t="s">
        <v>437</v>
      </c>
      <c r="M163" s="387" t="s">
        <v>996</v>
      </c>
      <c r="N163" s="387" t="s">
        <v>1048</v>
      </c>
      <c r="O163" s="387" t="s">
        <v>1249</v>
      </c>
      <c r="P163" s="387"/>
      <c r="Q163" s="387"/>
      <c r="R163" s="387"/>
      <c r="S163" s="749"/>
      <c r="T163" s="758"/>
      <c r="U163" s="749"/>
      <c r="V163" s="609">
        <f t="shared" si="32"/>
        <v>0</v>
      </c>
      <c r="W163" s="707"/>
    </row>
    <row r="164" spans="1:23" s="742" customFormat="1" outlineLevel="3">
      <c r="A164" s="392"/>
      <c r="B164" s="387" t="s">
        <v>1310</v>
      </c>
      <c r="C164" s="387" t="s">
        <v>1310</v>
      </c>
      <c r="D164" s="387" t="s">
        <v>860</v>
      </c>
      <c r="E164" s="387" t="s">
        <v>437</v>
      </c>
      <c r="F164" s="705" t="s">
        <v>1873</v>
      </c>
      <c r="G164" s="706">
        <v>0.47268540000000003</v>
      </c>
      <c r="H164" s="707">
        <v>1</v>
      </c>
      <c r="I164" s="741"/>
      <c r="J164" s="758"/>
      <c r="K164" s="749"/>
      <c r="L164" s="387" t="s">
        <v>437</v>
      </c>
      <c r="M164" s="387" t="s">
        <v>996</v>
      </c>
      <c r="N164" s="387" t="s">
        <v>1048</v>
      </c>
      <c r="O164" s="387" t="s">
        <v>1249</v>
      </c>
      <c r="P164" s="387"/>
      <c r="Q164" s="387"/>
      <c r="R164" s="387"/>
      <c r="S164" s="749"/>
      <c r="T164" s="758"/>
      <c r="U164" s="749"/>
      <c r="V164" s="609">
        <f>IF(W164=1,G164,0)</f>
        <v>0</v>
      </c>
      <c r="W164" s="707"/>
    </row>
    <row r="165" spans="1:23" outlineLevel="1">
      <c r="A165" s="376"/>
      <c r="B165" s="666" t="s">
        <v>236</v>
      </c>
      <c r="C165" s="666" t="s">
        <v>1406</v>
      </c>
      <c r="D165" s="667"/>
      <c r="E165" s="665"/>
      <c r="F165" s="681" t="s">
        <v>947</v>
      </c>
      <c r="G165" s="724">
        <f>SUBTOTAL(9,G166:G181)</f>
        <v>29.354622702813757</v>
      </c>
      <c r="H165" s="725">
        <f>SUBTOTAL(9,H166:H181)</f>
        <v>11</v>
      </c>
      <c r="I165" s="626"/>
      <c r="J165" s="752"/>
      <c r="L165" s="665"/>
      <c r="M165" s="665"/>
      <c r="N165" s="665"/>
      <c r="O165" s="665"/>
      <c r="P165" s="665"/>
      <c r="Q165" s="665"/>
      <c r="R165" s="665"/>
      <c r="T165" s="752"/>
      <c r="V165" s="724">
        <f>SUBTOTAL(9,V166:V181)</f>
        <v>0</v>
      </c>
      <c r="W165" s="725">
        <f>SUBTOTAL(9,W166:W181)</f>
        <v>0</v>
      </c>
    </row>
    <row r="166" spans="1:23" outlineLevel="2">
      <c r="A166" s="376"/>
      <c r="B166" s="684" t="s">
        <v>236</v>
      </c>
      <c r="C166" s="687" t="s">
        <v>1407</v>
      </c>
      <c r="D166" s="684" t="s">
        <v>159</v>
      </c>
      <c r="E166" s="684"/>
      <c r="F166" s="685" t="s">
        <v>36</v>
      </c>
      <c r="G166" s="686">
        <f>SUBTOTAL(9,G167:G169)</f>
        <v>15.802074948250002</v>
      </c>
      <c r="H166" s="691">
        <f>SUBTOTAL(9,H167:H169)</f>
        <v>3</v>
      </c>
      <c r="I166" s="626"/>
      <c r="J166" s="752"/>
      <c r="L166" s="684"/>
      <c r="M166" s="684"/>
      <c r="N166" s="684"/>
      <c r="O166" s="684"/>
      <c r="P166" s="684"/>
      <c r="Q166" s="684"/>
      <c r="R166" s="684"/>
      <c r="T166" s="752"/>
      <c r="V166" s="686">
        <f>SUBTOTAL(9,V167:V169)</f>
        <v>0</v>
      </c>
      <c r="W166" s="691">
        <f>SUBTOTAL(9,W167:W169)</f>
        <v>0</v>
      </c>
    </row>
    <row r="167" spans="1:23" outlineLevel="3">
      <c r="A167" s="376"/>
      <c r="B167" s="376" t="s">
        <v>236</v>
      </c>
      <c r="C167" s="387" t="s">
        <v>1407</v>
      </c>
      <c r="D167" s="376" t="s">
        <v>159</v>
      </c>
      <c r="E167" s="376" t="s">
        <v>1100</v>
      </c>
      <c r="F167" s="608" t="s">
        <v>17</v>
      </c>
      <c r="G167" s="609">
        <v>6.3210374741250011</v>
      </c>
      <c r="H167" s="692">
        <v>1</v>
      </c>
      <c r="I167" s="626"/>
      <c r="J167" s="752"/>
      <c r="L167" s="376" t="s">
        <v>1100</v>
      </c>
      <c r="M167" s="376" t="s">
        <v>1090</v>
      </c>
      <c r="N167" s="376" t="s">
        <v>1110</v>
      </c>
      <c r="O167" s="376" t="s">
        <v>1101</v>
      </c>
      <c r="P167" s="376"/>
      <c r="Q167" s="376"/>
      <c r="R167" s="376"/>
      <c r="T167" s="752"/>
      <c r="V167" s="609">
        <f t="shared" ref="V167:V169" si="33">IF(W167=1,G167,0)</f>
        <v>0</v>
      </c>
      <c r="W167" s="692"/>
    </row>
    <row r="168" spans="1:23" outlineLevel="3">
      <c r="A168" s="376"/>
      <c r="B168" s="376" t="s">
        <v>236</v>
      </c>
      <c r="C168" s="387" t="s">
        <v>1407</v>
      </c>
      <c r="D168" s="376" t="s">
        <v>159</v>
      </c>
      <c r="E168" s="376" t="s">
        <v>1100</v>
      </c>
      <c r="F168" s="608" t="s">
        <v>36</v>
      </c>
      <c r="G168" s="609">
        <v>6.3210374741250011</v>
      </c>
      <c r="H168" s="692">
        <v>1</v>
      </c>
      <c r="I168" s="626"/>
      <c r="J168" s="752"/>
      <c r="L168" s="376" t="s">
        <v>1100</v>
      </c>
      <c r="M168" s="376" t="s">
        <v>1090</v>
      </c>
      <c r="N168" s="376" t="s">
        <v>1110</v>
      </c>
      <c r="O168" s="376" t="s">
        <v>1101</v>
      </c>
      <c r="P168" s="376"/>
      <c r="Q168" s="376"/>
      <c r="R168" s="376"/>
      <c r="T168" s="752"/>
      <c r="V168" s="609">
        <f>IF(W168=1,G168,0)</f>
        <v>0</v>
      </c>
      <c r="W168" s="692"/>
    </row>
    <row r="169" spans="1:23" outlineLevel="3">
      <c r="A169" s="376"/>
      <c r="B169" s="376" t="s">
        <v>236</v>
      </c>
      <c r="C169" s="387" t="s">
        <v>1407</v>
      </c>
      <c r="D169" s="376" t="s">
        <v>159</v>
      </c>
      <c r="E169" s="376" t="s">
        <v>1100</v>
      </c>
      <c r="F169" s="608" t="s">
        <v>208</v>
      </c>
      <c r="G169" s="609">
        <v>3.16</v>
      </c>
      <c r="H169" s="692">
        <v>1</v>
      </c>
      <c r="I169" s="626"/>
      <c r="J169" s="752"/>
      <c r="L169" s="376" t="s">
        <v>1100</v>
      </c>
      <c r="M169" s="376" t="s">
        <v>1090</v>
      </c>
      <c r="N169" s="376" t="s">
        <v>1110</v>
      </c>
      <c r="O169" s="376" t="s">
        <v>1101</v>
      </c>
      <c r="P169" s="376"/>
      <c r="Q169" s="376"/>
      <c r="R169" s="376"/>
      <c r="T169" s="752"/>
      <c r="V169" s="609">
        <f t="shared" si="33"/>
        <v>0</v>
      </c>
      <c r="W169" s="692"/>
    </row>
    <row r="170" spans="1:23" outlineLevel="2">
      <c r="A170" s="376"/>
      <c r="B170" s="684" t="s">
        <v>236</v>
      </c>
      <c r="C170" s="687" t="s">
        <v>1410</v>
      </c>
      <c r="D170" s="684" t="s">
        <v>159</v>
      </c>
      <c r="E170" s="684"/>
      <c r="F170" s="685" t="s">
        <v>36</v>
      </c>
      <c r="G170" s="686">
        <f>SUBTOTAL(9,G171:G173)</f>
        <v>5.6190376572500007</v>
      </c>
      <c r="H170" s="691">
        <f>SUBTOTAL(9,H171:H173)</f>
        <v>3</v>
      </c>
      <c r="I170" s="626"/>
      <c r="J170" s="752"/>
      <c r="L170" s="684"/>
      <c r="M170" s="684"/>
      <c r="N170" s="684"/>
      <c r="O170" s="684"/>
      <c r="P170" s="684"/>
      <c r="Q170" s="684"/>
      <c r="R170" s="684"/>
      <c r="T170" s="752"/>
      <c r="V170" s="686">
        <f>SUBTOTAL(9,V171:V173)</f>
        <v>0</v>
      </c>
      <c r="W170" s="691">
        <f>SUBTOTAL(9,W171:W173)</f>
        <v>0</v>
      </c>
    </row>
    <row r="171" spans="1:23" outlineLevel="3">
      <c r="A171" s="376"/>
      <c r="B171" s="376" t="s">
        <v>236</v>
      </c>
      <c r="C171" s="387" t="s">
        <v>1410</v>
      </c>
      <c r="D171" s="376" t="s">
        <v>159</v>
      </c>
      <c r="E171" s="376" t="s">
        <v>664</v>
      </c>
      <c r="F171" s="608" t="s">
        <v>17</v>
      </c>
      <c r="G171" s="609">
        <v>1.4045188286250001</v>
      </c>
      <c r="H171" s="692">
        <v>1</v>
      </c>
      <c r="I171" s="626"/>
      <c r="J171" s="752"/>
      <c r="L171" s="376" t="s">
        <v>664</v>
      </c>
      <c r="M171" s="376"/>
      <c r="N171" s="376"/>
      <c r="O171" s="376"/>
      <c r="P171" s="376"/>
      <c r="Q171" s="376"/>
      <c r="R171" s="376"/>
      <c r="T171" s="752"/>
      <c r="V171" s="609">
        <f t="shared" ref="V171:V173" si="34">IF(W171=1,G171,0)</f>
        <v>0</v>
      </c>
      <c r="W171" s="692"/>
    </row>
    <row r="172" spans="1:23" outlineLevel="3">
      <c r="A172" s="376"/>
      <c r="B172" s="376" t="s">
        <v>236</v>
      </c>
      <c r="C172" s="387" t="s">
        <v>1410</v>
      </c>
      <c r="D172" s="376" t="s">
        <v>159</v>
      </c>
      <c r="E172" s="376" t="s">
        <v>664</v>
      </c>
      <c r="F172" s="608" t="s">
        <v>36</v>
      </c>
      <c r="G172" s="609">
        <v>1.4045188286250001</v>
      </c>
      <c r="H172" s="692">
        <v>1</v>
      </c>
      <c r="I172" s="626"/>
      <c r="J172" s="752"/>
      <c r="L172" s="376" t="s">
        <v>664</v>
      </c>
      <c r="M172" s="376"/>
      <c r="N172" s="376"/>
      <c r="O172" s="376"/>
      <c r="P172" s="376"/>
      <c r="Q172" s="376"/>
      <c r="R172" s="376"/>
      <c r="T172" s="752"/>
      <c r="V172" s="609">
        <f>IF(W172=1,G172,0)</f>
        <v>0</v>
      </c>
      <c r="W172" s="692"/>
    </row>
    <row r="173" spans="1:23" outlineLevel="3">
      <c r="A173" s="376"/>
      <c r="B173" s="376" t="s">
        <v>236</v>
      </c>
      <c r="C173" s="387" t="s">
        <v>1410</v>
      </c>
      <c r="D173" s="376" t="s">
        <v>159</v>
      </c>
      <c r="E173" s="376" t="s">
        <v>664</v>
      </c>
      <c r="F173" s="608" t="s">
        <v>208</v>
      </c>
      <c r="G173" s="609">
        <v>2.81</v>
      </c>
      <c r="H173" s="692">
        <v>1</v>
      </c>
      <c r="I173" s="626"/>
      <c r="J173" s="752"/>
      <c r="L173" s="376" t="s">
        <v>664</v>
      </c>
      <c r="M173" s="376"/>
      <c r="N173" s="376"/>
      <c r="O173" s="376"/>
      <c r="P173" s="376"/>
      <c r="Q173" s="376"/>
      <c r="R173" s="376"/>
      <c r="T173" s="752"/>
      <c r="V173" s="609">
        <f t="shared" si="34"/>
        <v>0</v>
      </c>
      <c r="W173" s="692"/>
    </row>
    <row r="174" spans="1:23" outlineLevel="2">
      <c r="A174" s="376"/>
      <c r="B174" s="684" t="s">
        <v>236</v>
      </c>
      <c r="C174" s="687" t="s">
        <v>1406</v>
      </c>
      <c r="D174" s="684" t="s">
        <v>518</v>
      </c>
      <c r="E174" s="684"/>
      <c r="F174" s="685" t="s">
        <v>36</v>
      </c>
      <c r="G174" s="686">
        <f>SUBTOTAL(9,G175)</f>
        <v>4.0201798335435006</v>
      </c>
      <c r="H174" s="691">
        <f>SUBTOTAL(9,H175)</f>
        <v>1</v>
      </c>
      <c r="I174" s="626"/>
      <c r="J174" s="752"/>
      <c r="L174" s="684"/>
      <c r="M174" s="684"/>
      <c r="N174" s="684"/>
      <c r="O174" s="684"/>
      <c r="P174" s="684"/>
      <c r="Q174" s="684"/>
      <c r="R174" s="684"/>
      <c r="T174" s="752"/>
      <c r="V174" s="686">
        <f>SUBTOTAL(9,V175)</f>
        <v>0</v>
      </c>
      <c r="W174" s="691">
        <f>SUBTOTAL(9,W175)</f>
        <v>0</v>
      </c>
    </row>
    <row r="175" spans="1:23" outlineLevel="3">
      <c r="A175" s="376"/>
      <c r="B175" s="376" t="s">
        <v>236</v>
      </c>
      <c r="C175" s="387" t="s">
        <v>1406</v>
      </c>
      <c r="D175" s="376" t="s">
        <v>518</v>
      </c>
      <c r="E175" s="376" t="s">
        <v>56</v>
      </c>
      <c r="F175" s="608" t="s">
        <v>36</v>
      </c>
      <c r="G175" s="609">
        <v>4.0201798335435006</v>
      </c>
      <c r="H175" s="692">
        <v>1</v>
      </c>
      <c r="I175" s="626"/>
      <c r="J175" s="752"/>
      <c r="L175" s="376" t="s">
        <v>56</v>
      </c>
      <c r="M175" s="376" t="s">
        <v>1284</v>
      </c>
      <c r="N175" s="376" t="s">
        <v>960</v>
      </c>
      <c r="O175" s="376" t="s">
        <v>1344</v>
      </c>
      <c r="P175" s="376" t="s">
        <v>1040</v>
      </c>
      <c r="Q175" s="376"/>
      <c r="R175" s="376">
        <v>0</v>
      </c>
      <c r="T175" s="752"/>
      <c r="V175" s="609">
        <f t="shared" ref="V175" si="35">IF(W175=1,G175,0)</f>
        <v>0</v>
      </c>
      <c r="W175" s="692"/>
    </row>
    <row r="176" spans="1:23" outlineLevel="2">
      <c r="A176" s="376"/>
      <c r="B176" s="684" t="s">
        <v>236</v>
      </c>
      <c r="C176" s="687" t="s">
        <v>1406</v>
      </c>
      <c r="D176" s="684" t="s">
        <v>441</v>
      </c>
      <c r="E176" s="684"/>
      <c r="F176" s="685" t="s">
        <v>36</v>
      </c>
      <c r="G176" s="686">
        <f>SUBTOTAL(9,G177:G178)</f>
        <v>2.2417648438935003</v>
      </c>
      <c r="H176" s="691">
        <f>SUBTOTAL(9,H177:H178)</f>
        <v>2</v>
      </c>
      <c r="I176" s="626"/>
      <c r="J176" s="752"/>
      <c r="L176" s="684"/>
      <c r="M176" s="684"/>
      <c r="N176" s="684"/>
      <c r="O176" s="684"/>
      <c r="P176" s="684"/>
      <c r="Q176" s="684"/>
      <c r="R176" s="684"/>
      <c r="T176" s="752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236</v>
      </c>
      <c r="C177" s="387" t="s">
        <v>1406</v>
      </c>
      <c r="D177" s="376" t="s">
        <v>441</v>
      </c>
      <c r="E177" s="376" t="s">
        <v>437</v>
      </c>
      <c r="F177" s="608" t="s">
        <v>36</v>
      </c>
      <c r="G177" s="609">
        <v>1.4917648438935003</v>
      </c>
      <c r="H177" s="692">
        <v>1</v>
      </c>
      <c r="I177" s="626"/>
      <c r="J177" s="752"/>
      <c r="L177" s="376" t="s">
        <v>437</v>
      </c>
      <c r="M177" s="376"/>
      <c r="N177" s="376"/>
      <c r="O177" s="376"/>
      <c r="P177" s="376"/>
      <c r="Q177" s="376"/>
      <c r="R177" s="376"/>
      <c r="T177" s="752"/>
      <c r="V177" s="609">
        <f>IF(W177=1,G177,0)</f>
        <v>0</v>
      </c>
      <c r="W177" s="692"/>
    </row>
    <row r="178" spans="1:23" outlineLevel="3">
      <c r="A178" s="376"/>
      <c r="B178" s="376" t="s">
        <v>236</v>
      </c>
      <c r="C178" s="387" t="s">
        <v>1406</v>
      </c>
      <c r="D178" s="376" t="s">
        <v>441</v>
      </c>
      <c r="E178" s="376" t="s">
        <v>437</v>
      </c>
      <c r="F178" s="608" t="s">
        <v>208</v>
      </c>
      <c r="G178" s="609">
        <v>0.75</v>
      </c>
      <c r="H178" s="692">
        <v>1</v>
      </c>
      <c r="I178" s="626"/>
      <c r="J178" s="752"/>
      <c r="L178" s="376" t="s">
        <v>437</v>
      </c>
      <c r="M178" s="376"/>
      <c r="N178" s="376"/>
      <c r="O178" s="376"/>
      <c r="P178" s="376"/>
      <c r="Q178" s="376"/>
      <c r="R178" s="376"/>
      <c r="T178" s="752"/>
      <c r="V178" s="609">
        <f t="shared" ref="V178" si="36">IF(W178=1,G178,0)</f>
        <v>0</v>
      </c>
      <c r="W178" s="692"/>
    </row>
    <row r="179" spans="1:23" outlineLevel="2">
      <c r="A179" s="376"/>
      <c r="B179" s="684" t="s">
        <v>236</v>
      </c>
      <c r="C179" s="687" t="s">
        <v>1406</v>
      </c>
      <c r="D179" s="684" t="s">
        <v>860</v>
      </c>
      <c r="E179" s="684"/>
      <c r="F179" s="685" t="s">
        <v>36</v>
      </c>
      <c r="G179" s="686">
        <f>SUBTOTAL(9,G180:G181)</f>
        <v>1.6715654198767502</v>
      </c>
      <c r="H179" s="691">
        <f>SUBTOTAL(9,H180:H181)</f>
        <v>2</v>
      </c>
      <c r="I179" s="626"/>
      <c r="J179" s="752"/>
      <c r="L179" s="684"/>
      <c r="M179" s="684"/>
      <c r="N179" s="684"/>
      <c r="O179" s="684"/>
      <c r="P179" s="684"/>
      <c r="Q179" s="684"/>
      <c r="R179" s="684"/>
      <c r="T179" s="752"/>
      <c r="V179" s="686">
        <f>SUBTOTAL(9,V180:V181)</f>
        <v>0</v>
      </c>
      <c r="W179" s="691">
        <f>SUBTOTAL(9,W180:W181)</f>
        <v>0</v>
      </c>
    </row>
    <row r="180" spans="1:23" outlineLevel="3">
      <c r="A180" s="376"/>
      <c r="B180" s="376" t="s">
        <v>236</v>
      </c>
      <c r="C180" s="387" t="s">
        <v>1406</v>
      </c>
      <c r="D180" s="376" t="s">
        <v>860</v>
      </c>
      <c r="E180" s="376" t="s">
        <v>437</v>
      </c>
      <c r="F180" s="608" t="s">
        <v>36</v>
      </c>
      <c r="G180" s="609">
        <v>1.2515654198767503</v>
      </c>
      <c r="H180" s="770">
        <v>1</v>
      </c>
      <c r="I180" s="626"/>
      <c r="J180" s="752"/>
      <c r="L180" s="376" t="s">
        <v>437</v>
      </c>
      <c r="M180" s="376"/>
      <c r="N180" s="376"/>
      <c r="O180" s="376"/>
      <c r="P180" s="376"/>
      <c r="Q180" s="376"/>
      <c r="R180" s="376"/>
      <c r="T180" s="752"/>
      <c r="V180" s="609">
        <f>IF(W180=1,G180,0)</f>
        <v>0</v>
      </c>
      <c r="W180" s="609"/>
    </row>
    <row r="181" spans="1:23" outlineLevel="3">
      <c r="A181" s="376"/>
      <c r="B181" s="376" t="s">
        <v>236</v>
      </c>
      <c r="C181" s="387" t="s">
        <v>1406</v>
      </c>
      <c r="D181" s="376" t="s">
        <v>860</v>
      </c>
      <c r="E181" s="376" t="s">
        <v>437</v>
      </c>
      <c r="F181" s="608" t="s">
        <v>208</v>
      </c>
      <c r="G181" s="609">
        <v>0.42</v>
      </c>
      <c r="H181" s="770">
        <v>1</v>
      </c>
      <c r="I181" s="626"/>
      <c r="J181" s="752"/>
      <c r="L181" s="376" t="s">
        <v>437</v>
      </c>
      <c r="M181" s="376"/>
      <c r="N181" s="376"/>
      <c r="O181" s="376"/>
      <c r="P181" s="376"/>
      <c r="Q181" s="376"/>
      <c r="R181" s="376"/>
      <c r="T181" s="752"/>
      <c r="V181" s="609">
        <f t="shared" ref="V181" si="37">IF(W181=1,G181,0)</f>
        <v>0</v>
      </c>
      <c r="W181" s="609"/>
    </row>
  </sheetData>
  <autoFilter ref="B4:W181" xr:uid="{57F02A47-1D5F-458C-8847-CD7E7A6C8A72}"/>
  <printOptions horizontalCentered="1" gridLines="1"/>
  <pageMargins left="0.23622047244094491" right="0.23622047244094491" top="0.43307086614173229" bottom="0.35433070866141736" header="0.31496062992125984" footer="0.31496062992125984"/>
  <pageSetup paperSize="8" scale="61" fitToHeight="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3B65-2334-42EC-B3C2-EBF83BD1ABA0}">
  <sheetPr>
    <outlinePr summaryBelow="0" summaryRight="0"/>
    <pageSetUpPr fitToPage="1"/>
  </sheetPr>
  <dimension ref="A2:AE131"/>
  <sheetViews>
    <sheetView zoomScale="90" zoomScaleNormal="90" workbookViewId="0">
      <pane xSplit="2" ySplit="4" topLeftCell="C5" activePane="bottomRight" state="frozen"/>
      <selection pane="bottomRight" activeCell="W131" sqref="W131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50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7.45">
      <c r="A2" s="376"/>
      <c r="B2" s="418" t="s">
        <v>1874</v>
      </c>
      <c r="C2" s="418"/>
      <c r="D2" s="418"/>
      <c r="E2" s="418"/>
      <c r="F2" s="423"/>
      <c r="G2" s="689">
        <f>SUBTOTAL(9,G6:G126)</f>
        <v>37.752374967763117</v>
      </c>
      <c r="H2" s="690">
        <f>SUBTOTAL(9,H6:H131)</f>
        <v>110</v>
      </c>
      <c r="I2" s="626"/>
      <c r="J2" s="752"/>
      <c r="L2" s="418"/>
      <c r="M2" s="418"/>
      <c r="N2" s="418"/>
      <c r="O2" s="418"/>
      <c r="P2" s="418"/>
      <c r="Q2" s="418"/>
      <c r="R2" s="418"/>
      <c r="T2" s="752"/>
      <c r="V2" s="689">
        <f>SUBTOTAL(9,V6:V126)</f>
        <v>0.69398269558670089</v>
      </c>
      <c r="W2" s="765">
        <f>SUBTOTAL(9,W6:W126)</f>
        <v>5</v>
      </c>
      <c r="X2" s="610">
        <f>G2-V2</f>
        <v>37.05839227217642</v>
      </c>
      <c r="Y2" s="610">
        <f>H2-W2</f>
        <v>105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2"/>
      <c r="L3" s="376"/>
      <c r="M3" s="376"/>
      <c r="N3" s="376"/>
      <c r="O3" s="376"/>
      <c r="P3" s="376"/>
      <c r="Q3" s="376"/>
      <c r="R3" s="376"/>
      <c r="T3" s="752"/>
      <c r="V3" s="376"/>
      <c r="W3" s="376"/>
    </row>
    <row r="4" spans="1:31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935</v>
      </c>
      <c r="G4" s="693" t="s">
        <v>936</v>
      </c>
      <c r="H4" s="693" t="s">
        <v>937</v>
      </c>
      <c r="I4" s="694"/>
      <c r="J4" s="753"/>
      <c r="L4" s="621" t="s">
        <v>0</v>
      </c>
      <c r="M4" s="621" t="s">
        <v>938</v>
      </c>
      <c r="N4" s="621" t="s">
        <v>939</v>
      </c>
      <c r="O4" s="621" t="s">
        <v>940</v>
      </c>
      <c r="P4" s="621" t="s">
        <v>941</v>
      </c>
      <c r="Q4" s="621" t="s">
        <v>942</v>
      </c>
      <c r="R4" s="621" t="s">
        <v>5</v>
      </c>
      <c r="T4" s="753"/>
      <c r="V4" s="621" t="s">
        <v>943</v>
      </c>
      <c r="W4" s="693" t="s">
        <v>944</v>
      </c>
      <c r="X4" s="764">
        <f>V2/G2</f>
        <v>1.8382491066569855E-2</v>
      </c>
      <c r="Y4" s="764">
        <f>W2/H2</f>
        <v>4.5454545454545456E-2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2"/>
      <c r="L5" s="376"/>
      <c r="M5" s="376"/>
      <c r="N5" s="376"/>
      <c r="O5" s="376"/>
      <c r="P5" s="376"/>
      <c r="Q5" s="376"/>
      <c r="R5" s="376"/>
      <c r="T5" s="752"/>
      <c r="V5" s="695"/>
      <c r="W5" s="696"/>
      <c r="X5" s="610"/>
      <c r="Y5" s="610"/>
      <c r="Z5" s="610"/>
      <c r="AA5" s="610"/>
    </row>
    <row r="6" spans="1:31" ht="15">
      <c r="A6" s="376"/>
      <c r="B6" s="430" t="s">
        <v>945</v>
      </c>
      <c r="C6" s="430"/>
      <c r="D6" s="430"/>
      <c r="E6" s="430"/>
      <c r="F6" s="697"/>
      <c r="G6" s="698">
        <f>SUBTOTAL(9,G8:G117)</f>
        <v>13.387374967763117</v>
      </c>
      <c r="H6" s="699">
        <f>SUBTOTAL(9,H8:H117)</f>
        <v>90</v>
      </c>
      <c r="I6" s="626"/>
      <c r="J6" s="752"/>
      <c r="L6" s="430"/>
      <c r="M6" s="430"/>
      <c r="N6" s="430"/>
      <c r="O6" s="430"/>
      <c r="P6" s="430"/>
      <c r="Q6" s="430"/>
      <c r="R6" s="430"/>
      <c r="T6" s="752"/>
      <c r="V6" s="698">
        <f>SUBTOTAL(9,V8:V117)</f>
        <v>0.69398269558670089</v>
      </c>
      <c r="W6" s="699">
        <f>SUBTOTAL(9,W8:W117)</f>
        <v>5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2"/>
      <c r="L7" s="376"/>
      <c r="M7" s="376"/>
      <c r="N7" s="376"/>
      <c r="O7" s="376"/>
      <c r="P7" s="376"/>
      <c r="Q7" s="376"/>
      <c r="R7" s="376"/>
      <c r="T7" s="752"/>
      <c r="V7" s="695"/>
      <c r="W7" s="700"/>
      <c r="X7" s="610"/>
      <c r="Y7" s="610"/>
      <c r="Z7" s="610"/>
      <c r="AA7" s="610"/>
    </row>
    <row r="8" spans="1:31" outlineLevel="1" collapsed="1">
      <c r="A8" s="376"/>
      <c r="B8" s="665" t="s">
        <v>891</v>
      </c>
      <c r="C8" s="665" t="s">
        <v>946</v>
      </c>
      <c r="D8" s="665"/>
      <c r="E8" s="665"/>
      <c r="F8" s="681" t="s">
        <v>947</v>
      </c>
      <c r="G8" s="701">
        <f>SUBTOTAL(9,G9:G18)</f>
        <v>0.39330311867795664</v>
      </c>
      <c r="H8" s="702">
        <f>SUBTOTAL(9,H9:H18)</f>
        <v>7</v>
      </c>
      <c r="I8" s="626"/>
      <c r="J8" s="752"/>
      <c r="L8" s="665"/>
      <c r="M8" s="665"/>
      <c r="N8" s="665"/>
      <c r="O8" s="665"/>
      <c r="P8" s="665"/>
      <c r="Q8" s="665"/>
      <c r="R8" s="665"/>
      <c r="T8" s="752"/>
      <c r="V8" s="701">
        <f>SUBTOTAL(9,V9:V18)</f>
        <v>0</v>
      </c>
      <c r="W8" s="702">
        <f>SUBTOTAL(9,W9:W18)</f>
        <v>0</v>
      </c>
      <c r="X8" s="610"/>
      <c r="Y8" s="610"/>
      <c r="Z8" s="610"/>
    </row>
    <row r="9" spans="1:31" hidden="1" outlineLevel="2">
      <c r="A9" s="376"/>
      <c r="B9" s="684" t="s">
        <v>891</v>
      </c>
      <c r="C9" s="684" t="s">
        <v>946</v>
      </c>
      <c r="D9" s="684" t="s">
        <v>159</v>
      </c>
      <c r="E9" s="684"/>
      <c r="F9" s="685" t="s">
        <v>948</v>
      </c>
      <c r="G9" s="686">
        <f>SUBTOTAL(9,G10:G12)</f>
        <v>0.35761529836000006</v>
      </c>
      <c r="H9" s="691">
        <f>SUBTOTAL(9,H10:H12)</f>
        <v>3</v>
      </c>
      <c r="I9" s="626"/>
      <c r="J9" s="752"/>
      <c r="L9" s="684"/>
      <c r="M9" s="684"/>
      <c r="N9" s="684"/>
      <c r="O9" s="684"/>
      <c r="P9" s="684"/>
      <c r="Q9" s="684"/>
      <c r="R9" s="684"/>
      <c r="T9" s="752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1" ht="26.45" hidden="1" outlineLevel="3">
      <c r="A10" s="376"/>
      <c r="B10" s="376" t="s">
        <v>891</v>
      </c>
      <c r="C10" s="376" t="s">
        <v>949</v>
      </c>
      <c r="D10" s="376" t="s">
        <v>159</v>
      </c>
      <c r="E10" s="376" t="s">
        <v>950</v>
      </c>
      <c r="F10" s="608" t="s">
        <v>9</v>
      </c>
      <c r="G10" s="609">
        <v>0.27</v>
      </c>
      <c r="H10" s="700">
        <v>1</v>
      </c>
      <c r="I10" s="626"/>
      <c r="J10" s="752"/>
      <c r="L10" s="376" t="s">
        <v>950</v>
      </c>
      <c r="M10" s="376" t="s">
        <v>951</v>
      </c>
      <c r="N10" s="376" t="s">
        <v>952</v>
      </c>
      <c r="O10" s="376"/>
      <c r="P10" s="376"/>
      <c r="Q10" s="376"/>
      <c r="R10" s="376"/>
      <c r="T10" s="752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1" ht="24.6" hidden="1" customHeight="1" outlineLevel="3">
      <c r="A11" s="376"/>
      <c r="B11" s="376" t="s">
        <v>891</v>
      </c>
      <c r="C11" s="376" t="s">
        <v>949</v>
      </c>
      <c r="D11" s="376" t="s">
        <v>159</v>
      </c>
      <c r="E11" s="376" t="s">
        <v>950</v>
      </c>
      <c r="F11" s="608" t="s">
        <v>953</v>
      </c>
      <c r="G11" s="695">
        <v>4.5377035860000005E-2</v>
      </c>
      <c r="H11" s="700">
        <v>1</v>
      </c>
      <c r="I11" s="626"/>
      <c r="J11" s="752"/>
      <c r="L11" s="376" t="s">
        <v>950</v>
      </c>
      <c r="M11" s="376" t="s">
        <v>954</v>
      </c>
      <c r="N11" s="376" t="s">
        <v>955</v>
      </c>
      <c r="O11" s="376"/>
      <c r="P11" s="376"/>
      <c r="Q11" s="376"/>
      <c r="R11" s="376"/>
      <c r="T11" s="752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" hidden="1" customHeight="1" outlineLevel="3">
      <c r="A12" s="376"/>
      <c r="B12" s="376" t="s">
        <v>891</v>
      </c>
      <c r="C12" s="376" t="s">
        <v>956</v>
      </c>
      <c r="D12" s="376" t="s">
        <v>159</v>
      </c>
      <c r="E12" s="376" t="s">
        <v>950</v>
      </c>
      <c r="F12" s="608" t="s">
        <v>957</v>
      </c>
      <c r="G12" s="609">
        <v>4.2238262499999998E-2</v>
      </c>
      <c r="H12" s="692">
        <v>1</v>
      </c>
      <c r="I12" s="626"/>
      <c r="J12" s="752"/>
      <c r="L12" s="376" t="s">
        <v>950</v>
      </c>
      <c r="M12" s="376" t="s">
        <v>954</v>
      </c>
      <c r="N12" s="376" t="s">
        <v>955</v>
      </c>
      <c r="O12" s="376"/>
      <c r="P12" s="376"/>
      <c r="Q12" s="376"/>
      <c r="R12" s="376"/>
      <c r="T12" s="752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idden="1" outlineLevel="2">
      <c r="A13" s="376"/>
      <c r="B13" s="684" t="s">
        <v>891</v>
      </c>
      <c r="C13" s="684" t="s">
        <v>946</v>
      </c>
      <c r="D13" s="684" t="s">
        <v>518</v>
      </c>
      <c r="E13" s="684"/>
      <c r="F13" s="685" t="s">
        <v>948</v>
      </c>
      <c r="G13" s="686">
        <f>SUBTOTAL(9,G14:G16)</f>
        <v>2.1350947217956596E-2</v>
      </c>
      <c r="H13" s="691">
        <f>SUBTOTAL(9,H14:H16)</f>
        <v>3</v>
      </c>
      <c r="I13" s="626"/>
      <c r="J13" s="752"/>
      <c r="L13" s="684"/>
      <c r="M13" s="684"/>
      <c r="N13" s="684"/>
      <c r="O13" s="684"/>
      <c r="P13" s="684"/>
      <c r="Q13" s="684"/>
      <c r="R13" s="684"/>
      <c r="T13" s="752"/>
      <c r="V13" s="686">
        <f>SUBTOTAL(9,V14:V16)</f>
        <v>0</v>
      </c>
      <c r="W13" s="691">
        <f>SUBTOTAL(9,W14:W16)</f>
        <v>0</v>
      </c>
      <c r="X13" s="610"/>
      <c r="Y13" s="610"/>
      <c r="Z13" s="610"/>
      <c r="AD13" s="447"/>
      <c r="AE13" s="683"/>
    </row>
    <row r="14" spans="1:31" ht="26.45" hidden="1" outlineLevel="3">
      <c r="A14" s="376"/>
      <c r="B14" s="376" t="s">
        <v>891</v>
      </c>
      <c r="C14" s="376" t="s">
        <v>949</v>
      </c>
      <c r="D14" s="376" t="s">
        <v>518</v>
      </c>
      <c r="E14" s="376" t="s">
        <v>56</v>
      </c>
      <c r="F14" s="608" t="s">
        <v>953</v>
      </c>
      <c r="G14" s="609">
        <v>5.2867302539999998E-3</v>
      </c>
      <c r="H14" s="700">
        <v>1</v>
      </c>
      <c r="I14" s="626"/>
      <c r="J14" s="752"/>
      <c r="L14" s="376" t="s">
        <v>56</v>
      </c>
      <c r="M14" s="376" t="s">
        <v>959</v>
      </c>
      <c r="N14" s="376" t="s">
        <v>960</v>
      </c>
      <c r="O14" s="376" t="s">
        <v>961</v>
      </c>
      <c r="P14" s="376" t="s">
        <v>962</v>
      </c>
      <c r="R14" s="376"/>
      <c r="T14" s="752"/>
      <c r="V14" s="609">
        <f t="shared" ref="V14:V16" si="1">IF(W14=1,G14,0)</f>
        <v>0</v>
      </c>
      <c r="W14" s="700"/>
      <c r="X14" s="610"/>
      <c r="Y14" s="610"/>
      <c r="Z14" s="610"/>
      <c r="AD14" s="447"/>
      <c r="AE14" s="683"/>
    </row>
    <row r="15" spans="1:31" hidden="1" outlineLevel="3">
      <c r="A15" s="376"/>
      <c r="B15" s="376" t="s">
        <v>891</v>
      </c>
      <c r="C15" s="376" t="s">
        <v>956</v>
      </c>
      <c r="D15" s="376" t="s">
        <v>518</v>
      </c>
      <c r="E15" s="376" t="s">
        <v>56</v>
      </c>
      <c r="F15" s="608" t="s">
        <v>957</v>
      </c>
      <c r="G15" s="609">
        <v>1.0861267500000001E-2</v>
      </c>
      <c r="H15" s="700">
        <v>1</v>
      </c>
      <c r="I15" s="626"/>
      <c r="J15" s="752"/>
      <c r="L15" s="376" t="s">
        <v>56</v>
      </c>
      <c r="M15" s="376" t="s">
        <v>959</v>
      </c>
      <c r="N15" s="376" t="s">
        <v>963</v>
      </c>
      <c r="O15" s="376" t="s">
        <v>964</v>
      </c>
      <c r="P15" s="376" t="s">
        <v>965</v>
      </c>
      <c r="R15" s="376"/>
      <c r="T15" s="752"/>
      <c r="V15" s="609">
        <f t="shared" si="1"/>
        <v>0</v>
      </c>
      <c r="W15" s="700"/>
      <c r="X15" s="610"/>
      <c r="Y15" s="610"/>
      <c r="Z15" s="610"/>
      <c r="AD15" s="447"/>
      <c r="AE15" s="683"/>
    </row>
    <row r="16" spans="1:31" ht="13.9" hidden="1" customHeight="1" outlineLevel="3">
      <c r="A16" s="376"/>
      <c r="B16" s="376" t="s">
        <v>891</v>
      </c>
      <c r="C16" s="376" t="s">
        <v>956</v>
      </c>
      <c r="D16" s="376" t="s">
        <v>518</v>
      </c>
      <c r="E16" s="376" t="s">
        <v>56</v>
      </c>
      <c r="F16" s="608" t="s">
        <v>958</v>
      </c>
      <c r="G16" s="609">
        <v>5.2029494639565963E-3</v>
      </c>
      <c r="H16" s="700">
        <v>1</v>
      </c>
      <c r="I16" s="626"/>
      <c r="J16" s="752"/>
      <c r="L16" s="376" t="s">
        <v>56</v>
      </c>
      <c r="M16" s="376" t="s">
        <v>959</v>
      </c>
      <c r="N16" s="376" t="s">
        <v>960</v>
      </c>
      <c r="O16" s="376" t="s">
        <v>961</v>
      </c>
      <c r="P16" s="376" t="s">
        <v>965</v>
      </c>
      <c r="R16" s="376"/>
      <c r="T16" s="752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idden="1" outlineLevel="2">
      <c r="A17" s="376"/>
      <c r="B17" s="684" t="s">
        <v>891</v>
      </c>
      <c r="C17" s="684" t="s">
        <v>946</v>
      </c>
      <c r="D17" s="684" t="s">
        <v>441</v>
      </c>
      <c r="E17" s="684"/>
      <c r="F17" s="685" t="s">
        <v>948</v>
      </c>
      <c r="G17" s="686">
        <f>SUBTOTAL(9,G18)</f>
        <v>1.4336873100000001E-2</v>
      </c>
      <c r="H17" s="691">
        <f>SUBTOTAL(9,H18)</f>
        <v>1</v>
      </c>
      <c r="I17" s="626"/>
      <c r="J17" s="752"/>
      <c r="L17" s="684"/>
      <c r="M17" s="684"/>
      <c r="N17" s="684"/>
      <c r="O17" s="684"/>
      <c r="P17" s="684"/>
      <c r="Q17" s="684"/>
      <c r="R17" s="684"/>
      <c r="T17" s="752"/>
      <c r="V17" s="686">
        <f>SUBTOTAL(9,V18)</f>
        <v>0</v>
      </c>
      <c r="W17" s="691">
        <f>SUBTOTAL(9,W18)</f>
        <v>0</v>
      </c>
    </row>
    <row r="18" spans="1:23" hidden="1" outlineLevel="3">
      <c r="A18" s="376"/>
      <c r="B18" s="376" t="s">
        <v>891</v>
      </c>
      <c r="C18" s="376" t="s">
        <v>956</v>
      </c>
      <c r="D18" s="376" t="s">
        <v>441</v>
      </c>
      <c r="E18" s="376" t="s">
        <v>437</v>
      </c>
      <c r="F18" s="376" t="s">
        <v>957</v>
      </c>
      <c r="G18" s="609">
        <v>1.4336873100000001E-2</v>
      </c>
      <c r="H18" s="700">
        <v>1</v>
      </c>
      <c r="I18" s="626"/>
      <c r="J18" s="752"/>
      <c r="L18" s="376" t="s">
        <v>437</v>
      </c>
      <c r="M18" s="376" t="s">
        <v>966</v>
      </c>
      <c r="N18" s="376" t="s">
        <v>967</v>
      </c>
      <c r="O18" s="376" t="s">
        <v>968</v>
      </c>
      <c r="P18" s="376"/>
      <c r="Q18" s="376"/>
      <c r="R18" s="376"/>
      <c r="T18" s="752"/>
      <c r="V18" s="609">
        <f>IF(W18=1,G18,0)</f>
        <v>0</v>
      </c>
      <c r="W18" s="700"/>
    </row>
    <row r="19" spans="1:23" s="612" customFormat="1" outlineLevel="1" collapsed="1">
      <c r="A19" s="380"/>
      <c r="B19" s="665" t="s">
        <v>891</v>
      </c>
      <c r="C19" s="665" t="s">
        <v>969</v>
      </c>
      <c r="D19" s="665"/>
      <c r="E19" s="665"/>
      <c r="F19" s="681" t="s">
        <v>947</v>
      </c>
      <c r="G19" s="701">
        <f>SUBTOTAL(9,G20:G60)</f>
        <v>2.1421260834705222</v>
      </c>
      <c r="H19" s="702">
        <f>SUBTOTAL(9,H20:H60)</f>
        <v>37</v>
      </c>
      <c r="I19" s="627"/>
      <c r="J19" s="754"/>
      <c r="L19" s="665"/>
      <c r="M19" s="665"/>
      <c r="N19" s="665"/>
      <c r="O19" s="665"/>
      <c r="P19" s="665"/>
      <c r="Q19" s="665"/>
      <c r="R19" s="665"/>
      <c r="T19" s="754"/>
      <c r="V19" s="701">
        <f>SUBTOTAL(9,V20:V60)</f>
        <v>9.3982695586700873E-2</v>
      </c>
      <c r="W19" s="702">
        <f>SUBTOTAL(9,W20:W60)</f>
        <v>3</v>
      </c>
    </row>
    <row r="20" spans="1:23" s="704" customFormat="1" hidden="1" outlineLevel="2">
      <c r="A20" s="376"/>
      <c r="B20" s="684" t="s">
        <v>891</v>
      </c>
      <c r="C20" s="684" t="s">
        <v>969</v>
      </c>
      <c r="D20" s="684" t="s">
        <v>159</v>
      </c>
      <c r="E20" s="684"/>
      <c r="F20" s="685" t="s">
        <v>970</v>
      </c>
      <c r="G20" s="686">
        <f>SUBTOTAL(9,G21:G33)</f>
        <v>1.4311843348608715</v>
      </c>
      <c r="H20" s="691">
        <f>SUBTOTAL(9,H21:H33)</f>
        <v>13</v>
      </c>
      <c r="I20" s="703"/>
      <c r="J20" s="755"/>
      <c r="K20" s="751"/>
      <c r="L20" s="684"/>
      <c r="M20" s="684"/>
      <c r="N20" s="684"/>
      <c r="O20" s="684"/>
      <c r="P20" s="684"/>
      <c r="Q20" s="684"/>
      <c r="R20" s="684"/>
      <c r="S20" s="751"/>
      <c r="T20" s="755"/>
      <c r="U20" s="751"/>
      <c r="V20" s="686">
        <f>SUBTOTAL(9,V21:V33)</f>
        <v>9.3982695586700873E-2</v>
      </c>
      <c r="W20" s="691">
        <f>SUBTOTAL(9,W21:W33)</f>
        <v>3</v>
      </c>
    </row>
    <row r="21" spans="1:23" s="704" customFormat="1" hidden="1" outlineLevel="3">
      <c r="A21" s="376"/>
      <c r="B21" s="376" t="s">
        <v>891</v>
      </c>
      <c r="C21" s="376" t="s">
        <v>969</v>
      </c>
      <c r="D21" s="376" t="s">
        <v>159</v>
      </c>
      <c r="E21" s="387" t="s">
        <v>950</v>
      </c>
      <c r="F21" s="608" t="s">
        <v>2259</v>
      </c>
      <c r="G21" s="609">
        <v>0.27398366869616486</v>
      </c>
      <c r="H21" s="692">
        <v>1</v>
      </c>
      <c r="I21" s="626"/>
      <c r="J21" s="752"/>
      <c r="K21" s="416"/>
      <c r="L21" s="387" t="s">
        <v>950</v>
      </c>
      <c r="M21" s="387" t="s">
        <v>951</v>
      </c>
      <c r="N21" s="387" t="s">
        <v>972</v>
      </c>
      <c r="O21" s="387" t="s">
        <v>955</v>
      </c>
      <c r="P21" s="387"/>
      <c r="Q21" s="387"/>
      <c r="R21" s="387"/>
      <c r="S21" s="416"/>
      <c r="T21" s="752"/>
      <c r="U21" s="416"/>
      <c r="V21" s="609">
        <f t="shared" ref="V21:V33" si="2">IF(W21=1,G21,0)</f>
        <v>0</v>
      </c>
      <c r="W21" s="692"/>
    </row>
    <row r="22" spans="1:23" s="704" customFormat="1" hidden="1" outlineLevel="3">
      <c r="A22" s="376"/>
      <c r="B22" s="376" t="s">
        <v>891</v>
      </c>
      <c r="C22" s="376" t="s">
        <v>969</v>
      </c>
      <c r="D22" s="376" t="s">
        <v>159</v>
      </c>
      <c r="E22" s="387" t="s">
        <v>950</v>
      </c>
      <c r="F22" s="608" t="s">
        <v>973</v>
      </c>
      <c r="G22" s="609">
        <v>0.36</v>
      </c>
      <c r="H22" s="692">
        <v>1</v>
      </c>
      <c r="I22" s="626"/>
      <c r="J22" s="752"/>
      <c r="K22" s="416"/>
      <c r="L22" s="387" t="s">
        <v>950</v>
      </c>
      <c r="M22" s="387" t="s">
        <v>951</v>
      </c>
      <c r="N22" s="387" t="s">
        <v>972</v>
      </c>
      <c r="O22" s="387" t="s">
        <v>974</v>
      </c>
      <c r="P22" s="387"/>
      <c r="Q22" s="387"/>
      <c r="R22" s="387"/>
      <c r="S22" s="416"/>
      <c r="T22" s="752"/>
      <c r="U22" s="416"/>
      <c r="V22" s="609">
        <f t="shared" si="2"/>
        <v>0</v>
      </c>
      <c r="W22" s="692"/>
    </row>
    <row r="23" spans="1:23" s="704" customFormat="1" hidden="1" outlineLevel="3">
      <c r="A23" s="376"/>
      <c r="B23" s="376" t="s">
        <v>891</v>
      </c>
      <c r="C23" s="376" t="s">
        <v>969</v>
      </c>
      <c r="D23" s="376" t="s">
        <v>159</v>
      </c>
      <c r="E23" s="387" t="s">
        <v>950</v>
      </c>
      <c r="F23" s="608" t="s">
        <v>1875</v>
      </c>
      <c r="G23" s="609">
        <v>0.36</v>
      </c>
      <c r="H23" s="692">
        <v>1</v>
      </c>
      <c r="I23" s="626"/>
      <c r="J23" s="752"/>
      <c r="K23" s="416"/>
      <c r="L23" s="387" t="s">
        <v>950</v>
      </c>
      <c r="M23" s="387" t="s">
        <v>951</v>
      </c>
      <c r="N23" s="387" t="s">
        <v>972</v>
      </c>
      <c r="O23" s="387" t="s">
        <v>974</v>
      </c>
      <c r="P23" s="387"/>
      <c r="Q23" s="387"/>
      <c r="R23" s="387"/>
      <c r="S23" s="416"/>
      <c r="T23" s="752"/>
      <c r="U23" s="416"/>
      <c r="V23" s="609">
        <f>IF(W23=1,G23,0)</f>
        <v>0</v>
      </c>
      <c r="W23" s="692"/>
    </row>
    <row r="24" spans="1:23" s="704" customFormat="1" ht="26.45" hidden="1" outlineLevel="3">
      <c r="A24" s="376"/>
      <c r="B24" s="376" t="s">
        <v>891</v>
      </c>
      <c r="C24" s="376" t="s">
        <v>969</v>
      </c>
      <c r="D24" s="376" t="s">
        <v>159</v>
      </c>
      <c r="E24" s="387" t="s">
        <v>950</v>
      </c>
      <c r="F24" s="608" t="s">
        <v>975</v>
      </c>
      <c r="G24" s="609">
        <v>4.3982695586700871E-2</v>
      </c>
      <c r="H24" s="692">
        <v>1</v>
      </c>
      <c r="I24" s="626"/>
      <c r="J24" s="752"/>
      <c r="K24" s="416"/>
      <c r="L24" s="387" t="s">
        <v>950</v>
      </c>
      <c r="M24" s="387" t="s">
        <v>951</v>
      </c>
      <c r="N24" s="387" t="s">
        <v>955</v>
      </c>
      <c r="O24" s="387"/>
      <c r="P24" s="387"/>
      <c r="Q24" s="387"/>
      <c r="R24" s="387"/>
      <c r="S24" s="416"/>
      <c r="T24" s="752"/>
      <c r="U24" s="416"/>
      <c r="V24" s="609">
        <f t="shared" si="2"/>
        <v>0</v>
      </c>
      <c r="W24" s="692"/>
    </row>
    <row r="25" spans="1:23" s="704" customFormat="1" ht="26.45" hidden="1" outlineLevel="3">
      <c r="A25" s="376"/>
      <c r="B25" s="376" t="s">
        <v>891</v>
      </c>
      <c r="C25" s="376" t="s">
        <v>969</v>
      </c>
      <c r="D25" s="376" t="s">
        <v>159</v>
      </c>
      <c r="E25" s="387" t="s">
        <v>950</v>
      </c>
      <c r="F25" s="608" t="s">
        <v>976</v>
      </c>
      <c r="G25" s="609">
        <v>4.3982695586700871E-2</v>
      </c>
      <c r="H25" s="692">
        <v>1</v>
      </c>
      <c r="I25" s="626"/>
      <c r="J25" s="752"/>
      <c r="K25" s="416"/>
      <c r="L25" s="387" t="s">
        <v>950</v>
      </c>
      <c r="M25" s="387" t="s">
        <v>951</v>
      </c>
      <c r="N25" s="387" t="s">
        <v>952</v>
      </c>
      <c r="O25" s="387"/>
      <c r="P25" s="387"/>
      <c r="Q25" s="387"/>
      <c r="R25" s="387"/>
      <c r="S25" s="416"/>
      <c r="T25" s="752"/>
      <c r="U25" s="416"/>
      <c r="V25" s="609">
        <f t="shared" si="2"/>
        <v>0</v>
      </c>
      <c r="W25" s="692"/>
    </row>
    <row r="26" spans="1:23" s="704" customFormat="1" ht="26.45" hidden="1" outlineLevel="3">
      <c r="A26" s="376"/>
      <c r="B26" s="376" t="s">
        <v>891</v>
      </c>
      <c r="C26" s="376" t="s">
        <v>969</v>
      </c>
      <c r="D26" s="376" t="s">
        <v>159</v>
      </c>
      <c r="E26" s="387" t="s">
        <v>950</v>
      </c>
      <c r="F26" s="608" t="s">
        <v>978</v>
      </c>
      <c r="G26" s="609">
        <v>6.5974043380051306E-2</v>
      </c>
      <c r="H26" s="692">
        <v>1</v>
      </c>
      <c r="I26" s="626"/>
      <c r="J26" s="752"/>
      <c r="K26" s="416"/>
      <c r="L26" s="387" t="s">
        <v>950</v>
      </c>
      <c r="M26" s="387" t="s">
        <v>951</v>
      </c>
      <c r="N26" s="387" t="s">
        <v>972</v>
      </c>
      <c r="O26" s="387"/>
      <c r="P26" s="387"/>
      <c r="Q26" s="387"/>
      <c r="R26" s="387"/>
      <c r="S26" s="416"/>
      <c r="T26" s="752"/>
      <c r="U26" s="416"/>
      <c r="V26" s="609">
        <f t="shared" si="2"/>
        <v>0</v>
      </c>
      <c r="W26" s="692"/>
    </row>
    <row r="27" spans="1:23" s="704" customFormat="1" ht="26.45" hidden="1" outlineLevel="3">
      <c r="A27" s="376"/>
      <c r="B27" s="376" t="s">
        <v>891</v>
      </c>
      <c r="C27" s="376" t="s">
        <v>969</v>
      </c>
      <c r="D27" s="376" t="s">
        <v>159</v>
      </c>
      <c r="E27" s="387" t="s">
        <v>950</v>
      </c>
      <c r="F27" s="608" t="s">
        <v>980</v>
      </c>
      <c r="G27" s="609">
        <v>6.5974043380051306E-2</v>
      </c>
      <c r="H27" s="692">
        <v>1</v>
      </c>
      <c r="I27" s="626"/>
      <c r="J27" s="752"/>
      <c r="K27" s="416"/>
      <c r="L27" s="387" t="s">
        <v>950</v>
      </c>
      <c r="M27" s="387" t="s">
        <v>951</v>
      </c>
      <c r="N27" s="387" t="s">
        <v>972</v>
      </c>
      <c r="O27" s="387"/>
      <c r="P27" s="387"/>
      <c r="Q27" s="387"/>
      <c r="R27" s="387"/>
      <c r="S27" s="416"/>
      <c r="T27" s="752"/>
      <c r="U27" s="416"/>
      <c r="V27" s="609">
        <f t="shared" si="2"/>
        <v>0</v>
      </c>
      <c r="W27" s="692"/>
    </row>
    <row r="28" spans="1:23" ht="26.45" hidden="1" outlineLevel="3">
      <c r="A28" s="376"/>
      <c r="B28" s="376" t="s">
        <v>891</v>
      </c>
      <c r="C28" s="376" t="s">
        <v>969</v>
      </c>
      <c r="D28" s="376" t="s">
        <v>159</v>
      </c>
      <c r="E28" s="387" t="s">
        <v>950</v>
      </c>
      <c r="F28" s="608" t="s">
        <v>981</v>
      </c>
      <c r="G28" s="609">
        <v>1.466089852890029E-2</v>
      </c>
      <c r="H28" s="692">
        <v>1</v>
      </c>
      <c r="I28" s="626"/>
      <c r="J28" s="752"/>
      <c r="L28" s="387" t="s">
        <v>950</v>
      </c>
      <c r="M28" s="387" t="s">
        <v>951</v>
      </c>
      <c r="N28" s="387" t="s">
        <v>972</v>
      </c>
      <c r="O28" s="387"/>
      <c r="P28" s="387"/>
      <c r="Q28" s="387"/>
      <c r="R28" s="387"/>
      <c r="T28" s="752"/>
      <c r="V28" s="609">
        <f>IF(W28=1,G28,0)</f>
        <v>1.466089852890029E-2</v>
      </c>
      <c r="W28" s="692">
        <v>1</v>
      </c>
    </row>
    <row r="29" spans="1:23" ht="26.45" hidden="1" outlineLevel="3">
      <c r="A29" s="376"/>
      <c r="B29" s="376" t="s">
        <v>891</v>
      </c>
      <c r="C29" s="376" t="s">
        <v>969</v>
      </c>
      <c r="D29" s="376" t="s">
        <v>159</v>
      </c>
      <c r="E29" s="387" t="s">
        <v>950</v>
      </c>
      <c r="F29" s="608" t="s">
        <v>982</v>
      </c>
      <c r="G29" s="609">
        <v>2.932179705780058E-2</v>
      </c>
      <c r="H29" s="692">
        <v>1</v>
      </c>
      <c r="I29" s="626"/>
      <c r="J29" s="752"/>
      <c r="L29" s="387" t="s">
        <v>950</v>
      </c>
      <c r="M29" s="387" t="s">
        <v>951</v>
      </c>
      <c r="N29" s="387" t="s">
        <v>952</v>
      </c>
      <c r="O29" s="387"/>
      <c r="P29" s="387"/>
      <c r="Q29" s="387"/>
      <c r="R29" s="387"/>
      <c r="T29" s="752"/>
      <c r="V29" s="609">
        <f>IF(W29=1,G29,0)</f>
        <v>2.932179705780058E-2</v>
      </c>
      <c r="W29" s="692">
        <v>1</v>
      </c>
    </row>
    <row r="30" spans="1:23" s="704" customFormat="1" ht="26.45" hidden="1" outlineLevel="3">
      <c r="A30" s="376"/>
      <c r="B30" s="376" t="s">
        <v>891</v>
      </c>
      <c r="C30" s="376" t="s">
        <v>969</v>
      </c>
      <c r="D30" s="376" t="s">
        <v>159</v>
      </c>
      <c r="E30" s="387" t="s">
        <v>950</v>
      </c>
      <c r="F30" s="608" t="s">
        <v>1876</v>
      </c>
      <c r="G30" s="609">
        <v>2.932179705780058E-2</v>
      </c>
      <c r="H30" s="692">
        <v>1</v>
      </c>
      <c r="I30" s="626"/>
      <c r="J30" s="752"/>
      <c r="K30" s="416"/>
      <c r="L30" s="387" t="s">
        <v>950</v>
      </c>
      <c r="M30" s="387" t="s">
        <v>951</v>
      </c>
      <c r="N30" s="387" t="s">
        <v>952</v>
      </c>
      <c r="O30" s="387"/>
      <c r="P30" s="387"/>
      <c r="Q30" s="387"/>
      <c r="R30" s="387"/>
      <c r="S30" s="416"/>
      <c r="T30" s="752"/>
      <c r="U30" s="416"/>
      <c r="V30" s="609">
        <f>IF(W30=1,G30,0)</f>
        <v>0</v>
      </c>
      <c r="W30" s="692"/>
    </row>
    <row r="31" spans="1:23" s="704" customFormat="1" ht="26.45" hidden="1" outlineLevel="3">
      <c r="A31" s="376"/>
      <c r="B31" s="376" t="s">
        <v>891</v>
      </c>
      <c r="C31" s="376" t="s">
        <v>969</v>
      </c>
      <c r="D31" s="376" t="s">
        <v>159</v>
      </c>
      <c r="E31" s="387" t="s">
        <v>950</v>
      </c>
      <c r="F31" s="608" t="s">
        <v>983</v>
      </c>
      <c r="G31" s="609">
        <v>4.3982695586700871E-2</v>
      </c>
      <c r="H31" s="692">
        <v>1</v>
      </c>
      <c r="I31" s="626"/>
      <c r="J31" s="752"/>
      <c r="K31" s="416"/>
      <c r="L31" s="387" t="s">
        <v>950</v>
      </c>
      <c r="M31" s="387" t="s">
        <v>951</v>
      </c>
      <c r="N31" s="387" t="s">
        <v>952</v>
      </c>
      <c r="O31" s="387"/>
      <c r="P31" s="387"/>
      <c r="Q31" s="387"/>
      <c r="R31" s="387"/>
      <c r="S31" s="416"/>
      <c r="T31" s="752"/>
      <c r="U31" s="416"/>
      <c r="V31" s="609">
        <f t="shared" si="2"/>
        <v>0</v>
      </c>
      <c r="W31" s="692"/>
    </row>
    <row r="32" spans="1:23" s="704" customFormat="1" hidden="1" outlineLevel="3">
      <c r="A32" s="376"/>
      <c r="B32" s="387" t="s">
        <v>891</v>
      </c>
      <c r="C32" s="387" t="s">
        <v>969</v>
      </c>
      <c r="D32" s="387" t="s">
        <v>159</v>
      </c>
      <c r="E32" s="387" t="s">
        <v>950</v>
      </c>
      <c r="F32" s="705" t="s">
        <v>984</v>
      </c>
      <c r="G32" s="706">
        <v>0.05</v>
      </c>
      <c r="H32" s="707">
        <v>1</v>
      </c>
      <c r="I32" s="626"/>
      <c r="J32" s="752"/>
      <c r="K32" s="416"/>
      <c r="L32" s="387" t="s">
        <v>950</v>
      </c>
      <c r="M32" s="387" t="s">
        <v>954</v>
      </c>
      <c r="N32" s="387" t="s">
        <v>955</v>
      </c>
      <c r="O32" s="387"/>
      <c r="P32" s="387"/>
      <c r="Q32" s="387"/>
      <c r="R32" s="387"/>
      <c r="S32" s="416"/>
      <c r="T32" s="752"/>
      <c r="U32" s="416"/>
      <c r="V32" s="609">
        <f t="shared" si="2"/>
        <v>0.05</v>
      </c>
      <c r="W32" s="707">
        <v>1</v>
      </c>
    </row>
    <row r="33" spans="1:23" s="704" customFormat="1" hidden="1" outlineLevel="3">
      <c r="A33" s="376"/>
      <c r="B33" s="387" t="s">
        <v>891</v>
      </c>
      <c r="C33" s="387" t="s">
        <v>969</v>
      </c>
      <c r="D33" s="387" t="s">
        <v>159</v>
      </c>
      <c r="E33" s="387" t="s">
        <v>950</v>
      </c>
      <c r="F33" s="705" t="s">
        <v>985</v>
      </c>
      <c r="G33" s="706">
        <v>0.05</v>
      </c>
      <c r="H33" s="707">
        <v>1</v>
      </c>
      <c r="I33" s="626"/>
      <c r="J33" s="752"/>
      <c r="K33" s="416"/>
      <c r="L33" s="387" t="s">
        <v>950</v>
      </c>
      <c r="M33" s="387" t="s">
        <v>954</v>
      </c>
      <c r="N33" s="387" t="s">
        <v>955</v>
      </c>
      <c r="O33" s="387"/>
      <c r="P33" s="387"/>
      <c r="Q33" s="387"/>
      <c r="R33" s="387"/>
      <c r="S33" s="416"/>
      <c r="T33" s="752"/>
      <c r="U33" s="416"/>
      <c r="V33" s="609">
        <f t="shared" si="2"/>
        <v>0</v>
      </c>
      <c r="W33" s="707"/>
    </row>
    <row r="34" spans="1:23" hidden="1" outlineLevel="2">
      <c r="A34" s="376"/>
      <c r="B34" s="684" t="s">
        <v>891</v>
      </c>
      <c r="C34" s="684" t="s">
        <v>969</v>
      </c>
      <c r="D34" s="684" t="s">
        <v>518</v>
      </c>
      <c r="E34" s="684"/>
      <c r="F34" s="685" t="s">
        <v>1897</v>
      </c>
      <c r="G34" s="686">
        <f>SUBTOTAL(9,G35:G50)</f>
        <v>0.33962724008299344</v>
      </c>
      <c r="H34" s="691">
        <f>SUBTOTAL(9,H35:H50)</f>
        <v>16</v>
      </c>
      <c r="I34" s="626"/>
      <c r="J34" s="752"/>
      <c r="L34" s="684"/>
      <c r="M34" s="684"/>
      <c r="N34" s="684"/>
      <c r="O34" s="684"/>
      <c r="P34" s="684"/>
      <c r="Q34" s="684"/>
      <c r="R34" s="684"/>
      <c r="T34" s="752"/>
      <c r="V34" s="686">
        <f>SUBTOTAL(9,V35:V50)</f>
        <v>0</v>
      </c>
      <c r="W34" s="691">
        <f>SUBTOTAL(9,W35:W50)</f>
        <v>0</v>
      </c>
    </row>
    <row r="35" spans="1:23" hidden="1" outlineLevel="3">
      <c r="A35" s="376"/>
      <c r="B35" s="376" t="s">
        <v>891</v>
      </c>
      <c r="C35" s="376" t="s">
        <v>969</v>
      </c>
      <c r="D35" s="376" t="s">
        <v>518</v>
      </c>
      <c r="E35" s="376" t="s">
        <v>56</v>
      </c>
      <c r="F35" s="608" t="s">
        <v>987</v>
      </c>
      <c r="G35" s="609">
        <v>9.3421603890201377E-2</v>
      </c>
      <c r="H35" s="700">
        <v>1</v>
      </c>
      <c r="I35" s="626"/>
      <c r="J35" s="752"/>
      <c r="L35" s="376" t="s">
        <v>56</v>
      </c>
      <c r="M35" s="376" t="s">
        <v>959</v>
      </c>
      <c r="N35" s="376" t="s">
        <v>988</v>
      </c>
      <c r="O35" s="376"/>
      <c r="P35" s="376" t="s">
        <v>965</v>
      </c>
      <c r="Q35" s="376"/>
      <c r="R35" s="376"/>
      <c r="T35" s="752"/>
      <c r="V35" s="609">
        <f t="shared" ref="V35:V50" si="3">IF(W35=1,G35,0)</f>
        <v>0</v>
      </c>
      <c r="W35" s="700"/>
    </row>
    <row r="36" spans="1:23" ht="26.45" hidden="1" outlineLevel="3">
      <c r="A36" s="376"/>
      <c r="B36" s="376" t="s">
        <v>891</v>
      </c>
      <c r="C36" s="376" t="s">
        <v>969</v>
      </c>
      <c r="D36" s="376" t="s">
        <v>518</v>
      </c>
      <c r="E36" s="376" t="s">
        <v>56</v>
      </c>
      <c r="F36" s="608" t="s">
        <v>989</v>
      </c>
      <c r="G36" s="609">
        <v>2.1106865436972901E-2</v>
      </c>
      <c r="H36" s="700">
        <v>1</v>
      </c>
      <c r="I36" s="626"/>
      <c r="J36" s="752"/>
      <c r="L36" s="376" t="s">
        <v>56</v>
      </c>
      <c r="M36" s="376" t="s">
        <v>959</v>
      </c>
      <c r="N36" s="376" t="s">
        <v>988</v>
      </c>
      <c r="O36" s="376"/>
      <c r="P36" s="376" t="s">
        <v>965</v>
      </c>
      <c r="Q36" s="376"/>
      <c r="R36" s="376"/>
      <c r="T36" s="752"/>
      <c r="V36" s="609">
        <f t="shared" si="3"/>
        <v>0</v>
      </c>
      <c r="W36" s="700"/>
    </row>
    <row r="37" spans="1:23" hidden="1" outlineLevel="3">
      <c r="A37" s="376"/>
      <c r="B37" s="376" t="s">
        <v>891</v>
      </c>
      <c r="C37" s="376" t="s">
        <v>969</v>
      </c>
      <c r="D37" s="376" t="s">
        <v>518</v>
      </c>
      <c r="E37" s="376" t="s">
        <v>56</v>
      </c>
      <c r="F37" s="608" t="s">
        <v>990</v>
      </c>
      <c r="G37" s="609">
        <v>3.166029815545935E-2</v>
      </c>
      <c r="H37" s="700">
        <v>1</v>
      </c>
      <c r="I37" s="626"/>
      <c r="J37" s="752"/>
      <c r="L37" s="376" t="s">
        <v>56</v>
      </c>
      <c r="M37" s="376" t="s">
        <v>959</v>
      </c>
      <c r="N37" s="376" t="s">
        <v>988</v>
      </c>
      <c r="O37" s="376"/>
      <c r="P37" s="376" t="s">
        <v>965</v>
      </c>
      <c r="Q37" s="376"/>
      <c r="R37" s="376"/>
      <c r="T37" s="752"/>
      <c r="V37" s="609">
        <f t="shared" si="3"/>
        <v>0</v>
      </c>
      <c r="W37" s="700"/>
    </row>
    <row r="38" spans="1:23" ht="26.45" hidden="1" outlineLevel="3">
      <c r="A38" s="376"/>
      <c r="B38" s="376" t="s">
        <v>891</v>
      </c>
      <c r="C38" s="376" t="s">
        <v>969</v>
      </c>
      <c r="D38" s="376" t="s">
        <v>518</v>
      </c>
      <c r="E38" s="376" t="s">
        <v>56</v>
      </c>
      <c r="F38" s="608" t="s">
        <v>978</v>
      </c>
      <c r="G38" s="609">
        <v>5.2767163592432253E-3</v>
      </c>
      <c r="H38" s="700">
        <v>1</v>
      </c>
      <c r="I38" s="626"/>
      <c r="J38" s="752"/>
      <c r="L38" s="376" t="s">
        <v>56</v>
      </c>
      <c r="M38" s="376" t="s">
        <v>959</v>
      </c>
      <c r="N38" s="376" t="s">
        <v>988</v>
      </c>
      <c r="O38" s="376"/>
      <c r="P38" s="376" t="s">
        <v>965</v>
      </c>
      <c r="Q38" s="376"/>
      <c r="R38" s="376"/>
      <c r="T38" s="752"/>
      <c r="V38" s="609">
        <f t="shared" si="3"/>
        <v>0</v>
      </c>
      <c r="W38" s="700"/>
    </row>
    <row r="39" spans="1:23" ht="26.45" hidden="1" outlineLevel="3">
      <c r="A39" s="376"/>
      <c r="B39" s="376" t="s">
        <v>891</v>
      </c>
      <c r="C39" s="376" t="s">
        <v>969</v>
      </c>
      <c r="D39" s="376" t="s">
        <v>518</v>
      </c>
      <c r="E39" s="376" t="s">
        <v>56</v>
      </c>
      <c r="F39" s="608" t="s">
        <v>991</v>
      </c>
      <c r="G39" s="609">
        <v>2.1106865436972901E-2</v>
      </c>
      <c r="H39" s="700">
        <v>1</v>
      </c>
      <c r="I39" s="626"/>
      <c r="J39" s="752"/>
      <c r="L39" s="376" t="s">
        <v>56</v>
      </c>
      <c r="M39" s="376" t="s">
        <v>959</v>
      </c>
      <c r="N39" s="376" t="s">
        <v>988</v>
      </c>
      <c r="O39" s="376"/>
      <c r="P39" s="376" t="s">
        <v>965</v>
      </c>
      <c r="Q39" s="376"/>
      <c r="R39" s="376"/>
      <c r="T39" s="752"/>
      <c r="V39" s="609">
        <f t="shared" si="3"/>
        <v>0</v>
      </c>
      <c r="W39" s="700"/>
    </row>
    <row r="40" spans="1:23" hidden="1" outlineLevel="3">
      <c r="A40" s="376"/>
      <c r="B40" s="376" t="s">
        <v>891</v>
      </c>
      <c r="C40" s="376" t="s">
        <v>969</v>
      </c>
      <c r="D40" s="376" t="s">
        <v>518</v>
      </c>
      <c r="E40" s="376" t="s">
        <v>56</v>
      </c>
      <c r="F40" s="608" t="s">
        <v>992</v>
      </c>
      <c r="G40" s="609">
        <v>3.166029815545935E-2</v>
      </c>
      <c r="H40" s="700">
        <v>1</v>
      </c>
      <c r="I40" s="626"/>
      <c r="J40" s="752"/>
      <c r="L40" s="376" t="s">
        <v>56</v>
      </c>
      <c r="M40" s="376" t="s">
        <v>959</v>
      </c>
      <c r="N40" s="376" t="s">
        <v>988</v>
      </c>
      <c r="O40" s="376"/>
      <c r="P40" s="376" t="s">
        <v>965</v>
      </c>
      <c r="Q40" s="376"/>
      <c r="R40" s="376"/>
      <c r="T40" s="752"/>
      <c r="V40" s="609">
        <f t="shared" si="3"/>
        <v>0</v>
      </c>
      <c r="W40" s="700"/>
    </row>
    <row r="41" spans="1:23" ht="26.45" hidden="1" outlineLevel="3">
      <c r="A41" s="376"/>
      <c r="B41" s="376" t="s">
        <v>891</v>
      </c>
      <c r="C41" s="376" t="s">
        <v>969</v>
      </c>
      <c r="D41" s="376" t="s">
        <v>518</v>
      </c>
      <c r="E41" s="376" t="s">
        <v>56</v>
      </c>
      <c r="F41" s="608" t="s">
        <v>980</v>
      </c>
      <c r="G41" s="609">
        <v>5.2767163592432253E-3</v>
      </c>
      <c r="H41" s="700">
        <v>1</v>
      </c>
      <c r="I41" s="626"/>
      <c r="J41" s="752"/>
      <c r="L41" s="376" t="s">
        <v>56</v>
      </c>
      <c r="M41" s="376" t="s">
        <v>959</v>
      </c>
      <c r="N41" s="376" t="s">
        <v>988</v>
      </c>
      <c r="O41" s="376"/>
      <c r="P41" s="376" t="s">
        <v>965</v>
      </c>
      <c r="Q41" s="376"/>
      <c r="R41" s="376"/>
      <c r="T41" s="752"/>
      <c r="V41" s="609">
        <f t="shared" si="3"/>
        <v>0</v>
      </c>
      <c r="W41" s="700"/>
    </row>
    <row r="42" spans="1:23" ht="26.45" hidden="1" outlineLevel="3">
      <c r="A42" s="376"/>
      <c r="B42" s="376" t="s">
        <v>891</v>
      </c>
      <c r="C42" s="376" t="s">
        <v>969</v>
      </c>
      <c r="D42" s="376" t="s">
        <v>518</v>
      </c>
      <c r="E42" s="376" t="s">
        <v>56</v>
      </c>
      <c r="F42" s="608" t="s">
        <v>981</v>
      </c>
      <c r="G42" s="609">
        <v>1E-3</v>
      </c>
      <c r="H42" s="700">
        <v>1</v>
      </c>
      <c r="I42" s="626"/>
      <c r="J42" s="752"/>
      <c r="L42" s="376" t="s">
        <v>56</v>
      </c>
      <c r="M42" s="376" t="s">
        <v>959</v>
      </c>
      <c r="N42" s="376" t="s">
        <v>988</v>
      </c>
      <c r="O42" s="376"/>
      <c r="P42" s="376" t="s">
        <v>965</v>
      </c>
      <c r="Q42" s="376"/>
      <c r="R42" s="376"/>
      <c r="T42" s="752"/>
      <c r="V42" s="609">
        <f t="shared" si="3"/>
        <v>0</v>
      </c>
      <c r="W42" s="700"/>
    </row>
    <row r="43" spans="1:23" ht="26.45" hidden="1" outlineLevel="3">
      <c r="A43" s="376"/>
      <c r="B43" s="376" t="s">
        <v>891</v>
      </c>
      <c r="C43" s="376" t="s">
        <v>969</v>
      </c>
      <c r="D43" s="376" t="s">
        <v>518</v>
      </c>
      <c r="E43" s="376" t="s">
        <v>56</v>
      </c>
      <c r="F43" s="608" t="s">
        <v>982</v>
      </c>
      <c r="G43" s="609">
        <v>2.3452072707747665E-3</v>
      </c>
      <c r="H43" s="700">
        <v>1</v>
      </c>
      <c r="I43" s="626"/>
      <c r="J43" s="752"/>
      <c r="L43" s="376" t="s">
        <v>56</v>
      </c>
      <c r="M43" s="376" t="s">
        <v>959</v>
      </c>
      <c r="N43" s="376" t="s">
        <v>988</v>
      </c>
      <c r="O43" s="376"/>
      <c r="P43" s="376" t="s">
        <v>965</v>
      </c>
      <c r="Q43" s="376"/>
      <c r="R43" s="376"/>
      <c r="T43" s="752"/>
      <c r="V43" s="609">
        <f t="shared" si="3"/>
        <v>0</v>
      </c>
      <c r="W43" s="700"/>
    </row>
    <row r="44" spans="1:23" s="775" customFormat="1" ht="26.45" hidden="1" outlineLevel="3">
      <c r="A44" s="376"/>
      <c r="B44" s="376" t="s">
        <v>891</v>
      </c>
      <c r="C44" s="376" t="s">
        <v>969</v>
      </c>
      <c r="D44" s="376" t="s">
        <v>518</v>
      </c>
      <c r="E44" s="376" t="s">
        <v>56</v>
      </c>
      <c r="F44" s="608" t="s">
        <v>1940</v>
      </c>
      <c r="G44" s="609">
        <v>1.4071243624648597E-2</v>
      </c>
      <c r="H44" s="692">
        <v>1</v>
      </c>
      <c r="I44" s="626"/>
      <c r="J44" s="752"/>
      <c r="K44" s="416"/>
      <c r="L44" s="376" t="s">
        <v>56</v>
      </c>
      <c r="M44" s="376" t="s">
        <v>959</v>
      </c>
      <c r="N44" s="376" t="s">
        <v>988</v>
      </c>
      <c r="O44" s="376"/>
      <c r="P44" s="376" t="s">
        <v>965</v>
      </c>
      <c r="Q44" s="376"/>
      <c r="R44" s="376"/>
      <c r="S44" s="416"/>
      <c r="T44" s="752"/>
      <c r="U44" s="416"/>
      <c r="V44" s="609">
        <f>IF(W44=1,G44,0)</f>
        <v>0</v>
      </c>
      <c r="W44" s="692"/>
    </row>
    <row r="45" spans="1:23" s="775" customFormat="1" hidden="1" outlineLevel="3">
      <c r="A45" s="376"/>
      <c r="B45" s="376" t="s">
        <v>891</v>
      </c>
      <c r="C45" s="376" t="s">
        <v>969</v>
      </c>
      <c r="D45" s="376" t="s">
        <v>518</v>
      </c>
      <c r="E45" s="376" t="s">
        <v>56</v>
      </c>
      <c r="F45" s="608" t="s">
        <v>1941</v>
      </c>
      <c r="G45" s="609">
        <v>3.166029815545935E-2</v>
      </c>
      <c r="H45" s="692">
        <v>1</v>
      </c>
      <c r="I45" s="626"/>
      <c r="J45" s="752"/>
      <c r="K45" s="416"/>
      <c r="L45" s="376" t="s">
        <v>56</v>
      </c>
      <c r="M45" s="376" t="s">
        <v>959</v>
      </c>
      <c r="N45" s="376" t="s">
        <v>988</v>
      </c>
      <c r="O45" s="376"/>
      <c r="P45" s="376" t="s">
        <v>965</v>
      </c>
      <c r="Q45" s="376"/>
      <c r="R45" s="376"/>
      <c r="S45" s="416"/>
      <c r="T45" s="752"/>
      <c r="U45" s="416"/>
      <c r="V45" s="609">
        <f>IF(W45=1,G45,0)</f>
        <v>0</v>
      </c>
      <c r="W45" s="692"/>
    </row>
    <row r="46" spans="1:23" ht="26.45" hidden="1" outlineLevel="3">
      <c r="A46" s="376"/>
      <c r="B46" s="376" t="s">
        <v>891</v>
      </c>
      <c r="C46" s="376" t="s">
        <v>969</v>
      </c>
      <c r="D46" s="376" t="s">
        <v>518</v>
      </c>
      <c r="E46" s="376" t="s">
        <v>56</v>
      </c>
      <c r="F46" s="608" t="s">
        <v>1876</v>
      </c>
      <c r="G46" s="609">
        <v>2.3452072707747665E-3</v>
      </c>
      <c r="H46" s="692">
        <v>1</v>
      </c>
      <c r="I46" s="626"/>
      <c r="J46" s="752"/>
      <c r="L46" s="376" t="s">
        <v>56</v>
      </c>
      <c r="M46" s="376" t="s">
        <v>959</v>
      </c>
      <c r="N46" s="376" t="s">
        <v>988</v>
      </c>
      <c r="O46" s="376"/>
      <c r="P46" s="376" t="s">
        <v>965</v>
      </c>
      <c r="Q46" s="376"/>
      <c r="R46" s="376"/>
      <c r="T46" s="752"/>
      <c r="V46" s="609">
        <f>IF(W46=1,G46,0)</f>
        <v>0</v>
      </c>
      <c r="W46" s="692"/>
    </row>
    <row r="47" spans="1:23" s="704" customFormat="1" ht="26.45" hidden="1" outlineLevel="3">
      <c r="A47" s="376"/>
      <c r="B47" s="376" t="s">
        <v>891</v>
      </c>
      <c r="C47" s="376" t="s">
        <v>969</v>
      </c>
      <c r="D47" s="376" t="s">
        <v>518</v>
      </c>
      <c r="E47" s="376" t="s">
        <v>56</v>
      </c>
      <c r="F47" s="608" t="s">
        <v>993</v>
      </c>
      <c r="G47" s="609">
        <v>1.4071243624648597E-2</v>
      </c>
      <c r="H47" s="692">
        <v>1</v>
      </c>
      <c r="I47" s="626"/>
      <c r="J47" s="752"/>
      <c r="K47" s="416"/>
      <c r="L47" s="376" t="s">
        <v>56</v>
      </c>
      <c r="M47" s="376" t="s">
        <v>959</v>
      </c>
      <c r="N47" s="376" t="s">
        <v>988</v>
      </c>
      <c r="O47" s="376"/>
      <c r="P47" s="376" t="s">
        <v>965</v>
      </c>
      <c r="Q47" s="376"/>
      <c r="R47" s="376"/>
      <c r="S47" s="416"/>
      <c r="T47" s="752"/>
      <c r="U47" s="416"/>
      <c r="V47" s="609">
        <f t="shared" si="3"/>
        <v>0</v>
      </c>
      <c r="W47" s="692"/>
    </row>
    <row r="48" spans="1:23" hidden="1" outlineLevel="3">
      <c r="A48" s="376"/>
      <c r="B48" s="376" t="s">
        <v>891</v>
      </c>
      <c r="C48" s="376" t="s">
        <v>969</v>
      </c>
      <c r="D48" s="376" t="s">
        <v>518</v>
      </c>
      <c r="E48" s="376" t="s">
        <v>56</v>
      </c>
      <c r="F48" s="608" t="s">
        <v>994</v>
      </c>
      <c r="G48" s="609">
        <v>2.1106865436972894E-2</v>
      </c>
      <c r="H48" s="700">
        <v>1</v>
      </c>
      <c r="I48" s="626"/>
      <c r="J48" s="752"/>
      <c r="L48" s="376" t="s">
        <v>56</v>
      </c>
      <c r="M48" s="376" t="s">
        <v>959</v>
      </c>
      <c r="N48" s="376" t="s">
        <v>988</v>
      </c>
      <c r="O48" s="376"/>
      <c r="P48" s="376" t="s">
        <v>965</v>
      </c>
      <c r="Q48" s="376"/>
      <c r="R48" s="376"/>
      <c r="T48" s="752"/>
      <c r="V48" s="609">
        <f t="shared" si="3"/>
        <v>0</v>
      </c>
      <c r="W48" s="700"/>
    </row>
    <row r="49" spans="1:23" ht="26.45" hidden="1" outlineLevel="3">
      <c r="A49" s="376"/>
      <c r="B49" s="376" t="s">
        <v>891</v>
      </c>
      <c r="C49" s="376" t="s">
        <v>969</v>
      </c>
      <c r="D49" s="376" t="s">
        <v>518</v>
      </c>
      <c r="E49" s="376" t="s">
        <v>56</v>
      </c>
      <c r="F49" s="608" t="s">
        <v>983</v>
      </c>
      <c r="G49" s="609">
        <v>3.5178109061621493E-3</v>
      </c>
      <c r="H49" s="700">
        <v>1</v>
      </c>
      <c r="I49" s="626"/>
      <c r="J49" s="752"/>
      <c r="L49" s="376" t="s">
        <v>56</v>
      </c>
      <c r="M49" s="376" t="s">
        <v>959</v>
      </c>
      <c r="N49" s="376" t="s">
        <v>988</v>
      </c>
      <c r="O49" s="376"/>
      <c r="P49" s="376" t="s">
        <v>965</v>
      </c>
      <c r="Q49" s="376"/>
      <c r="R49" s="376"/>
      <c r="T49" s="752"/>
      <c r="V49" s="609">
        <f t="shared" si="3"/>
        <v>0</v>
      </c>
      <c r="W49" s="700"/>
    </row>
    <row r="50" spans="1:23" hidden="1" outlineLevel="3">
      <c r="A50" s="376"/>
      <c r="B50" s="376" t="s">
        <v>891</v>
      </c>
      <c r="C50" s="376" t="s">
        <v>969</v>
      </c>
      <c r="D50" s="376" t="s">
        <v>518</v>
      </c>
      <c r="E50" s="376" t="s">
        <v>56</v>
      </c>
      <c r="F50" s="608" t="s">
        <v>985</v>
      </c>
      <c r="G50" s="609">
        <v>0.04</v>
      </c>
      <c r="H50" s="700">
        <v>1</v>
      </c>
      <c r="I50" s="626"/>
      <c r="J50" s="752"/>
      <c r="L50" s="376" t="s">
        <v>56</v>
      </c>
      <c r="M50" s="376" t="s">
        <v>959</v>
      </c>
      <c r="N50" s="376" t="s">
        <v>988</v>
      </c>
      <c r="O50" s="376"/>
      <c r="P50" s="376" t="s">
        <v>965</v>
      </c>
      <c r="Q50" s="376"/>
      <c r="R50" s="376"/>
      <c r="T50" s="752"/>
      <c r="V50" s="609">
        <f t="shared" si="3"/>
        <v>0</v>
      </c>
      <c r="W50" s="700"/>
    </row>
    <row r="51" spans="1:23" hidden="1" outlineLevel="2">
      <c r="A51" s="376"/>
      <c r="B51" s="684" t="s">
        <v>891</v>
      </c>
      <c r="C51" s="684" t="s">
        <v>969</v>
      </c>
      <c r="D51" s="684" t="s">
        <v>441</v>
      </c>
      <c r="E51" s="684"/>
      <c r="F51" s="685" t="s">
        <v>1897</v>
      </c>
      <c r="G51" s="686">
        <f>SUBTOTAL(9,G52:G57)</f>
        <v>0.27704634295729169</v>
      </c>
      <c r="H51" s="691">
        <f>SUBTOTAL(9,H52:H57)</f>
        <v>6</v>
      </c>
      <c r="I51" s="626"/>
      <c r="J51" s="752"/>
      <c r="L51" s="684"/>
      <c r="M51" s="684"/>
      <c r="N51" s="684"/>
      <c r="O51" s="684"/>
      <c r="P51" s="684"/>
      <c r="Q51" s="684"/>
      <c r="R51" s="684"/>
      <c r="T51" s="752"/>
      <c r="V51" s="686">
        <f>SUBTOTAL(9,V52:V57)</f>
        <v>0</v>
      </c>
      <c r="W51" s="691">
        <f>SUBTOTAL(9,W52:W57)</f>
        <v>0</v>
      </c>
    </row>
    <row r="52" spans="1:23" hidden="1" outlineLevel="3">
      <c r="A52" s="376"/>
      <c r="B52" s="376" t="s">
        <v>891</v>
      </c>
      <c r="C52" s="376" t="s">
        <v>969</v>
      </c>
      <c r="D52" s="376" t="s">
        <v>441</v>
      </c>
      <c r="E52" s="376" t="s">
        <v>437</v>
      </c>
      <c r="F52" s="608" t="s">
        <v>987</v>
      </c>
      <c r="G52" s="609">
        <v>2.1499694035440806E-2</v>
      </c>
      <c r="H52" s="700">
        <v>1</v>
      </c>
      <c r="I52" s="626"/>
      <c r="J52" s="752"/>
      <c r="L52" s="376" t="s">
        <v>437</v>
      </c>
      <c r="M52" s="376" t="s">
        <v>966</v>
      </c>
      <c r="N52" s="376" t="s">
        <v>967</v>
      </c>
      <c r="O52" s="376" t="s">
        <v>995</v>
      </c>
      <c r="P52" s="376"/>
      <c r="Q52" s="376"/>
      <c r="R52" s="376"/>
      <c r="T52" s="752"/>
      <c r="V52" s="609">
        <f t="shared" ref="V52:V57" si="4">IF(W52=1,G52,0)</f>
        <v>0</v>
      </c>
      <c r="W52" s="700"/>
    </row>
    <row r="53" spans="1:23" ht="26.45" hidden="1" outlineLevel="3">
      <c r="A53" s="376"/>
      <c r="B53" s="376" t="s">
        <v>891</v>
      </c>
      <c r="C53" s="376" t="s">
        <v>969</v>
      </c>
      <c r="D53" s="376" t="s">
        <v>441</v>
      </c>
      <c r="E53" s="376" t="s">
        <v>437</v>
      </c>
      <c r="F53" s="608" t="s">
        <v>975</v>
      </c>
      <c r="G53" s="609">
        <v>2.8273590763100436E-3</v>
      </c>
      <c r="H53" s="692">
        <v>1</v>
      </c>
      <c r="I53" s="626"/>
      <c r="J53" s="752"/>
      <c r="L53" s="376" t="s">
        <v>437</v>
      </c>
      <c r="M53" s="376" t="s">
        <v>966</v>
      </c>
      <c r="N53" s="376" t="s">
        <v>967</v>
      </c>
      <c r="O53" s="376" t="s">
        <v>995</v>
      </c>
      <c r="P53" s="376"/>
      <c r="Q53" s="376"/>
      <c r="R53" s="376"/>
      <c r="T53" s="752"/>
      <c r="V53" s="609">
        <f>IF(W53=1,G53,0)</f>
        <v>0</v>
      </c>
      <c r="W53" s="692"/>
    </row>
    <row r="54" spans="1:23" ht="26.45" hidden="1" outlineLevel="3">
      <c r="A54" s="376"/>
      <c r="B54" s="376" t="s">
        <v>891</v>
      </c>
      <c r="C54" s="376" t="s">
        <v>969</v>
      </c>
      <c r="D54" s="376" t="s">
        <v>441</v>
      </c>
      <c r="E54" s="376" t="s">
        <v>437</v>
      </c>
      <c r="F54" s="608" t="s">
        <v>976</v>
      </c>
      <c r="G54" s="609">
        <v>2.8273590763100436E-3</v>
      </c>
      <c r="H54" s="700">
        <v>1</v>
      </c>
      <c r="I54" s="626"/>
      <c r="J54" s="752"/>
      <c r="L54" s="376" t="s">
        <v>437</v>
      </c>
      <c r="M54" s="376" t="s">
        <v>966</v>
      </c>
      <c r="N54" s="376" t="s">
        <v>967</v>
      </c>
      <c r="O54" s="376" t="s">
        <v>995</v>
      </c>
      <c r="P54" s="376"/>
      <c r="Q54" s="376"/>
      <c r="R54" s="376"/>
      <c r="T54" s="752"/>
      <c r="V54" s="609">
        <f t="shared" si="4"/>
        <v>0</v>
      </c>
      <c r="W54" s="700"/>
    </row>
    <row r="55" spans="1:23" hidden="1" outlineLevel="3">
      <c r="A55" s="376"/>
      <c r="B55" s="376" t="s">
        <v>891</v>
      </c>
      <c r="C55" s="376" t="s">
        <v>969</v>
      </c>
      <c r="D55" s="376" t="s">
        <v>441</v>
      </c>
      <c r="E55" s="376" t="s">
        <v>437</v>
      </c>
      <c r="F55" s="608" t="s">
        <v>973</v>
      </c>
      <c r="G55" s="609">
        <v>0.10494596538461541</v>
      </c>
      <c r="H55" s="700">
        <v>1</v>
      </c>
      <c r="I55" s="626"/>
      <c r="J55" s="752"/>
      <c r="L55" s="376" t="s">
        <v>437</v>
      </c>
      <c r="M55" s="376" t="s">
        <v>966</v>
      </c>
      <c r="N55" s="376" t="s">
        <v>967</v>
      </c>
      <c r="O55" s="376" t="s">
        <v>995</v>
      </c>
      <c r="P55" s="376"/>
      <c r="Q55" s="376"/>
      <c r="R55" s="376"/>
      <c r="T55" s="752"/>
      <c r="V55" s="609">
        <f t="shared" si="4"/>
        <v>0</v>
      </c>
      <c r="W55" s="700"/>
    </row>
    <row r="56" spans="1:23" hidden="1" outlineLevel="3">
      <c r="A56" s="376"/>
      <c r="B56" s="376" t="s">
        <v>891</v>
      </c>
      <c r="C56" s="376" t="s">
        <v>969</v>
      </c>
      <c r="D56" s="376" t="s">
        <v>441</v>
      </c>
      <c r="E56" s="376" t="s">
        <v>437</v>
      </c>
      <c r="F56" s="608" t="s">
        <v>1875</v>
      </c>
      <c r="G56" s="609">
        <v>0.10494596538461541</v>
      </c>
      <c r="H56" s="692">
        <v>1</v>
      </c>
      <c r="I56" s="626"/>
      <c r="J56" s="752"/>
      <c r="L56" s="376" t="s">
        <v>437</v>
      </c>
      <c r="M56" s="376" t="s">
        <v>966</v>
      </c>
      <c r="N56" s="376" t="s">
        <v>967</v>
      </c>
      <c r="O56" s="376" t="s">
        <v>995</v>
      </c>
      <c r="P56" s="376"/>
      <c r="Q56" s="376"/>
      <c r="R56" s="376"/>
      <c r="T56" s="752"/>
      <c r="V56" s="609">
        <f>IF(W56=1,G56,0)</f>
        <v>0</v>
      </c>
      <c r="W56" s="692"/>
    </row>
    <row r="57" spans="1:23" hidden="1" outlineLevel="3">
      <c r="A57" s="376"/>
      <c r="B57" s="376" t="s">
        <v>891</v>
      </c>
      <c r="C57" s="376" t="s">
        <v>969</v>
      </c>
      <c r="D57" s="376" t="s">
        <v>441</v>
      </c>
      <c r="E57" s="376" t="s">
        <v>437</v>
      </c>
      <c r="F57" s="608" t="s">
        <v>984</v>
      </c>
      <c r="G57" s="609">
        <v>0.04</v>
      </c>
      <c r="H57" s="700">
        <v>1</v>
      </c>
      <c r="I57" s="626"/>
      <c r="J57" s="752"/>
      <c r="L57" s="376" t="s">
        <v>437</v>
      </c>
      <c r="M57" s="376" t="s">
        <v>966</v>
      </c>
      <c r="N57" s="376" t="s">
        <v>967</v>
      </c>
      <c r="O57" s="376" t="s">
        <v>995</v>
      </c>
      <c r="P57" s="376"/>
      <c r="Q57" s="376"/>
      <c r="R57" s="376"/>
      <c r="T57" s="752"/>
      <c r="V57" s="609">
        <f t="shared" si="4"/>
        <v>0</v>
      </c>
      <c r="W57" s="700"/>
    </row>
    <row r="58" spans="1:23" hidden="1" outlineLevel="2">
      <c r="A58" s="376"/>
      <c r="B58" s="684" t="s">
        <v>891</v>
      </c>
      <c r="C58" s="684" t="s">
        <v>969</v>
      </c>
      <c r="D58" s="684" t="s">
        <v>860</v>
      </c>
      <c r="E58" s="684"/>
      <c r="F58" s="685" t="s">
        <v>1897</v>
      </c>
      <c r="G58" s="686">
        <f>SUBTOTAL(9,G59:G60)</f>
        <v>9.4268165569364862E-2</v>
      </c>
      <c r="H58" s="691">
        <f>SUBTOTAL(9,H59:H60)</f>
        <v>2</v>
      </c>
      <c r="I58" s="626"/>
      <c r="J58" s="752"/>
      <c r="L58" s="684"/>
      <c r="M58" s="684"/>
      <c r="N58" s="684"/>
      <c r="O58" s="684"/>
      <c r="P58" s="684"/>
      <c r="Q58" s="684"/>
      <c r="R58" s="684"/>
      <c r="T58" s="752"/>
      <c r="V58" s="686">
        <f>SUBTOTAL(9,V59:V60)</f>
        <v>0</v>
      </c>
      <c r="W58" s="691">
        <f>SUBTOTAL(9,W59:W60)</f>
        <v>0</v>
      </c>
    </row>
    <row r="59" spans="1:23" hidden="1" outlineLevel="3">
      <c r="A59" s="376"/>
      <c r="B59" s="376" t="s">
        <v>891</v>
      </c>
      <c r="C59" s="376" t="s">
        <v>969</v>
      </c>
      <c r="D59" s="376" t="s">
        <v>860</v>
      </c>
      <c r="E59" s="376" t="s">
        <v>437</v>
      </c>
      <c r="F59" s="608" t="s">
        <v>987</v>
      </c>
      <c r="G59" s="609">
        <v>4.7863519954722676E-2</v>
      </c>
      <c r="H59" s="700">
        <v>1</v>
      </c>
      <c r="I59" s="626"/>
      <c r="J59" s="752"/>
      <c r="L59" s="376" t="s">
        <v>437</v>
      </c>
      <c r="M59" s="376" t="s">
        <v>996</v>
      </c>
      <c r="N59" s="376" t="s">
        <v>997</v>
      </c>
      <c r="O59" s="376" t="s">
        <v>998</v>
      </c>
      <c r="P59" s="376"/>
      <c r="Q59" s="376"/>
      <c r="R59" s="376"/>
      <c r="T59" s="752"/>
      <c r="V59" s="609">
        <f t="shared" ref="V59:V60" si="5">IF(W59=1,G59,0)</f>
        <v>0</v>
      </c>
      <c r="W59" s="700"/>
    </row>
    <row r="60" spans="1:23" hidden="1" outlineLevel="3">
      <c r="A60" s="376"/>
      <c r="B60" s="376" t="s">
        <v>891</v>
      </c>
      <c r="C60" s="376" t="s">
        <v>969</v>
      </c>
      <c r="D60" s="376" t="s">
        <v>860</v>
      </c>
      <c r="E60" s="376" t="s">
        <v>437</v>
      </c>
      <c r="F60" s="608" t="s">
        <v>999</v>
      </c>
      <c r="G60" s="609">
        <v>4.6404645614642186E-2</v>
      </c>
      <c r="H60" s="700">
        <v>1</v>
      </c>
      <c r="I60" s="626"/>
      <c r="J60" s="752"/>
      <c r="L60" s="376" t="s">
        <v>437</v>
      </c>
      <c r="M60" s="376" t="s">
        <v>996</v>
      </c>
      <c r="N60" s="376" t="s">
        <v>997</v>
      </c>
      <c r="O60" s="376" t="s">
        <v>998</v>
      </c>
      <c r="P60" s="376"/>
      <c r="Q60" s="376"/>
      <c r="R60" s="376"/>
      <c r="T60" s="752"/>
      <c r="V60" s="609">
        <f t="shared" si="5"/>
        <v>0</v>
      </c>
      <c r="W60" s="700"/>
    </row>
    <row r="61" spans="1:23" hidden="1" outlineLevel="3">
      <c r="A61" s="376"/>
      <c r="B61" s="376" t="s">
        <v>891</v>
      </c>
      <c r="C61" s="376" t="s">
        <v>969</v>
      </c>
      <c r="D61" s="376" t="s">
        <v>860</v>
      </c>
      <c r="E61" s="376" t="s">
        <v>437</v>
      </c>
      <c r="F61" s="608" t="s">
        <v>1875</v>
      </c>
      <c r="G61" s="609">
        <v>4.6404645614642186E-2</v>
      </c>
      <c r="H61" s="692">
        <v>1</v>
      </c>
      <c r="I61" s="626"/>
      <c r="J61" s="752"/>
      <c r="L61" s="376" t="s">
        <v>437</v>
      </c>
      <c r="M61" s="376" t="s">
        <v>996</v>
      </c>
      <c r="N61" s="376" t="s">
        <v>997</v>
      </c>
      <c r="O61" s="376" t="s">
        <v>998</v>
      </c>
      <c r="P61" s="376"/>
      <c r="Q61" s="376"/>
      <c r="R61" s="376"/>
      <c r="T61" s="752"/>
      <c r="V61" s="609">
        <f>IF(W61=1,G61,0)</f>
        <v>0</v>
      </c>
      <c r="W61" s="692"/>
    </row>
    <row r="62" spans="1:23" s="711" customFormat="1" outlineLevel="1" collapsed="1">
      <c r="A62" s="386"/>
      <c r="B62" s="666" t="s">
        <v>894</v>
      </c>
      <c r="C62" s="666" t="s">
        <v>1021</v>
      </c>
      <c r="D62" s="666"/>
      <c r="E62" s="666"/>
      <c r="F62" s="681" t="s">
        <v>947</v>
      </c>
      <c r="G62" s="708">
        <f>SUBTOTAL(9,G63:G80)</f>
        <v>4.1269914999999999</v>
      </c>
      <c r="H62" s="709">
        <f>SUBTOTAL(9,H63:H80)</f>
        <v>14</v>
      </c>
      <c r="I62" s="710"/>
      <c r="J62" s="756"/>
      <c r="L62" s="666"/>
      <c r="M62" s="666"/>
      <c r="N62" s="666"/>
      <c r="O62" s="666"/>
      <c r="P62" s="666"/>
      <c r="Q62" s="666"/>
      <c r="R62" s="666"/>
      <c r="T62" s="756"/>
      <c r="V62" s="708">
        <f>SUBTOTAL(9,V63:V80)</f>
        <v>0.6</v>
      </c>
      <c r="W62" s="709">
        <f>SUBTOTAL(9,W63:W80)</f>
        <v>2</v>
      </c>
    </row>
    <row r="63" spans="1:23" hidden="1" outlineLevel="2">
      <c r="A63" s="376"/>
      <c r="B63" s="684" t="s">
        <v>894</v>
      </c>
      <c r="C63" s="684" t="s">
        <v>1021</v>
      </c>
      <c r="D63" s="684" t="s">
        <v>159</v>
      </c>
      <c r="E63" s="684"/>
      <c r="F63" s="712" t="s">
        <v>1022</v>
      </c>
      <c r="G63" s="713">
        <f>SUBTOTAL(9,G64:G71)</f>
        <v>3.3658999999999999</v>
      </c>
      <c r="H63" s="714">
        <f>SUBTOTAL(9,H64:H71)</f>
        <v>8</v>
      </c>
      <c r="I63" s="626"/>
      <c r="J63" s="752"/>
      <c r="L63" s="684"/>
      <c r="M63" s="684"/>
      <c r="N63" s="684"/>
      <c r="O63" s="684"/>
      <c r="P63" s="684"/>
      <c r="Q63" s="684"/>
      <c r="R63" s="684"/>
      <c r="T63" s="752"/>
      <c r="V63" s="713">
        <f>SUBTOTAL(9,V64:V71)</f>
        <v>0.6</v>
      </c>
      <c r="W63" s="714">
        <f>SUBTOTAL(9,W64:W71)</f>
        <v>2</v>
      </c>
    </row>
    <row r="64" spans="1:23" hidden="1" outlineLevel="3">
      <c r="A64" s="376"/>
      <c r="B64" s="376" t="s">
        <v>894</v>
      </c>
      <c r="C64" s="376" t="s">
        <v>1021</v>
      </c>
      <c r="D64" s="376" t="s">
        <v>159</v>
      </c>
      <c r="E64" s="376" t="s">
        <v>950</v>
      </c>
      <c r="F64" s="623" t="s">
        <v>1023</v>
      </c>
      <c r="G64" s="720">
        <v>0.17</v>
      </c>
      <c r="H64" s="700">
        <v>1</v>
      </c>
      <c r="I64" s="626"/>
      <c r="J64" s="752"/>
      <c r="L64" s="376" t="s">
        <v>950</v>
      </c>
      <c r="M64" s="376" t="s">
        <v>1024</v>
      </c>
      <c r="N64" s="376" t="s">
        <v>1025</v>
      </c>
      <c r="O64" s="376"/>
      <c r="P64" s="376"/>
      <c r="Q64" s="376"/>
      <c r="R64" s="376"/>
      <c r="T64" s="752"/>
      <c r="V64" s="609">
        <f t="shared" ref="V64:V71" si="6">IF(W64=1,G64,0)</f>
        <v>0</v>
      </c>
      <c r="W64" s="700"/>
    </row>
    <row r="65" spans="1:23" ht="26.45" hidden="1" outlineLevel="3">
      <c r="A65" s="376"/>
      <c r="B65" s="376" t="s">
        <v>894</v>
      </c>
      <c r="C65" s="376" t="s">
        <v>1021</v>
      </c>
      <c r="D65" s="376" t="s">
        <v>159</v>
      </c>
      <c r="E65" s="376" t="s">
        <v>950</v>
      </c>
      <c r="F65" s="623" t="s">
        <v>1026</v>
      </c>
      <c r="G65" s="720">
        <v>0.17</v>
      </c>
      <c r="H65" s="700">
        <v>1</v>
      </c>
      <c r="I65" s="626"/>
      <c r="J65" s="752"/>
      <c r="L65" s="376" t="s">
        <v>950</v>
      </c>
      <c r="M65" s="376" t="s">
        <v>1024</v>
      </c>
      <c r="N65" s="376" t="s">
        <v>1025</v>
      </c>
      <c r="O65" s="376"/>
      <c r="P65" s="376"/>
      <c r="Q65" s="376"/>
      <c r="R65" s="376"/>
      <c r="T65" s="752"/>
      <c r="V65" s="609">
        <f t="shared" si="6"/>
        <v>0</v>
      </c>
      <c r="W65" s="700"/>
    </row>
    <row r="66" spans="1:23" hidden="1" outlineLevel="3">
      <c r="A66" s="376"/>
      <c r="B66" s="376" t="s">
        <v>894</v>
      </c>
      <c r="C66" s="376" t="s">
        <v>1021</v>
      </c>
      <c r="D66" s="376" t="s">
        <v>159</v>
      </c>
      <c r="E66" s="376" t="s">
        <v>950</v>
      </c>
      <c r="F66" s="623" t="s">
        <v>1027</v>
      </c>
      <c r="G66" s="720">
        <v>1.18</v>
      </c>
      <c r="H66" s="700">
        <v>1</v>
      </c>
      <c r="I66" s="626"/>
      <c r="J66" s="752"/>
      <c r="L66" s="376" t="s">
        <v>950</v>
      </c>
      <c r="M66" s="376" t="s">
        <v>1028</v>
      </c>
      <c r="N66" s="376"/>
      <c r="O66" s="376"/>
      <c r="P66" s="376"/>
      <c r="Q66" s="376"/>
      <c r="R66" s="376"/>
      <c r="T66" s="752"/>
      <c r="V66" s="609">
        <f t="shared" si="6"/>
        <v>0</v>
      </c>
      <c r="W66" s="700"/>
    </row>
    <row r="67" spans="1:23" hidden="1" outlineLevel="3">
      <c r="A67" s="376"/>
      <c r="B67" s="376" t="s">
        <v>894</v>
      </c>
      <c r="C67" s="376" t="s">
        <v>1021</v>
      </c>
      <c r="D67" s="376" t="s">
        <v>159</v>
      </c>
      <c r="E67" s="376" t="s">
        <v>950</v>
      </c>
      <c r="F67" s="623" t="s">
        <v>1029</v>
      </c>
      <c r="G67" s="720">
        <f>10659000/10^7</f>
        <v>1.0659000000000001</v>
      </c>
      <c r="H67" s="700">
        <v>1</v>
      </c>
      <c r="I67" s="626"/>
      <c r="J67" s="752"/>
      <c r="L67" s="376" t="s">
        <v>950</v>
      </c>
      <c r="M67" s="376" t="s">
        <v>1005</v>
      </c>
      <c r="N67" s="376" t="s">
        <v>1030</v>
      </c>
      <c r="O67" s="376"/>
      <c r="P67" s="376"/>
      <c r="Q67" s="376"/>
      <c r="R67" s="376"/>
      <c r="T67" s="752"/>
      <c r="V67" s="609">
        <f t="shared" si="6"/>
        <v>0</v>
      </c>
      <c r="W67" s="700"/>
    </row>
    <row r="68" spans="1:23" hidden="1" outlineLevel="3">
      <c r="A68" s="376"/>
      <c r="B68" s="376" t="s">
        <v>894</v>
      </c>
      <c r="C68" s="376" t="s">
        <v>1021</v>
      </c>
      <c r="D68" s="376" t="s">
        <v>159</v>
      </c>
      <c r="E68" s="376" t="s">
        <v>950</v>
      </c>
      <c r="F68" s="623" t="s">
        <v>1031</v>
      </c>
      <c r="G68" s="720">
        <v>0.45</v>
      </c>
      <c r="H68" s="700">
        <v>1</v>
      </c>
      <c r="I68" s="626"/>
      <c r="J68" s="752"/>
      <c r="L68" s="376" t="s">
        <v>950</v>
      </c>
      <c r="M68" s="376" t="s">
        <v>1032</v>
      </c>
      <c r="N68" s="376"/>
      <c r="O68" s="376"/>
      <c r="P68" s="376"/>
      <c r="Q68" s="376"/>
      <c r="R68" s="376"/>
      <c r="T68" s="752"/>
      <c r="V68" s="609">
        <f t="shared" si="6"/>
        <v>0.45</v>
      </c>
      <c r="W68" s="700">
        <v>1</v>
      </c>
    </row>
    <row r="69" spans="1:23" hidden="1" outlineLevel="3">
      <c r="A69" s="376"/>
      <c r="B69" s="376" t="s">
        <v>894</v>
      </c>
      <c r="C69" s="376" t="s">
        <v>1021</v>
      </c>
      <c r="D69" s="376" t="s">
        <v>159</v>
      </c>
      <c r="E69" s="376" t="s">
        <v>950</v>
      </c>
      <c r="F69" s="623" t="s">
        <v>1033</v>
      </c>
      <c r="G69" s="720">
        <v>0.15</v>
      </c>
      <c r="H69" s="700">
        <v>1</v>
      </c>
      <c r="I69" s="626"/>
      <c r="J69" s="752"/>
      <c r="L69" s="376" t="s">
        <v>950</v>
      </c>
      <c r="M69" s="376" t="s">
        <v>1032</v>
      </c>
      <c r="N69" s="376"/>
      <c r="O69" s="376"/>
      <c r="P69" s="376"/>
      <c r="Q69" s="376"/>
      <c r="R69" s="376"/>
      <c r="T69" s="752"/>
      <c r="V69" s="609">
        <f t="shared" si="6"/>
        <v>0</v>
      </c>
      <c r="W69" s="700"/>
    </row>
    <row r="70" spans="1:23" hidden="1" outlineLevel="3">
      <c r="A70" s="376"/>
      <c r="B70" s="376" t="s">
        <v>894</v>
      </c>
      <c r="C70" s="376" t="s">
        <v>1021</v>
      </c>
      <c r="D70" s="376" t="s">
        <v>159</v>
      </c>
      <c r="E70" s="376" t="s">
        <v>950</v>
      </c>
      <c r="F70" s="623" t="s">
        <v>1034</v>
      </c>
      <c r="G70" s="720">
        <v>0.15</v>
      </c>
      <c r="H70" s="700">
        <v>1</v>
      </c>
      <c r="I70" s="626"/>
      <c r="J70" s="752"/>
      <c r="L70" s="376" t="s">
        <v>950</v>
      </c>
      <c r="M70" s="376" t="s">
        <v>1032</v>
      </c>
      <c r="N70" s="376"/>
      <c r="O70" s="376"/>
      <c r="P70" s="376"/>
      <c r="Q70" s="376"/>
      <c r="R70" s="376"/>
      <c r="T70" s="752"/>
      <c r="V70" s="609">
        <f t="shared" si="6"/>
        <v>0.15</v>
      </c>
      <c r="W70" s="700">
        <v>1</v>
      </c>
    </row>
    <row r="71" spans="1:23" hidden="1" outlineLevel="3">
      <c r="A71" s="376"/>
      <c r="B71" s="387" t="s">
        <v>894</v>
      </c>
      <c r="C71" s="387" t="s">
        <v>1021</v>
      </c>
      <c r="D71" s="387" t="s">
        <v>159</v>
      </c>
      <c r="E71" s="387" t="s">
        <v>950</v>
      </c>
      <c r="F71" s="705" t="s">
        <v>1035</v>
      </c>
      <c r="G71" s="721">
        <v>0.03</v>
      </c>
      <c r="H71" s="722">
        <v>1</v>
      </c>
      <c r="I71" s="626"/>
      <c r="J71" s="752"/>
      <c r="L71" s="387" t="s">
        <v>950</v>
      </c>
      <c r="M71" s="387" t="s">
        <v>1032</v>
      </c>
      <c r="N71" s="387" t="s">
        <v>1036</v>
      </c>
      <c r="O71" s="387"/>
      <c r="P71" s="387"/>
      <c r="Q71" s="387"/>
      <c r="R71" s="387"/>
      <c r="T71" s="752"/>
      <c r="V71" s="609">
        <f t="shared" si="6"/>
        <v>0</v>
      </c>
      <c r="W71" s="722"/>
    </row>
    <row r="72" spans="1:23" hidden="1" outlineLevel="2">
      <c r="A72" s="376"/>
      <c r="B72" s="684" t="s">
        <v>894</v>
      </c>
      <c r="C72" s="684" t="s">
        <v>1021</v>
      </c>
      <c r="D72" s="684" t="s">
        <v>518</v>
      </c>
      <c r="E72" s="684"/>
      <c r="F72" s="712" t="s">
        <v>1022</v>
      </c>
      <c r="G72" s="713">
        <f>SUBTOTAL(9,G73:G75)</f>
        <v>0.36</v>
      </c>
      <c r="H72" s="714">
        <f>SUBTOTAL(9,H73:H75)</f>
        <v>3</v>
      </c>
      <c r="I72" s="626"/>
      <c r="J72" s="752"/>
      <c r="L72" s="684"/>
      <c r="M72" s="684"/>
      <c r="N72" s="684"/>
      <c r="O72" s="684"/>
      <c r="P72" s="684"/>
      <c r="Q72" s="684"/>
      <c r="R72" s="684"/>
      <c r="T72" s="752"/>
      <c r="V72" s="713">
        <f>SUBTOTAL(9,V73:V75)</f>
        <v>0</v>
      </c>
      <c r="W72" s="714">
        <f>SUBTOTAL(9,W73:W75)</f>
        <v>0</v>
      </c>
    </row>
    <row r="73" spans="1:23" hidden="1" outlineLevel="3">
      <c r="A73" s="376"/>
      <c r="B73" s="376" t="s">
        <v>894</v>
      </c>
      <c r="C73" s="376" t="s">
        <v>1021</v>
      </c>
      <c r="D73" s="376" t="s">
        <v>518</v>
      </c>
      <c r="E73" s="376" t="s">
        <v>56</v>
      </c>
      <c r="F73" s="623" t="s">
        <v>1037</v>
      </c>
      <c r="G73" s="720">
        <v>0.19</v>
      </c>
      <c r="H73" s="700">
        <v>1</v>
      </c>
      <c r="I73" s="626"/>
      <c r="J73" s="752"/>
      <c r="L73" s="376" t="s">
        <v>56</v>
      </c>
      <c r="M73" s="376" t="s">
        <v>1038</v>
      </c>
      <c r="N73" s="376" t="s">
        <v>1039</v>
      </c>
      <c r="O73" s="376"/>
      <c r="P73" s="376" t="s">
        <v>1040</v>
      </c>
      <c r="Q73" s="376"/>
      <c r="R73" s="376"/>
      <c r="T73" s="752"/>
      <c r="V73" s="609">
        <f t="shared" ref="V73:V75" si="7">IF(W73=1,G73,0)</f>
        <v>0</v>
      </c>
      <c r="W73" s="700"/>
    </row>
    <row r="74" spans="1:23" hidden="1" outlineLevel="3">
      <c r="A74" s="376"/>
      <c r="B74" s="376" t="s">
        <v>894</v>
      </c>
      <c r="C74" s="376" t="s">
        <v>1021</v>
      </c>
      <c r="D74" s="376" t="s">
        <v>518</v>
      </c>
      <c r="E74" s="376" t="s">
        <v>56</v>
      </c>
      <c r="F74" s="623" t="s">
        <v>1041</v>
      </c>
      <c r="G74" s="720">
        <v>0.16</v>
      </c>
      <c r="H74" s="700">
        <v>1</v>
      </c>
      <c r="I74" s="626"/>
      <c r="J74" s="752"/>
      <c r="L74" s="376" t="s">
        <v>56</v>
      </c>
      <c r="M74" s="376" t="s">
        <v>1038</v>
      </c>
      <c r="N74" s="376" t="s">
        <v>1039</v>
      </c>
      <c r="O74" s="376"/>
      <c r="P74" s="376" t="s">
        <v>1040</v>
      </c>
      <c r="Q74" s="376"/>
      <c r="R74" s="376"/>
      <c r="T74" s="752"/>
      <c r="V74" s="609">
        <f t="shared" si="7"/>
        <v>0</v>
      </c>
      <c r="W74" s="700"/>
    </row>
    <row r="75" spans="1:23" hidden="1" outlineLevel="3">
      <c r="A75" s="376"/>
      <c r="B75" s="376" t="s">
        <v>894</v>
      </c>
      <c r="C75" s="376" t="s">
        <v>1021</v>
      </c>
      <c r="D75" s="376" t="s">
        <v>518</v>
      </c>
      <c r="E75" s="376" t="s">
        <v>56</v>
      </c>
      <c r="F75" s="623" t="s">
        <v>1042</v>
      </c>
      <c r="G75" s="720">
        <v>0.01</v>
      </c>
      <c r="H75" s="700">
        <v>1</v>
      </c>
      <c r="I75" s="626"/>
      <c r="J75" s="752"/>
      <c r="L75" s="376" t="s">
        <v>56</v>
      </c>
      <c r="M75" s="376" t="s">
        <v>1038</v>
      </c>
      <c r="N75" s="376" t="s">
        <v>1039</v>
      </c>
      <c r="O75" s="376" t="s">
        <v>1043</v>
      </c>
      <c r="P75" s="376" t="s">
        <v>1040</v>
      </c>
      <c r="Q75" s="376"/>
      <c r="R75" s="376"/>
      <c r="T75" s="752"/>
      <c r="V75" s="609">
        <f t="shared" si="7"/>
        <v>0</v>
      </c>
      <c r="W75" s="700"/>
    </row>
    <row r="76" spans="1:23" hidden="1" outlineLevel="2">
      <c r="A76" s="376"/>
      <c r="B76" s="684" t="s">
        <v>894</v>
      </c>
      <c r="C76" s="684" t="s">
        <v>1021</v>
      </c>
      <c r="D76" s="684" t="s">
        <v>441</v>
      </c>
      <c r="E76" s="684"/>
      <c r="F76" s="712" t="s">
        <v>1022</v>
      </c>
      <c r="G76" s="713">
        <f>SUBTOTAL(9,G77:G78)</f>
        <v>0.36109150000000001</v>
      </c>
      <c r="H76" s="714">
        <f>SUBTOTAL(9,H77:H78)</f>
        <v>2</v>
      </c>
      <c r="I76" s="626"/>
      <c r="J76" s="752"/>
      <c r="L76" s="684"/>
      <c r="M76" s="684"/>
      <c r="N76" s="684"/>
      <c r="O76" s="684"/>
      <c r="P76" s="684"/>
      <c r="Q76" s="684"/>
      <c r="R76" s="684"/>
      <c r="T76" s="752"/>
      <c r="V76" s="713">
        <f>SUBTOTAL(9,V77:V78)</f>
        <v>0</v>
      </c>
      <c r="W76" s="714">
        <f>SUBTOTAL(9,W77:W78)</f>
        <v>0</v>
      </c>
    </row>
    <row r="77" spans="1:23" hidden="1" outlineLevel="3">
      <c r="A77" s="376"/>
      <c r="B77" s="376" t="s">
        <v>894</v>
      </c>
      <c r="C77" s="376" t="s">
        <v>1021</v>
      </c>
      <c r="D77" s="376" t="s">
        <v>441</v>
      </c>
      <c r="E77" s="376" t="s">
        <v>437</v>
      </c>
      <c r="F77" s="623" t="s">
        <v>1041</v>
      </c>
      <c r="G77" s="723">
        <v>0.36</v>
      </c>
      <c r="H77" s="692">
        <v>1</v>
      </c>
      <c r="I77" s="626"/>
      <c r="J77" s="752"/>
      <c r="L77" s="376" t="s">
        <v>437</v>
      </c>
      <c r="M77" s="376" t="s">
        <v>966</v>
      </c>
      <c r="N77" s="376" t="s">
        <v>1044</v>
      </c>
      <c r="O77" s="376" t="s">
        <v>1045</v>
      </c>
      <c r="P77" s="376"/>
      <c r="Q77" s="376"/>
      <c r="R77" s="376"/>
      <c r="T77" s="752"/>
      <c r="V77" s="609">
        <f t="shared" ref="V77:V78" si="8">IF(W77=1,G77,0)</f>
        <v>0</v>
      </c>
      <c r="W77" s="692"/>
    </row>
    <row r="78" spans="1:23" hidden="1" outlineLevel="3">
      <c r="A78" s="376"/>
      <c r="B78" s="376" t="s">
        <v>894</v>
      </c>
      <c r="C78" s="376" t="s">
        <v>1021</v>
      </c>
      <c r="D78" s="376" t="s">
        <v>441</v>
      </c>
      <c r="E78" s="376" t="s">
        <v>437</v>
      </c>
      <c r="F78" s="623" t="s">
        <v>1042</v>
      </c>
      <c r="G78" s="720">
        <v>1.0915E-3</v>
      </c>
      <c r="H78" s="700">
        <v>1</v>
      </c>
      <c r="I78" s="626"/>
      <c r="J78" s="752"/>
      <c r="L78" s="376" t="s">
        <v>437</v>
      </c>
      <c r="M78" s="376" t="s">
        <v>966</v>
      </c>
      <c r="N78" s="376" t="s">
        <v>1044</v>
      </c>
      <c r="O78" s="376" t="s">
        <v>1045</v>
      </c>
      <c r="P78" s="376"/>
      <c r="Q78" s="376"/>
      <c r="R78" s="376"/>
      <c r="T78" s="752"/>
      <c r="V78" s="609">
        <f t="shared" si="8"/>
        <v>0</v>
      </c>
      <c r="W78" s="700"/>
    </row>
    <row r="79" spans="1:23" hidden="1" outlineLevel="2">
      <c r="A79" s="376"/>
      <c r="B79" s="684" t="s">
        <v>894</v>
      </c>
      <c r="C79" s="684" t="s">
        <v>1021</v>
      </c>
      <c r="D79" s="684" t="s">
        <v>860</v>
      </c>
      <c r="E79" s="684"/>
      <c r="F79" s="712" t="s">
        <v>1022</v>
      </c>
      <c r="G79" s="713">
        <f>SUBTOTAL(9,G80)</f>
        <v>0.04</v>
      </c>
      <c r="H79" s="714">
        <f>SUBTOTAL(9,H80)</f>
        <v>1</v>
      </c>
      <c r="I79" s="626"/>
      <c r="J79" s="752"/>
      <c r="L79" s="684"/>
      <c r="M79" s="684"/>
      <c r="N79" s="684"/>
      <c r="O79" s="684"/>
      <c r="P79" s="684"/>
      <c r="Q79" s="684"/>
      <c r="R79" s="684"/>
      <c r="T79" s="752"/>
      <c r="V79" s="713">
        <f>SUBTOTAL(9,V80)</f>
        <v>0</v>
      </c>
      <c r="W79" s="714">
        <f>SUBTOTAL(9,W80)</f>
        <v>0</v>
      </c>
    </row>
    <row r="80" spans="1:23" ht="26.45" hidden="1" outlineLevel="3">
      <c r="A80" s="376"/>
      <c r="B80" s="376" t="s">
        <v>894</v>
      </c>
      <c r="C80" s="376" t="s">
        <v>1021</v>
      </c>
      <c r="D80" s="376" t="s">
        <v>860</v>
      </c>
      <c r="E80" s="376" t="s">
        <v>437</v>
      </c>
      <c r="F80" s="623" t="s">
        <v>1047</v>
      </c>
      <c r="G80" s="720">
        <v>0.04</v>
      </c>
      <c r="H80" s="700">
        <v>1</v>
      </c>
      <c r="I80" s="626"/>
      <c r="J80" s="752"/>
      <c r="L80" s="376" t="s">
        <v>437</v>
      </c>
      <c r="M80" s="376" t="s">
        <v>996</v>
      </c>
      <c r="N80" s="376" t="s">
        <v>1048</v>
      </c>
      <c r="O80" s="376"/>
      <c r="P80" s="376"/>
      <c r="Q80" s="376"/>
      <c r="R80" s="376"/>
      <c r="T80" s="752"/>
      <c r="V80" s="609">
        <f t="shared" ref="V80" si="9">IF(W80=1,G80,0)</f>
        <v>0</v>
      </c>
      <c r="W80" s="700"/>
    </row>
    <row r="81" spans="1:23" s="612" customFormat="1" outlineLevel="1" collapsed="1">
      <c r="A81" s="380"/>
      <c r="B81" s="666" t="s">
        <v>469</v>
      </c>
      <c r="C81" s="666" t="s">
        <v>1049</v>
      </c>
      <c r="D81" s="666"/>
      <c r="E81" s="666"/>
      <c r="F81" s="681" t="s">
        <v>947</v>
      </c>
      <c r="G81" s="724">
        <f>SUBTOTAL(9,G82:G115)</f>
        <v>6.2785496199999988</v>
      </c>
      <c r="H81" s="725">
        <f>SUBTOTAL(9,H82:H115)</f>
        <v>30</v>
      </c>
      <c r="I81" s="627"/>
      <c r="J81" s="754"/>
      <c r="L81" s="666"/>
      <c r="M81" s="666"/>
      <c r="N81" s="666"/>
      <c r="O81" s="666"/>
      <c r="P81" s="666"/>
      <c r="Q81" s="666"/>
      <c r="R81" s="666"/>
      <c r="T81" s="754"/>
      <c r="V81" s="724">
        <f>SUBTOTAL(9,V82:V115)</f>
        <v>0</v>
      </c>
      <c r="W81" s="725">
        <f>SUBTOTAL(9,W82:W115)</f>
        <v>0</v>
      </c>
    </row>
    <row r="82" spans="1:23" hidden="1" outlineLevel="2">
      <c r="A82" s="376"/>
      <c r="B82" s="684" t="s">
        <v>469</v>
      </c>
      <c r="C82" s="684" t="s">
        <v>1049</v>
      </c>
      <c r="D82" s="684" t="s">
        <v>159</v>
      </c>
      <c r="E82" s="687"/>
      <c r="F82" s="685" t="s">
        <v>1050</v>
      </c>
      <c r="G82" s="713">
        <f>SUBTOTAL(9,G83:G95)</f>
        <v>3.9038500000000003</v>
      </c>
      <c r="H82" s="714">
        <f>SUBTOTAL(9,H83:H95)</f>
        <v>13</v>
      </c>
      <c r="I82" s="626"/>
      <c r="J82" s="752"/>
      <c r="L82" s="687"/>
      <c r="M82" s="687"/>
      <c r="N82" s="687"/>
      <c r="O82" s="687"/>
      <c r="P82" s="687"/>
      <c r="Q82" s="687"/>
      <c r="R82" s="687"/>
      <c r="T82" s="752"/>
      <c r="V82" s="713">
        <f>SUBTOTAL(9,V83:V95)</f>
        <v>0</v>
      </c>
      <c r="W82" s="714">
        <f>SUBTOTAL(9,W83:W95)</f>
        <v>0</v>
      </c>
    </row>
    <row r="83" spans="1:23" hidden="1" outlineLevel="3">
      <c r="A83" s="376"/>
      <c r="B83" s="376" t="s">
        <v>469</v>
      </c>
      <c r="C83" s="376" t="s">
        <v>1049</v>
      </c>
      <c r="D83" s="376" t="s">
        <v>159</v>
      </c>
      <c r="E83" s="387" t="s">
        <v>950</v>
      </c>
      <c r="F83" s="623" t="s">
        <v>1057</v>
      </c>
      <c r="G83" s="695">
        <v>0.48</v>
      </c>
      <c r="H83" s="700">
        <v>1</v>
      </c>
      <c r="I83" s="626"/>
      <c r="J83" s="752"/>
      <c r="L83" s="387" t="s">
        <v>950</v>
      </c>
      <c r="M83" s="387" t="s">
        <v>1053</v>
      </c>
      <c r="N83" s="387" t="s">
        <v>1058</v>
      </c>
      <c r="O83" s="387"/>
      <c r="P83" s="387"/>
      <c r="Q83" s="387"/>
      <c r="R83" s="387"/>
      <c r="T83" s="752"/>
      <c r="V83" s="609">
        <f t="shared" ref="V83:V95" si="10">IF(W83=1,G83,0)</f>
        <v>0</v>
      </c>
      <c r="W83" s="700"/>
    </row>
    <row r="84" spans="1:23" ht="26.45" hidden="1" outlineLevel="3">
      <c r="A84" s="376"/>
      <c r="B84" s="376" t="s">
        <v>469</v>
      </c>
      <c r="C84" s="376" t="s">
        <v>1049</v>
      </c>
      <c r="D84" s="376" t="s">
        <v>159</v>
      </c>
      <c r="E84" s="387" t="s">
        <v>950</v>
      </c>
      <c r="F84" s="623" t="s">
        <v>1059</v>
      </c>
      <c r="G84" s="695">
        <v>0.9638500000000001</v>
      </c>
      <c r="H84" s="700">
        <v>1</v>
      </c>
      <c r="I84" s="626"/>
      <c r="J84" s="752"/>
      <c r="L84" s="387" t="s">
        <v>950</v>
      </c>
      <c r="M84" s="387" t="s">
        <v>1053</v>
      </c>
      <c r="N84" s="387" t="s">
        <v>1058</v>
      </c>
      <c r="O84" s="387"/>
      <c r="P84" s="387"/>
      <c r="Q84" s="387"/>
      <c r="R84" s="387"/>
      <c r="T84" s="752"/>
      <c r="V84" s="609">
        <f t="shared" si="10"/>
        <v>0</v>
      </c>
      <c r="W84" s="700"/>
    </row>
    <row r="85" spans="1:23" hidden="1" outlineLevel="3">
      <c r="A85" s="376"/>
      <c r="B85" s="376" t="s">
        <v>469</v>
      </c>
      <c r="C85" s="376" t="s">
        <v>1049</v>
      </c>
      <c r="D85" s="376" t="s">
        <v>159</v>
      </c>
      <c r="E85" s="387" t="s">
        <v>950</v>
      </c>
      <c r="F85" s="623" t="s">
        <v>2260</v>
      </c>
      <c r="G85" s="695">
        <v>0.52</v>
      </c>
      <c r="H85" s="700">
        <v>1</v>
      </c>
      <c r="I85" s="626"/>
      <c r="J85" s="752"/>
      <c r="L85" s="387" t="s">
        <v>950</v>
      </c>
      <c r="M85" s="387" t="s">
        <v>1058</v>
      </c>
      <c r="N85" s="387" t="s">
        <v>1061</v>
      </c>
      <c r="O85" s="387"/>
      <c r="P85" s="387"/>
      <c r="Q85" s="387"/>
      <c r="R85" s="387"/>
      <c r="T85" s="752"/>
      <c r="V85" s="609">
        <f t="shared" si="10"/>
        <v>0</v>
      </c>
      <c r="W85" s="700"/>
    </row>
    <row r="86" spans="1:23" hidden="1" outlineLevel="3">
      <c r="A86" s="376"/>
      <c r="B86" s="376" t="s">
        <v>469</v>
      </c>
      <c r="C86" s="376" t="s">
        <v>1049</v>
      </c>
      <c r="D86" s="376" t="s">
        <v>159</v>
      </c>
      <c r="E86" s="387" t="s">
        <v>950</v>
      </c>
      <c r="F86" s="623" t="s">
        <v>1878</v>
      </c>
      <c r="G86" s="695">
        <v>0.52</v>
      </c>
      <c r="H86" s="700">
        <v>1</v>
      </c>
      <c r="I86" s="626"/>
      <c r="J86" s="752"/>
      <c r="L86" s="387" t="s">
        <v>950</v>
      </c>
      <c r="M86" s="387" t="s">
        <v>1063</v>
      </c>
      <c r="O86" s="752"/>
      <c r="Q86" s="609"/>
      <c r="R86" s="610"/>
      <c r="S86" s="610"/>
      <c r="T86" s="610"/>
    </row>
    <row r="87" spans="1:23" hidden="1" outlineLevel="3">
      <c r="A87" s="376"/>
      <c r="B87" s="376" t="s">
        <v>469</v>
      </c>
      <c r="C87" s="376" t="s">
        <v>1049</v>
      </c>
      <c r="D87" s="376" t="s">
        <v>159</v>
      </c>
      <c r="E87" s="387" t="s">
        <v>950</v>
      </c>
      <c r="F87" s="623" t="s">
        <v>1062</v>
      </c>
      <c r="G87" s="695">
        <v>0.52</v>
      </c>
      <c r="H87" s="700">
        <v>1</v>
      </c>
      <c r="I87" s="626"/>
      <c r="J87" s="752"/>
      <c r="L87" s="387" t="s">
        <v>950</v>
      </c>
      <c r="M87" s="387" t="s">
        <v>1063</v>
      </c>
      <c r="N87" s="387" t="s">
        <v>1053</v>
      </c>
      <c r="O87" s="387"/>
      <c r="P87" s="387"/>
      <c r="Q87" s="387"/>
      <c r="R87" s="387"/>
      <c r="T87" s="752"/>
      <c r="V87" s="609">
        <f t="shared" si="10"/>
        <v>0</v>
      </c>
      <c r="W87" s="700"/>
    </row>
    <row r="88" spans="1:23" hidden="1" outlineLevel="3">
      <c r="A88" s="376"/>
      <c r="B88" s="376" t="s">
        <v>469</v>
      </c>
      <c r="C88" s="376" t="s">
        <v>1049</v>
      </c>
      <c r="D88" s="376" t="s">
        <v>159</v>
      </c>
      <c r="E88" s="387" t="s">
        <v>950</v>
      </c>
      <c r="F88" s="623" t="s">
        <v>1064</v>
      </c>
      <c r="G88" s="695">
        <v>0.52</v>
      </c>
      <c r="H88" s="700">
        <v>1</v>
      </c>
      <c r="I88" s="626"/>
      <c r="J88" s="752"/>
      <c r="L88" s="387" t="s">
        <v>950</v>
      </c>
      <c r="M88" s="387" t="s">
        <v>1053</v>
      </c>
      <c r="N88" s="387" t="s">
        <v>1063</v>
      </c>
      <c r="O88" s="387"/>
      <c r="P88" s="387"/>
      <c r="Q88" s="387"/>
      <c r="R88" s="387"/>
      <c r="T88" s="752"/>
      <c r="V88" s="609">
        <f t="shared" si="10"/>
        <v>0</v>
      </c>
      <c r="W88" s="700"/>
    </row>
    <row r="89" spans="1:23" hidden="1" outlineLevel="3">
      <c r="A89" s="376"/>
      <c r="B89" s="376" t="s">
        <v>469</v>
      </c>
      <c r="C89" s="376" t="s">
        <v>1049</v>
      </c>
      <c r="D89" s="376" t="s">
        <v>159</v>
      </c>
      <c r="E89" s="387" t="s">
        <v>950</v>
      </c>
      <c r="F89" s="623" t="s">
        <v>1065</v>
      </c>
      <c r="G89" s="695">
        <v>0.17</v>
      </c>
      <c r="H89" s="700">
        <v>1</v>
      </c>
      <c r="I89" s="626"/>
      <c r="J89" s="752"/>
      <c r="L89" s="387" t="s">
        <v>950</v>
      </c>
      <c r="M89" s="387" t="s">
        <v>1052</v>
      </c>
      <c r="N89" s="387" t="s">
        <v>1053</v>
      </c>
      <c r="O89" s="387"/>
      <c r="P89" s="387"/>
      <c r="Q89" s="387"/>
      <c r="R89" s="387"/>
      <c r="T89" s="752"/>
      <c r="V89" s="609">
        <f t="shared" si="10"/>
        <v>0</v>
      </c>
      <c r="W89" s="700"/>
    </row>
    <row r="90" spans="1:23" hidden="1" outlineLevel="3">
      <c r="A90" s="376"/>
      <c r="B90" s="376" t="s">
        <v>469</v>
      </c>
      <c r="C90" s="376" t="s">
        <v>1049</v>
      </c>
      <c r="D90" s="376" t="s">
        <v>159</v>
      </c>
      <c r="E90" s="387" t="s">
        <v>950</v>
      </c>
      <c r="F90" s="623" t="s">
        <v>1069</v>
      </c>
      <c r="G90" s="695">
        <v>0.02</v>
      </c>
      <c r="H90" s="700">
        <v>1</v>
      </c>
      <c r="I90" s="626"/>
      <c r="J90" s="752"/>
      <c r="L90" s="387" t="s">
        <v>950</v>
      </c>
      <c r="M90" s="387" t="s">
        <v>1053</v>
      </c>
      <c r="N90" s="387" t="s">
        <v>1058</v>
      </c>
      <c r="O90" s="387"/>
      <c r="P90" s="387"/>
      <c r="Q90" s="387"/>
      <c r="R90" s="387"/>
      <c r="T90" s="752"/>
      <c r="V90" s="609">
        <f t="shared" si="10"/>
        <v>0</v>
      </c>
      <c r="W90" s="700"/>
    </row>
    <row r="91" spans="1:23" hidden="1" outlineLevel="3">
      <c r="A91" s="376"/>
      <c r="B91" s="376" t="s">
        <v>469</v>
      </c>
      <c r="C91" s="376" t="s">
        <v>1049</v>
      </c>
      <c r="D91" s="376" t="s">
        <v>159</v>
      </c>
      <c r="E91" s="387" t="s">
        <v>950</v>
      </c>
      <c r="F91" s="623" t="s">
        <v>1070</v>
      </c>
      <c r="G91" s="695">
        <v>0.03</v>
      </c>
      <c r="H91" s="700">
        <v>1</v>
      </c>
      <c r="I91" s="626"/>
      <c r="J91" s="752"/>
      <c r="L91" s="387" t="s">
        <v>950</v>
      </c>
      <c r="M91" s="387" t="s">
        <v>1052</v>
      </c>
      <c r="N91" s="387" t="s">
        <v>1053</v>
      </c>
      <c r="O91" s="387"/>
      <c r="P91" s="387"/>
      <c r="Q91" s="387"/>
      <c r="R91" s="387"/>
      <c r="T91" s="752"/>
      <c r="V91" s="609">
        <f t="shared" si="10"/>
        <v>0</v>
      </c>
      <c r="W91" s="700"/>
    </row>
    <row r="92" spans="1:23" hidden="1" outlineLevel="3">
      <c r="A92" s="376"/>
      <c r="B92" s="376" t="s">
        <v>469</v>
      </c>
      <c r="C92" s="376" t="s">
        <v>1049</v>
      </c>
      <c r="D92" s="376" t="s">
        <v>159</v>
      </c>
      <c r="E92" s="387" t="s">
        <v>950</v>
      </c>
      <c r="F92" s="623" t="s">
        <v>1041</v>
      </c>
      <c r="G92" s="695">
        <v>0.03</v>
      </c>
      <c r="H92" s="700">
        <v>1</v>
      </c>
      <c r="I92" s="626"/>
      <c r="J92" s="752"/>
      <c r="L92" s="387" t="s">
        <v>950</v>
      </c>
      <c r="M92" s="387" t="s">
        <v>1052</v>
      </c>
      <c r="N92" s="387" t="s">
        <v>1053</v>
      </c>
      <c r="O92" s="387"/>
      <c r="P92" s="387"/>
      <c r="Q92" s="387"/>
      <c r="R92" s="387"/>
      <c r="T92" s="752"/>
      <c r="V92" s="609">
        <f t="shared" si="10"/>
        <v>0</v>
      </c>
      <c r="W92" s="700"/>
    </row>
    <row r="93" spans="1:23" hidden="1" outlineLevel="3">
      <c r="A93" s="376"/>
      <c r="B93" s="376" t="s">
        <v>469</v>
      </c>
      <c r="C93" s="376" t="s">
        <v>1049</v>
      </c>
      <c r="D93" s="376" t="s">
        <v>159</v>
      </c>
      <c r="E93" s="387" t="s">
        <v>950</v>
      </c>
      <c r="F93" s="623" t="s">
        <v>1071</v>
      </c>
      <c r="G93" s="695">
        <v>1.4999999999999999E-2</v>
      </c>
      <c r="H93" s="700">
        <v>1</v>
      </c>
      <c r="I93" s="626"/>
      <c r="J93" s="752"/>
      <c r="L93" s="387" t="s">
        <v>950</v>
      </c>
      <c r="M93" s="387" t="s">
        <v>1052</v>
      </c>
      <c r="N93" s="387" t="s">
        <v>1053</v>
      </c>
      <c r="O93" s="387"/>
      <c r="P93" s="387"/>
      <c r="Q93" s="387"/>
      <c r="R93" s="387"/>
      <c r="T93" s="752"/>
      <c r="V93" s="609">
        <f t="shared" si="10"/>
        <v>0</v>
      </c>
      <c r="W93" s="700"/>
    </row>
    <row r="94" spans="1:23" hidden="1" outlineLevel="3">
      <c r="A94" s="376"/>
      <c r="B94" s="376" t="s">
        <v>469</v>
      </c>
      <c r="C94" s="376" t="s">
        <v>1049</v>
      </c>
      <c r="D94" s="376" t="s">
        <v>159</v>
      </c>
      <c r="E94" s="387" t="s">
        <v>950</v>
      </c>
      <c r="F94" s="623" t="s">
        <v>1072</v>
      </c>
      <c r="G94" s="695">
        <v>1.4999999999999999E-2</v>
      </c>
      <c r="H94" s="700">
        <v>1</v>
      </c>
      <c r="I94" s="626"/>
      <c r="J94" s="752"/>
      <c r="L94" s="387" t="s">
        <v>950</v>
      </c>
      <c r="M94" s="387" t="s">
        <v>1052</v>
      </c>
      <c r="N94" s="387" t="s">
        <v>1053</v>
      </c>
      <c r="O94" s="387"/>
      <c r="P94" s="387"/>
      <c r="Q94" s="387"/>
      <c r="R94" s="387"/>
      <c r="T94" s="752"/>
      <c r="V94" s="609">
        <f t="shared" si="10"/>
        <v>0</v>
      </c>
      <c r="W94" s="700"/>
    </row>
    <row r="95" spans="1:23" hidden="1" outlineLevel="3">
      <c r="A95" s="376"/>
      <c r="B95" s="376" t="s">
        <v>469</v>
      </c>
      <c r="C95" s="376" t="s">
        <v>1049</v>
      </c>
      <c r="D95" s="376" t="s">
        <v>159</v>
      </c>
      <c r="E95" s="387" t="s">
        <v>950</v>
      </c>
      <c r="F95" s="623" t="s">
        <v>1037</v>
      </c>
      <c r="G95" s="695">
        <v>0.1</v>
      </c>
      <c r="H95" s="700">
        <v>1</v>
      </c>
      <c r="I95" s="626"/>
      <c r="J95" s="752"/>
      <c r="L95" s="387" t="s">
        <v>950</v>
      </c>
      <c r="M95" s="387" t="s">
        <v>1052</v>
      </c>
      <c r="N95" s="387" t="s">
        <v>1053</v>
      </c>
      <c r="O95" s="387"/>
      <c r="P95" s="387"/>
      <c r="Q95" s="387"/>
      <c r="R95" s="387"/>
      <c r="T95" s="752"/>
      <c r="V95" s="609">
        <f t="shared" si="10"/>
        <v>0</v>
      </c>
      <c r="W95" s="700"/>
    </row>
    <row r="96" spans="1:23" hidden="1" outlineLevel="2">
      <c r="A96" s="376"/>
      <c r="B96" s="684" t="s">
        <v>469</v>
      </c>
      <c r="C96" s="684" t="s">
        <v>1049</v>
      </c>
      <c r="D96" s="684" t="s">
        <v>518</v>
      </c>
      <c r="E96" s="684"/>
      <c r="F96" s="712" t="s">
        <v>1022</v>
      </c>
      <c r="G96" s="713">
        <f>SUBTOTAL(9,G97:G103)</f>
        <v>1.7000000000000002</v>
      </c>
      <c r="H96" s="714">
        <f>SUBTOTAL(9,H97:H103)</f>
        <v>7</v>
      </c>
      <c r="I96" s="626"/>
      <c r="J96" s="752"/>
      <c r="L96" s="684"/>
      <c r="M96" s="684"/>
      <c r="N96" s="684"/>
      <c r="O96" s="684"/>
      <c r="P96" s="684"/>
      <c r="Q96" s="684"/>
      <c r="R96" s="684"/>
      <c r="T96" s="752"/>
      <c r="V96" s="713">
        <f>SUBTOTAL(9,V97:V103)</f>
        <v>0</v>
      </c>
      <c r="W96" s="714">
        <f>SUBTOTAL(9,W97:W103)</f>
        <v>0</v>
      </c>
    </row>
    <row r="97" spans="1:23" hidden="1" outlineLevel="3">
      <c r="A97" s="376"/>
      <c r="B97" s="376" t="s">
        <v>469</v>
      </c>
      <c r="C97" s="376" t="s">
        <v>1049</v>
      </c>
      <c r="D97" s="376" t="s">
        <v>518</v>
      </c>
      <c r="E97" s="376" t="s">
        <v>56</v>
      </c>
      <c r="F97" s="623" t="s">
        <v>1066</v>
      </c>
      <c r="G97" s="720">
        <v>0.2</v>
      </c>
      <c r="H97" s="700">
        <v>1</v>
      </c>
      <c r="I97" s="626"/>
      <c r="J97" s="752"/>
      <c r="L97" s="376" t="s">
        <v>56</v>
      </c>
      <c r="M97" s="376" t="s">
        <v>1038</v>
      </c>
      <c r="N97" s="376" t="s">
        <v>1075</v>
      </c>
      <c r="O97" s="376" t="s">
        <v>1039</v>
      </c>
      <c r="P97" s="376" t="s">
        <v>1040</v>
      </c>
      <c r="Q97" s="376"/>
      <c r="R97" s="376"/>
      <c r="T97" s="752"/>
      <c r="V97" s="609">
        <f t="shared" ref="V97:V103" si="11">IF(W97=1,G97,0)</f>
        <v>0</v>
      </c>
      <c r="W97" s="700"/>
    </row>
    <row r="98" spans="1:23" hidden="1" outlineLevel="3">
      <c r="A98" s="376"/>
      <c r="B98" s="376" t="s">
        <v>469</v>
      </c>
      <c r="C98" s="376" t="s">
        <v>1049</v>
      </c>
      <c r="D98" s="376" t="s">
        <v>518</v>
      </c>
      <c r="E98" s="376" t="s">
        <v>56</v>
      </c>
      <c r="F98" s="623" t="s">
        <v>1067</v>
      </c>
      <c r="G98" s="720">
        <v>0.4</v>
      </c>
      <c r="H98" s="692">
        <v>1</v>
      </c>
      <c r="I98" s="626"/>
      <c r="J98" s="752"/>
      <c r="L98" s="376" t="s">
        <v>56</v>
      </c>
      <c r="M98" s="376" t="s">
        <v>1038</v>
      </c>
      <c r="N98" s="376" t="s">
        <v>1075</v>
      </c>
      <c r="O98" s="376" t="s">
        <v>1039</v>
      </c>
      <c r="P98" s="376" t="s">
        <v>1040</v>
      </c>
      <c r="Q98" s="376"/>
      <c r="R98" s="376"/>
      <c r="T98" s="752"/>
      <c r="V98" s="609">
        <f t="shared" si="11"/>
        <v>0</v>
      </c>
      <c r="W98" s="692"/>
    </row>
    <row r="99" spans="1:23" hidden="1" outlineLevel="3">
      <c r="A99" s="376"/>
      <c r="B99" s="376" t="s">
        <v>469</v>
      </c>
      <c r="C99" s="376" t="s">
        <v>1049</v>
      </c>
      <c r="D99" s="376" t="s">
        <v>518</v>
      </c>
      <c r="E99" s="376" t="s">
        <v>56</v>
      </c>
      <c r="F99" s="623" t="s">
        <v>1076</v>
      </c>
      <c r="G99" s="720">
        <v>0.32</v>
      </c>
      <c r="H99" s="692">
        <v>1</v>
      </c>
      <c r="I99" s="626"/>
      <c r="J99" s="752"/>
      <c r="L99" s="376" t="s">
        <v>56</v>
      </c>
      <c r="M99" s="376" t="s">
        <v>1038</v>
      </c>
      <c r="N99" s="376" t="s">
        <v>1077</v>
      </c>
      <c r="O99" s="376" t="s">
        <v>1078</v>
      </c>
      <c r="P99" s="376" t="s">
        <v>1040</v>
      </c>
      <c r="Q99" s="376"/>
      <c r="R99" s="376"/>
      <c r="T99" s="752"/>
      <c r="V99" s="609">
        <f t="shared" si="11"/>
        <v>0</v>
      </c>
      <c r="W99" s="692"/>
    </row>
    <row r="100" spans="1:23" hidden="1" outlineLevel="3">
      <c r="A100" s="376"/>
      <c r="B100" s="376" t="s">
        <v>469</v>
      </c>
      <c r="C100" s="376" t="s">
        <v>1049</v>
      </c>
      <c r="D100" s="376" t="s">
        <v>518</v>
      </c>
      <c r="E100" s="376" t="s">
        <v>56</v>
      </c>
      <c r="F100" s="623" t="s">
        <v>1079</v>
      </c>
      <c r="G100" s="720">
        <v>0.32</v>
      </c>
      <c r="H100" s="692">
        <v>1</v>
      </c>
      <c r="I100" s="626"/>
      <c r="J100" s="752"/>
      <c r="L100" s="376" t="s">
        <v>56</v>
      </c>
      <c r="M100" s="376" t="s">
        <v>1038</v>
      </c>
      <c r="N100" s="376" t="s">
        <v>1077</v>
      </c>
      <c r="O100" s="376" t="s">
        <v>1078</v>
      </c>
      <c r="P100" s="376" t="s">
        <v>1040</v>
      </c>
      <c r="Q100" s="376"/>
      <c r="R100" s="376"/>
      <c r="T100" s="752"/>
      <c r="V100" s="609">
        <f t="shared" si="11"/>
        <v>0</v>
      </c>
      <c r="W100" s="692"/>
    </row>
    <row r="101" spans="1:23" hidden="1" outlineLevel="3">
      <c r="A101" s="376"/>
      <c r="B101" s="376" t="s">
        <v>469</v>
      </c>
      <c r="C101" s="376" t="s">
        <v>1049</v>
      </c>
      <c r="D101" s="376" t="s">
        <v>518</v>
      </c>
      <c r="E101" s="376" t="s">
        <v>56</v>
      </c>
      <c r="F101" s="623" t="s">
        <v>1080</v>
      </c>
      <c r="G101" s="720">
        <v>0.43</v>
      </c>
      <c r="H101" s="692">
        <v>1</v>
      </c>
      <c r="I101" s="626"/>
      <c r="J101" s="752"/>
      <c r="L101" s="376" t="s">
        <v>56</v>
      </c>
      <c r="M101" s="376" t="s">
        <v>1038</v>
      </c>
      <c r="N101" s="376" t="s">
        <v>1077</v>
      </c>
      <c r="O101" s="376" t="s">
        <v>1039</v>
      </c>
      <c r="P101" s="376" t="s">
        <v>1081</v>
      </c>
      <c r="Q101" s="376"/>
      <c r="R101" s="376"/>
      <c r="T101" s="752"/>
      <c r="V101" s="609">
        <f t="shared" si="11"/>
        <v>0</v>
      </c>
      <c r="W101" s="692"/>
    </row>
    <row r="102" spans="1:23" hidden="1" outlineLevel="3">
      <c r="A102" s="376"/>
      <c r="B102" s="376" t="s">
        <v>469</v>
      </c>
      <c r="C102" s="376" t="s">
        <v>1049</v>
      </c>
      <c r="D102" s="376" t="s">
        <v>518</v>
      </c>
      <c r="E102" s="376" t="s">
        <v>56</v>
      </c>
      <c r="F102" s="623" t="s">
        <v>1037</v>
      </c>
      <c r="G102" s="720">
        <v>0.02</v>
      </c>
      <c r="H102" s="700">
        <v>1</v>
      </c>
      <c r="I102" s="626"/>
      <c r="J102" s="752"/>
      <c r="L102" s="376" t="s">
        <v>56</v>
      </c>
      <c r="M102" s="376" t="s">
        <v>1038</v>
      </c>
      <c r="N102" s="376" t="s">
        <v>1039</v>
      </c>
      <c r="O102" s="376" t="s">
        <v>1078</v>
      </c>
      <c r="P102" s="376" t="s">
        <v>1081</v>
      </c>
      <c r="Q102" s="376"/>
      <c r="R102" s="376"/>
      <c r="T102" s="752"/>
      <c r="V102" s="609">
        <f t="shared" si="11"/>
        <v>0</v>
      </c>
      <c r="W102" s="700"/>
    </row>
    <row r="103" spans="1:23" hidden="1" outlineLevel="3">
      <c r="A103" s="376"/>
      <c r="B103" s="376" t="s">
        <v>469</v>
      </c>
      <c r="C103" s="376" t="s">
        <v>1049</v>
      </c>
      <c r="D103" s="376" t="s">
        <v>518</v>
      </c>
      <c r="E103" s="376" t="s">
        <v>56</v>
      </c>
      <c r="F103" s="623" t="s">
        <v>1041</v>
      </c>
      <c r="G103" s="720">
        <v>0.01</v>
      </c>
      <c r="H103" s="700">
        <v>1</v>
      </c>
      <c r="I103" s="626"/>
      <c r="J103" s="752"/>
      <c r="L103" s="376" t="s">
        <v>56</v>
      </c>
      <c r="M103" s="376" t="s">
        <v>1038</v>
      </c>
      <c r="N103" s="376" t="s">
        <v>1039</v>
      </c>
      <c r="O103" s="376" t="s">
        <v>1078</v>
      </c>
      <c r="P103" s="376" t="s">
        <v>1081</v>
      </c>
      <c r="Q103" s="376"/>
      <c r="R103" s="376"/>
      <c r="T103" s="752"/>
      <c r="V103" s="609">
        <f t="shared" si="11"/>
        <v>0</v>
      </c>
      <c r="W103" s="700"/>
    </row>
    <row r="104" spans="1:23" hidden="1" outlineLevel="2">
      <c r="A104" s="376"/>
      <c r="B104" s="684" t="s">
        <v>469</v>
      </c>
      <c r="C104" s="684" t="s">
        <v>1049</v>
      </c>
      <c r="D104" s="684" t="s">
        <v>441</v>
      </c>
      <c r="E104" s="684"/>
      <c r="F104" s="685" t="s">
        <v>1050</v>
      </c>
      <c r="G104" s="713">
        <f>SUBTOTAL(9,G105:G110)</f>
        <v>0.46573999999999993</v>
      </c>
      <c r="H104" s="714">
        <f>SUBTOTAL(9,H105:H110)</f>
        <v>6</v>
      </c>
      <c r="I104" s="626"/>
      <c r="J104" s="752"/>
      <c r="L104" s="684"/>
      <c r="M104" s="684"/>
      <c r="N104" s="684"/>
      <c r="O104" s="684"/>
      <c r="P104" s="684"/>
      <c r="Q104" s="684"/>
      <c r="R104" s="684"/>
      <c r="T104" s="752"/>
      <c r="V104" s="713">
        <f>SUBTOTAL(9,V105:V110)</f>
        <v>0</v>
      </c>
      <c r="W104" s="714">
        <f>SUBTOTAL(9,W105:W110)</f>
        <v>0</v>
      </c>
    </row>
    <row r="105" spans="1:23" hidden="1" outlineLevel="3">
      <c r="A105" s="376"/>
      <c r="B105" s="376" t="s">
        <v>469</v>
      </c>
      <c r="C105" s="376" t="s">
        <v>1049</v>
      </c>
      <c r="D105" s="376" t="s">
        <v>441</v>
      </c>
      <c r="E105" s="376" t="s">
        <v>437</v>
      </c>
      <c r="F105" s="623" t="s">
        <v>1067</v>
      </c>
      <c r="G105" s="723">
        <v>8.5739999999999997E-2</v>
      </c>
      <c r="H105" s="692">
        <v>1</v>
      </c>
      <c r="I105" s="626"/>
      <c r="J105" s="752"/>
      <c r="L105" s="376" t="s">
        <v>437</v>
      </c>
      <c r="M105" s="376" t="s">
        <v>966</v>
      </c>
      <c r="N105" s="376" t="s">
        <v>1082</v>
      </c>
      <c r="O105" s="376" t="s">
        <v>1083</v>
      </c>
      <c r="P105" s="376"/>
      <c r="Q105" s="376"/>
      <c r="R105" s="376"/>
      <c r="T105" s="752"/>
      <c r="V105" s="609">
        <f t="shared" ref="V105:V110" si="12">IF(W105=1,G105,0)</f>
        <v>0</v>
      </c>
      <c r="W105" s="692"/>
    </row>
    <row r="106" spans="1:23" hidden="1" outlineLevel="3">
      <c r="A106" s="376"/>
      <c r="B106" s="376" t="s">
        <v>469</v>
      </c>
      <c r="C106" s="376" t="s">
        <v>1049</v>
      </c>
      <c r="D106" s="376" t="s">
        <v>441</v>
      </c>
      <c r="E106" s="376" t="s">
        <v>437</v>
      </c>
      <c r="F106" s="623" t="s">
        <v>2261</v>
      </c>
      <c r="G106" s="720">
        <v>0.06</v>
      </c>
      <c r="H106" s="700">
        <v>1</v>
      </c>
      <c r="I106" s="626"/>
      <c r="J106" s="752"/>
      <c r="L106" s="376" t="s">
        <v>437</v>
      </c>
      <c r="M106" s="376" t="s">
        <v>966</v>
      </c>
      <c r="N106" s="376" t="s">
        <v>1082</v>
      </c>
      <c r="O106" s="376" t="s">
        <v>1083</v>
      </c>
      <c r="P106" s="376"/>
      <c r="Q106" s="376"/>
      <c r="R106" s="376"/>
      <c r="T106" s="752"/>
      <c r="V106" s="609">
        <f t="shared" si="12"/>
        <v>0</v>
      </c>
      <c r="W106" s="700"/>
    </row>
    <row r="107" spans="1:23" hidden="1" outlineLevel="3">
      <c r="A107" s="376"/>
      <c r="B107" s="376" t="s">
        <v>469</v>
      </c>
      <c r="C107" s="376" t="s">
        <v>1049</v>
      </c>
      <c r="D107" s="376" t="s">
        <v>441</v>
      </c>
      <c r="E107" s="376" t="s">
        <v>437</v>
      </c>
      <c r="F107" s="623" t="s">
        <v>1086</v>
      </c>
      <c r="G107" s="720">
        <v>0.06</v>
      </c>
      <c r="H107" s="700">
        <v>1</v>
      </c>
      <c r="I107" s="626"/>
      <c r="J107" s="752"/>
      <c r="L107" s="376" t="s">
        <v>437</v>
      </c>
      <c r="M107" s="376" t="s">
        <v>966</v>
      </c>
      <c r="N107" s="376" t="s">
        <v>1082</v>
      </c>
      <c r="O107" s="376" t="s">
        <v>1083</v>
      </c>
      <c r="P107" s="376"/>
      <c r="Q107" s="376"/>
      <c r="R107" s="376"/>
      <c r="T107" s="752"/>
      <c r="V107" s="609">
        <f t="shared" si="12"/>
        <v>0</v>
      </c>
      <c r="W107" s="700"/>
    </row>
    <row r="108" spans="1:23" hidden="1" outlineLevel="3">
      <c r="A108" s="376"/>
      <c r="B108" s="376" t="s">
        <v>469</v>
      </c>
      <c r="C108" s="376" t="s">
        <v>1049</v>
      </c>
      <c r="D108" s="376" t="s">
        <v>441</v>
      </c>
      <c r="E108" s="376" t="s">
        <v>437</v>
      </c>
      <c r="F108" s="623" t="s">
        <v>1065</v>
      </c>
      <c r="G108" s="720">
        <v>0.04</v>
      </c>
      <c r="H108" s="700">
        <v>1</v>
      </c>
      <c r="I108" s="626"/>
      <c r="J108" s="752"/>
      <c r="L108" s="376" t="s">
        <v>437</v>
      </c>
      <c r="M108" s="376" t="s">
        <v>966</v>
      </c>
      <c r="N108" s="376" t="s">
        <v>1082</v>
      </c>
      <c r="O108" s="376" t="s">
        <v>1083</v>
      </c>
      <c r="P108" s="376"/>
      <c r="Q108" s="376"/>
      <c r="R108" s="376"/>
      <c r="T108" s="752"/>
      <c r="V108" s="609">
        <f t="shared" si="12"/>
        <v>0</v>
      </c>
      <c r="W108" s="700"/>
    </row>
    <row r="109" spans="1:23" hidden="1" outlineLevel="3">
      <c r="A109" s="376"/>
      <c r="B109" s="376" t="s">
        <v>469</v>
      </c>
      <c r="C109" s="376" t="s">
        <v>1049</v>
      </c>
      <c r="D109" s="376" t="s">
        <v>441</v>
      </c>
      <c r="E109" s="376" t="s">
        <v>437</v>
      </c>
      <c r="F109" s="623" t="s">
        <v>1041</v>
      </c>
      <c r="G109" s="720">
        <v>0.12</v>
      </c>
      <c r="H109" s="700">
        <v>1</v>
      </c>
      <c r="I109" s="626"/>
      <c r="J109" s="752"/>
      <c r="L109" s="376" t="s">
        <v>437</v>
      </c>
      <c r="M109" s="376" t="s">
        <v>966</v>
      </c>
      <c r="N109" s="376" t="s">
        <v>1082</v>
      </c>
      <c r="O109" s="376" t="s">
        <v>1083</v>
      </c>
      <c r="P109" s="376"/>
      <c r="Q109" s="376"/>
      <c r="R109" s="376"/>
      <c r="T109" s="752"/>
      <c r="V109" s="609">
        <f t="shared" si="12"/>
        <v>0</v>
      </c>
      <c r="W109" s="700"/>
    </row>
    <row r="110" spans="1:23" ht="26.45" hidden="1" outlineLevel="3">
      <c r="A110" s="376"/>
      <c r="B110" s="376" t="s">
        <v>469</v>
      </c>
      <c r="C110" s="376" t="s">
        <v>1049</v>
      </c>
      <c r="D110" s="376" t="s">
        <v>441</v>
      </c>
      <c r="E110" s="376" t="s">
        <v>437</v>
      </c>
      <c r="F110" s="623" t="s">
        <v>2262</v>
      </c>
      <c r="G110" s="723">
        <v>0.1</v>
      </c>
      <c r="H110" s="692">
        <v>1</v>
      </c>
      <c r="I110" s="626"/>
      <c r="J110" s="752"/>
      <c r="L110" s="376" t="s">
        <v>437</v>
      </c>
      <c r="M110" s="376" t="s">
        <v>966</v>
      </c>
      <c r="N110" s="376" t="s">
        <v>1082</v>
      </c>
      <c r="O110" s="376" t="s">
        <v>1083</v>
      </c>
      <c r="P110" s="376"/>
      <c r="Q110" s="376"/>
      <c r="R110" s="376"/>
      <c r="T110" s="752"/>
      <c r="V110" s="609">
        <f t="shared" si="12"/>
        <v>0</v>
      </c>
      <c r="W110" s="692"/>
    </row>
    <row r="111" spans="1:23" hidden="1" outlineLevel="2">
      <c r="A111" s="376"/>
      <c r="B111" s="684" t="s">
        <v>469</v>
      </c>
      <c r="C111" s="684" t="s">
        <v>1049</v>
      </c>
      <c r="D111" s="684" t="s">
        <v>860</v>
      </c>
      <c r="E111" s="684"/>
      <c r="F111" s="685" t="s">
        <v>1050</v>
      </c>
      <c r="G111" s="713">
        <f>SUBTOTAL(9,G112:G115)</f>
        <v>0.20895962000000001</v>
      </c>
      <c r="H111" s="714">
        <f>SUBTOTAL(9,H112:H115)</f>
        <v>4</v>
      </c>
      <c r="I111" s="626"/>
      <c r="J111" s="752"/>
      <c r="L111" s="684"/>
      <c r="M111" s="684"/>
      <c r="N111" s="684"/>
      <c r="O111" s="684"/>
      <c r="P111" s="684"/>
      <c r="Q111" s="684"/>
      <c r="R111" s="684"/>
      <c r="T111" s="752"/>
      <c r="V111" s="713">
        <f>SUBTOTAL(9,V112:V115)</f>
        <v>0</v>
      </c>
      <c r="W111" s="714">
        <f>SUBTOTAL(9,W112:W115)</f>
        <v>0</v>
      </c>
    </row>
    <row r="112" spans="1:23" hidden="1" outlineLevel="3">
      <c r="A112" s="376"/>
      <c r="B112" s="376" t="s">
        <v>469</v>
      </c>
      <c r="C112" s="376" t="s">
        <v>1049</v>
      </c>
      <c r="D112" s="376" t="s">
        <v>860</v>
      </c>
      <c r="E112" s="376" t="s">
        <v>437</v>
      </c>
      <c r="F112" s="623" t="s">
        <v>1088</v>
      </c>
      <c r="G112" s="720">
        <v>0.02</v>
      </c>
      <c r="H112" s="700">
        <v>1</v>
      </c>
      <c r="I112" s="626"/>
      <c r="J112" s="752"/>
      <c r="L112" s="376" t="s">
        <v>437</v>
      </c>
      <c r="M112" s="376" t="s">
        <v>996</v>
      </c>
      <c r="N112" s="376" t="s">
        <v>1048</v>
      </c>
      <c r="O112" s="376"/>
      <c r="P112" s="376"/>
      <c r="Q112" s="376"/>
      <c r="R112" s="376"/>
      <c r="T112" s="752"/>
      <c r="V112" s="609">
        <f t="shared" ref="V112:V115" si="13">IF(W112=1,G112,0)</f>
        <v>0</v>
      </c>
      <c r="W112" s="700"/>
    </row>
    <row r="113" spans="1:23" hidden="1" outlineLevel="3">
      <c r="A113" s="376"/>
      <c r="B113" s="376" t="s">
        <v>469</v>
      </c>
      <c r="C113" s="376" t="s">
        <v>1049</v>
      </c>
      <c r="D113" s="376" t="s">
        <v>860</v>
      </c>
      <c r="E113" s="376" t="s">
        <v>437</v>
      </c>
      <c r="F113" s="623" t="s">
        <v>1898</v>
      </c>
      <c r="G113" s="720">
        <v>3.8959620000000007E-2</v>
      </c>
      <c r="H113" s="700">
        <v>1</v>
      </c>
      <c r="I113" s="626"/>
      <c r="J113" s="752"/>
      <c r="L113" s="376" t="s">
        <v>437</v>
      </c>
      <c r="M113" s="376" t="s">
        <v>996</v>
      </c>
      <c r="N113" s="376"/>
      <c r="O113" s="376"/>
      <c r="P113" s="376"/>
      <c r="Q113" s="376"/>
      <c r="R113" s="376"/>
      <c r="T113" s="752"/>
      <c r="V113" s="609">
        <f>IF(W113=1,G113,0)</f>
        <v>0</v>
      </c>
      <c r="W113" s="700"/>
    </row>
    <row r="114" spans="1:23" ht="26.45" hidden="1" outlineLevel="3">
      <c r="A114" s="376"/>
      <c r="B114" s="376" t="s">
        <v>469</v>
      </c>
      <c r="C114" s="376" t="s">
        <v>1049</v>
      </c>
      <c r="D114" s="376" t="s">
        <v>860</v>
      </c>
      <c r="E114" s="376" t="s">
        <v>437</v>
      </c>
      <c r="F114" s="623" t="s">
        <v>1899</v>
      </c>
      <c r="G114" s="720">
        <v>0.05</v>
      </c>
      <c r="H114" s="700">
        <v>1</v>
      </c>
      <c r="I114" s="626"/>
      <c r="J114" s="752"/>
      <c r="L114" s="376" t="s">
        <v>437</v>
      </c>
      <c r="M114" s="376" t="s">
        <v>996</v>
      </c>
      <c r="N114" s="376"/>
      <c r="O114" s="376"/>
      <c r="P114" s="376"/>
      <c r="Q114" s="376"/>
      <c r="R114" s="376"/>
      <c r="T114" s="752"/>
      <c r="V114" s="609">
        <f>IF(W114=1,G114,0)</f>
        <v>0</v>
      </c>
      <c r="W114" s="700"/>
    </row>
    <row r="115" spans="1:23" hidden="1" outlineLevel="3">
      <c r="A115" s="376"/>
      <c r="B115" s="376" t="s">
        <v>469</v>
      </c>
      <c r="C115" s="376" t="s">
        <v>1049</v>
      </c>
      <c r="D115" s="376" t="s">
        <v>860</v>
      </c>
      <c r="E115" s="376" t="s">
        <v>437</v>
      </c>
      <c r="F115" s="623" t="s">
        <v>1073</v>
      </c>
      <c r="G115" s="723">
        <v>0.1</v>
      </c>
      <c r="H115" s="692">
        <v>1</v>
      </c>
      <c r="I115" s="626"/>
      <c r="J115" s="752"/>
      <c r="L115" s="376" t="s">
        <v>437</v>
      </c>
      <c r="M115" s="376" t="s">
        <v>996</v>
      </c>
      <c r="N115" s="376" t="s">
        <v>1048</v>
      </c>
      <c r="O115" s="376"/>
      <c r="P115" s="376"/>
      <c r="Q115" s="376"/>
      <c r="R115" s="376"/>
      <c r="T115" s="752"/>
      <c r="V115" s="609">
        <f t="shared" si="13"/>
        <v>0</v>
      </c>
      <c r="W115" s="692"/>
    </row>
    <row r="116" spans="1:23" outlineLevel="1" collapsed="1">
      <c r="A116" s="376"/>
      <c r="B116" s="667" t="s">
        <v>1276</v>
      </c>
      <c r="C116" s="665" t="s">
        <v>1277</v>
      </c>
      <c r="D116" s="665"/>
      <c r="E116" s="665"/>
      <c r="F116" s="681"/>
      <c r="G116" s="724">
        <f>SUBTOTAL(9,G117:G117)</f>
        <v>0.4</v>
      </c>
      <c r="H116" s="725">
        <f>SUBTOTAL(9,H117:H117)</f>
        <v>1</v>
      </c>
      <c r="I116" s="626"/>
      <c r="J116" s="752"/>
      <c r="L116" s="665"/>
      <c r="M116" s="665"/>
      <c r="N116" s="665"/>
      <c r="O116" s="665"/>
      <c r="P116" s="665"/>
      <c r="Q116" s="665"/>
      <c r="R116" s="665"/>
      <c r="T116" s="752"/>
      <c r="V116" s="724">
        <f>SUBTOTAL(9,V117:V117)</f>
        <v>0</v>
      </c>
      <c r="W116" s="725">
        <f>SUBTOTAL(9,W117:W117)</f>
        <v>0</v>
      </c>
    </row>
    <row r="117" spans="1:23" hidden="1" outlineLevel="2">
      <c r="A117" s="376"/>
      <c r="B117" s="376" t="s">
        <v>469</v>
      </c>
      <c r="C117" s="376" t="s">
        <v>1049</v>
      </c>
      <c r="D117" s="376" t="s">
        <v>518</v>
      </c>
      <c r="E117" s="376" t="s">
        <v>56</v>
      </c>
      <c r="F117" s="608" t="s">
        <v>1278</v>
      </c>
      <c r="G117" s="695">
        <v>0.4</v>
      </c>
      <c r="H117" s="700">
        <v>1</v>
      </c>
      <c r="I117" s="626"/>
      <c r="J117" s="752"/>
      <c r="L117" s="376" t="s">
        <v>56</v>
      </c>
      <c r="M117" s="376" t="s">
        <v>1038</v>
      </c>
      <c r="N117" s="376" t="s">
        <v>1279</v>
      </c>
      <c r="O117" s="376"/>
      <c r="P117" s="376" t="s">
        <v>1040</v>
      </c>
      <c r="Q117" s="376"/>
      <c r="R117" s="376"/>
      <c r="T117" s="752"/>
      <c r="V117" s="609">
        <f t="shared" ref="V117" si="14">IF(W117=1,G117,0)</f>
        <v>0</v>
      </c>
      <c r="W117" s="700"/>
    </row>
    <row r="118" spans="1:23" ht="3" customHeight="1" outlineLevel="1">
      <c r="A118" s="376"/>
      <c r="B118" s="392"/>
      <c r="C118" s="376"/>
      <c r="D118" s="392"/>
      <c r="E118" s="392"/>
      <c r="F118" s="608"/>
      <c r="G118" s="695"/>
      <c r="H118" s="700"/>
      <c r="I118" s="626"/>
      <c r="J118" s="752"/>
      <c r="L118" s="392"/>
      <c r="M118" s="392"/>
      <c r="N118" s="392"/>
      <c r="O118" s="392"/>
      <c r="P118" s="392"/>
      <c r="Q118" s="392"/>
      <c r="R118" s="392"/>
      <c r="T118" s="752"/>
      <c r="V118" s="695"/>
      <c r="W118" s="700"/>
    </row>
    <row r="119" spans="1:23" ht="15">
      <c r="A119" s="376"/>
      <c r="B119" s="430" t="s">
        <v>1285</v>
      </c>
      <c r="C119" s="430"/>
      <c r="D119" s="430"/>
      <c r="E119" s="430"/>
      <c r="F119" s="697"/>
      <c r="G119" s="739">
        <f>SUBTOTAL(9,G121:G126)</f>
        <v>24.364999999999998</v>
      </c>
      <c r="H119" s="740">
        <f>SUBTOTAL(9,H121:H126)</f>
        <v>2</v>
      </c>
      <c r="I119" s="626"/>
      <c r="J119" s="752"/>
      <c r="L119" s="430"/>
      <c r="M119" s="430"/>
      <c r="N119" s="430"/>
      <c r="O119" s="430"/>
      <c r="P119" s="430"/>
      <c r="Q119" s="430"/>
      <c r="R119" s="430"/>
      <c r="T119" s="752"/>
      <c r="V119" s="739">
        <f>SUBTOTAL(9,V121:V126)</f>
        <v>0</v>
      </c>
      <c r="W119" s="740">
        <f>SUBTOTAL(9,W121:W126)</f>
        <v>0</v>
      </c>
    </row>
    <row r="120" spans="1:23" ht="3" customHeight="1" outlineLevel="1">
      <c r="A120" s="376"/>
      <c r="B120" s="376"/>
      <c r="C120" s="376"/>
      <c r="D120" s="376"/>
      <c r="E120" s="376"/>
      <c r="F120" s="608"/>
      <c r="G120" s="609"/>
      <c r="H120" s="692"/>
      <c r="I120" s="626"/>
      <c r="J120" s="752"/>
      <c r="L120" s="376"/>
      <c r="M120" s="376"/>
      <c r="N120" s="376"/>
      <c r="O120" s="376"/>
      <c r="P120" s="376"/>
      <c r="Q120" s="376"/>
      <c r="R120" s="376"/>
      <c r="T120" s="752"/>
      <c r="V120" s="609"/>
      <c r="W120" s="692"/>
    </row>
    <row r="121" spans="1:23" outlineLevel="1" collapsed="1">
      <c r="A121" s="376"/>
      <c r="B121" s="666" t="s">
        <v>912</v>
      </c>
      <c r="C121" s="666" t="s">
        <v>1387</v>
      </c>
      <c r="D121" s="666"/>
      <c r="E121" s="666"/>
      <c r="F121" s="681" t="s">
        <v>947</v>
      </c>
      <c r="G121" s="724">
        <f>SUBTOTAL(9,G122:G123)</f>
        <v>5.9650000000000007</v>
      </c>
      <c r="H121" s="725">
        <f>SUBTOTAL(9,H122:H123)</f>
        <v>1</v>
      </c>
      <c r="I121" s="626"/>
      <c r="J121" s="752"/>
      <c r="L121" s="666"/>
      <c r="M121" s="666"/>
      <c r="N121" s="666"/>
      <c r="O121" s="666"/>
      <c r="P121" s="666"/>
      <c r="Q121" s="666"/>
      <c r="R121" s="666"/>
      <c r="T121" s="752"/>
      <c r="V121" s="724">
        <f>SUBTOTAL(9,V122:V123)</f>
        <v>0</v>
      </c>
      <c r="W121" s="725">
        <f>SUBTOTAL(9,W122:W123)</f>
        <v>0</v>
      </c>
    </row>
    <row r="122" spans="1:23" hidden="1" outlineLevel="2">
      <c r="A122" s="376"/>
      <c r="B122" s="684" t="s">
        <v>1388</v>
      </c>
      <c r="C122" s="684" t="s">
        <v>1388</v>
      </c>
      <c r="D122" s="684" t="s">
        <v>159</v>
      </c>
      <c r="E122" s="684"/>
      <c r="F122" s="685" t="s">
        <v>17</v>
      </c>
      <c r="G122" s="686">
        <f>SUBTOTAL(9,G123)</f>
        <v>5.9650000000000007</v>
      </c>
      <c r="H122" s="691">
        <f>SUBTOTAL(9,H123)</f>
        <v>1</v>
      </c>
      <c r="I122" s="626"/>
      <c r="J122" s="752"/>
      <c r="L122" s="684"/>
      <c r="M122" s="684"/>
      <c r="N122" s="684"/>
      <c r="O122" s="684"/>
      <c r="P122" s="684"/>
      <c r="Q122" s="684"/>
      <c r="R122" s="684"/>
      <c r="T122" s="752"/>
      <c r="V122" s="686">
        <f>SUBTOTAL(9,V123)</f>
        <v>0</v>
      </c>
      <c r="W122" s="691">
        <f>SUBTOTAL(9,W123)</f>
        <v>0</v>
      </c>
    </row>
    <row r="123" spans="1:23" hidden="1" outlineLevel="3">
      <c r="A123" s="376"/>
      <c r="B123" s="376" t="s">
        <v>1388</v>
      </c>
      <c r="C123" s="376" t="s">
        <v>1388</v>
      </c>
      <c r="D123" s="376" t="s">
        <v>159</v>
      </c>
      <c r="E123" s="376" t="s">
        <v>950</v>
      </c>
      <c r="F123" s="608" t="s">
        <v>1390</v>
      </c>
      <c r="G123" s="609">
        <v>5.9650000000000007</v>
      </c>
      <c r="H123" s="692">
        <v>1</v>
      </c>
      <c r="I123" s="626"/>
      <c r="J123" s="752"/>
      <c r="L123" s="376" t="s">
        <v>950</v>
      </c>
      <c r="M123" s="376" t="s">
        <v>1391</v>
      </c>
      <c r="N123" s="376" t="s">
        <v>1005</v>
      </c>
      <c r="O123" s="376"/>
      <c r="P123" s="376"/>
      <c r="Q123" s="376"/>
      <c r="R123" s="376"/>
      <c r="T123" s="752"/>
      <c r="V123" s="609">
        <f t="shared" ref="V123" si="15">IF(W123=1,G123,0)</f>
        <v>0</v>
      </c>
      <c r="W123" s="692"/>
    </row>
    <row r="124" spans="1:23" s="749" customFormat="1" outlineLevel="1" collapsed="1">
      <c r="A124" s="387"/>
      <c r="B124" s="666" t="s">
        <v>507</v>
      </c>
      <c r="C124" s="666" t="s">
        <v>507</v>
      </c>
      <c r="D124" s="666"/>
      <c r="E124" s="666"/>
      <c r="F124" s="681" t="s">
        <v>947</v>
      </c>
      <c r="G124" s="724">
        <f>SUBTOTAL(9,G125:G126)</f>
        <v>18.399999999999999</v>
      </c>
      <c r="H124" s="725">
        <f>SUBTOTAL(9,H125:H126)</f>
        <v>1</v>
      </c>
      <c r="I124" s="741"/>
      <c r="J124" s="758"/>
      <c r="L124" s="666"/>
      <c r="M124" s="666"/>
      <c r="N124" s="666"/>
      <c r="O124" s="666"/>
      <c r="P124" s="666"/>
      <c r="Q124" s="666"/>
      <c r="R124" s="666"/>
      <c r="T124" s="758"/>
      <c r="V124" s="724">
        <f>SUBTOTAL(9,V125:V126)</f>
        <v>0</v>
      </c>
      <c r="W124" s="725">
        <f>SUBTOTAL(9,W125:W126)</f>
        <v>0</v>
      </c>
    </row>
    <row r="125" spans="1:23" s="749" customFormat="1" hidden="1" outlineLevel="2">
      <c r="A125" s="387"/>
      <c r="B125" s="687" t="s">
        <v>507</v>
      </c>
      <c r="C125" s="687" t="s">
        <v>507</v>
      </c>
      <c r="D125" s="687" t="s">
        <v>159</v>
      </c>
      <c r="E125" s="687"/>
      <c r="F125" s="717" t="s">
        <v>17</v>
      </c>
      <c r="G125" s="743">
        <f>SUBTOTAL(9,G126)</f>
        <v>18.399999999999999</v>
      </c>
      <c r="H125" s="744">
        <f>SUBTOTAL(9,H126)</f>
        <v>1</v>
      </c>
      <c r="I125" s="741"/>
      <c r="J125" s="758"/>
      <c r="L125" s="687"/>
      <c r="M125" s="687"/>
      <c r="N125" s="687"/>
      <c r="O125" s="687"/>
      <c r="P125" s="687"/>
      <c r="Q125" s="687"/>
      <c r="R125" s="687"/>
      <c r="T125" s="758"/>
      <c r="V125" s="743">
        <f>SUBTOTAL(9,V126)</f>
        <v>0</v>
      </c>
      <c r="W125" s="744">
        <f>SUBTOTAL(9,W126)</f>
        <v>0</v>
      </c>
    </row>
    <row r="126" spans="1:23" s="749" customFormat="1" hidden="1" outlineLevel="3">
      <c r="A126" s="387"/>
      <c r="B126" s="387" t="s">
        <v>507</v>
      </c>
      <c r="C126" s="387" t="s">
        <v>507</v>
      </c>
      <c r="D126" s="387" t="s">
        <v>159</v>
      </c>
      <c r="E126" s="387" t="s">
        <v>950</v>
      </c>
      <c r="F126" s="705" t="s">
        <v>17</v>
      </c>
      <c r="G126" s="706">
        <v>18.399999999999999</v>
      </c>
      <c r="H126" s="707">
        <v>1</v>
      </c>
      <c r="I126" s="741"/>
      <c r="J126" s="758"/>
      <c r="L126" s="387" t="s">
        <v>950</v>
      </c>
      <c r="M126" s="387" t="s">
        <v>951</v>
      </c>
      <c r="N126" s="387"/>
      <c r="O126" s="387"/>
      <c r="P126" s="387"/>
      <c r="Q126" s="387"/>
      <c r="R126" s="387"/>
      <c r="T126" s="758"/>
      <c r="V126" s="609">
        <f t="shared" ref="V126" si="16">IF(W126=1,G126,0)</f>
        <v>0</v>
      </c>
      <c r="W126" s="707"/>
    </row>
    <row r="127" spans="1:23" ht="15">
      <c r="A127" s="376"/>
      <c r="B127" s="430" t="s">
        <v>1879</v>
      </c>
      <c r="C127" s="430"/>
      <c r="D127" s="430"/>
      <c r="E127" s="430"/>
      <c r="F127" s="697"/>
      <c r="G127" s="739">
        <f>SUBTOTAL(9,G132:G396)</f>
        <v>0</v>
      </c>
      <c r="H127" s="740">
        <f>SUBTOTAL(9,H129:H396)</f>
        <v>18</v>
      </c>
      <c r="I127" s="626"/>
      <c r="J127" s="752"/>
      <c r="L127" s="430"/>
      <c r="M127" s="430"/>
      <c r="N127" s="430"/>
      <c r="O127" s="430"/>
      <c r="P127" s="430"/>
      <c r="Q127" s="430"/>
      <c r="R127" s="430"/>
      <c r="T127" s="752"/>
      <c r="V127" s="739">
        <f>SUBTOTAL(9,V132:V396)</f>
        <v>0</v>
      </c>
      <c r="W127" s="740">
        <f>SUBTOTAL(9,W132:W396)</f>
        <v>0</v>
      </c>
    </row>
    <row r="128" spans="1:23" ht="3" customHeight="1" outlineLevel="1">
      <c r="A128" s="376"/>
      <c r="B128" s="376"/>
      <c r="C128" s="376"/>
      <c r="D128" s="376"/>
      <c r="E128" s="376"/>
      <c r="F128" s="608"/>
      <c r="G128" s="609"/>
      <c r="H128" s="692"/>
      <c r="I128" s="626"/>
      <c r="J128" s="752"/>
      <c r="L128" s="376"/>
      <c r="M128" s="376"/>
      <c r="N128" s="376"/>
      <c r="O128" s="376"/>
      <c r="P128" s="376"/>
      <c r="Q128" s="376"/>
      <c r="R128" s="376"/>
      <c r="T128" s="752"/>
      <c r="V128" s="609"/>
      <c r="W128" s="692"/>
    </row>
    <row r="129" spans="1:23" outlineLevel="1">
      <c r="A129" s="376"/>
      <c r="B129" s="666" t="s">
        <v>617</v>
      </c>
      <c r="C129" s="666" t="s">
        <v>1880</v>
      </c>
      <c r="D129" s="667"/>
      <c r="E129" s="665"/>
      <c r="F129" s="681" t="s">
        <v>947</v>
      </c>
      <c r="G129" s="725">
        <f>SUBTOTAL(9,G130:G131)</f>
        <v>2.2044079999999999</v>
      </c>
      <c r="H129" s="725">
        <f>SUBTOTAL(9,H130:H131)</f>
        <v>18</v>
      </c>
      <c r="I129" s="626"/>
      <c r="J129" s="752"/>
      <c r="L129" s="665"/>
      <c r="M129" s="665"/>
      <c r="N129" s="665"/>
      <c r="O129" s="665"/>
      <c r="P129" s="665"/>
      <c r="Q129" s="665"/>
      <c r="R129" s="665"/>
      <c r="T129" s="752"/>
      <c r="V129" s="724">
        <f>SUBTOTAL(9,V130:V131)</f>
        <v>0.152611676</v>
      </c>
      <c r="W129" s="725">
        <f>SUBTOTAL(9,W130:W131)</f>
        <v>1</v>
      </c>
    </row>
    <row r="130" spans="1:23" outlineLevel="2">
      <c r="A130" s="376"/>
      <c r="B130" s="684" t="s">
        <v>1862</v>
      </c>
      <c r="C130" s="687" t="s">
        <v>1881</v>
      </c>
      <c r="D130" s="684" t="s">
        <v>617</v>
      </c>
      <c r="E130" s="684"/>
      <c r="F130" s="685"/>
      <c r="G130" s="686">
        <f>SUBTOTAL(9,G131:G131)</f>
        <v>2.2044079999999999</v>
      </c>
      <c r="H130" s="691">
        <f>SUBTOTAL(9,H131:H131)</f>
        <v>18</v>
      </c>
      <c r="I130" s="626"/>
      <c r="J130" s="752"/>
      <c r="L130" s="684"/>
      <c r="M130" s="684"/>
      <c r="N130" s="684"/>
      <c r="O130" s="684"/>
      <c r="P130" s="684"/>
      <c r="Q130" s="684"/>
      <c r="R130" s="684"/>
      <c r="T130" s="752"/>
      <c r="V130" s="686">
        <f>SUBTOTAL(9,V131:V131)</f>
        <v>0.152611676</v>
      </c>
      <c r="W130" s="691">
        <f>SUBTOTAL(9,W131:W131)</f>
        <v>1</v>
      </c>
    </row>
    <row r="131" spans="1:23" outlineLevel="3">
      <c r="A131" s="376"/>
      <c r="B131" s="376" t="s">
        <v>1862</v>
      </c>
      <c r="C131" s="828" t="s">
        <v>1881</v>
      </c>
      <c r="D131" s="376" t="s">
        <v>617</v>
      </c>
      <c r="E131" s="376" t="s">
        <v>950</v>
      </c>
      <c r="F131" s="608" t="s">
        <v>1882</v>
      </c>
      <c r="G131" s="706">
        <v>2.2044079999999999</v>
      </c>
      <c r="H131" s="692">
        <v>18</v>
      </c>
      <c r="I131" s="626"/>
      <c r="J131" s="752"/>
      <c r="L131" s="376"/>
      <c r="M131" s="376"/>
      <c r="N131" s="376"/>
      <c r="O131" s="376"/>
      <c r="P131" s="376"/>
      <c r="Q131" s="376"/>
      <c r="R131" s="376"/>
      <c r="T131" s="752"/>
      <c r="V131" s="609">
        <f>(((160*8023)+(2%*(12121838)))/10^7)</f>
        <v>0.152611676</v>
      </c>
      <c r="W131" s="692">
        <v>1</v>
      </c>
    </row>
  </sheetData>
  <autoFilter ref="B4:W12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5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3" s="416" customFormat="1" ht="17.45">
      <c r="A1" s="376"/>
      <c r="B1" s="418" t="s">
        <v>2238</v>
      </c>
      <c r="C1" s="418"/>
      <c r="D1" s="418"/>
      <c r="E1" s="418"/>
      <c r="F1" s="469"/>
      <c r="G1" s="419" t="s">
        <v>2047</v>
      </c>
      <c r="H1" s="419" t="s">
        <v>726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">
      <c r="A3" s="374"/>
      <c r="B3" s="417" t="s">
        <v>642</v>
      </c>
      <c r="C3" s="417" t="s">
        <v>643</v>
      </c>
      <c r="D3" s="417" t="s">
        <v>645</v>
      </c>
      <c r="E3" s="417" t="s">
        <v>0</v>
      </c>
      <c r="F3" s="433" t="s">
        <v>935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6">
      <c r="A5" s="376"/>
      <c r="B5" s="470" t="s">
        <v>664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893</v>
      </c>
      <c r="C7" s="446" t="s">
        <v>1000</v>
      </c>
      <c r="D7" s="445" t="s">
        <v>159</v>
      </c>
      <c r="E7" s="446" t="s">
        <v>664</v>
      </c>
      <c r="F7" s="475" t="s">
        <v>2263</v>
      </c>
      <c r="G7" s="476">
        <v>0.3642147722995997</v>
      </c>
      <c r="H7" s="476">
        <v>3</v>
      </c>
    </row>
    <row r="8" spans="1:23" outlineLevel="2">
      <c r="B8" s="477" t="s">
        <v>893</v>
      </c>
      <c r="C8" s="447" t="s">
        <v>1000</v>
      </c>
      <c r="D8" s="443" t="s">
        <v>159</v>
      </c>
      <c r="E8" s="447" t="s">
        <v>664</v>
      </c>
      <c r="F8" s="477" t="s">
        <v>246</v>
      </c>
      <c r="G8" s="480">
        <v>0.13658053961234987</v>
      </c>
      <c r="H8" s="478">
        <v>1</v>
      </c>
    </row>
    <row r="9" spans="1:23" outlineLevel="2">
      <c r="B9" s="477" t="s">
        <v>893</v>
      </c>
      <c r="C9" s="447" t="s">
        <v>1000</v>
      </c>
      <c r="D9" s="443" t="s">
        <v>159</v>
      </c>
      <c r="E9" s="447" t="s">
        <v>664</v>
      </c>
      <c r="F9" s="477" t="s">
        <v>247</v>
      </c>
      <c r="G9" s="480">
        <v>0.18210738614979985</v>
      </c>
      <c r="H9" s="478">
        <v>1</v>
      </c>
    </row>
    <row r="10" spans="1:23" outlineLevel="2">
      <c r="B10" s="477" t="s">
        <v>893</v>
      </c>
      <c r="C10" s="447" t="s">
        <v>1000</v>
      </c>
      <c r="D10" s="443" t="s">
        <v>159</v>
      </c>
      <c r="E10" s="447" t="s">
        <v>664</v>
      </c>
      <c r="F10" s="477" t="s">
        <v>248</v>
      </c>
      <c r="G10" s="480">
        <v>4.5526846537449962E-2</v>
      </c>
      <c r="H10" s="478">
        <v>1</v>
      </c>
    </row>
    <row r="11" spans="1:23" outlineLevel="1">
      <c r="B11" s="475" t="s">
        <v>497</v>
      </c>
      <c r="C11" s="446" t="s">
        <v>1394</v>
      </c>
      <c r="D11" s="445" t="s">
        <v>159</v>
      </c>
      <c r="E11" s="446" t="s">
        <v>664</v>
      </c>
      <c r="F11" s="475" t="s">
        <v>2264</v>
      </c>
      <c r="G11" s="476">
        <v>1.6099999999999999</v>
      </c>
      <c r="H11" s="476">
        <v>3</v>
      </c>
    </row>
    <row r="12" spans="1:23" outlineLevel="2">
      <c r="B12" s="477" t="s">
        <v>497</v>
      </c>
      <c r="C12" s="447" t="s">
        <v>1394</v>
      </c>
      <c r="D12" s="443" t="s">
        <v>159</v>
      </c>
      <c r="E12" s="447" t="s">
        <v>664</v>
      </c>
      <c r="F12" s="477" t="s">
        <v>226</v>
      </c>
      <c r="G12" s="480">
        <v>0.46</v>
      </c>
      <c r="H12" s="478">
        <v>1</v>
      </c>
    </row>
    <row r="13" spans="1:23" outlineLevel="2">
      <c r="B13" s="477" t="s">
        <v>497</v>
      </c>
      <c r="C13" s="447" t="s">
        <v>1394</v>
      </c>
      <c r="D13" s="443" t="s">
        <v>159</v>
      </c>
      <c r="E13" s="447" t="s">
        <v>664</v>
      </c>
      <c r="F13" s="477" t="s">
        <v>36</v>
      </c>
      <c r="G13" s="480">
        <v>0.69</v>
      </c>
      <c r="H13" s="478">
        <v>1</v>
      </c>
    </row>
    <row r="14" spans="1:23" outlineLevel="2">
      <c r="B14" s="477" t="s">
        <v>497</v>
      </c>
      <c r="C14" s="447" t="s">
        <v>1394</v>
      </c>
      <c r="D14" s="443" t="s">
        <v>159</v>
      </c>
      <c r="E14" s="447" t="s">
        <v>664</v>
      </c>
      <c r="F14" s="477" t="s">
        <v>208</v>
      </c>
      <c r="G14" s="480">
        <v>0.46</v>
      </c>
      <c r="H14" s="478">
        <v>1</v>
      </c>
    </row>
    <row r="15" spans="1:23" outlineLevel="1">
      <c r="B15" s="475" t="s">
        <v>1290</v>
      </c>
      <c r="C15" s="446" t="s">
        <v>969</v>
      </c>
      <c r="D15" s="445" t="s">
        <v>159</v>
      </c>
      <c r="E15" s="446" t="s">
        <v>664</v>
      </c>
      <c r="F15" s="475" t="s">
        <v>2265</v>
      </c>
      <c r="G15" s="476">
        <v>0.61820000000000008</v>
      </c>
      <c r="H15" s="476">
        <v>3</v>
      </c>
    </row>
    <row r="16" spans="1:23" outlineLevel="2">
      <c r="B16" s="477" t="s">
        <v>1290</v>
      </c>
      <c r="C16" s="447" t="s">
        <v>969</v>
      </c>
      <c r="D16" s="443" t="s">
        <v>159</v>
      </c>
      <c r="E16" s="447" t="s">
        <v>664</v>
      </c>
      <c r="F16" s="477" t="s">
        <v>205</v>
      </c>
      <c r="G16" s="480">
        <v>0.24728000000000006</v>
      </c>
      <c r="H16" s="478">
        <v>1</v>
      </c>
    </row>
    <row r="17" spans="2:8" outlineLevel="2">
      <c r="B17" s="477" t="s">
        <v>1290</v>
      </c>
      <c r="C17" s="447" t="s">
        <v>969</v>
      </c>
      <c r="D17" s="443" t="s">
        <v>159</v>
      </c>
      <c r="E17" s="447" t="s">
        <v>664</v>
      </c>
      <c r="F17" s="477" t="s">
        <v>206</v>
      </c>
      <c r="G17" s="480">
        <v>0.24728000000000006</v>
      </c>
      <c r="H17" s="478">
        <v>1</v>
      </c>
    </row>
    <row r="18" spans="2:8" outlineLevel="2">
      <c r="B18" s="477" t="s">
        <v>1290</v>
      </c>
      <c r="C18" s="447" t="s">
        <v>969</v>
      </c>
      <c r="D18" s="443" t="s">
        <v>159</v>
      </c>
      <c r="E18" s="447" t="s">
        <v>664</v>
      </c>
      <c r="F18" s="477" t="s">
        <v>208</v>
      </c>
      <c r="G18" s="480">
        <v>0.12364000000000003</v>
      </c>
      <c r="H18" s="478">
        <v>1</v>
      </c>
    </row>
    <row r="19" spans="2:8" outlineLevel="1">
      <c r="B19" s="475" t="s">
        <v>1330</v>
      </c>
      <c r="C19" s="446" t="s">
        <v>1330</v>
      </c>
      <c r="D19" s="445" t="s">
        <v>159</v>
      </c>
      <c r="E19" s="446" t="s">
        <v>664</v>
      </c>
      <c r="F19" s="475" t="s">
        <v>2266</v>
      </c>
      <c r="G19" s="476">
        <v>3.6843765000000004</v>
      </c>
      <c r="H19" s="476">
        <v>3</v>
      </c>
    </row>
    <row r="20" spans="2:8" outlineLevel="2">
      <c r="B20" s="477" t="s">
        <v>1330</v>
      </c>
      <c r="C20" s="447" t="s">
        <v>1330</v>
      </c>
      <c r="D20" s="443" t="s">
        <v>159</v>
      </c>
      <c r="E20" s="447" t="s">
        <v>664</v>
      </c>
      <c r="F20" s="477" t="s">
        <v>205</v>
      </c>
      <c r="G20" s="483">
        <v>1.2281255000000002</v>
      </c>
      <c r="H20" s="478">
        <v>1</v>
      </c>
    </row>
    <row r="21" spans="2:8" outlineLevel="2">
      <c r="B21" s="477" t="s">
        <v>1330</v>
      </c>
      <c r="C21" s="447" t="s">
        <v>1330</v>
      </c>
      <c r="D21" s="443" t="s">
        <v>159</v>
      </c>
      <c r="E21" s="447" t="s">
        <v>664</v>
      </c>
      <c r="F21" s="477" t="s">
        <v>206</v>
      </c>
      <c r="G21" s="483">
        <v>1.2281255000000002</v>
      </c>
      <c r="H21" s="478">
        <v>1</v>
      </c>
    </row>
    <row r="22" spans="2:8" outlineLevel="2">
      <c r="B22" s="477" t="s">
        <v>1330</v>
      </c>
      <c r="C22" s="447" t="s">
        <v>1330</v>
      </c>
      <c r="D22" s="443" t="s">
        <v>159</v>
      </c>
      <c r="E22" s="447" t="s">
        <v>664</v>
      </c>
      <c r="F22" s="477" t="s">
        <v>208</v>
      </c>
      <c r="G22" s="483">
        <v>1.2281255</v>
      </c>
      <c r="H22" s="478">
        <v>1</v>
      </c>
    </row>
    <row r="23" spans="2:8" outlineLevel="1">
      <c r="B23" s="475" t="s">
        <v>1273</v>
      </c>
      <c r="C23" s="446" t="s">
        <v>1273</v>
      </c>
      <c r="D23" s="445" t="s">
        <v>159</v>
      </c>
      <c r="E23" s="446" t="s">
        <v>664</v>
      </c>
      <c r="F23" s="475" t="s">
        <v>2267</v>
      </c>
      <c r="G23" s="476">
        <v>2.7524999999999999</v>
      </c>
      <c r="H23" s="476">
        <v>6</v>
      </c>
    </row>
    <row r="24" spans="2:8" outlineLevel="2">
      <c r="B24" s="477" t="s">
        <v>1273</v>
      </c>
      <c r="C24" s="447" t="s">
        <v>1273</v>
      </c>
      <c r="D24" s="443" t="s">
        <v>1335</v>
      </c>
      <c r="E24" s="447" t="s">
        <v>664</v>
      </c>
      <c r="F24" s="477" t="s">
        <v>374</v>
      </c>
      <c r="G24" s="480">
        <v>0.33750000000000002</v>
      </c>
      <c r="H24" s="478">
        <v>1</v>
      </c>
    </row>
    <row r="25" spans="2:8" outlineLevel="2">
      <c r="B25" s="477" t="s">
        <v>1273</v>
      </c>
      <c r="C25" s="447" t="s">
        <v>1273</v>
      </c>
      <c r="D25" s="443" t="s">
        <v>1335</v>
      </c>
      <c r="E25" s="447" t="s">
        <v>664</v>
      </c>
      <c r="F25" s="477" t="s">
        <v>206</v>
      </c>
      <c r="G25" s="480">
        <v>0.58000000000000007</v>
      </c>
      <c r="H25" s="478">
        <v>1</v>
      </c>
    </row>
    <row r="26" spans="2:8" outlineLevel="2">
      <c r="B26" s="477" t="s">
        <v>1273</v>
      </c>
      <c r="C26" s="447" t="s">
        <v>1273</v>
      </c>
      <c r="D26" s="443" t="s">
        <v>1335</v>
      </c>
      <c r="E26" s="447" t="s">
        <v>664</v>
      </c>
      <c r="F26" s="477" t="s">
        <v>1339</v>
      </c>
      <c r="G26" s="480">
        <v>0.58000000000000007</v>
      </c>
      <c r="H26" s="478">
        <v>1</v>
      </c>
    </row>
    <row r="27" spans="2:8" outlineLevel="2">
      <c r="B27" s="477" t="s">
        <v>1273</v>
      </c>
      <c r="C27" s="447" t="s">
        <v>1273</v>
      </c>
      <c r="D27" s="443" t="s">
        <v>1335</v>
      </c>
      <c r="E27" s="447" t="s">
        <v>664</v>
      </c>
      <c r="F27" s="477" t="s">
        <v>2208</v>
      </c>
      <c r="G27" s="480">
        <v>0.58000000000000007</v>
      </c>
      <c r="H27" s="478">
        <v>1</v>
      </c>
    </row>
    <row r="28" spans="2:8" outlineLevel="2">
      <c r="B28" s="477" t="s">
        <v>1273</v>
      </c>
      <c r="C28" s="447" t="s">
        <v>1273</v>
      </c>
      <c r="D28" s="443" t="s">
        <v>1335</v>
      </c>
      <c r="E28" s="447" t="s">
        <v>664</v>
      </c>
      <c r="F28" s="477" t="s">
        <v>198</v>
      </c>
      <c r="G28" s="480">
        <v>0.33750000000000002</v>
      </c>
      <c r="H28" s="478">
        <v>1</v>
      </c>
    </row>
    <row r="29" spans="2:8" outlineLevel="2">
      <c r="B29" s="477" t="s">
        <v>1273</v>
      </c>
      <c r="C29" s="447" t="s">
        <v>1273</v>
      </c>
      <c r="D29" s="443" t="s">
        <v>1335</v>
      </c>
      <c r="E29" s="447" t="s">
        <v>664</v>
      </c>
      <c r="F29" s="477" t="s">
        <v>2237</v>
      </c>
      <c r="G29" s="480">
        <v>0.33750000000000002</v>
      </c>
      <c r="H29" s="478">
        <v>1</v>
      </c>
    </row>
    <row r="30" spans="2:8" outlineLevel="1">
      <c r="B30" s="475" t="s">
        <v>1321</v>
      </c>
      <c r="C30" s="446" t="s">
        <v>1321</v>
      </c>
      <c r="D30" s="445" t="s">
        <v>159</v>
      </c>
      <c r="E30" s="446" t="s">
        <v>664</v>
      </c>
      <c r="F30" s="475" t="s">
        <v>2268</v>
      </c>
      <c r="G30" s="476">
        <v>11.053129500000001</v>
      </c>
      <c r="H30" s="476">
        <v>3</v>
      </c>
    </row>
    <row r="31" spans="2:8" outlineLevel="2">
      <c r="B31" s="477" t="s">
        <v>1321</v>
      </c>
      <c r="C31" s="447" t="s">
        <v>1321</v>
      </c>
      <c r="D31" s="443" t="s">
        <v>159</v>
      </c>
      <c r="E31" s="447" t="s">
        <v>664</v>
      </c>
      <c r="F31" s="477" t="s">
        <v>205</v>
      </c>
      <c r="G31" s="483">
        <v>3.6843765000000008</v>
      </c>
      <c r="H31" s="478">
        <v>1</v>
      </c>
    </row>
    <row r="32" spans="2:8" outlineLevel="2">
      <c r="B32" s="477" t="s">
        <v>1321</v>
      </c>
      <c r="C32" s="447" t="s">
        <v>1321</v>
      </c>
      <c r="D32" s="443" t="s">
        <v>159</v>
      </c>
      <c r="E32" s="447" t="s">
        <v>664</v>
      </c>
      <c r="F32" s="477" t="s">
        <v>206</v>
      </c>
      <c r="G32" s="483">
        <v>3.6843765000000008</v>
      </c>
      <c r="H32" s="478">
        <v>1</v>
      </c>
    </row>
    <row r="33" spans="2:8" outlineLevel="2">
      <c r="B33" s="477" t="s">
        <v>1321</v>
      </c>
      <c r="C33" s="447" t="s">
        <v>1321</v>
      </c>
      <c r="D33" s="443" t="s">
        <v>159</v>
      </c>
      <c r="E33" s="447" t="s">
        <v>664</v>
      </c>
      <c r="F33" s="477" t="s">
        <v>208</v>
      </c>
      <c r="G33" s="483">
        <v>3.6843764999999999</v>
      </c>
      <c r="H33" s="478">
        <v>1</v>
      </c>
    </row>
    <row r="34" spans="2:8" outlineLevel="1">
      <c r="B34" s="475" t="s">
        <v>369</v>
      </c>
      <c r="C34" s="446" t="s">
        <v>843</v>
      </c>
      <c r="D34" s="445" t="s">
        <v>159</v>
      </c>
      <c r="E34" s="446" t="s">
        <v>664</v>
      </c>
      <c r="F34" s="475" t="s">
        <v>2269</v>
      </c>
      <c r="G34" s="476">
        <v>3.35</v>
      </c>
      <c r="H34" s="476">
        <v>3</v>
      </c>
    </row>
    <row r="35" spans="2:8" outlineLevel="2">
      <c r="B35" s="477" t="s">
        <v>369</v>
      </c>
      <c r="C35" s="447" t="s">
        <v>843</v>
      </c>
      <c r="D35" s="443" t="s">
        <v>159</v>
      </c>
      <c r="E35" s="447" t="s">
        <v>664</v>
      </c>
      <c r="F35" s="477" t="s">
        <v>370</v>
      </c>
      <c r="G35" s="480">
        <v>1.34</v>
      </c>
      <c r="H35" s="478">
        <v>1</v>
      </c>
    </row>
    <row r="36" spans="2:8" outlineLevel="2">
      <c r="B36" s="477" t="s">
        <v>369</v>
      </c>
      <c r="C36" s="447" t="s">
        <v>843</v>
      </c>
      <c r="D36" s="443" t="s">
        <v>159</v>
      </c>
      <c r="E36" s="447" t="s">
        <v>664</v>
      </c>
      <c r="F36" s="477" t="s">
        <v>230</v>
      </c>
      <c r="G36" s="480">
        <v>1.34</v>
      </c>
      <c r="H36" s="478">
        <v>1</v>
      </c>
    </row>
    <row r="37" spans="2:8" outlineLevel="2">
      <c r="B37" s="477" t="s">
        <v>369</v>
      </c>
      <c r="C37" s="447" t="s">
        <v>843</v>
      </c>
      <c r="D37" s="443" t="s">
        <v>159</v>
      </c>
      <c r="E37" s="447" t="s">
        <v>664</v>
      </c>
      <c r="F37" s="477" t="s">
        <v>208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3" s="416" customFormat="1" ht="17.45">
      <c r="A2" s="376"/>
      <c r="B2" s="418" t="s">
        <v>2238</v>
      </c>
      <c r="C2" s="418"/>
      <c r="D2" s="418"/>
      <c r="E2" s="418"/>
      <c r="F2" s="469"/>
      <c r="G2" s="419" t="s">
        <v>2047</v>
      </c>
      <c r="H2" s="419" t="s">
        <v>726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935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6">
      <c r="A6" s="376"/>
      <c r="B6" s="470" t="s">
        <v>1159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162</v>
      </c>
      <c r="C8" s="446" t="s">
        <v>162</v>
      </c>
      <c r="D8" s="445" t="s">
        <v>159</v>
      </c>
      <c r="E8" s="446" t="s">
        <v>1159</v>
      </c>
      <c r="F8" s="475" t="s">
        <v>2270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162</v>
      </c>
      <c r="C9" s="447" t="s">
        <v>162</v>
      </c>
      <c r="D9" s="443" t="s">
        <v>159</v>
      </c>
      <c r="E9" s="447" t="s">
        <v>1159</v>
      </c>
      <c r="F9" s="477" t="s">
        <v>245</v>
      </c>
      <c r="G9" s="478">
        <v>0.1547754763030085</v>
      </c>
      <c r="H9" s="478">
        <v>1</v>
      </c>
    </row>
    <row r="10" spans="1:23" outlineLevel="2">
      <c r="B10" s="373" t="s">
        <v>162</v>
      </c>
      <c r="C10" s="447" t="s">
        <v>162</v>
      </c>
      <c r="D10" s="443" t="s">
        <v>159</v>
      </c>
      <c r="E10" s="447" t="s">
        <v>1159</v>
      </c>
      <c r="F10" s="477" t="s">
        <v>283</v>
      </c>
      <c r="G10" s="478">
        <v>0.1547754763030085</v>
      </c>
      <c r="H10" s="478">
        <v>1</v>
      </c>
    </row>
    <row r="11" spans="1:23" outlineLevel="1">
      <c r="B11" s="390" t="s">
        <v>252</v>
      </c>
      <c r="C11" s="446" t="s">
        <v>252</v>
      </c>
      <c r="D11" s="445" t="s">
        <v>159</v>
      </c>
      <c r="E11" s="446" t="s">
        <v>1159</v>
      </c>
      <c r="F11" s="475" t="s">
        <v>2271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252</v>
      </c>
      <c r="C12" s="447" t="s">
        <v>252</v>
      </c>
      <c r="D12" s="443" t="s">
        <v>159</v>
      </c>
      <c r="E12" s="447" t="s">
        <v>1159</v>
      </c>
      <c r="F12" s="468" t="s">
        <v>75</v>
      </c>
      <c r="G12" s="480">
        <v>0.22115071539599998</v>
      </c>
      <c r="H12" s="478">
        <v>1</v>
      </c>
    </row>
    <row r="13" spans="1:23" outlineLevel="2">
      <c r="B13" s="373" t="s">
        <v>252</v>
      </c>
      <c r="C13" s="447" t="s">
        <v>252</v>
      </c>
      <c r="D13" s="443" t="s">
        <v>159</v>
      </c>
      <c r="E13" s="447" t="s">
        <v>1159</v>
      </c>
      <c r="F13" s="468" t="s">
        <v>957</v>
      </c>
      <c r="G13" s="480">
        <v>7.3716905132000007E-2</v>
      </c>
      <c r="H13" s="478">
        <v>1</v>
      </c>
    </row>
    <row r="14" spans="1:23" outlineLevel="2">
      <c r="B14" s="373" t="s">
        <v>252</v>
      </c>
      <c r="C14" s="447" t="s">
        <v>252</v>
      </c>
      <c r="D14" s="443" t="s">
        <v>159</v>
      </c>
      <c r="E14" s="447" t="s">
        <v>1159</v>
      </c>
      <c r="F14" s="468" t="s">
        <v>1004</v>
      </c>
      <c r="G14" s="480">
        <v>7.3716905132000007E-2</v>
      </c>
      <c r="H14" s="478">
        <v>1</v>
      </c>
    </row>
    <row r="15" spans="1:23" outlineLevel="2">
      <c r="B15" s="373" t="s">
        <v>252</v>
      </c>
      <c r="C15" s="447" t="s">
        <v>252</v>
      </c>
      <c r="D15" s="443" t="s">
        <v>159</v>
      </c>
      <c r="E15" s="447" t="s">
        <v>1159</v>
      </c>
      <c r="F15" s="468" t="s">
        <v>1181</v>
      </c>
      <c r="G15" s="480">
        <v>6.4031962499999998E-2</v>
      </c>
      <c r="H15" s="478">
        <v>1</v>
      </c>
    </row>
    <row r="16" spans="1:23" outlineLevel="2">
      <c r="B16" s="373" t="s">
        <v>252</v>
      </c>
      <c r="C16" s="447" t="s">
        <v>252</v>
      </c>
      <c r="D16" s="443" t="s">
        <v>159</v>
      </c>
      <c r="E16" s="447" t="s">
        <v>1159</v>
      </c>
      <c r="F16" s="468" t="s">
        <v>1182</v>
      </c>
      <c r="G16" s="480">
        <v>0.54994955184000005</v>
      </c>
      <c r="H16" s="478">
        <v>1</v>
      </c>
    </row>
    <row r="17" spans="2:8" outlineLevel="2">
      <c r="B17" s="373" t="s">
        <v>252</v>
      </c>
      <c r="C17" s="447" t="s">
        <v>252</v>
      </c>
      <c r="D17" s="443" t="s">
        <v>159</v>
      </c>
      <c r="E17" s="447" t="s">
        <v>1159</v>
      </c>
      <c r="F17" s="468" t="s">
        <v>1183</v>
      </c>
      <c r="G17" s="480">
        <v>0.27497477592000003</v>
      </c>
      <c r="H17" s="478">
        <v>1</v>
      </c>
    </row>
    <row r="18" spans="2:8" outlineLevel="2">
      <c r="B18" s="373" t="s">
        <v>252</v>
      </c>
      <c r="C18" s="447" t="s">
        <v>252</v>
      </c>
      <c r="D18" s="443" t="s">
        <v>159</v>
      </c>
      <c r="E18" s="447" t="s">
        <v>1159</v>
      </c>
      <c r="F18" s="468" t="s">
        <v>1184</v>
      </c>
      <c r="G18" s="480">
        <v>2.2352362560000003</v>
      </c>
      <c r="H18" s="478">
        <v>1</v>
      </c>
    </row>
    <row r="19" spans="2:8" outlineLevel="2">
      <c r="B19" s="373" t="s">
        <v>252</v>
      </c>
      <c r="C19" s="447" t="s">
        <v>252</v>
      </c>
      <c r="D19" s="443" t="s">
        <v>159</v>
      </c>
      <c r="E19" s="447" t="s">
        <v>1159</v>
      </c>
      <c r="F19" s="468" t="s">
        <v>1185</v>
      </c>
      <c r="G19" s="480">
        <v>2.2352362560000003</v>
      </c>
      <c r="H19" s="478">
        <v>1</v>
      </c>
    </row>
    <row r="20" spans="2:8" outlineLevel="2">
      <c r="B20" s="373" t="s">
        <v>252</v>
      </c>
      <c r="C20" s="447" t="s">
        <v>252</v>
      </c>
      <c r="D20" s="443" t="s">
        <v>159</v>
      </c>
      <c r="E20" s="447" t="s">
        <v>1159</v>
      </c>
      <c r="F20" s="468" t="s">
        <v>1160</v>
      </c>
      <c r="G20" s="480">
        <v>0.1125</v>
      </c>
      <c r="H20" s="478">
        <v>1</v>
      </c>
    </row>
    <row r="21" spans="2:8" outlineLevel="2">
      <c r="B21" s="373" t="s">
        <v>252</v>
      </c>
      <c r="C21" s="447" t="s">
        <v>252</v>
      </c>
      <c r="D21" s="443" t="s">
        <v>159</v>
      </c>
      <c r="E21" s="447" t="s">
        <v>1159</v>
      </c>
      <c r="F21" s="468" t="s">
        <v>1170</v>
      </c>
      <c r="G21" s="480">
        <v>3.7499999999999999E-2</v>
      </c>
      <c r="H21" s="478">
        <v>1</v>
      </c>
    </row>
    <row r="22" spans="2:8" outlineLevel="1">
      <c r="B22" s="390" t="s">
        <v>903</v>
      </c>
      <c r="C22" s="446" t="s">
        <v>903</v>
      </c>
      <c r="D22" s="445" t="s">
        <v>159</v>
      </c>
      <c r="E22" s="446" t="s">
        <v>1159</v>
      </c>
      <c r="F22" s="475" t="s">
        <v>2272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903</v>
      </c>
      <c r="C23" s="447" t="s">
        <v>903</v>
      </c>
      <c r="D23" s="443" t="s">
        <v>159</v>
      </c>
      <c r="E23" s="447" t="s">
        <v>1159</v>
      </c>
      <c r="F23" s="468" t="s">
        <v>242</v>
      </c>
      <c r="G23" s="480">
        <v>0.25575333042562204</v>
      </c>
      <c r="H23" s="478">
        <v>1</v>
      </c>
    </row>
    <row r="24" spans="2:8" outlineLevel="2">
      <c r="B24" s="373" t="s">
        <v>903</v>
      </c>
      <c r="C24" s="447" t="s">
        <v>903</v>
      </c>
      <c r="D24" s="443" t="s">
        <v>159</v>
      </c>
      <c r="E24" s="447" t="s">
        <v>1159</v>
      </c>
      <c r="F24" s="468" t="s">
        <v>243</v>
      </c>
      <c r="G24" s="480">
        <v>8.1564148364617506E-2</v>
      </c>
      <c r="H24" s="478">
        <v>1</v>
      </c>
    </row>
    <row r="25" spans="2:8" outlineLevel="2">
      <c r="B25" s="373" t="s">
        <v>903</v>
      </c>
      <c r="C25" s="447" t="s">
        <v>903</v>
      </c>
      <c r="D25" s="443" t="s">
        <v>159</v>
      </c>
      <c r="E25" s="447" t="s">
        <v>1159</v>
      </c>
      <c r="F25" s="468" t="s">
        <v>490</v>
      </c>
      <c r="G25" s="480">
        <v>0.18696938245168926</v>
      </c>
      <c r="H25" s="478">
        <v>1</v>
      </c>
    </row>
    <row r="26" spans="2:8" outlineLevel="2">
      <c r="B26" s="373" t="s">
        <v>903</v>
      </c>
      <c r="C26" s="447" t="s">
        <v>903</v>
      </c>
      <c r="D26" s="443" t="s">
        <v>159</v>
      </c>
      <c r="E26" s="447" t="s">
        <v>1159</v>
      </c>
      <c r="F26" s="468" t="s">
        <v>245</v>
      </c>
      <c r="G26" s="480">
        <v>2.7188049454872507E-2</v>
      </c>
      <c r="H26" s="478">
        <v>1</v>
      </c>
    </row>
    <row r="27" spans="2:8" outlineLevel="2">
      <c r="B27" s="373" t="s">
        <v>903</v>
      </c>
      <c r="C27" s="447" t="s">
        <v>903</v>
      </c>
      <c r="D27" s="443" t="s">
        <v>159</v>
      </c>
      <c r="E27" s="447" t="s">
        <v>1159</v>
      </c>
      <c r="F27" s="468" t="s">
        <v>246</v>
      </c>
      <c r="G27" s="480">
        <v>0.11218162947101355</v>
      </c>
      <c r="H27" s="478">
        <v>1</v>
      </c>
    </row>
    <row r="28" spans="2:8" outlineLevel="2">
      <c r="B28" s="373" t="s">
        <v>903</v>
      </c>
      <c r="C28" s="447" t="s">
        <v>903</v>
      </c>
      <c r="D28" s="443" t="s">
        <v>159</v>
      </c>
      <c r="E28" s="447" t="s">
        <v>1159</v>
      </c>
      <c r="F28" s="468" t="s">
        <v>247</v>
      </c>
      <c r="G28" s="480">
        <v>3.7393876490337853E-2</v>
      </c>
      <c r="H28" s="478">
        <v>1</v>
      </c>
    </row>
    <row r="29" spans="2:8" outlineLevel="2">
      <c r="B29" s="373" t="s">
        <v>903</v>
      </c>
      <c r="C29" s="447" t="s">
        <v>903</v>
      </c>
      <c r="D29" s="443" t="s">
        <v>159</v>
      </c>
      <c r="E29" s="447" t="s">
        <v>1159</v>
      </c>
      <c r="F29" s="468" t="s">
        <v>248</v>
      </c>
      <c r="G29" s="480">
        <v>3.7393876490337853E-2</v>
      </c>
      <c r="H29" s="478">
        <v>1</v>
      </c>
    </row>
    <row r="30" spans="2:8" outlineLevel="2">
      <c r="B30" s="373" t="s">
        <v>903</v>
      </c>
      <c r="C30" s="447" t="s">
        <v>903</v>
      </c>
      <c r="D30" s="443" t="s">
        <v>159</v>
      </c>
      <c r="E30" s="447" t="s">
        <v>1159</v>
      </c>
      <c r="F30" s="468" t="s">
        <v>251</v>
      </c>
      <c r="G30" s="480">
        <v>2.7188049454872507E-2</v>
      </c>
      <c r="H30" s="478">
        <v>1</v>
      </c>
    </row>
    <row r="31" spans="2:8" outlineLevel="2">
      <c r="B31" s="373" t="s">
        <v>903</v>
      </c>
      <c r="C31" s="447" t="s">
        <v>903</v>
      </c>
      <c r="D31" s="443" t="s">
        <v>159</v>
      </c>
      <c r="E31" s="447" t="s">
        <v>1159</v>
      </c>
      <c r="F31" s="468" t="s">
        <v>2178</v>
      </c>
      <c r="G31" s="480">
        <v>8.6149088147247421E-2</v>
      </c>
      <c r="H31" s="478">
        <v>1</v>
      </c>
    </row>
    <row r="32" spans="2:8" outlineLevel="1">
      <c r="B32" s="390" t="s">
        <v>502</v>
      </c>
      <c r="C32" s="446" t="s">
        <v>502</v>
      </c>
      <c r="D32" s="445" t="s">
        <v>159</v>
      </c>
      <c r="E32" s="446" t="s">
        <v>1159</v>
      </c>
      <c r="F32" s="475" t="s">
        <v>2273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502</v>
      </c>
      <c r="C33" s="447" t="s">
        <v>502</v>
      </c>
      <c r="D33" s="443" t="s">
        <v>159</v>
      </c>
      <c r="E33" s="447" t="s">
        <v>1159</v>
      </c>
      <c r="F33" s="468" t="s">
        <v>226</v>
      </c>
      <c r="G33" s="480">
        <v>0.15216712000000002</v>
      </c>
      <c r="H33" s="478">
        <v>1</v>
      </c>
    </row>
    <row r="34" spans="2:8" outlineLevel="2">
      <c r="B34" s="373" t="s">
        <v>502</v>
      </c>
      <c r="C34" s="447" t="s">
        <v>502</v>
      </c>
      <c r="D34" s="443" t="s">
        <v>159</v>
      </c>
      <c r="E34" s="447" t="s">
        <v>1159</v>
      </c>
      <c r="F34" s="468" t="s">
        <v>36</v>
      </c>
      <c r="G34" s="480">
        <v>0.22825067999999998</v>
      </c>
      <c r="H34" s="478">
        <v>1</v>
      </c>
    </row>
    <row r="35" spans="2:8" outlineLevel="1">
      <c r="B35" s="390" t="s">
        <v>1310</v>
      </c>
      <c r="C35" s="446" t="s">
        <v>1310</v>
      </c>
      <c r="D35" s="445" t="s">
        <v>159</v>
      </c>
      <c r="E35" s="446" t="s">
        <v>1159</v>
      </c>
      <c r="F35" s="475" t="s">
        <v>2249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1310</v>
      </c>
      <c r="C36" s="447" t="s">
        <v>1310</v>
      </c>
      <c r="D36" s="443" t="s">
        <v>159</v>
      </c>
      <c r="E36" s="447" t="s">
        <v>1159</v>
      </c>
      <c r="F36" s="482" t="s">
        <v>2200</v>
      </c>
      <c r="G36" s="483">
        <v>0.41060000000000008</v>
      </c>
      <c r="H36" s="478">
        <v>1</v>
      </c>
    </row>
    <row r="37" spans="2:8" outlineLevel="2">
      <c r="B37" s="373" t="s">
        <v>1310</v>
      </c>
      <c r="C37" s="447" t="s">
        <v>1310</v>
      </c>
      <c r="D37" s="443" t="s">
        <v>159</v>
      </c>
      <c r="E37" s="447" t="s">
        <v>1159</v>
      </c>
      <c r="F37" s="482" t="s">
        <v>2201</v>
      </c>
      <c r="G37" s="483">
        <v>0.10265000000000002</v>
      </c>
      <c r="H37" s="478">
        <v>1</v>
      </c>
    </row>
    <row r="38" spans="2:8" outlineLevel="1">
      <c r="B38" s="390" t="s">
        <v>1273</v>
      </c>
      <c r="C38" s="446" t="s">
        <v>1273</v>
      </c>
      <c r="D38" s="445" t="s">
        <v>159</v>
      </c>
      <c r="E38" s="446" t="s">
        <v>1159</v>
      </c>
      <c r="F38" s="475" t="s">
        <v>2267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1273</v>
      </c>
      <c r="C39" s="447" t="s">
        <v>1273</v>
      </c>
      <c r="D39" s="443" t="s">
        <v>159</v>
      </c>
      <c r="E39" s="447" t="s">
        <v>1159</v>
      </c>
      <c r="F39" s="406" t="s">
        <v>290</v>
      </c>
      <c r="G39" s="480">
        <v>9.5000000000000015E-2</v>
      </c>
      <c r="H39" s="478">
        <v>1</v>
      </c>
    </row>
    <row r="40" spans="2:8" outlineLevel="2">
      <c r="B40" s="373" t="s">
        <v>1273</v>
      </c>
      <c r="C40" s="447" t="s">
        <v>1273</v>
      </c>
      <c r="D40" s="443" t="s">
        <v>159</v>
      </c>
      <c r="E40" s="447" t="s">
        <v>1159</v>
      </c>
      <c r="F40" s="406" t="s">
        <v>1287</v>
      </c>
      <c r="G40" s="480">
        <v>9.5000000000000015E-2</v>
      </c>
      <c r="H40" s="478">
        <v>1</v>
      </c>
    </row>
    <row r="41" spans="2:8" outlineLevel="2">
      <c r="B41" s="373" t="s">
        <v>1273</v>
      </c>
      <c r="C41" s="447" t="s">
        <v>1273</v>
      </c>
      <c r="D41" s="443" t="s">
        <v>159</v>
      </c>
      <c r="E41" s="447" t="s">
        <v>1159</v>
      </c>
      <c r="F41" s="406" t="s">
        <v>2212</v>
      </c>
      <c r="G41" s="480">
        <v>9.5000000000000015E-2</v>
      </c>
      <c r="H41" s="478">
        <v>1</v>
      </c>
    </row>
    <row r="42" spans="2:8" outlineLevel="1">
      <c r="B42" s="390" t="s">
        <v>1347</v>
      </c>
      <c r="C42" s="446" t="s">
        <v>1089</v>
      </c>
      <c r="D42" s="445" t="s">
        <v>159</v>
      </c>
      <c r="E42" s="446" t="s">
        <v>1159</v>
      </c>
      <c r="F42" s="475" t="s">
        <v>2274</v>
      </c>
      <c r="G42" s="476">
        <v>0</v>
      </c>
      <c r="H42" s="476">
        <v>0</v>
      </c>
    </row>
    <row r="43" spans="2:8" outlineLevel="1">
      <c r="B43" s="390" t="s">
        <v>2219</v>
      </c>
      <c r="C43" s="446" t="s">
        <v>1089</v>
      </c>
      <c r="D43" s="445" t="s">
        <v>159</v>
      </c>
      <c r="E43" s="446" t="s">
        <v>1159</v>
      </c>
      <c r="F43" s="475" t="s">
        <v>2275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2219</v>
      </c>
      <c r="C44" s="447" t="s">
        <v>1089</v>
      </c>
      <c r="D44" s="443" t="s">
        <v>159</v>
      </c>
      <c r="E44" s="447" t="s">
        <v>1159</v>
      </c>
      <c r="F44" s="468" t="s">
        <v>206</v>
      </c>
      <c r="G44" s="480">
        <v>8.9136273921988848E-2</v>
      </c>
      <c r="H44" s="478">
        <v>1</v>
      </c>
    </row>
    <row r="45" spans="2:8" outlineLevel="1">
      <c r="B45" s="390" t="s">
        <v>609</v>
      </c>
      <c r="C45" s="446" t="s">
        <v>1089</v>
      </c>
      <c r="D45" s="445" t="s">
        <v>159</v>
      </c>
      <c r="E45" s="446" t="s">
        <v>1159</v>
      </c>
      <c r="F45" s="475" t="s">
        <v>2276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609</v>
      </c>
      <c r="C46" s="447" t="s">
        <v>1089</v>
      </c>
      <c r="D46" s="443" t="s">
        <v>159</v>
      </c>
      <c r="E46" s="447" t="s">
        <v>1159</v>
      </c>
      <c r="F46" s="468" t="s">
        <v>206</v>
      </c>
      <c r="G46" s="480">
        <v>5.8216850999999993E-2</v>
      </c>
      <c r="H46" s="478">
        <v>1</v>
      </c>
    </row>
    <row r="47" spans="2:8" outlineLevel="1">
      <c r="B47" s="390" t="s">
        <v>285</v>
      </c>
      <c r="C47" s="446" t="s">
        <v>1089</v>
      </c>
      <c r="D47" s="445" t="s">
        <v>159</v>
      </c>
      <c r="E47" s="446" t="s">
        <v>1159</v>
      </c>
      <c r="F47" s="475" t="s">
        <v>2277</v>
      </c>
      <c r="G47" s="476">
        <v>0</v>
      </c>
      <c r="H47" s="476">
        <v>0</v>
      </c>
    </row>
    <row r="48" spans="2:8" outlineLevel="1">
      <c r="B48" s="390" t="s">
        <v>916</v>
      </c>
      <c r="C48" s="446" t="s">
        <v>916</v>
      </c>
      <c r="D48" s="445" t="s">
        <v>159</v>
      </c>
      <c r="E48" s="446" t="s">
        <v>1159</v>
      </c>
      <c r="F48" s="475" t="s">
        <v>2278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916</v>
      </c>
      <c r="C49" s="447" t="s">
        <v>916</v>
      </c>
      <c r="D49" s="443" t="s">
        <v>159</v>
      </c>
      <c r="E49" s="447" t="s">
        <v>1159</v>
      </c>
      <c r="F49" s="468" t="s">
        <v>205</v>
      </c>
      <c r="G49" s="480">
        <v>1.6141000000000003</v>
      </c>
      <c r="H49" s="478">
        <v>1</v>
      </c>
    </row>
    <row r="50" spans="2:8" outlineLevel="1">
      <c r="B50" s="390" t="s">
        <v>902</v>
      </c>
      <c r="C50" s="446" t="s">
        <v>1018</v>
      </c>
      <c r="D50" s="445" t="s">
        <v>159</v>
      </c>
      <c r="E50" s="446" t="s">
        <v>1159</v>
      </c>
      <c r="F50" s="475" t="s">
        <v>2248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902</v>
      </c>
      <c r="C51" s="447" t="s">
        <v>1018</v>
      </c>
      <c r="D51" s="443" t="s">
        <v>159</v>
      </c>
      <c r="E51" s="447" t="s">
        <v>1159</v>
      </c>
      <c r="F51" s="468" t="s">
        <v>290</v>
      </c>
      <c r="G51" s="480">
        <v>0.11</v>
      </c>
      <c r="H51" s="478">
        <v>1</v>
      </c>
    </row>
    <row r="52" spans="2:8" outlineLevel="2">
      <c r="B52" s="373" t="s">
        <v>902</v>
      </c>
      <c r="C52" s="447" t="s">
        <v>1018</v>
      </c>
      <c r="D52" s="443" t="s">
        <v>159</v>
      </c>
      <c r="E52" s="447" t="s">
        <v>1159</v>
      </c>
      <c r="F52" s="468" t="s">
        <v>1287</v>
      </c>
      <c r="G52" s="480">
        <v>0.06</v>
      </c>
      <c r="H52" s="478">
        <v>1</v>
      </c>
    </row>
    <row r="53" spans="2:8" outlineLevel="1">
      <c r="B53" s="390" t="s">
        <v>369</v>
      </c>
      <c r="C53" s="446" t="s">
        <v>843</v>
      </c>
      <c r="D53" s="445" t="s">
        <v>159</v>
      </c>
      <c r="E53" s="446" t="s">
        <v>1159</v>
      </c>
      <c r="F53" s="475" t="s">
        <v>2269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369</v>
      </c>
      <c r="C54" s="447" t="s">
        <v>843</v>
      </c>
      <c r="D54" s="443" t="s">
        <v>159</v>
      </c>
      <c r="E54" s="447" t="s">
        <v>1159</v>
      </c>
      <c r="F54" s="406" t="s">
        <v>38</v>
      </c>
      <c r="G54" s="480">
        <v>0.03</v>
      </c>
      <c r="H54" s="478">
        <v>1</v>
      </c>
    </row>
    <row r="55" spans="2:8" outlineLevel="2">
      <c r="B55" s="373" t="s">
        <v>369</v>
      </c>
      <c r="C55" s="447" t="s">
        <v>843</v>
      </c>
      <c r="D55" s="443" t="s">
        <v>159</v>
      </c>
      <c r="E55" s="447" t="s">
        <v>1159</v>
      </c>
      <c r="F55" s="406" t="s">
        <v>1343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25.7109375" style="373" customWidth="1"/>
    <col min="3" max="3" width="18.28515625" style="373" customWidth="1"/>
    <col min="4" max="4" width="12.5703125" style="373" customWidth="1"/>
    <col min="5" max="5" width="13.7109375" style="373" bestFit="1" customWidth="1"/>
    <col min="6" max="6" width="49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7.45">
      <c r="A2" s="376"/>
      <c r="B2" s="418" t="s">
        <v>2238</v>
      </c>
      <c r="C2" s="418"/>
      <c r="D2" s="418"/>
      <c r="E2" s="418"/>
      <c r="F2" s="469"/>
      <c r="G2" s="421" t="s">
        <v>2047</v>
      </c>
      <c r="H2" s="421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935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1364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1236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414</v>
      </c>
      <c r="C9" s="380" t="s">
        <v>414</v>
      </c>
      <c r="D9" s="525" t="s">
        <v>159</v>
      </c>
      <c r="E9" s="380" t="s">
        <v>1236</v>
      </c>
      <c r="F9" s="526" t="s">
        <v>2279</v>
      </c>
      <c r="G9" s="527">
        <v>0</v>
      </c>
      <c r="H9" s="527">
        <v>0</v>
      </c>
      <c r="I9" s="372"/>
    </row>
    <row r="10" spans="1:24" outlineLevel="1">
      <c r="A10" s="372"/>
      <c r="B10" s="385" t="s">
        <v>2280</v>
      </c>
      <c r="C10" s="380" t="s">
        <v>2281</v>
      </c>
      <c r="D10" s="525" t="s">
        <v>159</v>
      </c>
      <c r="E10" s="380" t="s">
        <v>1236</v>
      </c>
      <c r="F10" s="526" t="s">
        <v>2282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2280</v>
      </c>
      <c r="C11" s="376" t="s">
        <v>2281</v>
      </c>
      <c r="D11" s="528" t="s">
        <v>159</v>
      </c>
      <c r="E11" s="376" t="s">
        <v>1236</v>
      </c>
      <c r="F11" s="529" t="s">
        <v>226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2280</v>
      </c>
      <c r="C12" s="376" t="s">
        <v>2281</v>
      </c>
      <c r="D12" s="528" t="s">
        <v>159</v>
      </c>
      <c r="E12" s="376" t="s">
        <v>1236</v>
      </c>
      <c r="F12" s="529" t="s">
        <v>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2280</v>
      </c>
      <c r="C13" s="376" t="s">
        <v>2281</v>
      </c>
      <c r="D13" s="528" t="s">
        <v>159</v>
      </c>
      <c r="E13" s="376" t="s">
        <v>1236</v>
      </c>
      <c r="F13" s="529" t="s">
        <v>208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2280</v>
      </c>
      <c r="C14" s="387" t="s">
        <v>2281</v>
      </c>
      <c r="D14" s="531" t="s">
        <v>159</v>
      </c>
      <c r="E14" s="387" t="s">
        <v>1236</v>
      </c>
      <c r="F14" s="532" t="s">
        <v>2283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2280</v>
      </c>
      <c r="C15" s="387" t="s">
        <v>2281</v>
      </c>
      <c r="D15" s="531" t="s">
        <v>159</v>
      </c>
      <c r="E15" s="387" t="s">
        <v>1236</v>
      </c>
      <c r="F15" s="532" t="s">
        <v>2284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2280</v>
      </c>
      <c r="C16" s="387" t="s">
        <v>2281</v>
      </c>
      <c r="D16" s="531" t="s">
        <v>159</v>
      </c>
      <c r="E16" s="387" t="s">
        <v>1236</v>
      </c>
      <c r="F16" s="532" t="s">
        <v>2285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2280</v>
      </c>
      <c r="C17" s="387" t="s">
        <v>2281</v>
      </c>
      <c r="D17" s="531" t="s">
        <v>159</v>
      </c>
      <c r="E17" s="387" t="s">
        <v>1236</v>
      </c>
      <c r="F17" s="532" t="s">
        <v>2286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2280</v>
      </c>
      <c r="C18" s="387" t="s">
        <v>2281</v>
      </c>
      <c r="D18" s="531" t="s">
        <v>159</v>
      </c>
      <c r="E18" s="387" t="s">
        <v>1236</v>
      </c>
      <c r="F18" s="532" t="s">
        <v>2287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612</v>
      </c>
      <c r="C19" s="376" t="s">
        <v>612</v>
      </c>
      <c r="D19" s="528" t="s">
        <v>159</v>
      </c>
      <c r="E19" s="376" t="s">
        <v>1236</v>
      </c>
      <c r="F19" s="529" t="s">
        <v>2288</v>
      </c>
      <c r="G19" s="530"/>
      <c r="H19" s="530">
        <v>1</v>
      </c>
      <c r="I19" s="372"/>
    </row>
    <row r="20" spans="1:11" outlineLevel="1">
      <c r="A20" s="372"/>
      <c r="B20" s="385" t="s">
        <v>918</v>
      </c>
      <c r="C20" s="380" t="s">
        <v>918</v>
      </c>
      <c r="D20" s="525" t="s">
        <v>159</v>
      </c>
      <c r="E20" s="380" t="s">
        <v>1236</v>
      </c>
      <c r="F20" s="526" t="s">
        <v>2289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918</v>
      </c>
      <c r="C21" s="376" t="s">
        <v>918</v>
      </c>
      <c r="D21" s="528" t="s">
        <v>159</v>
      </c>
      <c r="E21" s="376" t="s">
        <v>1236</v>
      </c>
      <c r="F21" s="529" t="s">
        <v>1252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918</v>
      </c>
      <c r="C22" s="376" t="s">
        <v>918</v>
      </c>
      <c r="D22" s="528" t="s">
        <v>159</v>
      </c>
      <c r="E22" s="376" t="s">
        <v>1236</v>
      </c>
      <c r="F22" s="529" t="s">
        <v>1253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918</v>
      </c>
      <c r="C23" s="376" t="s">
        <v>918</v>
      </c>
      <c r="D23" s="528" t="s">
        <v>159</v>
      </c>
      <c r="E23" s="376" t="s">
        <v>1236</v>
      </c>
      <c r="F23" s="529" t="s">
        <v>1254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918</v>
      </c>
      <c r="C24" s="376" t="s">
        <v>918</v>
      </c>
      <c r="D24" s="528" t="s">
        <v>159</v>
      </c>
      <c r="E24" s="376" t="s">
        <v>1236</v>
      </c>
      <c r="F24" s="529" t="s">
        <v>1255</v>
      </c>
      <c r="G24" s="530">
        <v>5.0000000000000001E-4</v>
      </c>
      <c r="H24" s="530">
        <v>1</v>
      </c>
      <c r="I24" s="372"/>
      <c r="K24" s="373" t="s">
        <v>2290</v>
      </c>
    </row>
    <row r="25" spans="1:11" outlineLevel="1">
      <c r="A25" s="372"/>
      <c r="B25" s="385" t="s">
        <v>1400</v>
      </c>
      <c r="C25" s="380" t="s">
        <v>1400</v>
      </c>
      <c r="D25" s="525" t="s">
        <v>159</v>
      </c>
      <c r="E25" s="380" t="s">
        <v>1236</v>
      </c>
      <c r="F25" s="526" t="s">
        <v>2291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1400</v>
      </c>
      <c r="C26" s="376" t="s">
        <v>1400</v>
      </c>
      <c r="D26" s="528" t="s">
        <v>159</v>
      </c>
      <c r="E26" s="376" t="s">
        <v>1236</v>
      </c>
      <c r="F26" s="529" t="s">
        <v>226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1400</v>
      </c>
      <c r="C27" s="376" t="s">
        <v>1400</v>
      </c>
      <c r="D27" s="528" t="s">
        <v>159</v>
      </c>
      <c r="E27" s="376" t="s">
        <v>1236</v>
      </c>
      <c r="F27" s="529" t="s">
        <v>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1400</v>
      </c>
      <c r="C28" s="376" t="s">
        <v>1400</v>
      </c>
      <c r="D28" s="528" t="s">
        <v>159</v>
      </c>
      <c r="E28" s="376" t="s">
        <v>1236</v>
      </c>
      <c r="F28" s="529" t="s">
        <v>208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422</v>
      </c>
      <c r="C29" s="385" t="s">
        <v>422</v>
      </c>
      <c r="D29" s="525" t="s">
        <v>159</v>
      </c>
      <c r="E29" s="380" t="s">
        <v>1236</v>
      </c>
      <c r="F29" s="526" t="s">
        <v>2292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422</v>
      </c>
      <c r="C30" s="376" t="s">
        <v>422</v>
      </c>
      <c r="D30" s="528" t="s">
        <v>159</v>
      </c>
      <c r="E30" s="376" t="s">
        <v>1236</v>
      </c>
      <c r="F30" s="529" t="s">
        <v>2293</v>
      </c>
      <c r="G30" s="530"/>
      <c r="H30" s="530">
        <v>1</v>
      </c>
      <c r="I30" s="372"/>
    </row>
    <row r="31" spans="1:11" outlineLevel="2">
      <c r="A31" s="372"/>
      <c r="B31" s="372" t="s">
        <v>422</v>
      </c>
      <c r="C31" s="376" t="s">
        <v>422</v>
      </c>
      <c r="D31" s="528" t="s">
        <v>159</v>
      </c>
      <c r="E31" s="376" t="s">
        <v>1236</v>
      </c>
      <c r="F31" s="529" t="s">
        <v>2294</v>
      </c>
      <c r="G31" s="530"/>
      <c r="H31" s="530">
        <v>1</v>
      </c>
      <c r="I31" s="372"/>
    </row>
    <row r="32" spans="1:11" outlineLevel="2">
      <c r="A32" s="372"/>
      <c r="B32" s="372" t="s">
        <v>422</v>
      </c>
      <c r="C32" s="376" t="s">
        <v>422</v>
      </c>
      <c r="D32" s="528" t="s">
        <v>159</v>
      </c>
      <c r="E32" s="376" t="s">
        <v>1236</v>
      </c>
      <c r="F32" s="529" t="s">
        <v>2295</v>
      </c>
      <c r="G32" s="530"/>
      <c r="H32" s="530">
        <v>1</v>
      </c>
      <c r="I32" s="372"/>
    </row>
    <row r="33" spans="1:9" outlineLevel="2">
      <c r="A33" s="372"/>
      <c r="B33" s="372" t="s">
        <v>422</v>
      </c>
      <c r="C33" s="376" t="s">
        <v>422</v>
      </c>
      <c r="D33" s="528" t="s">
        <v>159</v>
      </c>
      <c r="E33" s="376" t="s">
        <v>1236</v>
      </c>
      <c r="F33" s="529" t="s">
        <v>2296</v>
      </c>
      <c r="G33" s="530"/>
      <c r="H33" s="530">
        <v>1</v>
      </c>
      <c r="I33" s="372"/>
    </row>
    <row r="34" spans="1:9" outlineLevel="2">
      <c r="A34" s="372"/>
      <c r="B34" s="372" t="s">
        <v>422</v>
      </c>
      <c r="C34" s="376" t="s">
        <v>422</v>
      </c>
      <c r="D34" s="528" t="s">
        <v>159</v>
      </c>
      <c r="E34" s="376" t="s">
        <v>1236</v>
      </c>
      <c r="F34" s="529" t="s">
        <v>2297</v>
      </c>
      <c r="G34" s="530"/>
      <c r="H34" s="530">
        <v>1</v>
      </c>
      <c r="I34" s="372"/>
    </row>
    <row r="35" spans="1:9" outlineLevel="2">
      <c r="A35" s="372"/>
      <c r="B35" s="372" t="s">
        <v>422</v>
      </c>
      <c r="C35" s="376" t="s">
        <v>422</v>
      </c>
      <c r="D35" s="528" t="s">
        <v>159</v>
      </c>
      <c r="E35" s="376" t="s">
        <v>1236</v>
      </c>
      <c r="F35" s="529" t="s">
        <v>2298</v>
      </c>
      <c r="G35" s="530"/>
      <c r="H35" s="530">
        <v>1</v>
      </c>
      <c r="I35" s="372"/>
    </row>
    <row r="36" spans="1:9" outlineLevel="2">
      <c r="A36" s="372"/>
      <c r="B36" s="372" t="s">
        <v>422</v>
      </c>
      <c r="C36" s="376" t="s">
        <v>422</v>
      </c>
      <c r="D36" s="528" t="s">
        <v>159</v>
      </c>
      <c r="E36" s="376" t="s">
        <v>1236</v>
      </c>
      <c r="F36" s="529" t="s">
        <v>2299</v>
      </c>
      <c r="G36" s="530"/>
      <c r="H36" s="530">
        <v>1</v>
      </c>
      <c r="I36" s="372"/>
    </row>
    <row r="37" spans="1:9" outlineLevel="2">
      <c r="A37" s="372"/>
      <c r="B37" s="372" t="s">
        <v>422</v>
      </c>
      <c r="C37" s="376" t="s">
        <v>422</v>
      </c>
      <c r="D37" s="528" t="s">
        <v>159</v>
      </c>
      <c r="E37" s="376" t="s">
        <v>1236</v>
      </c>
      <c r="F37" s="529" t="s">
        <v>2300</v>
      </c>
      <c r="G37" s="530"/>
      <c r="H37" s="530">
        <v>1</v>
      </c>
      <c r="I37" s="372"/>
    </row>
    <row r="38" spans="1:9" outlineLevel="2">
      <c r="A38" s="372"/>
      <c r="B38" s="372" t="s">
        <v>422</v>
      </c>
      <c r="C38" s="376" t="s">
        <v>422</v>
      </c>
      <c r="D38" s="528" t="s">
        <v>159</v>
      </c>
      <c r="E38" s="376" t="s">
        <v>1236</v>
      </c>
      <c r="F38" s="529" t="s">
        <v>2301</v>
      </c>
      <c r="G38" s="530"/>
      <c r="H38" s="530">
        <v>1</v>
      </c>
      <c r="I38" s="372"/>
    </row>
    <row r="39" spans="1:9" outlineLevel="2">
      <c r="A39" s="372"/>
      <c r="B39" s="372" t="s">
        <v>422</v>
      </c>
      <c r="C39" s="376" t="s">
        <v>422</v>
      </c>
      <c r="D39" s="528" t="s">
        <v>159</v>
      </c>
      <c r="E39" s="376" t="s">
        <v>1236</v>
      </c>
      <c r="F39" s="529" t="s">
        <v>2302</v>
      </c>
      <c r="G39" s="530"/>
      <c r="H39" s="530">
        <v>1</v>
      </c>
      <c r="I39" s="372"/>
    </row>
    <row r="40" spans="1:9" outlineLevel="1">
      <c r="A40" s="372"/>
      <c r="B40" s="534" t="s">
        <v>2303</v>
      </c>
      <c r="C40" s="385" t="s">
        <v>2304</v>
      </c>
      <c r="D40" s="525" t="s">
        <v>159</v>
      </c>
      <c r="E40" s="380" t="s">
        <v>1236</v>
      </c>
      <c r="F40" s="526" t="s">
        <v>2305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2303</v>
      </c>
      <c r="C41" s="376" t="s">
        <v>2304</v>
      </c>
      <c r="D41" s="528" t="s">
        <v>159</v>
      </c>
      <c r="E41" s="376" t="s">
        <v>1236</v>
      </c>
      <c r="F41" s="529" t="s">
        <v>2306</v>
      </c>
      <c r="G41" s="530"/>
      <c r="H41" s="530">
        <v>1</v>
      </c>
      <c r="I41" s="372"/>
    </row>
    <row r="42" spans="1:9" outlineLevel="2">
      <c r="A42" s="372"/>
      <c r="B42" s="372" t="s">
        <v>2303</v>
      </c>
      <c r="C42" s="376" t="s">
        <v>2304</v>
      </c>
      <c r="D42" s="528" t="s">
        <v>159</v>
      </c>
      <c r="E42" s="376" t="s">
        <v>1236</v>
      </c>
      <c r="F42" s="529" t="s">
        <v>2307</v>
      </c>
      <c r="G42" s="530"/>
      <c r="H42" s="530">
        <v>1</v>
      </c>
      <c r="I42" s="372"/>
    </row>
    <row r="43" spans="1:9" outlineLevel="2">
      <c r="A43" s="372"/>
      <c r="B43" s="372" t="s">
        <v>2303</v>
      </c>
      <c r="C43" s="376" t="s">
        <v>2304</v>
      </c>
      <c r="D43" s="528" t="s">
        <v>159</v>
      </c>
      <c r="E43" s="376" t="s">
        <v>1236</v>
      </c>
      <c r="F43" s="529" t="s">
        <v>2308</v>
      </c>
      <c r="G43" s="530"/>
      <c r="H43" s="530">
        <v>1</v>
      </c>
      <c r="I43" s="372"/>
    </row>
    <row r="44" spans="1:9" outlineLevel="2">
      <c r="A44" s="372"/>
      <c r="B44" s="372" t="s">
        <v>2303</v>
      </c>
      <c r="C44" s="376" t="s">
        <v>2304</v>
      </c>
      <c r="D44" s="528" t="s">
        <v>159</v>
      </c>
      <c r="E44" s="376" t="s">
        <v>1236</v>
      </c>
      <c r="F44" s="529" t="s">
        <v>2309</v>
      </c>
      <c r="G44" s="530"/>
      <c r="H44" s="530">
        <v>1</v>
      </c>
      <c r="I44" s="372"/>
    </row>
    <row r="45" spans="1:9" outlineLevel="2">
      <c r="A45" s="372"/>
      <c r="B45" s="372" t="s">
        <v>2303</v>
      </c>
      <c r="C45" s="376" t="s">
        <v>2304</v>
      </c>
      <c r="D45" s="528" t="s">
        <v>159</v>
      </c>
      <c r="E45" s="376" t="s">
        <v>1236</v>
      </c>
      <c r="F45" s="529" t="s">
        <v>2310</v>
      </c>
      <c r="G45" s="530"/>
      <c r="H45" s="530">
        <v>1</v>
      </c>
      <c r="I45" s="372"/>
    </row>
    <row r="46" spans="1:9" outlineLevel="1">
      <c r="A46" s="372"/>
      <c r="B46" s="385" t="s">
        <v>2311</v>
      </c>
      <c r="C46" s="385" t="s">
        <v>2312</v>
      </c>
      <c r="D46" s="525" t="s">
        <v>159</v>
      </c>
      <c r="E46" s="380" t="s">
        <v>1236</v>
      </c>
      <c r="F46" s="526" t="s">
        <v>2311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2311</v>
      </c>
      <c r="C47" s="372" t="s">
        <v>2312</v>
      </c>
      <c r="D47" s="528" t="s">
        <v>159</v>
      </c>
      <c r="E47" s="376" t="s">
        <v>1236</v>
      </c>
      <c r="F47" s="529" t="s">
        <v>205</v>
      </c>
      <c r="G47" s="530"/>
      <c r="H47" s="530">
        <v>1</v>
      </c>
      <c r="I47" s="372"/>
    </row>
    <row r="48" spans="1:9" outlineLevel="2">
      <c r="A48" s="372"/>
      <c r="B48" s="372" t="s">
        <v>2311</v>
      </c>
      <c r="C48" s="372" t="s">
        <v>2312</v>
      </c>
      <c r="D48" s="528" t="s">
        <v>159</v>
      </c>
      <c r="E48" s="376" t="s">
        <v>1236</v>
      </c>
      <c r="F48" s="529" t="s">
        <v>206</v>
      </c>
      <c r="G48" s="530"/>
      <c r="H48" s="530">
        <v>1</v>
      </c>
      <c r="I48" s="372"/>
    </row>
    <row r="49" spans="1:9" outlineLevel="1">
      <c r="A49" s="372"/>
      <c r="B49" s="385" t="s">
        <v>2313</v>
      </c>
      <c r="C49" s="534" t="s">
        <v>929</v>
      </c>
      <c r="D49" s="525" t="s">
        <v>159</v>
      </c>
      <c r="E49" s="380" t="s">
        <v>1236</v>
      </c>
      <c r="F49" s="526" t="s">
        <v>2313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2313</v>
      </c>
      <c r="C50" s="376" t="s">
        <v>929</v>
      </c>
      <c r="D50" s="528" t="s">
        <v>159</v>
      </c>
      <c r="E50" s="376" t="s">
        <v>1236</v>
      </c>
      <c r="F50" s="529" t="s">
        <v>2314</v>
      </c>
      <c r="G50" s="530"/>
      <c r="H50" s="530">
        <v>1</v>
      </c>
      <c r="I50" s="372"/>
    </row>
    <row r="51" spans="1:9" outlineLevel="2">
      <c r="A51" s="372"/>
      <c r="B51" s="372" t="s">
        <v>2313</v>
      </c>
      <c r="C51" s="376" t="s">
        <v>929</v>
      </c>
      <c r="D51" s="528" t="s">
        <v>159</v>
      </c>
      <c r="E51" s="376" t="s">
        <v>1236</v>
      </c>
      <c r="F51" s="529" t="s">
        <v>2315</v>
      </c>
      <c r="G51" s="530"/>
      <c r="H51" s="530">
        <v>1</v>
      </c>
      <c r="I51" s="372"/>
    </row>
    <row r="52" spans="1:9" outlineLevel="2">
      <c r="A52" s="372"/>
      <c r="B52" s="372" t="s">
        <v>2313</v>
      </c>
      <c r="C52" s="376" t="s">
        <v>929</v>
      </c>
      <c r="D52" s="528" t="s">
        <v>159</v>
      </c>
      <c r="E52" s="376" t="s">
        <v>1236</v>
      </c>
      <c r="F52" s="529" t="s">
        <v>2316</v>
      </c>
      <c r="G52" s="530"/>
      <c r="H52" s="530">
        <v>1</v>
      </c>
      <c r="I52" s="372"/>
    </row>
    <row r="53" spans="1:9" outlineLevel="1">
      <c r="A53" s="372"/>
      <c r="B53" s="385" t="s">
        <v>2317</v>
      </c>
      <c r="C53" s="380" t="s">
        <v>2318</v>
      </c>
      <c r="D53" s="525" t="s">
        <v>159</v>
      </c>
      <c r="E53" s="380" t="s">
        <v>1236</v>
      </c>
      <c r="F53" s="526" t="s">
        <v>407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2317</v>
      </c>
      <c r="C54" s="376" t="s">
        <v>2318</v>
      </c>
      <c r="D54" s="528" t="s">
        <v>159</v>
      </c>
      <c r="E54" s="376" t="s">
        <v>1236</v>
      </c>
      <c r="F54" s="529" t="s">
        <v>205</v>
      </c>
      <c r="G54" s="530"/>
      <c r="H54" s="530">
        <v>1</v>
      </c>
      <c r="I54" s="372"/>
    </row>
    <row r="55" spans="1:9" outlineLevel="1">
      <c r="A55" s="372"/>
      <c r="B55" s="385" t="s">
        <v>2319</v>
      </c>
      <c r="C55" s="385" t="s">
        <v>2319</v>
      </c>
      <c r="D55" s="525" t="s">
        <v>159</v>
      </c>
      <c r="E55" s="380" t="s">
        <v>1236</v>
      </c>
      <c r="F55" s="526" t="s">
        <v>2320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2319</v>
      </c>
      <c r="C56" s="372" t="s">
        <v>2319</v>
      </c>
      <c r="D56" s="528" t="s">
        <v>159</v>
      </c>
      <c r="E56" s="376" t="s">
        <v>1236</v>
      </c>
      <c r="F56" s="529" t="s">
        <v>2321</v>
      </c>
      <c r="G56" s="530"/>
      <c r="H56" s="530">
        <v>1</v>
      </c>
      <c r="I56" s="372"/>
    </row>
    <row r="57" spans="1:9" outlineLevel="2">
      <c r="A57" s="372"/>
      <c r="B57" s="372" t="s">
        <v>2319</v>
      </c>
      <c r="C57" s="372" t="s">
        <v>2319</v>
      </c>
      <c r="D57" s="528" t="s">
        <v>159</v>
      </c>
      <c r="E57" s="376" t="s">
        <v>1236</v>
      </c>
      <c r="F57" s="529" t="s">
        <v>2322</v>
      </c>
      <c r="G57" s="530"/>
      <c r="H57" s="530">
        <v>1</v>
      </c>
      <c r="I57" s="372"/>
    </row>
    <row r="58" spans="1:9" outlineLevel="2">
      <c r="A58" s="372"/>
      <c r="B58" s="372" t="s">
        <v>2319</v>
      </c>
      <c r="C58" s="372" t="s">
        <v>2319</v>
      </c>
      <c r="D58" s="528" t="s">
        <v>159</v>
      </c>
      <c r="E58" s="376" t="s">
        <v>1236</v>
      </c>
      <c r="F58" s="529" t="s">
        <v>2323</v>
      </c>
      <c r="G58" s="530"/>
      <c r="H58" s="530">
        <v>1</v>
      </c>
      <c r="I58" s="372"/>
    </row>
    <row r="59" spans="1:9" outlineLevel="1">
      <c r="A59" s="372"/>
      <c r="B59" s="385" t="s">
        <v>2324</v>
      </c>
      <c r="C59" s="385" t="s">
        <v>2324</v>
      </c>
      <c r="D59" s="525" t="s">
        <v>159</v>
      </c>
      <c r="E59" s="380" t="s">
        <v>1236</v>
      </c>
      <c r="F59" s="526" t="s">
        <v>2325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2324</v>
      </c>
      <c r="C60" s="372" t="s">
        <v>2324</v>
      </c>
      <c r="D60" s="528" t="s">
        <v>159</v>
      </c>
      <c r="E60" s="376" t="s">
        <v>1236</v>
      </c>
      <c r="F60" s="529" t="s">
        <v>205</v>
      </c>
      <c r="G60" s="530"/>
      <c r="H60" s="530">
        <v>1</v>
      </c>
      <c r="I60" s="372"/>
    </row>
    <row r="61" spans="1:9" outlineLevel="2">
      <c r="A61" s="372"/>
      <c r="B61" s="372" t="s">
        <v>2324</v>
      </c>
      <c r="C61" s="372" t="s">
        <v>2324</v>
      </c>
      <c r="D61" s="528" t="s">
        <v>159</v>
      </c>
      <c r="E61" s="376" t="s">
        <v>1236</v>
      </c>
      <c r="F61" s="529" t="s">
        <v>206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1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447"/>
      <c r="B2" s="542" t="s">
        <v>2238</v>
      </c>
      <c r="C2" s="542"/>
      <c r="D2" s="542"/>
      <c r="E2" s="542"/>
      <c r="F2" s="543"/>
      <c r="G2" s="544" t="s">
        <v>2047</v>
      </c>
      <c r="H2" s="544" t="s">
        <v>726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">
      <c r="A4" s="545"/>
      <c r="B4" s="444" t="s">
        <v>642</v>
      </c>
      <c r="C4" s="444" t="s">
        <v>643</v>
      </c>
      <c r="D4" s="444" t="s">
        <v>645</v>
      </c>
      <c r="E4" s="444" t="s">
        <v>0</v>
      </c>
      <c r="F4" s="546" t="s">
        <v>935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1364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6">
      <c r="A7" s="447"/>
      <c r="B7" s="550" t="s">
        <v>45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162</v>
      </c>
      <c r="C9" s="447" t="s">
        <v>160</v>
      </c>
      <c r="D9" s="443" t="s">
        <v>159</v>
      </c>
      <c r="E9" s="447" t="s">
        <v>45</v>
      </c>
      <c r="F9" s="477" t="s">
        <v>2184</v>
      </c>
      <c r="G9" s="478"/>
      <c r="H9" s="478">
        <v>6</v>
      </c>
      <c r="I9" s="382"/>
    </row>
    <row r="10" spans="1:24" outlineLevel="1">
      <c r="A10" s="382"/>
      <c r="B10" s="382" t="s">
        <v>163</v>
      </c>
      <c r="C10" s="447" t="s">
        <v>160</v>
      </c>
      <c r="D10" s="443" t="s">
        <v>159</v>
      </c>
      <c r="E10" s="447" t="s">
        <v>45</v>
      </c>
      <c r="F10" s="477" t="s">
        <v>2185</v>
      </c>
      <c r="G10" s="478"/>
      <c r="H10" s="478">
        <v>2</v>
      </c>
      <c r="I10" s="382"/>
    </row>
    <row r="11" spans="1:24" outlineLevel="1">
      <c r="A11" s="382"/>
      <c r="B11" s="382" t="s">
        <v>2326</v>
      </c>
      <c r="C11" s="447" t="s">
        <v>160</v>
      </c>
      <c r="D11" s="443" t="s">
        <v>159</v>
      </c>
      <c r="E11" s="447" t="s">
        <v>45</v>
      </c>
      <c r="F11" s="477" t="s">
        <v>2327</v>
      </c>
      <c r="G11" s="478"/>
      <c r="H11" s="478">
        <v>1</v>
      </c>
      <c r="I11" s="382"/>
    </row>
    <row r="12" spans="1:24" outlineLevel="1">
      <c r="A12" s="382"/>
      <c r="B12" s="382" t="s">
        <v>2326</v>
      </c>
      <c r="C12" s="447" t="s">
        <v>160</v>
      </c>
      <c r="D12" s="443" t="s">
        <v>159</v>
      </c>
      <c r="E12" s="447" t="s">
        <v>45</v>
      </c>
      <c r="F12" s="477" t="s">
        <v>2328</v>
      </c>
      <c r="G12" s="478"/>
      <c r="H12" s="478">
        <v>1</v>
      </c>
      <c r="I12" s="382"/>
    </row>
    <row r="13" spans="1:24" outlineLevel="1">
      <c r="A13" s="382"/>
      <c r="B13" s="382" t="s">
        <v>331</v>
      </c>
      <c r="C13" s="447" t="s">
        <v>160</v>
      </c>
      <c r="D13" s="443" t="s">
        <v>159</v>
      </c>
      <c r="E13" s="447" t="s">
        <v>45</v>
      </c>
      <c r="F13" s="477" t="s">
        <v>2329</v>
      </c>
      <c r="G13" s="478"/>
      <c r="H13" s="478">
        <v>1</v>
      </c>
      <c r="I13" s="382"/>
    </row>
    <row r="14" spans="1:24" outlineLevel="1">
      <c r="A14" s="382"/>
      <c r="B14" s="382" t="s">
        <v>331</v>
      </c>
      <c r="C14" s="447" t="s">
        <v>160</v>
      </c>
      <c r="D14" s="443" t="s">
        <v>159</v>
      </c>
      <c r="E14" s="447" t="s">
        <v>45</v>
      </c>
      <c r="F14" s="477" t="s">
        <v>2330</v>
      </c>
      <c r="G14" s="478"/>
      <c r="H14" s="478">
        <v>1</v>
      </c>
      <c r="I14" s="382"/>
    </row>
    <row r="15" spans="1:24" outlineLevel="1">
      <c r="A15" s="382"/>
      <c r="B15" s="382" t="s">
        <v>2331</v>
      </c>
      <c r="C15" s="447" t="s">
        <v>160</v>
      </c>
      <c r="D15" s="443" t="s">
        <v>159</v>
      </c>
      <c r="E15" s="447" t="s">
        <v>45</v>
      </c>
      <c r="F15" s="477" t="s">
        <v>2332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2238</v>
      </c>
      <c r="D2" s="418"/>
      <c r="E2" s="418"/>
      <c r="F2" s="418"/>
      <c r="G2" s="469"/>
      <c r="H2" s="421" t="s">
        <v>2047</v>
      </c>
      <c r="I2" s="421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935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1364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2250</v>
      </c>
      <c r="C7" s="470" t="s">
        <v>56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891</v>
      </c>
      <c r="D9" s="385" t="s">
        <v>949</v>
      </c>
      <c r="E9" s="385" t="s">
        <v>518</v>
      </c>
      <c r="F9" s="385" t="s">
        <v>56</v>
      </c>
      <c r="G9" s="526" t="s">
        <v>2251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891</v>
      </c>
      <c r="D10" s="372" t="s">
        <v>949</v>
      </c>
      <c r="E10" s="372" t="s">
        <v>518</v>
      </c>
      <c r="F10" s="372" t="s">
        <v>56</v>
      </c>
      <c r="G10" s="468" t="s">
        <v>2051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891</v>
      </c>
      <c r="D11" s="385" t="s">
        <v>956</v>
      </c>
      <c r="E11" s="385" t="s">
        <v>518</v>
      </c>
      <c r="F11" s="385" t="s">
        <v>56</v>
      </c>
      <c r="G11" s="526" t="s">
        <v>2251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891</v>
      </c>
      <c r="D12" s="372" t="s">
        <v>956</v>
      </c>
      <c r="E12" s="372" t="s">
        <v>518</v>
      </c>
      <c r="F12" s="372" t="s">
        <v>56</v>
      </c>
      <c r="G12" s="468" t="s">
        <v>247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891</v>
      </c>
      <c r="D13" s="372" t="s">
        <v>956</v>
      </c>
      <c r="E13" s="372" t="s">
        <v>518</v>
      </c>
      <c r="F13" s="372" t="s">
        <v>56</v>
      </c>
      <c r="G13" s="468" t="s">
        <v>251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891</v>
      </c>
      <c r="D14" s="385" t="s">
        <v>969</v>
      </c>
      <c r="E14" s="385" t="s">
        <v>518</v>
      </c>
      <c r="F14" s="385" t="s">
        <v>56</v>
      </c>
      <c r="G14" s="526" t="s">
        <v>2251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891</v>
      </c>
      <c r="D15" s="372" t="s">
        <v>969</v>
      </c>
      <c r="E15" s="372" t="s">
        <v>518</v>
      </c>
      <c r="F15" s="372" t="s">
        <v>56</v>
      </c>
      <c r="G15" s="468" t="s">
        <v>206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891</v>
      </c>
      <c r="D16" s="372" t="s">
        <v>969</v>
      </c>
      <c r="E16" s="372" t="s">
        <v>518</v>
      </c>
      <c r="F16" s="372" t="s">
        <v>56</v>
      </c>
      <c r="G16" s="468" t="s">
        <v>199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891</v>
      </c>
      <c r="D17" s="372" t="s">
        <v>969</v>
      </c>
      <c r="E17" s="372" t="s">
        <v>518</v>
      </c>
      <c r="F17" s="372" t="s">
        <v>56</v>
      </c>
      <c r="G17" s="468" t="s">
        <v>2069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891</v>
      </c>
      <c r="D18" s="372" t="s">
        <v>969</v>
      </c>
      <c r="E18" s="372" t="s">
        <v>518</v>
      </c>
      <c r="F18" s="372" t="s">
        <v>56</v>
      </c>
      <c r="G18" s="468" t="s">
        <v>2070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891</v>
      </c>
      <c r="D19" s="372" t="s">
        <v>969</v>
      </c>
      <c r="E19" s="372" t="s">
        <v>518</v>
      </c>
      <c r="F19" s="372" t="s">
        <v>56</v>
      </c>
      <c r="G19" s="468" t="s">
        <v>2063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891</v>
      </c>
      <c r="D20" s="372" t="s">
        <v>969</v>
      </c>
      <c r="E20" s="372" t="s">
        <v>518</v>
      </c>
      <c r="F20" s="372" t="s">
        <v>56</v>
      </c>
      <c r="G20" s="468" t="s">
        <v>2071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891</v>
      </c>
      <c r="D21" s="372" t="s">
        <v>969</v>
      </c>
      <c r="E21" s="372" t="s">
        <v>518</v>
      </c>
      <c r="F21" s="372" t="s">
        <v>56</v>
      </c>
      <c r="G21" s="468" t="s">
        <v>2072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891</v>
      </c>
      <c r="D22" s="372" t="s">
        <v>969</v>
      </c>
      <c r="E22" s="372" t="s">
        <v>518</v>
      </c>
      <c r="F22" s="372" t="s">
        <v>56</v>
      </c>
      <c r="G22" s="468" t="s">
        <v>2065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891</v>
      </c>
      <c r="D23" s="372" t="s">
        <v>969</v>
      </c>
      <c r="E23" s="372" t="s">
        <v>518</v>
      </c>
      <c r="F23" s="372" t="s">
        <v>56</v>
      </c>
      <c r="G23" s="468" t="s">
        <v>2073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891</v>
      </c>
      <c r="D24" s="372" t="s">
        <v>969</v>
      </c>
      <c r="E24" s="372" t="s">
        <v>518</v>
      </c>
      <c r="F24" s="372" t="s">
        <v>56</v>
      </c>
      <c r="G24" s="468" t="s">
        <v>2074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891</v>
      </c>
      <c r="D25" s="372" t="s">
        <v>969</v>
      </c>
      <c r="E25" s="372" t="s">
        <v>518</v>
      </c>
      <c r="F25" s="372" t="s">
        <v>56</v>
      </c>
      <c r="G25" s="468" t="s">
        <v>2066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891</v>
      </c>
      <c r="D26" s="372" t="s">
        <v>969</v>
      </c>
      <c r="E26" s="372" t="s">
        <v>518</v>
      </c>
      <c r="F26" s="372" t="s">
        <v>56</v>
      </c>
      <c r="G26" s="468" t="s">
        <v>2067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891</v>
      </c>
      <c r="D27" s="372" t="s">
        <v>969</v>
      </c>
      <c r="E27" s="372" t="s">
        <v>518</v>
      </c>
      <c r="F27" s="372" t="s">
        <v>56</v>
      </c>
      <c r="G27" s="468" t="s">
        <v>2075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891</v>
      </c>
      <c r="D28" s="372" t="s">
        <v>969</v>
      </c>
      <c r="E28" s="372" t="s">
        <v>518</v>
      </c>
      <c r="F28" s="372" t="s">
        <v>56</v>
      </c>
      <c r="G28" s="468" t="s">
        <v>2076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891</v>
      </c>
      <c r="D29" s="372" t="s">
        <v>969</v>
      </c>
      <c r="E29" s="372" t="s">
        <v>518</v>
      </c>
      <c r="F29" s="372" t="s">
        <v>56</v>
      </c>
      <c r="G29" s="468" t="s">
        <v>2068</v>
      </c>
      <c r="H29" s="474">
        <v>3.5178109061621493E-3</v>
      </c>
      <c r="I29" s="474">
        <v>1</v>
      </c>
    </row>
    <row r="30" spans="2:9" outlineLevel="1">
      <c r="B30" s="372"/>
      <c r="C30" s="385" t="s">
        <v>893</v>
      </c>
      <c r="D30" s="385" t="s">
        <v>1000</v>
      </c>
      <c r="E30" s="385" t="s">
        <v>518</v>
      </c>
      <c r="F30" s="385" t="s">
        <v>56</v>
      </c>
      <c r="G30" s="526" t="s">
        <v>2263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893</v>
      </c>
      <c r="D31" s="372" t="s">
        <v>1000</v>
      </c>
      <c r="E31" s="372" t="s">
        <v>518</v>
      </c>
      <c r="F31" s="372" t="s">
        <v>56</v>
      </c>
      <c r="G31" s="468" t="s">
        <v>2081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893</v>
      </c>
      <c r="D32" s="372" t="s">
        <v>1000</v>
      </c>
      <c r="E32" s="372" t="s">
        <v>518</v>
      </c>
      <c r="F32" s="372" t="s">
        <v>56</v>
      </c>
      <c r="G32" s="468" t="s">
        <v>2082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893</v>
      </c>
      <c r="D33" s="372" t="s">
        <v>1000</v>
      </c>
      <c r="E33" s="372" t="s">
        <v>518</v>
      </c>
      <c r="F33" s="372" t="s">
        <v>56</v>
      </c>
      <c r="G33" s="468" t="s">
        <v>246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893</v>
      </c>
      <c r="D34" s="372" t="s">
        <v>1000</v>
      </c>
      <c r="E34" s="372" t="s">
        <v>518</v>
      </c>
      <c r="F34" s="372" t="s">
        <v>56</v>
      </c>
      <c r="G34" s="468" t="s">
        <v>247</v>
      </c>
      <c r="H34" s="474">
        <v>1.2071744078249999E-2</v>
      </c>
      <c r="I34" s="474">
        <v>1</v>
      </c>
    </row>
    <row r="35" spans="2:9" outlineLevel="1">
      <c r="B35" s="372"/>
      <c r="C35" s="385" t="s">
        <v>894</v>
      </c>
      <c r="D35" s="385" t="s">
        <v>1021</v>
      </c>
      <c r="E35" s="385" t="s">
        <v>518</v>
      </c>
      <c r="F35" s="385" t="s">
        <v>56</v>
      </c>
      <c r="G35" s="526" t="s">
        <v>2252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894</v>
      </c>
      <c r="D36" s="372" t="s">
        <v>1021</v>
      </c>
      <c r="E36" s="372" t="s">
        <v>518</v>
      </c>
      <c r="F36" s="372" t="s">
        <v>56</v>
      </c>
      <c r="G36" s="468" t="s">
        <v>543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894</v>
      </c>
      <c r="D37" s="372" t="s">
        <v>1021</v>
      </c>
      <c r="E37" s="372" t="s">
        <v>518</v>
      </c>
      <c r="F37" s="372" t="s">
        <v>56</v>
      </c>
      <c r="G37" s="468" t="s">
        <v>221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894</v>
      </c>
      <c r="D38" s="372" t="s">
        <v>1021</v>
      </c>
      <c r="E38" s="372" t="s">
        <v>518</v>
      </c>
      <c r="F38" s="372" t="s">
        <v>56</v>
      </c>
      <c r="G38" s="468" t="s">
        <v>254</v>
      </c>
      <c r="H38" s="474">
        <v>0.01</v>
      </c>
      <c r="I38" s="474">
        <v>1</v>
      </c>
    </row>
    <row r="39" spans="2:9" outlineLevel="1">
      <c r="B39" s="372"/>
      <c r="C39" s="385" t="s">
        <v>469</v>
      </c>
      <c r="D39" s="385" t="s">
        <v>1049</v>
      </c>
      <c r="E39" s="385" t="s">
        <v>518</v>
      </c>
      <c r="F39" s="385" t="s">
        <v>56</v>
      </c>
      <c r="G39" s="526" t="s">
        <v>2253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469</v>
      </c>
      <c r="D40" s="372" t="s">
        <v>1049</v>
      </c>
      <c r="E40" s="372" t="s">
        <v>518</v>
      </c>
      <c r="F40" s="372" t="s">
        <v>56</v>
      </c>
      <c r="G40" s="468" t="s">
        <v>544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469</v>
      </c>
      <c r="D41" s="372" t="s">
        <v>1049</v>
      </c>
      <c r="E41" s="372" t="s">
        <v>518</v>
      </c>
      <c r="F41" s="372" t="s">
        <v>56</v>
      </c>
      <c r="G41" s="468" t="s">
        <v>545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469</v>
      </c>
      <c r="D42" s="372" t="s">
        <v>1049</v>
      </c>
      <c r="E42" s="372" t="s">
        <v>518</v>
      </c>
      <c r="F42" s="372" t="s">
        <v>56</v>
      </c>
      <c r="G42" s="468" t="s">
        <v>342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469</v>
      </c>
      <c r="D43" s="372" t="s">
        <v>1049</v>
      </c>
      <c r="E43" s="372" t="s">
        <v>518</v>
      </c>
      <c r="F43" s="372" t="s">
        <v>56</v>
      </c>
      <c r="G43" s="468" t="s">
        <v>546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469</v>
      </c>
      <c r="D44" s="372" t="s">
        <v>1049</v>
      </c>
      <c r="E44" s="372" t="s">
        <v>518</v>
      </c>
      <c r="F44" s="372" t="s">
        <v>56</v>
      </c>
      <c r="G44" s="468" t="s">
        <v>547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469</v>
      </c>
      <c r="D45" s="372" t="s">
        <v>1049</v>
      </c>
      <c r="E45" s="372" t="s">
        <v>518</v>
      </c>
      <c r="F45" s="372" t="s">
        <v>56</v>
      </c>
      <c r="G45" s="468" t="s">
        <v>543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469</v>
      </c>
      <c r="D46" s="372" t="s">
        <v>1049</v>
      </c>
      <c r="E46" s="372" t="s">
        <v>518</v>
      </c>
      <c r="F46" s="372" t="s">
        <v>56</v>
      </c>
      <c r="G46" s="468" t="s">
        <v>221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469</v>
      </c>
      <c r="D47" s="372" t="s">
        <v>1049</v>
      </c>
      <c r="E47" s="372" t="s">
        <v>518</v>
      </c>
      <c r="F47" s="372" t="s">
        <v>56</v>
      </c>
      <c r="G47" s="468" t="s">
        <v>2189</v>
      </c>
      <c r="H47" s="474">
        <v>0.4</v>
      </c>
      <c r="I47" s="474">
        <v>1</v>
      </c>
    </row>
    <row r="48" spans="2:9" outlineLevel="1">
      <c r="B48" s="372"/>
      <c r="C48" s="385" t="s">
        <v>897</v>
      </c>
      <c r="D48" s="385" t="s">
        <v>1089</v>
      </c>
      <c r="E48" s="385" t="s">
        <v>518</v>
      </c>
      <c r="F48" s="385" t="s">
        <v>56</v>
      </c>
      <c r="G48" s="526" t="s">
        <v>2239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897</v>
      </c>
      <c r="D49" s="372" t="s">
        <v>1089</v>
      </c>
      <c r="E49" s="372" t="s">
        <v>518</v>
      </c>
      <c r="F49" s="372" t="s">
        <v>56</v>
      </c>
      <c r="G49" s="468" t="s">
        <v>174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897</v>
      </c>
      <c r="D50" s="372" t="s">
        <v>1089</v>
      </c>
      <c r="E50" s="372" t="s">
        <v>518</v>
      </c>
      <c r="F50" s="372" t="s">
        <v>56</v>
      </c>
      <c r="G50" s="468" t="s">
        <v>552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897</v>
      </c>
      <c r="D51" s="372" t="s">
        <v>1089</v>
      </c>
      <c r="E51" s="372" t="s">
        <v>518</v>
      </c>
      <c r="F51" s="372" t="s">
        <v>56</v>
      </c>
      <c r="G51" s="468" t="s">
        <v>553</v>
      </c>
      <c r="H51" s="474">
        <v>1.1911781127994301E-2</v>
      </c>
      <c r="I51" s="474">
        <v>1</v>
      </c>
    </row>
    <row r="52" spans="2:9" outlineLevel="1">
      <c r="B52" s="372"/>
      <c r="C52" s="385" t="s">
        <v>898</v>
      </c>
      <c r="D52" s="385" t="s">
        <v>1099</v>
      </c>
      <c r="E52" s="385" t="s">
        <v>518</v>
      </c>
      <c r="F52" s="385" t="s">
        <v>56</v>
      </c>
      <c r="G52" s="526" t="s">
        <v>2240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898</v>
      </c>
      <c r="D53" s="372" t="s">
        <v>1099</v>
      </c>
      <c r="E53" s="372" t="s">
        <v>518</v>
      </c>
      <c r="F53" s="372" t="s">
        <v>56</v>
      </c>
      <c r="G53" s="468" t="s">
        <v>175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898</v>
      </c>
      <c r="D54" s="372" t="s">
        <v>1099</v>
      </c>
      <c r="E54" s="372" t="s">
        <v>518</v>
      </c>
      <c r="F54" s="372" t="s">
        <v>56</v>
      </c>
      <c r="G54" s="468" t="s">
        <v>174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898</v>
      </c>
      <c r="D55" s="372" t="s">
        <v>1099</v>
      </c>
      <c r="E55" s="372" t="s">
        <v>518</v>
      </c>
      <c r="F55" s="372" t="s">
        <v>56</v>
      </c>
      <c r="G55" s="468" t="s">
        <v>195</v>
      </c>
      <c r="H55" s="474">
        <v>4.5086341500000002E-2</v>
      </c>
      <c r="I55" s="474">
        <v>1</v>
      </c>
    </row>
    <row r="56" spans="2:9" outlineLevel="1">
      <c r="B56" s="372"/>
      <c r="C56" s="385" t="s">
        <v>899</v>
      </c>
      <c r="D56" s="385" t="s">
        <v>1107</v>
      </c>
      <c r="E56" s="385" t="s">
        <v>518</v>
      </c>
      <c r="F56" s="385" t="s">
        <v>56</v>
      </c>
      <c r="G56" s="526" t="s">
        <v>2241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899</v>
      </c>
      <c r="D57" s="372" t="s">
        <v>1107</v>
      </c>
      <c r="E57" s="372" t="s">
        <v>518</v>
      </c>
      <c r="F57" s="372" t="s">
        <v>56</v>
      </c>
      <c r="G57" s="468" t="s">
        <v>2123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899</v>
      </c>
      <c r="D58" s="372" t="s">
        <v>1107</v>
      </c>
      <c r="E58" s="372" t="s">
        <v>518</v>
      </c>
      <c r="F58" s="372" t="s">
        <v>56</v>
      </c>
      <c r="G58" s="468" t="s">
        <v>2124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899</v>
      </c>
      <c r="D59" s="372" t="s">
        <v>1107</v>
      </c>
      <c r="E59" s="372" t="s">
        <v>518</v>
      </c>
      <c r="F59" s="372" t="s">
        <v>56</v>
      </c>
      <c r="G59" s="468" t="s">
        <v>2125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899</v>
      </c>
      <c r="D60" s="372" t="s">
        <v>1107</v>
      </c>
      <c r="E60" s="372" t="s">
        <v>518</v>
      </c>
      <c r="F60" s="372" t="s">
        <v>56</v>
      </c>
      <c r="G60" s="468" t="s">
        <v>2127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899</v>
      </c>
      <c r="D61" s="372" t="s">
        <v>1107</v>
      </c>
      <c r="E61" s="372" t="s">
        <v>518</v>
      </c>
      <c r="F61" s="372" t="s">
        <v>56</v>
      </c>
      <c r="G61" s="468" t="s">
        <v>2129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899</v>
      </c>
      <c r="D62" s="372" t="s">
        <v>1107</v>
      </c>
      <c r="E62" s="372" t="s">
        <v>518</v>
      </c>
      <c r="F62" s="372" t="s">
        <v>56</v>
      </c>
      <c r="G62" s="468" t="s">
        <v>2130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899</v>
      </c>
      <c r="D63" s="372" t="s">
        <v>1107</v>
      </c>
      <c r="E63" s="372" t="s">
        <v>518</v>
      </c>
      <c r="F63" s="372" t="s">
        <v>56</v>
      </c>
      <c r="G63" s="468" t="s">
        <v>2131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899</v>
      </c>
      <c r="D64" s="372" t="s">
        <v>1107</v>
      </c>
      <c r="E64" s="372" t="s">
        <v>518</v>
      </c>
      <c r="F64" s="372" t="s">
        <v>56</v>
      </c>
      <c r="G64" s="468" t="s">
        <v>2133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899</v>
      </c>
      <c r="D65" s="372" t="s">
        <v>1107</v>
      </c>
      <c r="E65" s="372" t="s">
        <v>518</v>
      </c>
      <c r="F65" s="372" t="s">
        <v>56</v>
      </c>
      <c r="G65" s="468" t="s">
        <v>2135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899</v>
      </c>
      <c r="D66" s="372" t="s">
        <v>1107</v>
      </c>
      <c r="E66" s="372" t="s">
        <v>518</v>
      </c>
      <c r="F66" s="372" t="s">
        <v>56</v>
      </c>
      <c r="G66" s="468" t="s">
        <v>2136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899</v>
      </c>
      <c r="D67" s="372" t="s">
        <v>1107</v>
      </c>
      <c r="E67" s="372" t="s">
        <v>518</v>
      </c>
      <c r="F67" s="372" t="s">
        <v>56</v>
      </c>
      <c r="G67" s="468" t="s">
        <v>192</v>
      </c>
      <c r="H67" s="474">
        <v>0.13</v>
      </c>
      <c r="I67" s="474">
        <v>1</v>
      </c>
    </row>
    <row r="68" spans="2:9" outlineLevel="1">
      <c r="B68" s="372"/>
      <c r="C68" s="385" t="s">
        <v>1137</v>
      </c>
      <c r="D68" s="385" t="s">
        <v>956</v>
      </c>
      <c r="E68" s="385" t="s">
        <v>518</v>
      </c>
      <c r="F68" s="385" t="s">
        <v>56</v>
      </c>
      <c r="G68" s="526" t="s">
        <v>2242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1137</v>
      </c>
      <c r="D69" s="372" t="s">
        <v>956</v>
      </c>
      <c r="E69" s="372" t="s">
        <v>518</v>
      </c>
      <c r="F69" s="372" t="s">
        <v>56</v>
      </c>
      <c r="G69" s="468" t="s">
        <v>2142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1137</v>
      </c>
      <c r="D70" s="372" t="s">
        <v>956</v>
      </c>
      <c r="E70" s="372" t="s">
        <v>518</v>
      </c>
      <c r="F70" s="372" t="s">
        <v>56</v>
      </c>
      <c r="G70" s="468" t="s">
        <v>2139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1137</v>
      </c>
      <c r="D71" s="372" t="s">
        <v>956</v>
      </c>
      <c r="E71" s="372" t="s">
        <v>518</v>
      </c>
      <c r="F71" s="372" t="s">
        <v>56</v>
      </c>
      <c r="G71" s="468" t="s">
        <v>2140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1137</v>
      </c>
      <c r="D72" s="372" t="s">
        <v>956</v>
      </c>
      <c r="E72" s="372" t="s">
        <v>518</v>
      </c>
      <c r="F72" s="372" t="s">
        <v>56</v>
      </c>
      <c r="G72" s="468" t="s">
        <v>2141</v>
      </c>
      <c r="H72" s="474">
        <v>0.11799571852507491</v>
      </c>
      <c r="I72" s="474">
        <v>1</v>
      </c>
    </row>
    <row r="73" spans="2:9" outlineLevel="1">
      <c r="B73" s="372"/>
      <c r="C73" s="385" t="s">
        <v>1299</v>
      </c>
      <c r="D73" s="385" t="s">
        <v>1300</v>
      </c>
      <c r="E73" s="385" t="s">
        <v>518</v>
      </c>
      <c r="F73" s="385" t="s">
        <v>56</v>
      </c>
      <c r="G73" s="526" t="s">
        <v>2243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1299</v>
      </c>
      <c r="D74" s="372" t="s">
        <v>1300</v>
      </c>
      <c r="E74" s="372" t="s">
        <v>518</v>
      </c>
      <c r="F74" s="372" t="s">
        <v>56</v>
      </c>
      <c r="G74" s="468" t="s">
        <v>206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1299</v>
      </c>
      <c r="D75" s="372" t="s">
        <v>1300</v>
      </c>
      <c r="E75" s="372" t="s">
        <v>518</v>
      </c>
      <c r="F75" s="372" t="s">
        <v>56</v>
      </c>
      <c r="G75" s="468" t="s">
        <v>199</v>
      </c>
      <c r="H75" s="474">
        <v>1.8616556913301652</v>
      </c>
      <c r="I75" s="474">
        <v>1</v>
      </c>
    </row>
    <row r="76" spans="2:9" outlineLevel="1">
      <c r="B76" s="372"/>
      <c r="C76" s="372" t="s">
        <v>1281</v>
      </c>
      <c r="D76" s="372" t="s">
        <v>1282</v>
      </c>
      <c r="E76" s="372" t="s">
        <v>518</v>
      </c>
      <c r="F76" s="372" t="s">
        <v>56</v>
      </c>
      <c r="G76" s="526" t="s">
        <v>2333</v>
      </c>
      <c r="H76" s="474">
        <v>0</v>
      </c>
      <c r="I76" s="474">
        <v>0</v>
      </c>
    </row>
    <row r="77" spans="2:9" outlineLevel="1">
      <c r="B77" s="372"/>
      <c r="C77" s="385" t="s">
        <v>901</v>
      </c>
      <c r="D77" s="385" t="s">
        <v>1089</v>
      </c>
      <c r="E77" s="385" t="s">
        <v>518</v>
      </c>
      <c r="F77" s="385" t="s">
        <v>56</v>
      </c>
      <c r="G77" s="526" t="s">
        <v>2244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901</v>
      </c>
      <c r="D78" s="372" t="s">
        <v>1089</v>
      </c>
      <c r="E78" s="372" t="s">
        <v>518</v>
      </c>
      <c r="F78" s="372" t="s">
        <v>56</v>
      </c>
      <c r="G78" s="468" t="s">
        <v>209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901</v>
      </c>
      <c r="D79" s="372" t="s">
        <v>1089</v>
      </c>
      <c r="E79" s="372" t="s">
        <v>518</v>
      </c>
      <c r="F79" s="372" t="s">
        <v>56</v>
      </c>
      <c r="G79" s="468" t="s">
        <v>217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901</v>
      </c>
      <c r="D80" s="372" t="s">
        <v>1089</v>
      </c>
      <c r="E80" s="372" t="s">
        <v>518</v>
      </c>
      <c r="F80" s="372" t="s">
        <v>56</v>
      </c>
      <c r="G80" s="468" t="s">
        <v>174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901</v>
      </c>
      <c r="D81" s="372" t="s">
        <v>1089</v>
      </c>
      <c r="E81" s="372" t="s">
        <v>518</v>
      </c>
      <c r="F81" s="372" t="s">
        <v>56</v>
      </c>
      <c r="G81" s="468" t="s">
        <v>195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901</v>
      </c>
      <c r="D82" s="372" t="s">
        <v>1089</v>
      </c>
      <c r="E82" s="372" t="s">
        <v>518</v>
      </c>
      <c r="F82" s="372" t="s">
        <v>56</v>
      </c>
      <c r="G82" s="468" t="s">
        <v>2154</v>
      </c>
      <c r="H82" s="474">
        <v>7.0000000000000007E-2</v>
      </c>
      <c r="I82" s="474">
        <v>1</v>
      </c>
    </row>
    <row r="83" spans="2:9" outlineLevel="1">
      <c r="B83" s="372"/>
      <c r="C83" s="385" t="s">
        <v>162</v>
      </c>
      <c r="D83" s="385" t="s">
        <v>162</v>
      </c>
      <c r="E83" s="385" t="s">
        <v>518</v>
      </c>
      <c r="F83" s="385" t="s">
        <v>56</v>
      </c>
      <c r="G83" s="526" t="s">
        <v>2270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162</v>
      </c>
      <c r="D84" s="372" t="s">
        <v>162</v>
      </c>
      <c r="E84" s="372" t="s">
        <v>518</v>
      </c>
      <c r="F84" s="372" t="s">
        <v>56</v>
      </c>
      <c r="G84" s="468" t="s">
        <v>543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162</v>
      </c>
      <c r="D85" s="372" t="s">
        <v>162</v>
      </c>
      <c r="E85" s="372" t="s">
        <v>518</v>
      </c>
      <c r="F85" s="372" t="s">
        <v>56</v>
      </c>
      <c r="G85" s="468" t="s">
        <v>221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162</v>
      </c>
      <c r="D86" s="372" t="s">
        <v>162</v>
      </c>
      <c r="E86" s="372" t="s">
        <v>518</v>
      </c>
      <c r="F86" s="372" t="s">
        <v>56</v>
      </c>
      <c r="G86" s="468" t="s">
        <v>245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162</v>
      </c>
      <c r="D87" s="372" t="s">
        <v>162</v>
      </c>
      <c r="E87" s="372" t="s">
        <v>518</v>
      </c>
      <c r="F87" s="372" t="s">
        <v>56</v>
      </c>
      <c r="G87" s="468" t="s">
        <v>254</v>
      </c>
      <c r="H87" s="474">
        <v>0.06</v>
      </c>
      <c r="I87" s="474">
        <v>1</v>
      </c>
    </row>
    <row r="88" spans="2:9" outlineLevel="1">
      <c r="B88" s="372"/>
      <c r="C88" s="385" t="s">
        <v>1175</v>
      </c>
      <c r="D88" s="385" t="s">
        <v>1018</v>
      </c>
      <c r="E88" s="385" t="s">
        <v>518</v>
      </c>
      <c r="F88" s="385" t="s">
        <v>56</v>
      </c>
      <c r="G88" s="526" t="s">
        <v>2334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1175</v>
      </c>
      <c r="D89" s="372" t="s">
        <v>1018</v>
      </c>
      <c r="E89" s="372" t="s">
        <v>518</v>
      </c>
      <c r="F89" s="372" t="s">
        <v>56</v>
      </c>
      <c r="G89" s="468" t="s">
        <v>1167</v>
      </c>
      <c r="H89" s="474">
        <v>0.03</v>
      </c>
      <c r="I89" s="474">
        <v>1</v>
      </c>
    </row>
    <row r="90" spans="2:9" outlineLevel="1">
      <c r="B90" s="372"/>
      <c r="C90" s="385" t="s">
        <v>252</v>
      </c>
      <c r="D90" s="385" t="s">
        <v>252</v>
      </c>
      <c r="E90" s="385" t="s">
        <v>518</v>
      </c>
      <c r="F90" s="385" t="s">
        <v>56</v>
      </c>
      <c r="G90" s="526" t="s">
        <v>2271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252</v>
      </c>
      <c r="D91" s="372" t="s">
        <v>252</v>
      </c>
      <c r="E91" s="372" t="s">
        <v>518</v>
      </c>
      <c r="F91" s="372" t="s">
        <v>56</v>
      </c>
      <c r="G91" s="468" t="s">
        <v>2172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252</v>
      </c>
      <c r="D92" s="372" t="s">
        <v>252</v>
      </c>
      <c r="E92" s="372" t="s">
        <v>518</v>
      </c>
      <c r="F92" s="372" t="s">
        <v>56</v>
      </c>
      <c r="G92" s="468" t="s">
        <v>1182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252</v>
      </c>
      <c r="D93" s="372" t="s">
        <v>252</v>
      </c>
      <c r="E93" s="372" t="s">
        <v>518</v>
      </c>
      <c r="F93" s="372" t="s">
        <v>56</v>
      </c>
      <c r="G93" s="468" t="s">
        <v>1188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252</v>
      </c>
      <c r="D94" s="372" t="s">
        <v>252</v>
      </c>
      <c r="E94" s="372" t="s">
        <v>518</v>
      </c>
      <c r="F94" s="372" t="s">
        <v>56</v>
      </c>
      <c r="G94" s="468" t="s">
        <v>1190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252</v>
      </c>
      <c r="D95" s="372" t="s">
        <v>252</v>
      </c>
      <c r="E95" s="372" t="s">
        <v>518</v>
      </c>
      <c r="F95" s="372" t="s">
        <v>56</v>
      </c>
      <c r="G95" s="468" t="s">
        <v>1191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252</v>
      </c>
      <c r="D96" s="372" t="s">
        <v>252</v>
      </c>
      <c r="E96" s="372" t="s">
        <v>518</v>
      </c>
      <c r="F96" s="372" t="s">
        <v>56</v>
      </c>
      <c r="G96" s="468" t="s">
        <v>1193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252</v>
      </c>
      <c r="D97" s="372" t="s">
        <v>252</v>
      </c>
      <c r="E97" s="372" t="s">
        <v>518</v>
      </c>
      <c r="F97" s="372" t="s">
        <v>56</v>
      </c>
      <c r="G97" s="468" t="s">
        <v>1194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252</v>
      </c>
      <c r="D98" s="372" t="s">
        <v>252</v>
      </c>
      <c r="E98" s="372" t="s">
        <v>518</v>
      </c>
      <c r="F98" s="372" t="s">
        <v>56</v>
      </c>
      <c r="G98" s="468" t="s">
        <v>1196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252</v>
      </c>
      <c r="D99" s="372" t="s">
        <v>252</v>
      </c>
      <c r="E99" s="372" t="s">
        <v>518</v>
      </c>
      <c r="F99" s="372" t="s">
        <v>56</v>
      </c>
      <c r="G99" s="468" t="s">
        <v>1197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252</v>
      </c>
      <c r="D100" s="372" t="s">
        <v>252</v>
      </c>
      <c r="E100" s="372" t="s">
        <v>518</v>
      </c>
      <c r="F100" s="372" t="s">
        <v>56</v>
      </c>
      <c r="G100" s="468" t="s">
        <v>1199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252</v>
      </c>
      <c r="D101" s="372" t="s">
        <v>252</v>
      </c>
      <c r="E101" s="372" t="s">
        <v>518</v>
      </c>
      <c r="F101" s="372" t="s">
        <v>56</v>
      </c>
      <c r="G101" s="468" t="s">
        <v>1200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252</v>
      </c>
      <c r="D102" s="372" t="s">
        <v>252</v>
      </c>
      <c r="E102" s="372" t="s">
        <v>518</v>
      </c>
      <c r="F102" s="372" t="s">
        <v>56</v>
      </c>
      <c r="G102" s="468" t="s">
        <v>2335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252</v>
      </c>
      <c r="D103" s="372" t="s">
        <v>252</v>
      </c>
      <c r="E103" s="372" t="s">
        <v>518</v>
      </c>
      <c r="F103" s="372" t="s">
        <v>56</v>
      </c>
      <c r="G103" s="468" t="s">
        <v>1203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252</v>
      </c>
      <c r="D104" s="372" t="s">
        <v>252</v>
      </c>
      <c r="E104" s="372" t="s">
        <v>518</v>
      </c>
      <c r="F104" s="372" t="s">
        <v>56</v>
      </c>
      <c r="G104" s="468" t="s">
        <v>1204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252</v>
      </c>
      <c r="D105" s="372" t="s">
        <v>252</v>
      </c>
      <c r="E105" s="372" t="s">
        <v>518</v>
      </c>
      <c r="F105" s="372" t="s">
        <v>56</v>
      </c>
      <c r="G105" s="468" t="s">
        <v>1205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252</v>
      </c>
      <c r="D106" s="372" t="s">
        <v>252</v>
      </c>
      <c r="E106" s="372" t="s">
        <v>518</v>
      </c>
      <c r="F106" s="372" t="s">
        <v>56</v>
      </c>
      <c r="G106" s="468" t="s">
        <v>1206</v>
      </c>
      <c r="H106" s="474">
        <v>2.5612785000000002E-2</v>
      </c>
      <c r="I106" s="474">
        <v>1</v>
      </c>
    </row>
    <row r="107" spans="2:9" outlineLevel="1">
      <c r="B107" s="372"/>
      <c r="C107" s="385" t="s">
        <v>903</v>
      </c>
      <c r="D107" s="385" t="s">
        <v>903</v>
      </c>
      <c r="E107" s="385" t="s">
        <v>518</v>
      </c>
      <c r="F107" s="385" t="s">
        <v>56</v>
      </c>
      <c r="G107" s="526" t="s">
        <v>2272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903</v>
      </c>
      <c r="D108" s="372" t="s">
        <v>903</v>
      </c>
      <c r="E108" s="372" t="s">
        <v>518</v>
      </c>
      <c r="F108" s="372" t="s">
        <v>56</v>
      </c>
      <c r="G108" s="468" t="s">
        <v>273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903</v>
      </c>
      <c r="D109" s="372" t="s">
        <v>903</v>
      </c>
      <c r="E109" s="372" t="s">
        <v>518</v>
      </c>
      <c r="F109" s="372" t="s">
        <v>56</v>
      </c>
      <c r="G109" s="468" t="s">
        <v>246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903</v>
      </c>
      <c r="D110" s="372" t="s">
        <v>903</v>
      </c>
      <c r="E110" s="372" t="s">
        <v>518</v>
      </c>
      <c r="F110" s="372" t="s">
        <v>56</v>
      </c>
      <c r="G110" s="468" t="s">
        <v>247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903</v>
      </c>
      <c r="D111" s="372" t="s">
        <v>903</v>
      </c>
      <c r="E111" s="372" t="s">
        <v>518</v>
      </c>
      <c r="F111" s="372" t="s">
        <v>56</v>
      </c>
      <c r="G111" s="468" t="s">
        <v>243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903</v>
      </c>
      <c r="D112" s="372" t="s">
        <v>903</v>
      </c>
      <c r="E112" s="372" t="s">
        <v>518</v>
      </c>
      <c r="F112" s="372" t="s">
        <v>56</v>
      </c>
      <c r="G112" s="468" t="s">
        <v>245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903</v>
      </c>
      <c r="D113" s="372" t="s">
        <v>903</v>
      </c>
      <c r="E113" s="372" t="s">
        <v>518</v>
      </c>
      <c r="F113" s="372" t="s">
        <v>56</v>
      </c>
      <c r="G113" s="468" t="s">
        <v>551</v>
      </c>
      <c r="H113" s="474">
        <v>7.4255085000000005E-3</v>
      </c>
      <c r="I113" s="474">
        <v>1</v>
      </c>
    </row>
    <row r="114" spans="2:9" outlineLevel="1">
      <c r="B114" s="372"/>
      <c r="C114" s="385" t="s">
        <v>502</v>
      </c>
      <c r="D114" s="385" t="s">
        <v>502</v>
      </c>
      <c r="E114" s="385" t="s">
        <v>518</v>
      </c>
      <c r="F114" s="385" t="s">
        <v>56</v>
      </c>
      <c r="G114" s="526" t="s">
        <v>2273</v>
      </c>
      <c r="H114" s="535">
        <v>0</v>
      </c>
      <c r="I114" s="535">
        <v>0</v>
      </c>
    </row>
    <row r="115" spans="2:9" outlineLevel="1">
      <c r="B115" s="372"/>
      <c r="C115" s="385" t="s">
        <v>414</v>
      </c>
      <c r="D115" s="385" t="s">
        <v>414</v>
      </c>
      <c r="E115" s="385" t="s">
        <v>518</v>
      </c>
      <c r="F115" s="385" t="s">
        <v>56</v>
      </c>
      <c r="G115" s="526" t="s">
        <v>2279</v>
      </c>
      <c r="H115" s="535">
        <v>0</v>
      </c>
      <c r="I115" s="535">
        <v>0</v>
      </c>
    </row>
    <row r="116" spans="2:9" outlineLevel="1">
      <c r="B116" s="372"/>
      <c r="C116" s="385" t="s">
        <v>612</v>
      </c>
      <c r="D116" s="385" t="s">
        <v>612</v>
      </c>
      <c r="E116" s="385" t="s">
        <v>518</v>
      </c>
      <c r="F116" s="385" t="s">
        <v>56</v>
      </c>
      <c r="G116" s="526" t="s">
        <v>2282</v>
      </c>
      <c r="H116" s="535">
        <v>0</v>
      </c>
      <c r="I116" s="535">
        <v>0</v>
      </c>
    </row>
    <row r="117" spans="2:9" outlineLevel="1">
      <c r="B117" s="372"/>
      <c r="C117" s="385" t="s">
        <v>225</v>
      </c>
      <c r="D117" s="385" t="s">
        <v>1241</v>
      </c>
      <c r="E117" s="385" t="s">
        <v>518</v>
      </c>
      <c r="F117" s="385" t="s">
        <v>56</v>
      </c>
      <c r="G117" s="526" t="s">
        <v>2245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225</v>
      </c>
      <c r="D118" s="372" t="s">
        <v>1241</v>
      </c>
      <c r="E118" s="372" t="s">
        <v>518</v>
      </c>
      <c r="F118" s="372" t="s">
        <v>56</v>
      </c>
      <c r="G118" s="468" t="s">
        <v>36</v>
      </c>
      <c r="H118" s="474">
        <v>1.9200000000000002E-2</v>
      </c>
      <c r="I118" s="474">
        <v>1</v>
      </c>
    </row>
    <row r="119" spans="2:9" outlineLevel="1">
      <c r="B119" s="372"/>
      <c r="C119" s="385" t="s">
        <v>229</v>
      </c>
      <c r="D119" s="385" t="s">
        <v>1245</v>
      </c>
      <c r="E119" s="385" t="s">
        <v>518</v>
      </c>
      <c r="F119" s="385" t="s">
        <v>56</v>
      </c>
      <c r="G119" s="526" t="s">
        <v>2246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229</v>
      </c>
      <c r="D120" s="372" t="s">
        <v>1245</v>
      </c>
      <c r="E120" s="372" t="s">
        <v>518</v>
      </c>
      <c r="F120" s="372" t="s">
        <v>56</v>
      </c>
      <c r="G120" s="468" t="s">
        <v>1238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229</v>
      </c>
      <c r="D121" s="372" t="s">
        <v>1245</v>
      </c>
      <c r="E121" s="372" t="s">
        <v>518</v>
      </c>
      <c r="F121" s="372" t="s">
        <v>56</v>
      </c>
      <c r="G121" s="468" t="s">
        <v>1239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229</v>
      </c>
      <c r="D122" s="372" t="s">
        <v>1245</v>
      </c>
      <c r="E122" s="372" t="s">
        <v>518</v>
      </c>
      <c r="F122" s="372" t="s">
        <v>56</v>
      </c>
      <c r="G122" s="468" t="s">
        <v>1246</v>
      </c>
      <c r="H122" s="474">
        <v>1.4856000000000001E-2</v>
      </c>
      <c r="I122" s="474">
        <v>1</v>
      </c>
    </row>
    <row r="123" spans="2:9" outlineLevel="1">
      <c r="B123" s="372"/>
      <c r="C123" s="385" t="s">
        <v>498</v>
      </c>
      <c r="D123" s="385" t="s">
        <v>1258</v>
      </c>
      <c r="E123" s="385" t="s">
        <v>518</v>
      </c>
      <c r="F123" s="385" t="s">
        <v>56</v>
      </c>
      <c r="G123" s="526" t="s">
        <v>2247</v>
      </c>
      <c r="H123" s="535">
        <v>0</v>
      </c>
      <c r="I123" s="535">
        <v>0</v>
      </c>
    </row>
    <row r="124" spans="2:9" outlineLevel="1">
      <c r="B124" s="372"/>
      <c r="C124" s="385" t="s">
        <v>1392</v>
      </c>
      <c r="D124" s="385" t="s">
        <v>1392</v>
      </c>
      <c r="E124" s="385" t="s">
        <v>518</v>
      </c>
      <c r="F124" s="385" t="s">
        <v>56</v>
      </c>
      <c r="G124" s="526" t="s">
        <v>2336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1392</v>
      </c>
      <c r="D125" s="372" t="s">
        <v>1392</v>
      </c>
      <c r="E125" s="372" t="s">
        <v>518</v>
      </c>
      <c r="F125" s="372" t="s">
        <v>56</v>
      </c>
      <c r="G125" s="468" t="s">
        <v>36</v>
      </c>
      <c r="H125" s="474"/>
      <c r="I125" s="474">
        <v>1</v>
      </c>
    </row>
    <row r="126" spans="2:9" outlineLevel="1">
      <c r="B126" s="372"/>
      <c r="C126" s="385" t="s">
        <v>497</v>
      </c>
      <c r="D126" s="385" t="s">
        <v>1394</v>
      </c>
      <c r="E126" s="385" t="s">
        <v>518</v>
      </c>
      <c r="F126" s="385" t="s">
        <v>56</v>
      </c>
      <c r="G126" s="526" t="s">
        <v>2264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497</v>
      </c>
      <c r="D127" s="372" t="s">
        <v>1394</v>
      </c>
      <c r="E127" s="372" t="s">
        <v>518</v>
      </c>
      <c r="F127" s="372" t="s">
        <v>56</v>
      </c>
      <c r="G127" s="468" t="s">
        <v>36</v>
      </c>
      <c r="H127" s="474">
        <v>0.19</v>
      </c>
      <c r="I127" s="474">
        <v>1</v>
      </c>
    </row>
    <row r="128" spans="2:9" outlineLevel="1">
      <c r="B128" s="372"/>
      <c r="C128" s="385" t="s">
        <v>902</v>
      </c>
      <c r="D128" s="385" t="s">
        <v>1018</v>
      </c>
      <c r="E128" s="385" t="s">
        <v>518</v>
      </c>
      <c r="F128" s="385" t="s">
        <v>56</v>
      </c>
      <c r="G128" s="526" t="s">
        <v>2248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902</v>
      </c>
      <c r="D129" s="372" t="s">
        <v>1018</v>
      </c>
      <c r="E129" s="372" t="s">
        <v>518</v>
      </c>
      <c r="F129" s="372" t="s">
        <v>56</v>
      </c>
      <c r="G129" s="468" t="s">
        <v>206</v>
      </c>
      <c r="H129" s="474">
        <v>0.17172000000000001</v>
      </c>
      <c r="I129" s="474">
        <v>1</v>
      </c>
    </row>
    <row r="130" spans="2:9" outlineLevel="1">
      <c r="B130" s="372"/>
      <c r="C130" s="385" t="s">
        <v>1290</v>
      </c>
      <c r="D130" s="385" t="s">
        <v>969</v>
      </c>
      <c r="E130" s="385" t="s">
        <v>518</v>
      </c>
      <c r="F130" s="385" t="s">
        <v>56</v>
      </c>
      <c r="G130" s="526" t="s">
        <v>2265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1290</v>
      </c>
      <c r="D131" s="372" t="s">
        <v>969</v>
      </c>
      <c r="E131" s="372" t="s">
        <v>518</v>
      </c>
      <c r="F131" s="372" t="s">
        <v>56</v>
      </c>
      <c r="G131" s="468" t="s">
        <v>206</v>
      </c>
      <c r="H131" s="474">
        <v>7.8635040000000003E-2</v>
      </c>
      <c r="I131" s="474">
        <v>1</v>
      </c>
    </row>
    <row r="132" spans="2:9" outlineLevel="1">
      <c r="B132" s="372"/>
      <c r="C132" s="385" t="s">
        <v>1310</v>
      </c>
      <c r="D132" s="385" t="s">
        <v>1310</v>
      </c>
      <c r="E132" s="385" t="s">
        <v>518</v>
      </c>
      <c r="F132" s="385" t="s">
        <v>56</v>
      </c>
      <c r="G132" s="526" t="s">
        <v>2249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1310</v>
      </c>
      <c r="D133" s="372" t="s">
        <v>1310</v>
      </c>
      <c r="E133" s="372" t="s">
        <v>518</v>
      </c>
      <c r="F133" s="372" t="s">
        <v>56</v>
      </c>
      <c r="G133" s="468" t="s">
        <v>206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1310</v>
      </c>
      <c r="D134" s="372" t="s">
        <v>1310</v>
      </c>
      <c r="E134" s="372" t="s">
        <v>518</v>
      </c>
      <c r="F134" s="372" t="s">
        <v>56</v>
      </c>
      <c r="G134" s="468" t="s">
        <v>209</v>
      </c>
      <c r="H134" s="474">
        <v>0.5061076000000001</v>
      </c>
      <c r="I134" s="474">
        <v>1</v>
      </c>
    </row>
    <row r="135" spans="2:9" outlineLevel="1">
      <c r="B135" s="372"/>
      <c r="C135" s="385" t="s">
        <v>1321</v>
      </c>
      <c r="D135" s="385" t="s">
        <v>1321</v>
      </c>
      <c r="E135" s="385" t="s">
        <v>518</v>
      </c>
      <c r="F135" s="385" t="s">
        <v>56</v>
      </c>
      <c r="G135" s="526" t="s">
        <v>2268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1321</v>
      </c>
      <c r="D136" s="372" t="s">
        <v>1321</v>
      </c>
      <c r="E136" s="372" t="s">
        <v>518</v>
      </c>
      <c r="F136" s="372" t="s">
        <v>56</v>
      </c>
      <c r="G136" s="468" t="s">
        <v>206</v>
      </c>
      <c r="H136" s="474">
        <v>1.5621756360000001</v>
      </c>
      <c r="I136" s="474">
        <v>1</v>
      </c>
    </row>
    <row r="137" spans="2:9" outlineLevel="1">
      <c r="B137" s="372"/>
      <c r="C137" s="385" t="s">
        <v>1330</v>
      </c>
      <c r="D137" s="385" t="s">
        <v>1330</v>
      </c>
      <c r="E137" s="385" t="s">
        <v>518</v>
      </c>
      <c r="F137" s="385" t="s">
        <v>56</v>
      </c>
      <c r="G137" s="526" t="s">
        <v>2266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1330</v>
      </c>
      <c r="D138" s="372" t="s">
        <v>1330</v>
      </c>
      <c r="E138" s="372" t="s">
        <v>518</v>
      </c>
      <c r="F138" s="372" t="s">
        <v>56</v>
      </c>
      <c r="G138" s="468" t="s">
        <v>206</v>
      </c>
      <c r="H138" s="474">
        <v>0.52072521199999999</v>
      </c>
      <c r="I138" s="474">
        <v>1</v>
      </c>
    </row>
    <row r="139" spans="2:9" outlineLevel="1">
      <c r="B139" s="372"/>
      <c r="C139" s="385" t="s">
        <v>1273</v>
      </c>
      <c r="D139" s="385" t="s">
        <v>1273</v>
      </c>
      <c r="E139" s="385" t="s">
        <v>518</v>
      </c>
      <c r="F139" s="385" t="s">
        <v>56</v>
      </c>
      <c r="G139" s="526" t="s">
        <v>2267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1273</v>
      </c>
      <c r="D140" s="372" t="s">
        <v>1273</v>
      </c>
      <c r="E140" s="372" t="s">
        <v>518</v>
      </c>
      <c r="F140" s="372" t="s">
        <v>56</v>
      </c>
      <c r="G140" s="468" t="s">
        <v>206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1273</v>
      </c>
      <c r="D141" s="372" t="s">
        <v>1273</v>
      </c>
      <c r="E141" s="372" t="s">
        <v>518</v>
      </c>
      <c r="F141" s="372" t="s">
        <v>56</v>
      </c>
      <c r="G141" s="468" t="s">
        <v>199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1273</v>
      </c>
      <c r="D142" s="372" t="s">
        <v>1273</v>
      </c>
      <c r="E142" s="372" t="s">
        <v>518</v>
      </c>
      <c r="F142" s="372" t="s">
        <v>56</v>
      </c>
      <c r="G142" s="468" t="s">
        <v>608</v>
      </c>
      <c r="H142" s="474">
        <v>0.1431</v>
      </c>
      <c r="I142" s="474">
        <v>1</v>
      </c>
    </row>
    <row r="143" spans="2:9" outlineLevel="1">
      <c r="B143" s="372"/>
      <c r="C143" s="385" t="s">
        <v>1347</v>
      </c>
      <c r="D143" s="385" t="s">
        <v>1089</v>
      </c>
      <c r="E143" s="385" t="s">
        <v>518</v>
      </c>
      <c r="F143" s="385" t="s">
        <v>56</v>
      </c>
      <c r="G143" s="526" t="s">
        <v>2274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1347</v>
      </c>
      <c r="D144" s="372" t="s">
        <v>1089</v>
      </c>
      <c r="E144" s="372" t="s">
        <v>518</v>
      </c>
      <c r="F144" s="372" t="s">
        <v>56</v>
      </c>
      <c r="G144" s="468" t="s">
        <v>206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1347</v>
      </c>
      <c r="D145" s="372" t="s">
        <v>1089</v>
      </c>
      <c r="E145" s="372" t="s">
        <v>518</v>
      </c>
      <c r="F145" s="372" t="s">
        <v>56</v>
      </c>
      <c r="G145" s="468" t="s">
        <v>608</v>
      </c>
      <c r="H145" s="474">
        <v>0.36252000000000001</v>
      </c>
      <c r="I145" s="474">
        <v>1</v>
      </c>
    </row>
    <row r="146" spans="2:9" outlineLevel="1">
      <c r="B146" s="372"/>
      <c r="C146" s="385" t="s">
        <v>2219</v>
      </c>
      <c r="D146" s="385" t="s">
        <v>1089</v>
      </c>
      <c r="E146" s="385" t="s">
        <v>518</v>
      </c>
      <c r="F146" s="385" t="s">
        <v>56</v>
      </c>
      <c r="G146" s="526" t="s">
        <v>2275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2219</v>
      </c>
      <c r="D147" s="372" t="s">
        <v>1089</v>
      </c>
      <c r="E147" s="372" t="s">
        <v>518</v>
      </c>
      <c r="F147" s="372" t="s">
        <v>56</v>
      </c>
      <c r="G147" s="468" t="s">
        <v>206</v>
      </c>
      <c r="H147" s="474">
        <v>0.20033977216751808</v>
      </c>
      <c r="I147" s="474">
        <v>1</v>
      </c>
    </row>
    <row r="148" spans="2:9" outlineLevel="1">
      <c r="B148" s="372"/>
      <c r="C148" s="385" t="s">
        <v>609</v>
      </c>
      <c r="D148" s="385" t="s">
        <v>1089</v>
      </c>
      <c r="E148" s="385" t="s">
        <v>518</v>
      </c>
      <c r="F148" s="385" t="s">
        <v>56</v>
      </c>
      <c r="G148" s="526" t="s">
        <v>2276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609</v>
      </c>
      <c r="D149" s="372" t="s">
        <v>1089</v>
      </c>
      <c r="E149" s="372" t="s">
        <v>518</v>
      </c>
      <c r="F149" s="372" t="s">
        <v>56</v>
      </c>
      <c r="G149" s="468" t="s">
        <v>206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609</v>
      </c>
      <c r="D150" s="372" t="s">
        <v>1089</v>
      </c>
      <c r="E150" s="372" t="s">
        <v>518</v>
      </c>
      <c r="F150" s="372" t="s">
        <v>56</v>
      </c>
      <c r="G150" s="468" t="s">
        <v>199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609</v>
      </c>
      <c r="D151" s="372" t="s">
        <v>1089</v>
      </c>
      <c r="E151" s="372" t="s">
        <v>518</v>
      </c>
      <c r="F151" s="372" t="s">
        <v>56</v>
      </c>
      <c r="G151" s="468" t="s">
        <v>608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609</v>
      </c>
      <c r="D152" s="372" t="s">
        <v>1089</v>
      </c>
      <c r="E152" s="372" t="s">
        <v>518</v>
      </c>
      <c r="F152" s="372" t="s">
        <v>56</v>
      </c>
      <c r="G152" s="468" t="s">
        <v>2224</v>
      </c>
      <c r="H152" s="474">
        <v>5.8370968240200008E-2</v>
      </c>
      <c r="I152" s="474">
        <v>1</v>
      </c>
    </row>
    <row r="153" spans="2:9" outlineLevel="1">
      <c r="B153" s="372"/>
      <c r="C153" s="385" t="s">
        <v>285</v>
      </c>
      <c r="D153" s="385" t="s">
        <v>1089</v>
      </c>
      <c r="E153" s="385" t="s">
        <v>518</v>
      </c>
      <c r="F153" s="385" t="s">
        <v>56</v>
      </c>
      <c r="G153" s="526" t="s">
        <v>2277</v>
      </c>
      <c r="H153" s="535">
        <v>0</v>
      </c>
      <c r="I153" s="535">
        <v>0</v>
      </c>
    </row>
    <row r="154" spans="2:9" outlineLevel="1">
      <c r="B154" s="372"/>
      <c r="C154" s="385" t="s">
        <v>916</v>
      </c>
      <c r="D154" s="385" t="s">
        <v>916</v>
      </c>
      <c r="E154" s="385" t="s">
        <v>518</v>
      </c>
      <c r="F154" s="385" t="s">
        <v>56</v>
      </c>
      <c r="G154" s="526" t="s">
        <v>2278</v>
      </c>
      <c r="H154" s="535">
        <v>0</v>
      </c>
      <c r="I154" s="535">
        <v>0</v>
      </c>
    </row>
    <row r="155" spans="2:9" outlineLevel="1">
      <c r="B155" s="372"/>
      <c r="C155" s="385" t="s">
        <v>1388</v>
      </c>
      <c r="D155" s="385" t="s">
        <v>1388</v>
      </c>
      <c r="E155" s="385" t="s">
        <v>518</v>
      </c>
      <c r="F155" s="385" t="s">
        <v>56</v>
      </c>
      <c r="G155" s="526" t="s">
        <v>2254</v>
      </c>
      <c r="H155" s="535">
        <v>0</v>
      </c>
      <c r="I155" s="535">
        <v>0</v>
      </c>
    </row>
    <row r="156" spans="2:9" outlineLevel="1">
      <c r="B156" s="372"/>
      <c r="C156" s="385" t="s">
        <v>918</v>
      </c>
      <c r="D156" s="385" t="s">
        <v>1250</v>
      </c>
      <c r="E156" s="385" t="s">
        <v>518</v>
      </c>
      <c r="F156" s="385" t="s">
        <v>56</v>
      </c>
      <c r="G156" s="526" t="s">
        <v>2289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918</v>
      </c>
      <c r="D157" s="372" t="s">
        <v>1250</v>
      </c>
      <c r="E157" s="372" t="s">
        <v>518</v>
      </c>
      <c r="F157" s="372" t="s">
        <v>56</v>
      </c>
      <c r="G157" s="468" t="s">
        <v>1255</v>
      </c>
      <c r="H157" s="474">
        <v>8.0000000000000004E-4</v>
      </c>
      <c r="I157" s="474">
        <v>1</v>
      </c>
    </row>
    <row r="158" spans="2:9" outlineLevel="1">
      <c r="B158" s="372"/>
      <c r="C158" s="385" t="s">
        <v>1400</v>
      </c>
      <c r="D158" s="385" t="s">
        <v>1400</v>
      </c>
      <c r="E158" s="385" t="s">
        <v>518</v>
      </c>
      <c r="F158" s="385" t="s">
        <v>56</v>
      </c>
      <c r="G158" s="526" t="s">
        <v>2291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1400</v>
      </c>
      <c r="D159" s="372" t="s">
        <v>1400</v>
      </c>
      <c r="E159" s="372" t="s">
        <v>518</v>
      </c>
      <c r="F159" s="372" t="s">
        <v>56</v>
      </c>
      <c r="G159" s="468" t="s">
        <v>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369</v>
      </c>
      <c r="D160" s="385" t="s">
        <v>843</v>
      </c>
      <c r="E160" s="385" t="s">
        <v>518</v>
      </c>
      <c r="F160" s="385" t="s">
        <v>56</v>
      </c>
      <c r="G160" s="526" t="s">
        <v>2269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369</v>
      </c>
      <c r="D161" s="372" t="s">
        <v>843</v>
      </c>
      <c r="E161" s="372" t="s">
        <v>518</v>
      </c>
      <c r="F161" s="372" t="s">
        <v>56</v>
      </c>
      <c r="G161" s="468" t="s">
        <v>370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369</v>
      </c>
      <c r="D162" s="372" t="s">
        <v>843</v>
      </c>
      <c r="E162" s="372" t="s">
        <v>518</v>
      </c>
      <c r="F162" s="372" t="s">
        <v>56</v>
      </c>
      <c r="G162" s="468" t="s">
        <v>230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2238</v>
      </c>
      <c r="D2" s="418"/>
      <c r="E2" s="418"/>
      <c r="F2" s="418"/>
      <c r="G2" s="469"/>
      <c r="H2" s="419" t="s">
        <v>2047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935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1364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2250</v>
      </c>
      <c r="C7" s="470" t="s">
        <v>102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891</v>
      </c>
      <c r="D9" s="390" t="s">
        <v>956</v>
      </c>
      <c r="E9" s="385" t="s">
        <v>441</v>
      </c>
      <c r="F9" s="390" t="s">
        <v>102</v>
      </c>
      <c r="G9" s="475" t="s">
        <v>2251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891</v>
      </c>
      <c r="D10" s="373" t="s">
        <v>956</v>
      </c>
      <c r="E10" s="372" t="s">
        <v>441</v>
      </c>
      <c r="F10" s="373" t="s">
        <v>102</v>
      </c>
      <c r="G10" s="468" t="s">
        <v>247</v>
      </c>
      <c r="H10" s="480">
        <v>1.4336873100000001E-2</v>
      </c>
      <c r="I10" s="480">
        <v>1</v>
      </c>
    </row>
    <row r="11" spans="1:25" outlineLevel="1">
      <c r="C11" s="390" t="s">
        <v>891</v>
      </c>
      <c r="D11" s="390" t="s">
        <v>969</v>
      </c>
      <c r="E11" s="390"/>
      <c r="F11" s="390" t="s">
        <v>102</v>
      </c>
      <c r="G11" s="475" t="s">
        <v>2251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891</v>
      </c>
      <c r="D12" s="373" t="s">
        <v>969</v>
      </c>
      <c r="E12" s="372" t="s">
        <v>441</v>
      </c>
      <c r="F12" s="373" t="s">
        <v>102</v>
      </c>
      <c r="G12" s="491" t="s">
        <v>444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891</v>
      </c>
      <c r="D13" s="373" t="s">
        <v>969</v>
      </c>
      <c r="E13" s="372" t="s">
        <v>441</v>
      </c>
      <c r="F13" s="373" t="s">
        <v>102</v>
      </c>
      <c r="G13" s="491" t="s">
        <v>481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891</v>
      </c>
      <c r="D14" s="373" t="s">
        <v>969</v>
      </c>
      <c r="E14" s="372" t="s">
        <v>441</v>
      </c>
      <c r="F14" s="373" t="s">
        <v>102</v>
      </c>
      <c r="G14" s="491" t="s">
        <v>2077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891</v>
      </c>
      <c r="D15" s="373" t="s">
        <v>969</v>
      </c>
      <c r="E15" s="372" t="s">
        <v>441</v>
      </c>
      <c r="F15" s="373" t="s">
        <v>102</v>
      </c>
      <c r="G15" s="491" t="s">
        <v>2078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891</v>
      </c>
      <c r="D16" s="373" t="s">
        <v>969</v>
      </c>
      <c r="E16" s="372" t="s">
        <v>441</v>
      </c>
      <c r="F16" s="373" t="s">
        <v>102</v>
      </c>
      <c r="G16" s="491" t="s">
        <v>2061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891</v>
      </c>
      <c r="D17" s="373" t="s">
        <v>969</v>
      </c>
      <c r="E17" s="372" t="s">
        <v>441</v>
      </c>
      <c r="F17" s="373" t="s">
        <v>102</v>
      </c>
      <c r="G17" s="491" t="s">
        <v>2059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891</v>
      </c>
      <c r="D18" s="373" t="s">
        <v>969</v>
      </c>
      <c r="E18" s="372" t="s">
        <v>441</v>
      </c>
      <c r="F18" s="373" t="s">
        <v>102</v>
      </c>
      <c r="G18" s="491" t="s">
        <v>490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891</v>
      </c>
      <c r="D19" s="373" t="s">
        <v>969</v>
      </c>
      <c r="E19" s="372" t="s">
        <v>860</v>
      </c>
      <c r="F19" s="373" t="s">
        <v>102</v>
      </c>
      <c r="G19" s="491" t="s">
        <v>206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891</v>
      </c>
      <c r="D20" s="373" t="s">
        <v>969</v>
      </c>
      <c r="E20" s="372" t="s">
        <v>860</v>
      </c>
      <c r="F20" s="373" t="s">
        <v>102</v>
      </c>
      <c r="G20" s="491" t="s">
        <v>207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891</v>
      </c>
      <c r="D21" s="373" t="s">
        <v>969</v>
      </c>
      <c r="E21" s="372" t="s">
        <v>860</v>
      </c>
      <c r="F21" s="373" t="s">
        <v>102</v>
      </c>
      <c r="G21" s="491" t="s">
        <v>2079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891</v>
      </c>
      <c r="D22" s="373" t="s">
        <v>969</v>
      </c>
      <c r="E22" s="372" t="s">
        <v>860</v>
      </c>
      <c r="F22" s="373" t="s">
        <v>102</v>
      </c>
      <c r="G22" s="491" t="s">
        <v>244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891</v>
      </c>
      <c r="D23" s="373" t="s">
        <v>969</v>
      </c>
      <c r="E23" s="372" t="s">
        <v>860</v>
      </c>
      <c r="F23" s="373" t="s">
        <v>102</v>
      </c>
      <c r="G23" s="491" t="s">
        <v>2080</v>
      </c>
      <c r="H23" s="493">
        <v>0.01</v>
      </c>
      <c r="I23" s="493">
        <v>1</v>
      </c>
    </row>
    <row r="24" spans="2:9" outlineLevel="1">
      <c r="C24" s="390" t="s">
        <v>893</v>
      </c>
      <c r="D24" s="390" t="s">
        <v>1000</v>
      </c>
      <c r="E24" s="390"/>
      <c r="F24" s="390" t="s">
        <v>102</v>
      </c>
      <c r="G24" s="475" t="s">
        <v>2263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893</v>
      </c>
      <c r="D25" s="373" t="s">
        <v>1000</v>
      </c>
      <c r="E25" s="372" t="s">
        <v>441</v>
      </c>
      <c r="F25" s="373" t="s">
        <v>102</v>
      </c>
      <c r="G25" s="491" t="s">
        <v>490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893</v>
      </c>
      <c r="D26" s="373" t="s">
        <v>1000</v>
      </c>
      <c r="E26" s="372" t="s">
        <v>441</v>
      </c>
      <c r="F26" s="373" t="s">
        <v>102</v>
      </c>
      <c r="G26" s="491" t="s">
        <v>247</v>
      </c>
      <c r="H26" s="493">
        <v>0.12885037199999999</v>
      </c>
      <c r="I26" s="493">
        <v>1</v>
      </c>
    </row>
    <row r="27" spans="2:9" outlineLevel="1">
      <c r="C27" s="390" t="s">
        <v>894</v>
      </c>
      <c r="D27" s="390" t="s">
        <v>1021</v>
      </c>
      <c r="E27" s="390"/>
      <c r="F27" s="390" t="s">
        <v>102</v>
      </c>
      <c r="G27" s="475" t="s">
        <v>2252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894</v>
      </c>
      <c r="D28" s="373" t="s">
        <v>1021</v>
      </c>
      <c r="E28" s="372" t="s">
        <v>441</v>
      </c>
      <c r="F28" s="373" t="s">
        <v>102</v>
      </c>
      <c r="G28" s="491" t="s">
        <v>221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894</v>
      </c>
      <c r="D29" s="373" t="s">
        <v>1021</v>
      </c>
      <c r="E29" s="372" t="s">
        <v>441</v>
      </c>
      <c r="F29" s="373" t="s">
        <v>102</v>
      </c>
      <c r="G29" s="491" t="s">
        <v>2100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894</v>
      </c>
      <c r="D30" s="373" t="s">
        <v>1021</v>
      </c>
      <c r="E30" s="372" t="s">
        <v>441</v>
      </c>
      <c r="F30" s="373" t="s">
        <v>102</v>
      </c>
      <c r="G30" s="491" t="s">
        <v>254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894</v>
      </c>
      <c r="D31" s="373" t="s">
        <v>1021</v>
      </c>
      <c r="E31" s="372" t="s">
        <v>860</v>
      </c>
      <c r="F31" s="373" t="s">
        <v>102</v>
      </c>
      <c r="G31" s="491" t="s">
        <v>468</v>
      </c>
      <c r="H31" s="493">
        <v>0.04</v>
      </c>
      <c r="I31" s="493">
        <v>1</v>
      </c>
    </row>
    <row r="32" spans="2:9" outlineLevel="1">
      <c r="C32" s="390" t="s">
        <v>469</v>
      </c>
      <c r="D32" s="390" t="s">
        <v>1049</v>
      </c>
      <c r="E32" s="390"/>
      <c r="F32" s="390" t="s">
        <v>102</v>
      </c>
      <c r="G32" s="475" t="s">
        <v>2253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469</v>
      </c>
      <c r="D33" s="373" t="s">
        <v>1049</v>
      </c>
      <c r="E33" s="372" t="s">
        <v>441</v>
      </c>
      <c r="F33" s="373" t="s">
        <v>102</v>
      </c>
      <c r="G33" s="491" t="s">
        <v>2110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469</v>
      </c>
      <c r="D34" s="373" t="s">
        <v>1049</v>
      </c>
      <c r="E34" s="372" t="s">
        <v>441</v>
      </c>
      <c r="F34" s="373" t="s">
        <v>102</v>
      </c>
      <c r="G34" s="491" t="s">
        <v>349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469</v>
      </c>
      <c r="D35" s="373" t="s">
        <v>1049</v>
      </c>
      <c r="E35" s="372" t="s">
        <v>441</v>
      </c>
      <c r="F35" s="373" t="s">
        <v>102</v>
      </c>
      <c r="G35" s="491" t="s">
        <v>350</v>
      </c>
      <c r="H35" s="493">
        <v>0.06</v>
      </c>
      <c r="I35" s="493">
        <v>1</v>
      </c>
    </row>
    <row r="36" spans="2:9" outlineLevel="1">
      <c r="C36" s="390" t="s">
        <v>899</v>
      </c>
      <c r="D36" s="390" t="s">
        <v>1107</v>
      </c>
      <c r="E36" s="390"/>
      <c r="F36" s="390" t="s">
        <v>102</v>
      </c>
      <c r="G36" s="475" t="s">
        <v>2241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899</v>
      </c>
      <c r="D37" s="373" t="s">
        <v>1107</v>
      </c>
      <c r="E37" s="372" t="s">
        <v>441</v>
      </c>
      <c r="F37" s="373" t="s">
        <v>102</v>
      </c>
      <c r="G37" s="491" t="s">
        <v>475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899</v>
      </c>
      <c r="D38" s="373" t="s">
        <v>1107</v>
      </c>
      <c r="E38" s="372" t="s">
        <v>441</v>
      </c>
      <c r="F38" s="373" t="s">
        <v>102</v>
      </c>
      <c r="G38" s="491" t="s">
        <v>476</v>
      </c>
      <c r="H38" s="493">
        <v>1.5827943605759998E-2</v>
      </c>
      <c r="I38" s="493">
        <v>1</v>
      </c>
    </row>
    <row r="39" spans="2:9" outlineLevel="1">
      <c r="C39" s="390" t="s">
        <v>1137</v>
      </c>
      <c r="D39" s="390" t="s">
        <v>956</v>
      </c>
      <c r="E39" s="390"/>
      <c r="F39" s="390" t="s">
        <v>102</v>
      </c>
      <c r="G39" s="475" t="s">
        <v>2242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1137</v>
      </c>
      <c r="D40" s="373" t="s">
        <v>956</v>
      </c>
      <c r="E40" s="373" t="s">
        <v>441</v>
      </c>
      <c r="F40" s="373" t="s">
        <v>102</v>
      </c>
      <c r="G40" s="494" t="s">
        <v>2139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1137</v>
      </c>
      <c r="D41" s="373" t="s">
        <v>956</v>
      </c>
      <c r="E41" s="373" t="s">
        <v>441</v>
      </c>
      <c r="F41" s="373" t="s">
        <v>102</v>
      </c>
      <c r="G41" s="494" t="s">
        <v>2140</v>
      </c>
      <c r="H41" s="493">
        <v>3.0822447240000002E-2</v>
      </c>
      <c r="I41" s="493">
        <v>1</v>
      </c>
    </row>
    <row r="42" spans="2:9" outlineLevel="1">
      <c r="C42" s="390" t="s">
        <v>1299</v>
      </c>
      <c r="D42" s="390" t="s">
        <v>1300</v>
      </c>
      <c r="E42" s="390"/>
      <c r="F42" s="390" t="s">
        <v>102</v>
      </c>
      <c r="G42" s="475" t="s">
        <v>2243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1299</v>
      </c>
      <c r="D43" s="373" t="s">
        <v>1300</v>
      </c>
      <c r="E43" s="373" t="s">
        <v>441</v>
      </c>
      <c r="F43" s="373" t="s">
        <v>437</v>
      </c>
      <c r="G43" s="491" t="s">
        <v>206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1299</v>
      </c>
      <c r="D44" s="373" t="s">
        <v>1300</v>
      </c>
      <c r="E44" s="373" t="s">
        <v>441</v>
      </c>
      <c r="F44" s="373" t="s">
        <v>437</v>
      </c>
      <c r="G44" s="491" t="s">
        <v>199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1299</v>
      </c>
      <c r="D45" s="373" t="s">
        <v>1300</v>
      </c>
      <c r="E45" s="373" t="s">
        <v>441</v>
      </c>
      <c r="F45" s="373" t="s">
        <v>437</v>
      </c>
      <c r="G45" s="491" t="s">
        <v>209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1299</v>
      </c>
      <c r="D46" s="373" t="s">
        <v>1300</v>
      </c>
      <c r="E46" s="373" t="s">
        <v>860</v>
      </c>
      <c r="F46" s="373" t="s">
        <v>437</v>
      </c>
      <c r="G46" s="491" t="s">
        <v>206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1299</v>
      </c>
      <c r="D47" s="373" t="s">
        <v>1300</v>
      </c>
      <c r="E47" s="373" t="s">
        <v>860</v>
      </c>
      <c r="F47" s="373" t="s">
        <v>437</v>
      </c>
      <c r="G47" s="491" t="s">
        <v>199</v>
      </c>
      <c r="H47" s="492">
        <v>0.43467904113605266</v>
      </c>
      <c r="I47" s="492">
        <v>1</v>
      </c>
    </row>
    <row r="48" spans="2:9" outlineLevel="1">
      <c r="C48" s="390" t="s">
        <v>901</v>
      </c>
      <c r="D48" s="390" t="s">
        <v>1089</v>
      </c>
      <c r="E48" s="390"/>
      <c r="F48" s="390" t="s">
        <v>102</v>
      </c>
      <c r="G48" s="475" t="s">
        <v>2244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901</v>
      </c>
      <c r="D49" s="373" t="s">
        <v>1089</v>
      </c>
      <c r="E49" s="373" t="s">
        <v>441</v>
      </c>
      <c r="F49" s="373" t="s">
        <v>102</v>
      </c>
      <c r="G49" s="494" t="s">
        <v>195</v>
      </c>
      <c r="H49" s="493">
        <v>0.04</v>
      </c>
      <c r="I49" s="493">
        <v>1</v>
      </c>
    </row>
    <row r="50" spans="2:9" outlineLevel="1">
      <c r="C50" s="390" t="s">
        <v>162</v>
      </c>
      <c r="D50" s="390" t="s">
        <v>162</v>
      </c>
      <c r="E50" s="390"/>
      <c r="F50" s="390" t="s">
        <v>102</v>
      </c>
      <c r="G50" s="475" t="s">
        <v>2270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162</v>
      </c>
      <c r="D51" s="373" t="s">
        <v>162</v>
      </c>
      <c r="E51" s="373" t="s">
        <v>441</v>
      </c>
      <c r="F51" s="373" t="s">
        <v>437</v>
      </c>
      <c r="G51" s="494" t="s">
        <v>243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162</v>
      </c>
      <c r="D52" s="373" t="s">
        <v>162</v>
      </c>
      <c r="E52" s="373" t="s">
        <v>441</v>
      </c>
      <c r="F52" s="373" t="s">
        <v>437</v>
      </c>
      <c r="G52" s="494" t="s">
        <v>245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162</v>
      </c>
      <c r="D53" s="373" t="s">
        <v>162</v>
      </c>
      <c r="E53" s="373" t="s">
        <v>441</v>
      </c>
      <c r="F53" s="373" t="s">
        <v>437</v>
      </c>
      <c r="G53" s="494" t="s">
        <v>254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162</v>
      </c>
      <c r="D54" s="373" t="s">
        <v>162</v>
      </c>
      <c r="E54" s="373" t="s">
        <v>860</v>
      </c>
      <c r="F54" s="373" t="s">
        <v>437</v>
      </c>
      <c r="G54" s="494" t="s">
        <v>283</v>
      </c>
      <c r="H54" s="492">
        <v>8.1128101250000001E-2</v>
      </c>
      <c r="I54" s="492">
        <v>1</v>
      </c>
    </row>
    <row r="55" spans="2:9" outlineLevel="1">
      <c r="C55" s="390" t="s">
        <v>252</v>
      </c>
      <c r="D55" s="390" t="s">
        <v>252</v>
      </c>
      <c r="E55" s="390"/>
      <c r="F55" s="390" t="s">
        <v>102</v>
      </c>
      <c r="G55" s="475" t="s">
        <v>2271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252</v>
      </c>
      <c r="D56" s="373" t="s">
        <v>252</v>
      </c>
      <c r="E56" s="372" t="s">
        <v>441</v>
      </c>
      <c r="F56" s="373" t="s">
        <v>102</v>
      </c>
      <c r="G56" s="468" t="s">
        <v>1208</v>
      </c>
      <c r="H56" s="480">
        <v>3.6853334887931043E-2</v>
      </c>
      <c r="I56" s="480">
        <v>1</v>
      </c>
    </row>
    <row r="57" spans="2:9" outlineLevel="1">
      <c r="C57" s="390" t="s">
        <v>903</v>
      </c>
      <c r="D57" s="390" t="s">
        <v>903</v>
      </c>
      <c r="E57" s="390"/>
      <c r="F57" s="390" t="s">
        <v>102</v>
      </c>
      <c r="G57" s="475" t="s">
        <v>2272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903</v>
      </c>
      <c r="D58" s="373" t="s">
        <v>903</v>
      </c>
      <c r="E58" s="372" t="s">
        <v>441</v>
      </c>
      <c r="F58" s="373" t="s">
        <v>102</v>
      </c>
      <c r="G58" s="468" t="s">
        <v>442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903</v>
      </c>
      <c r="D59" s="373" t="s">
        <v>903</v>
      </c>
      <c r="E59" s="372" t="s">
        <v>441</v>
      </c>
      <c r="F59" s="373" t="s">
        <v>102</v>
      </c>
      <c r="G59" s="468" t="s">
        <v>463</v>
      </c>
      <c r="H59" s="480">
        <v>5.5533570000000003E-4</v>
      </c>
      <c r="I59" s="480">
        <v>1</v>
      </c>
    </row>
    <row r="60" spans="2:9" outlineLevel="1">
      <c r="C60" s="390" t="s">
        <v>502</v>
      </c>
      <c r="D60" s="390" t="s">
        <v>502</v>
      </c>
      <c r="E60" s="390"/>
      <c r="F60" s="390" t="s">
        <v>102</v>
      </c>
      <c r="G60" s="475" t="s">
        <v>2273</v>
      </c>
      <c r="H60" s="490">
        <v>0</v>
      </c>
      <c r="I60" s="490">
        <v>0</v>
      </c>
    </row>
    <row r="61" spans="2:9" outlineLevel="1">
      <c r="C61" s="390" t="s">
        <v>414</v>
      </c>
      <c r="D61" s="390" t="s">
        <v>414</v>
      </c>
      <c r="E61" s="390"/>
      <c r="F61" s="390" t="s">
        <v>102</v>
      </c>
      <c r="G61" s="475" t="s">
        <v>2279</v>
      </c>
      <c r="H61" s="490">
        <v>0</v>
      </c>
      <c r="I61" s="490">
        <v>0</v>
      </c>
    </row>
    <row r="62" spans="2:9" outlineLevel="1">
      <c r="C62" s="390" t="s">
        <v>612</v>
      </c>
      <c r="D62" s="390" t="s">
        <v>612</v>
      </c>
      <c r="E62" s="390"/>
      <c r="F62" s="390" t="s">
        <v>102</v>
      </c>
      <c r="G62" s="475" t="s">
        <v>2282</v>
      </c>
      <c r="H62" s="490">
        <v>0</v>
      </c>
      <c r="I62" s="490">
        <v>0</v>
      </c>
    </row>
    <row r="63" spans="2:9" outlineLevel="1">
      <c r="C63" s="390" t="s">
        <v>225</v>
      </c>
      <c r="D63" s="390" t="s">
        <v>1241</v>
      </c>
      <c r="E63" s="390"/>
      <c r="F63" s="390" t="s">
        <v>102</v>
      </c>
      <c r="G63" s="475" t="s">
        <v>2245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225</v>
      </c>
      <c r="D64" s="373" t="s">
        <v>1241</v>
      </c>
      <c r="E64" s="373" t="s">
        <v>441</v>
      </c>
      <c r="F64" s="373" t="s">
        <v>437</v>
      </c>
      <c r="G64" s="491" t="s">
        <v>36</v>
      </c>
      <c r="H64" s="492">
        <v>5.4000000000000003E-3</v>
      </c>
      <c r="I64" s="492">
        <v>1</v>
      </c>
    </row>
    <row r="65" spans="2:9" outlineLevel="2">
      <c r="C65" s="373" t="s">
        <v>225</v>
      </c>
      <c r="D65" s="373" t="s">
        <v>1241</v>
      </c>
      <c r="E65" s="373" t="s">
        <v>441</v>
      </c>
      <c r="F65" s="373" t="s">
        <v>437</v>
      </c>
      <c r="G65" s="491" t="s">
        <v>208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225</v>
      </c>
      <c r="D66" s="373" t="s">
        <v>1241</v>
      </c>
      <c r="E66" s="373" t="s">
        <v>860</v>
      </c>
      <c r="F66" s="373" t="s">
        <v>437</v>
      </c>
      <c r="G66" s="491" t="s">
        <v>36</v>
      </c>
      <c r="H66" s="492">
        <v>6.0000000000000001E-3</v>
      </c>
      <c r="I66" s="492">
        <v>1</v>
      </c>
    </row>
    <row r="67" spans="2:9" outlineLevel="1">
      <c r="C67" s="390" t="s">
        <v>229</v>
      </c>
      <c r="D67" s="390" t="s">
        <v>1245</v>
      </c>
      <c r="E67" s="390"/>
      <c r="F67" s="390" t="s">
        <v>102</v>
      </c>
      <c r="G67" s="475" t="s">
        <v>2246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229</v>
      </c>
      <c r="D68" s="373" t="s">
        <v>1245</v>
      </c>
      <c r="E68" s="373" t="s">
        <v>441</v>
      </c>
      <c r="F68" s="373" t="s">
        <v>437</v>
      </c>
      <c r="G68" s="491" t="s">
        <v>208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229</v>
      </c>
      <c r="D69" s="373" t="s">
        <v>1245</v>
      </c>
      <c r="E69" s="373" t="s">
        <v>441</v>
      </c>
      <c r="F69" s="373" t="s">
        <v>437</v>
      </c>
      <c r="G69" s="491" t="s">
        <v>1238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229</v>
      </c>
      <c r="D70" s="373" t="s">
        <v>1245</v>
      </c>
      <c r="E70" s="373" t="s">
        <v>441</v>
      </c>
      <c r="F70" s="373" t="s">
        <v>437</v>
      </c>
      <c r="G70" s="491" t="s">
        <v>1239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229</v>
      </c>
      <c r="D71" s="373" t="s">
        <v>1245</v>
      </c>
      <c r="E71" s="373" t="s">
        <v>441</v>
      </c>
      <c r="F71" s="373" t="s">
        <v>437</v>
      </c>
      <c r="G71" s="491" t="s">
        <v>1246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229</v>
      </c>
      <c r="D72" s="373" t="s">
        <v>1245</v>
      </c>
      <c r="E72" s="373" t="s">
        <v>441</v>
      </c>
      <c r="F72" s="373" t="s">
        <v>437</v>
      </c>
      <c r="G72" s="491" t="s">
        <v>1247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229</v>
      </c>
      <c r="D73" s="373" t="s">
        <v>1245</v>
      </c>
      <c r="E73" s="373" t="s">
        <v>860</v>
      </c>
      <c r="F73" s="373" t="s">
        <v>437</v>
      </c>
      <c r="G73" s="491" t="s">
        <v>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229</v>
      </c>
      <c r="D74" s="373" t="s">
        <v>1245</v>
      </c>
      <c r="E74" s="373" t="s">
        <v>860</v>
      </c>
      <c r="F74" s="373" t="s">
        <v>437</v>
      </c>
      <c r="G74" s="491" t="s">
        <v>1238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229</v>
      </c>
      <c r="D75" s="373" t="s">
        <v>1245</v>
      </c>
      <c r="E75" s="373" t="s">
        <v>860</v>
      </c>
      <c r="F75" s="373" t="s">
        <v>437</v>
      </c>
      <c r="G75" s="491" t="s">
        <v>1246</v>
      </c>
      <c r="H75" s="492">
        <v>5.1067500000000002E-2</v>
      </c>
      <c r="I75" s="492">
        <v>1</v>
      </c>
    </row>
    <row r="76" spans="2:9" outlineLevel="1">
      <c r="C76" s="390" t="s">
        <v>918</v>
      </c>
      <c r="D76" s="390" t="s">
        <v>1250</v>
      </c>
      <c r="E76" s="390"/>
      <c r="F76" s="390" t="s">
        <v>102</v>
      </c>
      <c r="G76" s="475" t="s">
        <v>2289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918</v>
      </c>
      <c r="D77" s="373" t="s">
        <v>1250</v>
      </c>
      <c r="E77" s="373" t="s">
        <v>860</v>
      </c>
      <c r="F77" s="373" t="s">
        <v>437</v>
      </c>
      <c r="G77" s="491" t="s">
        <v>1256</v>
      </c>
      <c r="H77" s="492">
        <v>1.13E-4</v>
      </c>
      <c r="I77" s="492">
        <v>1</v>
      </c>
    </row>
    <row r="78" spans="2:9" outlineLevel="1">
      <c r="C78" s="390" t="s">
        <v>498</v>
      </c>
      <c r="D78" s="390" t="s">
        <v>1258</v>
      </c>
      <c r="E78" s="390"/>
      <c r="F78" s="390" t="s">
        <v>102</v>
      </c>
      <c r="G78" s="475" t="s">
        <v>2247</v>
      </c>
      <c r="H78" s="490">
        <v>0</v>
      </c>
      <c r="I78" s="490">
        <v>0</v>
      </c>
    </row>
    <row r="79" spans="2:9" outlineLevel="1">
      <c r="C79" s="390" t="s">
        <v>1392</v>
      </c>
      <c r="D79" s="390" t="s">
        <v>1392</v>
      </c>
      <c r="E79" s="390"/>
      <c r="F79" s="390" t="s">
        <v>102</v>
      </c>
      <c r="G79" s="475" t="s">
        <v>2336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1392</v>
      </c>
      <c r="D80" s="373" t="s">
        <v>1392</v>
      </c>
      <c r="E80" s="373" t="s">
        <v>1335</v>
      </c>
      <c r="F80" s="373" t="s">
        <v>437</v>
      </c>
      <c r="G80" s="491" t="s">
        <v>205</v>
      </c>
      <c r="H80" s="492"/>
      <c r="I80" s="492">
        <v>1</v>
      </c>
    </row>
    <row r="81" spans="2:9" outlineLevel="2">
      <c r="B81" s="373">
        <v>3</v>
      </c>
      <c r="C81" s="373" t="s">
        <v>1392</v>
      </c>
      <c r="D81" s="373" t="s">
        <v>1392</v>
      </c>
      <c r="E81" s="373" t="s">
        <v>1335</v>
      </c>
      <c r="F81" s="373" t="s">
        <v>437</v>
      </c>
      <c r="G81" s="491" t="s">
        <v>36</v>
      </c>
      <c r="H81" s="492"/>
      <c r="I81" s="492">
        <v>1</v>
      </c>
    </row>
    <row r="82" spans="2:9" outlineLevel="2">
      <c r="B82" s="373">
        <v>3</v>
      </c>
      <c r="C82" s="373" t="s">
        <v>1392</v>
      </c>
      <c r="D82" s="373" t="s">
        <v>1392</v>
      </c>
      <c r="E82" s="373" t="s">
        <v>1335</v>
      </c>
      <c r="F82" s="373" t="s">
        <v>437</v>
      </c>
      <c r="G82" s="491" t="s">
        <v>208</v>
      </c>
      <c r="H82" s="492"/>
      <c r="I82" s="492">
        <v>1</v>
      </c>
    </row>
    <row r="83" spans="2:9" outlineLevel="2">
      <c r="B83" s="373">
        <v>3</v>
      </c>
      <c r="C83" s="373" t="s">
        <v>1392</v>
      </c>
      <c r="D83" s="373" t="s">
        <v>1392</v>
      </c>
      <c r="E83" s="373" t="s">
        <v>441</v>
      </c>
      <c r="F83" s="373" t="s">
        <v>437</v>
      </c>
      <c r="G83" s="491" t="s">
        <v>36</v>
      </c>
      <c r="H83" s="492"/>
      <c r="I83" s="492">
        <v>1</v>
      </c>
    </row>
    <row r="84" spans="2:9" outlineLevel="2">
      <c r="B84" s="373">
        <v>3</v>
      </c>
      <c r="C84" s="373" t="s">
        <v>1392</v>
      </c>
      <c r="D84" s="373" t="s">
        <v>1392</v>
      </c>
      <c r="E84" s="373" t="s">
        <v>441</v>
      </c>
      <c r="F84" s="373" t="s">
        <v>437</v>
      </c>
      <c r="G84" s="491" t="s">
        <v>208</v>
      </c>
      <c r="H84" s="492"/>
      <c r="I84" s="492">
        <v>1</v>
      </c>
    </row>
    <row r="85" spans="2:9" outlineLevel="2">
      <c r="B85" s="373">
        <v>3</v>
      </c>
      <c r="C85" s="373" t="s">
        <v>1392</v>
      </c>
      <c r="D85" s="373" t="s">
        <v>1392</v>
      </c>
      <c r="E85" s="373" t="s">
        <v>860</v>
      </c>
      <c r="F85" s="373" t="s">
        <v>437</v>
      </c>
      <c r="G85" s="491" t="s">
        <v>36</v>
      </c>
      <c r="H85" s="492"/>
      <c r="I85" s="492">
        <v>1</v>
      </c>
    </row>
    <row r="86" spans="2:9" outlineLevel="2">
      <c r="B86" s="373">
        <v>3</v>
      </c>
      <c r="C86" s="373" t="s">
        <v>1392</v>
      </c>
      <c r="D86" s="373" t="s">
        <v>1392</v>
      </c>
      <c r="E86" s="373" t="s">
        <v>860</v>
      </c>
      <c r="F86" s="373" t="s">
        <v>437</v>
      </c>
      <c r="G86" s="491" t="s">
        <v>208</v>
      </c>
      <c r="H86" s="492"/>
      <c r="I86" s="492">
        <v>1</v>
      </c>
    </row>
    <row r="87" spans="2:9" outlineLevel="1">
      <c r="C87" s="390" t="s">
        <v>497</v>
      </c>
      <c r="D87" s="390" t="s">
        <v>1394</v>
      </c>
      <c r="E87" s="390"/>
      <c r="F87" s="390" t="s">
        <v>102</v>
      </c>
      <c r="G87" s="475" t="s">
        <v>2264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497</v>
      </c>
      <c r="D88" s="373" t="s">
        <v>1394</v>
      </c>
      <c r="E88" s="373" t="s">
        <v>441</v>
      </c>
      <c r="F88" s="373" t="s">
        <v>437</v>
      </c>
      <c r="G88" s="491" t="s">
        <v>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497</v>
      </c>
      <c r="D89" s="373" t="s">
        <v>1394</v>
      </c>
      <c r="E89" s="373" t="s">
        <v>441</v>
      </c>
      <c r="F89" s="373" t="s">
        <v>437</v>
      </c>
      <c r="G89" s="491" t="s">
        <v>208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497</v>
      </c>
      <c r="D90" s="373" t="s">
        <v>1394</v>
      </c>
      <c r="E90" s="373" t="s">
        <v>860</v>
      </c>
      <c r="F90" s="373" t="s">
        <v>437</v>
      </c>
      <c r="G90" s="491" t="s">
        <v>208</v>
      </c>
      <c r="H90" s="492">
        <v>0.05</v>
      </c>
      <c r="I90" s="492">
        <v>1</v>
      </c>
    </row>
    <row r="91" spans="2:9" outlineLevel="1">
      <c r="C91" s="390" t="s">
        <v>902</v>
      </c>
      <c r="D91" s="390" t="s">
        <v>1018</v>
      </c>
      <c r="E91" s="390"/>
      <c r="F91" s="390" t="s">
        <v>102</v>
      </c>
      <c r="G91" s="475" t="s">
        <v>2248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902</v>
      </c>
      <c r="D92" s="373" t="s">
        <v>1018</v>
      </c>
      <c r="E92" s="372" t="s">
        <v>441</v>
      </c>
      <c r="F92" s="373" t="s">
        <v>102</v>
      </c>
      <c r="G92" s="491" t="s">
        <v>206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902</v>
      </c>
      <c r="D93" s="373" t="s">
        <v>1018</v>
      </c>
      <c r="E93" s="372" t="s">
        <v>441</v>
      </c>
      <c r="F93" s="373" t="s">
        <v>102</v>
      </c>
      <c r="G93" s="491" t="s">
        <v>208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902</v>
      </c>
      <c r="D94" s="373" t="s">
        <v>1018</v>
      </c>
      <c r="E94" s="372" t="s">
        <v>860</v>
      </c>
      <c r="F94" s="373" t="s">
        <v>102</v>
      </c>
      <c r="G94" s="491" t="s">
        <v>206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902</v>
      </c>
      <c r="D95" s="373" t="s">
        <v>1018</v>
      </c>
      <c r="E95" s="372" t="s">
        <v>860</v>
      </c>
      <c r="F95" s="373" t="s">
        <v>102</v>
      </c>
      <c r="G95" s="491" t="s">
        <v>208</v>
      </c>
      <c r="H95" s="493">
        <v>1.7819999999999999E-2</v>
      </c>
      <c r="I95" s="493">
        <v>1</v>
      </c>
    </row>
    <row r="96" spans="2:9" outlineLevel="1">
      <c r="C96" s="390" t="s">
        <v>1290</v>
      </c>
      <c r="D96" s="390" t="s">
        <v>969</v>
      </c>
      <c r="E96" s="390"/>
      <c r="F96" s="390" t="s">
        <v>102</v>
      </c>
      <c r="G96" s="475" t="s">
        <v>2265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1290</v>
      </c>
      <c r="D97" s="373" t="s">
        <v>969</v>
      </c>
      <c r="E97" s="373" t="s">
        <v>441</v>
      </c>
      <c r="F97" s="373" t="s">
        <v>102</v>
      </c>
      <c r="G97" s="491" t="s">
        <v>206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1290</v>
      </c>
      <c r="D98" s="373" t="s">
        <v>969</v>
      </c>
      <c r="E98" s="373" t="s">
        <v>441</v>
      </c>
      <c r="F98" s="373" t="s">
        <v>102</v>
      </c>
      <c r="G98" s="491" t="s">
        <v>208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1290</v>
      </c>
      <c r="D99" s="373" t="s">
        <v>969</v>
      </c>
      <c r="E99" s="373" t="s">
        <v>860</v>
      </c>
      <c r="F99" s="373" t="s">
        <v>102</v>
      </c>
      <c r="G99" s="491" t="s">
        <v>206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1290</v>
      </c>
      <c r="D100" s="373" t="s">
        <v>969</v>
      </c>
      <c r="E100" s="373" t="s">
        <v>860</v>
      </c>
      <c r="F100" s="373" t="s">
        <v>102</v>
      </c>
      <c r="G100" s="491" t="s">
        <v>208</v>
      </c>
      <c r="H100" s="493">
        <v>8.1602400000000009E-3</v>
      </c>
      <c r="I100" s="493">
        <v>1</v>
      </c>
    </row>
    <row r="101" spans="2:9" outlineLevel="1">
      <c r="C101" s="390" t="s">
        <v>1310</v>
      </c>
      <c r="D101" s="390" t="s">
        <v>1310</v>
      </c>
      <c r="E101" s="390"/>
      <c r="F101" s="390" t="s">
        <v>102</v>
      </c>
      <c r="G101" s="475" t="s">
        <v>2249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1310</v>
      </c>
      <c r="D102" s="373" t="s">
        <v>1310</v>
      </c>
      <c r="E102" s="373" t="s">
        <v>441</v>
      </c>
      <c r="F102" s="373" t="s">
        <v>102</v>
      </c>
      <c r="G102" s="491" t="s">
        <v>206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1310</v>
      </c>
      <c r="D103" s="373" t="s">
        <v>1310</v>
      </c>
      <c r="E103" s="373" t="s">
        <v>441</v>
      </c>
      <c r="F103" s="373" t="s">
        <v>102</v>
      </c>
      <c r="G103" s="491" t="s">
        <v>208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1310</v>
      </c>
      <c r="D104" s="373" t="s">
        <v>1310</v>
      </c>
      <c r="E104" s="373" t="s">
        <v>441</v>
      </c>
      <c r="F104" s="373" t="s">
        <v>102</v>
      </c>
      <c r="G104" s="491" t="s">
        <v>209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1310</v>
      </c>
      <c r="D105" s="373" t="s">
        <v>1310</v>
      </c>
      <c r="E105" s="373" t="s">
        <v>860</v>
      </c>
      <c r="F105" s="373" t="s">
        <v>102</v>
      </c>
      <c r="G105" s="491" t="s">
        <v>206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1310</v>
      </c>
      <c r="D106" s="373" t="s">
        <v>1310</v>
      </c>
      <c r="E106" s="373" t="s">
        <v>860</v>
      </c>
      <c r="F106" s="373" t="s">
        <v>102</v>
      </c>
      <c r="G106" s="491" t="s">
        <v>209</v>
      </c>
      <c r="H106" s="493">
        <v>0.15756180000000003</v>
      </c>
      <c r="I106" s="493">
        <v>1</v>
      </c>
    </row>
    <row r="107" spans="2:9" outlineLevel="1">
      <c r="C107" s="390" t="s">
        <v>1321</v>
      </c>
      <c r="D107" s="390" t="s">
        <v>1321</v>
      </c>
      <c r="E107" s="390"/>
      <c r="F107" s="390" t="s">
        <v>102</v>
      </c>
      <c r="G107" s="475" t="s">
        <v>2268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1321</v>
      </c>
      <c r="D108" s="373" t="s">
        <v>1321</v>
      </c>
      <c r="E108" s="373" t="s">
        <v>441</v>
      </c>
      <c r="F108" s="373" t="s">
        <v>102</v>
      </c>
      <c r="G108" s="491" t="s">
        <v>206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1321</v>
      </c>
      <c r="D109" s="373" t="s">
        <v>1321</v>
      </c>
      <c r="E109" s="373" t="s">
        <v>441</v>
      </c>
      <c r="F109" s="373" t="s">
        <v>102</v>
      </c>
      <c r="G109" s="491" t="s">
        <v>208</v>
      </c>
      <c r="H109" s="493">
        <v>0.43475642700000006</v>
      </c>
      <c r="I109" s="493">
        <v>1</v>
      </c>
    </row>
    <row r="110" spans="2:9" outlineLevel="1">
      <c r="C110" s="390" t="s">
        <v>1330</v>
      </c>
      <c r="D110" s="390" t="s">
        <v>1330</v>
      </c>
      <c r="E110" s="390"/>
      <c r="F110" s="390" t="s">
        <v>102</v>
      </c>
      <c r="G110" s="475" t="s">
        <v>2266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1330</v>
      </c>
      <c r="D111" s="373" t="s">
        <v>1330</v>
      </c>
      <c r="E111" s="373" t="s">
        <v>441</v>
      </c>
      <c r="F111" s="373" t="s">
        <v>102</v>
      </c>
      <c r="G111" s="491" t="s">
        <v>206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1330</v>
      </c>
      <c r="D112" s="373" t="s">
        <v>1330</v>
      </c>
      <c r="E112" s="373" t="s">
        <v>441</v>
      </c>
      <c r="F112" s="373" t="s">
        <v>102</v>
      </c>
      <c r="G112" s="491" t="s">
        <v>208</v>
      </c>
      <c r="H112" s="493">
        <v>0.14491880900000001</v>
      </c>
      <c r="I112" s="493">
        <v>1</v>
      </c>
    </row>
    <row r="113" spans="2:9" outlineLevel="1">
      <c r="C113" s="390" t="s">
        <v>1273</v>
      </c>
      <c r="D113" s="390" t="s">
        <v>1273</v>
      </c>
      <c r="E113" s="390"/>
      <c r="F113" s="390" t="s">
        <v>102</v>
      </c>
      <c r="G113" s="475" t="s">
        <v>2267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1273</v>
      </c>
      <c r="D114" s="373" t="s">
        <v>1273</v>
      </c>
      <c r="E114" s="373" t="s">
        <v>441</v>
      </c>
      <c r="F114" s="373" t="s">
        <v>437</v>
      </c>
      <c r="G114" s="491" t="s">
        <v>206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1273</v>
      </c>
      <c r="D115" s="373" t="s">
        <v>1273</v>
      </c>
      <c r="E115" s="373" t="s">
        <v>441</v>
      </c>
      <c r="F115" s="373" t="s">
        <v>437</v>
      </c>
      <c r="G115" s="491" t="s">
        <v>208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1273</v>
      </c>
      <c r="D116" s="373" t="s">
        <v>1273</v>
      </c>
      <c r="E116" s="373" t="s">
        <v>441</v>
      </c>
      <c r="F116" s="373" t="s">
        <v>437</v>
      </c>
      <c r="G116" s="491" t="s">
        <v>199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1273</v>
      </c>
      <c r="D117" s="373" t="s">
        <v>1273</v>
      </c>
      <c r="E117" s="373" t="s">
        <v>441</v>
      </c>
      <c r="F117" s="373" t="s">
        <v>437</v>
      </c>
      <c r="G117" s="491" t="s">
        <v>209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1273</v>
      </c>
      <c r="D118" s="373" t="s">
        <v>1273</v>
      </c>
      <c r="E118" s="373" t="s">
        <v>860</v>
      </c>
      <c r="F118" s="373" t="s">
        <v>437</v>
      </c>
      <c r="G118" s="491" t="s">
        <v>206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1273</v>
      </c>
      <c r="D119" s="373" t="s">
        <v>1273</v>
      </c>
      <c r="E119" s="373" t="s">
        <v>860</v>
      </c>
      <c r="F119" s="373" t="s">
        <v>437</v>
      </c>
      <c r="G119" s="491" t="s">
        <v>199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1273</v>
      </c>
      <c r="D120" s="373" t="s">
        <v>1273</v>
      </c>
      <c r="E120" s="373" t="s">
        <v>860</v>
      </c>
      <c r="F120" s="373" t="s">
        <v>437</v>
      </c>
      <c r="G120" s="491" t="s">
        <v>608</v>
      </c>
      <c r="H120" s="492">
        <v>2.2275000000000003E-2</v>
      </c>
      <c r="I120" s="492">
        <v>1</v>
      </c>
    </row>
    <row r="121" spans="2:9" outlineLevel="1">
      <c r="C121" s="390" t="s">
        <v>1347</v>
      </c>
      <c r="D121" s="390" t="s">
        <v>1089</v>
      </c>
      <c r="E121" s="390"/>
      <c r="F121" s="390" t="s">
        <v>102</v>
      </c>
      <c r="G121" s="475" t="s">
        <v>2274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1347</v>
      </c>
      <c r="D122" s="373" t="s">
        <v>1089</v>
      </c>
      <c r="E122" s="373" t="s">
        <v>1335</v>
      </c>
      <c r="F122" s="373" t="s">
        <v>437</v>
      </c>
      <c r="G122" s="491" t="s">
        <v>205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1347</v>
      </c>
      <c r="D123" s="373" t="s">
        <v>1089</v>
      </c>
      <c r="E123" s="373" t="s">
        <v>1335</v>
      </c>
      <c r="F123" s="373" t="s">
        <v>437</v>
      </c>
      <c r="G123" s="491" t="s">
        <v>206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1347</v>
      </c>
      <c r="D124" s="373" t="s">
        <v>1089</v>
      </c>
      <c r="E124" s="373" t="s">
        <v>1335</v>
      </c>
      <c r="F124" s="373" t="s">
        <v>437</v>
      </c>
      <c r="G124" s="491" t="s">
        <v>208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1347</v>
      </c>
      <c r="D125" s="373" t="s">
        <v>1089</v>
      </c>
      <c r="E125" s="373" t="s">
        <v>1335</v>
      </c>
      <c r="F125" s="373" t="s">
        <v>437</v>
      </c>
      <c r="G125" s="491" t="s">
        <v>608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1347</v>
      </c>
      <c r="D126" s="373" t="s">
        <v>1089</v>
      </c>
      <c r="E126" s="373" t="s">
        <v>441</v>
      </c>
      <c r="F126" s="373" t="s">
        <v>437</v>
      </c>
      <c r="G126" s="491" t="s">
        <v>206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1347</v>
      </c>
      <c r="D127" s="373" t="s">
        <v>1089</v>
      </c>
      <c r="E127" s="373" t="s">
        <v>441</v>
      </c>
      <c r="F127" s="373" t="s">
        <v>437</v>
      </c>
      <c r="G127" s="491" t="s">
        <v>208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1347</v>
      </c>
      <c r="D128" s="373" t="s">
        <v>1089</v>
      </c>
      <c r="E128" s="373" t="s">
        <v>441</v>
      </c>
      <c r="F128" s="373" t="s">
        <v>437</v>
      </c>
      <c r="G128" s="491" t="s">
        <v>608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1347</v>
      </c>
      <c r="D129" s="373" t="s">
        <v>1089</v>
      </c>
      <c r="E129" s="373" t="s">
        <v>860</v>
      </c>
      <c r="F129" s="373" t="s">
        <v>437</v>
      </c>
      <c r="G129" s="491" t="s">
        <v>206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1347</v>
      </c>
      <c r="D130" s="373" t="s">
        <v>1089</v>
      </c>
      <c r="E130" s="373" t="s">
        <v>860</v>
      </c>
      <c r="F130" s="373" t="s">
        <v>437</v>
      </c>
      <c r="G130" s="491" t="s">
        <v>208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1347</v>
      </c>
      <c r="D131" s="373" t="s">
        <v>1089</v>
      </c>
      <c r="E131" s="373" t="s">
        <v>860</v>
      </c>
      <c r="F131" s="373" t="s">
        <v>437</v>
      </c>
      <c r="G131" s="491" t="s">
        <v>608</v>
      </c>
      <c r="H131" s="492">
        <v>5.6430000000000008E-2</v>
      </c>
      <c r="I131" s="492">
        <v>1</v>
      </c>
    </row>
    <row r="132" spans="2:9" outlineLevel="1">
      <c r="C132" s="390" t="s">
        <v>2219</v>
      </c>
      <c r="D132" s="390" t="s">
        <v>1089</v>
      </c>
      <c r="E132" s="390"/>
      <c r="F132" s="390" t="s">
        <v>102</v>
      </c>
      <c r="G132" s="475" t="s">
        <v>2275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2219</v>
      </c>
      <c r="D133" s="373" t="s">
        <v>1089</v>
      </c>
      <c r="E133" s="373" t="s">
        <v>1335</v>
      </c>
      <c r="F133" s="373" t="s">
        <v>437</v>
      </c>
      <c r="G133" s="491" t="s">
        <v>205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2219</v>
      </c>
      <c r="D134" s="373" t="s">
        <v>1089</v>
      </c>
      <c r="E134" s="373" t="s">
        <v>1335</v>
      </c>
      <c r="F134" s="373" t="s">
        <v>437</v>
      </c>
      <c r="G134" s="491" t="s">
        <v>206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2219</v>
      </c>
      <c r="D135" s="373" t="s">
        <v>1089</v>
      </c>
      <c r="E135" s="373" t="s">
        <v>1335</v>
      </c>
      <c r="F135" s="373" t="s">
        <v>437</v>
      </c>
      <c r="G135" s="491" t="s">
        <v>208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2219</v>
      </c>
      <c r="D136" s="373" t="s">
        <v>1089</v>
      </c>
      <c r="E136" s="373" t="s">
        <v>441</v>
      </c>
      <c r="F136" s="373" t="s">
        <v>437</v>
      </c>
      <c r="G136" s="491" t="s">
        <v>206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2219</v>
      </c>
      <c r="D137" s="373" t="s">
        <v>1089</v>
      </c>
      <c r="E137" s="373" t="s">
        <v>441</v>
      </c>
      <c r="F137" s="373" t="s">
        <v>437</v>
      </c>
      <c r="G137" s="491" t="s">
        <v>208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2219</v>
      </c>
      <c r="D138" s="373" t="s">
        <v>1089</v>
      </c>
      <c r="E138" s="373" t="s">
        <v>860</v>
      </c>
      <c r="F138" s="373" t="s">
        <v>437</v>
      </c>
      <c r="G138" s="491" t="s">
        <v>206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2219</v>
      </c>
      <c r="D139" s="373" t="s">
        <v>1089</v>
      </c>
      <c r="E139" s="373" t="s">
        <v>860</v>
      </c>
      <c r="F139" s="373" t="s">
        <v>437</v>
      </c>
      <c r="G139" s="491" t="s">
        <v>208</v>
      </c>
      <c r="H139" s="492">
        <v>9.3554893606529646E-2</v>
      </c>
      <c r="I139" s="492">
        <v>1</v>
      </c>
    </row>
    <row r="140" spans="2:9" outlineLevel="1">
      <c r="C140" s="390" t="s">
        <v>609</v>
      </c>
      <c r="D140" s="390" t="s">
        <v>1089</v>
      </c>
      <c r="E140" s="390"/>
      <c r="F140" s="390" t="s">
        <v>102</v>
      </c>
      <c r="G140" s="475" t="s">
        <v>2276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609</v>
      </c>
      <c r="D141" s="373" t="s">
        <v>1089</v>
      </c>
      <c r="E141" s="373" t="s">
        <v>1335</v>
      </c>
      <c r="F141" s="373" t="s">
        <v>437</v>
      </c>
      <c r="G141" s="491" t="s">
        <v>2222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609</v>
      </c>
      <c r="D142" s="373" t="s">
        <v>1089</v>
      </c>
      <c r="E142" s="373" t="s">
        <v>1335</v>
      </c>
      <c r="F142" s="373" t="s">
        <v>437</v>
      </c>
      <c r="G142" s="491" t="s">
        <v>2223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609</v>
      </c>
      <c r="D143" s="373" t="s">
        <v>1089</v>
      </c>
      <c r="E143" s="373" t="s">
        <v>1335</v>
      </c>
      <c r="F143" s="373" t="s">
        <v>437</v>
      </c>
      <c r="G143" s="491" t="s">
        <v>199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609</v>
      </c>
      <c r="D144" s="373" t="s">
        <v>1089</v>
      </c>
      <c r="E144" s="373" t="s">
        <v>1335</v>
      </c>
      <c r="F144" s="373" t="s">
        <v>437</v>
      </c>
      <c r="G144" s="491" t="s">
        <v>608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609</v>
      </c>
      <c r="D145" s="373" t="s">
        <v>1089</v>
      </c>
      <c r="E145" s="373" t="s">
        <v>1335</v>
      </c>
      <c r="F145" s="373" t="s">
        <v>437</v>
      </c>
      <c r="G145" s="491" t="s">
        <v>198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609</v>
      </c>
      <c r="D146" s="373" t="s">
        <v>1089</v>
      </c>
      <c r="E146" s="373" t="s">
        <v>1335</v>
      </c>
      <c r="F146" s="373" t="s">
        <v>437</v>
      </c>
      <c r="G146" s="491" t="s">
        <v>2224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609</v>
      </c>
      <c r="D147" s="373" t="s">
        <v>1089</v>
      </c>
      <c r="E147" s="373" t="s">
        <v>441</v>
      </c>
      <c r="F147" s="373" t="s">
        <v>437</v>
      </c>
      <c r="G147" s="491" t="s">
        <v>206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609</v>
      </c>
      <c r="D148" s="373" t="s">
        <v>1089</v>
      </c>
      <c r="E148" s="373" t="s">
        <v>441</v>
      </c>
      <c r="F148" s="373" t="s">
        <v>437</v>
      </c>
      <c r="G148" s="491" t="s">
        <v>2223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609</v>
      </c>
      <c r="D149" s="373" t="s">
        <v>1089</v>
      </c>
      <c r="E149" s="373" t="s">
        <v>441</v>
      </c>
      <c r="F149" s="373" t="s">
        <v>437</v>
      </c>
      <c r="G149" s="491" t="s">
        <v>199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609</v>
      </c>
      <c r="D150" s="373" t="s">
        <v>1089</v>
      </c>
      <c r="E150" s="373" t="s">
        <v>441</v>
      </c>
      <c r="F150" s="373" t="s">
        <v>437</v>
      </c>
      <c r="G150" s="491" t="s">
        <v>608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609</v>
      </c>
      <c r="D151" s="373" t="s">
        <v>1089</v>
      </c>
      <c r="E151" s="373" t="s">
        <v>441</v>
      </c>
      <c r="F151" s="373" t="s">
        <v>437</v>
      </c>
      <c r="G151" s="491" t="s">
        <v>2226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609</v>
      </c>
      <c r="D152" s="373" t="s">
        <v>1089</v>
      </c>
      <c r="E152" s="373" t="s">
        <v>860</v>
      </c>
      <c r="F152" s="373" t="s">
        <v>437</v>
      </c>
      <c r="G152" s="491" t="s">
        <v>206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609</v>
      </c>
      <c r="D153" s="373" t="s">
        <v>1089</v>
      </c>
      <c r="E153" s="373" t="s">
        <v>860</v>
      </c>
      <c r="F153" s="373" t="s">
        <v>437</v>
      </c>
      <c r="G153" s="491" t="s">
        <v>199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609</v>
      </c>
      <c r="D154" s="373" t="s">
        <v>1089</v>
      </c>
      <c r="E154" s="373" t="s">
        <v>860</v>
      </c>
      <c r="F154" s="373" t="s">
        <v>437</v>
      </c>
      <c r="G154" s="491" t="s">
        <v>608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609</v>
      </c>
      <c r="D155" s="373" t="s">
        <v>1089</v>
      </c>
      <c r="E155" s="373" t="s">
        <v>860</v>
      </c>
      <c r="F155" s="373" t="s">
        <v>437</v>
      </c>
      <c r="G155" s="491" t="s">
        <v>198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609</v>
      </c>
      <c r="D156" s="373" t="s">
        <v>1089</v>
      </c>
      <c r="E156" s="373" t="s">
        <v>860</v>
      </c>
      <c r="F156" s="373" t="s">
        <v>437</v>
      </c>
      <c r="G156" s="491" t="s">
        <v>2226</v>
      </c>
      <c r="H156" s="492">
        <v>1.8172093886100003E-2</v>
      </c>
      <c r="I156" s="492">
        <v>1</v>
      </c>
    </row>
    <row r="157" spans="2:9" outlineLevel="1">
      <c r="C157" s="390" t="s">
        <v>285</v>
      </c>
      <c r="D157" s="390" t="s">
        <v>1089</v>
      </c>
      <c r="E157" s="390"/>
      <c r="F157" s="390" t="s">
        <v>102</v>
      </c>
      <c r="G157" s="475" t="s">
        <v>2277</v>
      </c>
      <c r="H157" s="490">
        <v>0</v>
      </c>
      <c r="I157" s="490">
        <v>0</v>
      </c>
    </row>
    <row r="158" spans="2:9" outlineLevel="1">
      <c r="C158" s="390" t="s">
        <v>916</v>
      </c>
      <c r="D158" s="390" t="s">
        <v>916</v>
      </c>
      <c r="E158" s="390"/>
      <c r="F158" s="390" t="s">
        <v>102</v>
      </c>
      <c r="G158" s="475" t="s">
        <v>2278</v>
      </c>
      <c r="H158" s="490">
        <v>0</v>
      </c>
      <c r="I158" s="490">
        <v>0</v>
      </c>
    </row>
    <row r="159" spans="2:9" outlineLevel="1">
      <c r="C159" s="390" t="s">
        <v>1388</v>
      </c>
      <c r="D159" s="390" t="s">
        <v>1388</v>
      </c>
      <c r="E159" s="390"/>
      <c r="F159" s="390" t="s">
        <v>102</v>
      </c>
      <c r="G159" s="475" t="s">
        <v>2254</v>
      </c>
      <c r="H159" s="490">
        <v>0</v>
      </c>
      <c r="I159" s="490">
        <v>0</v>
      </c>
    </row>
    <row r="160" spans="2:9" outlineLevel="1">
      <c r="C160" s="390" t="s">
        <v>1400</v>
      </c>
      <c r="D160" s="390" t="s">
        <v>1400</v>
      </c>
      <c r="E160" s="390"/>
      <c r="F160" s="390" t="s">
        <v>102</v>
      </c>
      <c r="G160" s="475" t="s">
        <v>2291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1400</v>
      </c>
      <c r="D161" s="373" t="s">
        <v>1400</v>
      </c>
      <c r="E161" s="373" t="s">
        <v>441</v>
      </c>
      <c r="F161" s="373" t="s">
        <v>437</v>
      </c>
      <c r="G161" s="491" t="s">
        <v>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1400</v>
      </c>
      <c r="D162" s="373" t="s">
        <v>1400</v>
      </c>
      <c r="E162" s="373" t="s">
        <v>441</v>
      </c>
      <c r="F162" s="373" t="s">
        <v>437</v>
      </c>
      <c r="G162" s="491" t="s">
        <v>208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1400</v>
      </c>
      <c r="D163" s="373" t="s">
        <v>1400</v>
      </c>
      <c r="E163" s="373" t="s">
        <v>860</v>
      </c>
      <c r="F163" s="373" t="s">
        <v>437</v>
      </c>
      <c r="G163" s="491" t="s">
        <v>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1400</v>
      </c>
      <c r="D164" s="373" t="s">
        <v>1400</v>
      </c>
      <c r="E164" s="373" t="s">
        <v>860</v>
      </c>
      <c r="F164" s="373" t="s">
        <v>437</v>
      </c>
      <c r="G164" s="491" t="s">
        <v>208</v>
      </c>
      <c r="H164" s="492">
        <v>4.6977119999999997E-3</v>
      </c>
      <c r="I164" s="492">
        <v>1</v>
      </c>
    </row>
    <row r="165" spans="2:9" outlineLevel="1">
      <c r="C165" s="390" t="s">
        <v>369</v>
      </c>
      <c r="D165" s="390" t="s">
        <v>843</v>
      </c>
      <c r="E165" s="390"/>
      <c r="F165" s="390" t="s">
        <v>102</v>
      </c>
      <c r="G165" s="475" t="s">
        <v>2269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369</v>
      </c>
      <c r="D166" s="373" t="s">
        <v>843</v>
      </c>
      <c r="E166" s="373" t="s">
        <v>441</v>
      </c>
      <c r="F166" s="373" t="s">
        <v>437</v>
      </c>
      <c r="G166" s="491" t="s">
        <v>206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369</v>
      </c>
      <c r="D167" s="373" t="s">
        <v>843</v>
      </c>
      <c r="E167" s="373" t="s">
        <v>441</v>
      </c>
      <c r="F167" s="373" t="s">
        <v>437</v>
      </c>
      <c r="G167" s="491" t="s">
        <v>208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369</v>
      </c>
      <c r="D168" s="373" t="s">
        <v>843</v>
      </c>
      <c r="E168" s="373" t="s">
        <v>441</v>
      </c>
      <c r="F168" s="373" t="s">
        <v>437</v>
      </c>
      <c r="G168" s="491" t="s">
        <v>230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369</v>
      </c>
      <c r="D169" s="373" t="s">
        <v>843</v>
      </c>
      <c r="E169" s="373" t="s">
        <v>860</v>
      </c>
      <c r="F169" s="373" t="s">
        <v>437</v>
      </c>
      <c r="G169" s="491" t="s">
        <v>206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369</v>
      </c>
      <c r="D170" s="373" t="s">
        <v>843</v>
      </c>
      <c r="E170" s="373" t="s">
        <v>860</v>
      </c>
      <c r="F170" s="373" t="s">
        <v>437</v>
      </c>
      <c r="G170" s="491" t="s">
        <v>208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22.28515625" style="373" customWidth="1"/>
    <col min="4" max="4" width="14.7109375" style="373" customWidth="1"/>
    <col min="5" max="5" width="16.7109375" style="373" customWidth="1"/>
    <col min="6" max="6" width="13.7109375" style="373" bestFit="1" customWidth="1"/>
    <col min="7" max="7" width="56.7109375" style="491" customWidth="1"/>
    <col min="8" max="8" width="12.7109375" style="373" bestFit="1" customWidth="1"/>
    <col min="9" max="9" width="11" style="373" customWidth="1"/>
    <col min="10" max="10" width="0.5703125" style="373" customWidth="1"/>
    <col min="11" max="12" width="9.42578125" style="373" bestFit="1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 bestFit="1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2238</v>
      </c>
      <c r="D2" s="418"/>
      <c r="E2" s="418"/>
      <c r="F2" s="418"/>
      <c r="G2" s="469"/>
      <c r="H2" s="419" t="s">
        <v>2047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935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1364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2250</v>
      </c>
      <c r="C7" s="470" t="s">
        <v>144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3.9" outlineLevel="1">
      <c r="C9" s="513" t="s">
        <v>2337</v>
      </c>
      <c r="D9" s="513" t="s">
        <v>1914</v>
      </c>
      <c r="E9" s="513" t="s">
        <v>617</v>
      </c>
      <c r="F9" s="513" t="s">
        <v>144</v>
      </c>
      <c r="G9" s="513" t="s">
        <v>145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3.9" outlineLevel="2">
      <c r="B10" s="373">
        <v>1</v>
      </c>
      <c r="C10" s="536" t="s">
        <v>2338</v>
      </c>
      <c r="D10" s="536" t="s">
        <v>511</v>
      </c>
      <c r="E10" s="536" t="s">
        <v>617</v>
      </c>
      <c r="F10" s="536" t="s">
        <v>144</v>
      </c>
      <c r="G10" s="536" t="s">
        <v>2339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3.9" outlineLevel="2">
      <c r="B11" s="373">
        <v>1</v>
      </c>
      <c r="C11" s="536" t="s">
        <v>214</v>
      </c>
      <c r="D11" s="536" t="s">
        <v>515</v>
      </c>
      <c r="E11" s="536" t="s">
        <v>617</v>
      </c>
      <c r="F11" s="536" t="s">
        <v>144</v>
      </c>
      <c r="G11" s="536" t="s">
        <v>2340</v>
      </c>
      <c r="H11" s="483">
        <f>((8000*525)/10^7)</f>
        <v>0.42</v>
      </c>
      <c r="I11" s="538">
        <v>1</v>
      </c>
      <c r="K11" s="503"/>
      <c r="L11" s="503"/>
    </row>
    <row r="12" spans="1:25" ht="13.9" outlineLevel="1">
      <c r="C12" s="513" t="s">
        <v>2341</v>
      </c>
      <c r="D12" s="513" t="s">
        <v>2342</v>
      </c>
      <c r="E12" s="513" t="s">
        <v>617</v>
      </c>
      <c r="F12" s="513" t="s">
        <v>144</v>
      </c>
      <c r="G12" s="513" t="s">
        <v>146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3.9" outlineLevel="2">
      <c r="C13" s="536" t="s">
        <v>1664</v>
      </c>
      <c r="D13" s="536" t="s">
        <v>1664</v>
      </c>
      <c r="E13" s="536" t="s">
        <v>617</v>
      </c>
      <c r="F13" s="536" t="s">
        <v>144</v>
      </c>
      <c r="G13" s="536" t="s">
        <v>147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3.9" outlineLevel="2">
      <c r="C14" s="536" t="s">
        <v>1861</v>
      </c>
      <c r="D14" s="536" t="s">
        <v>1861</v>
      </c>
      <c r="E14" s="536" t="s">
        <v>617</v>
      </c>
      <c r="F14" s="536" t="s">
        <v>144</v>
      </c>
      <c r="G14" s="536" t="s">
        <v>148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3.9" outlineLevel="2">
      <c r="C15" s="536" t="s">
        <v>1834</v>
      </c>
      <c r="D15" s="536" t="s">
        <v>1834</v>
      </c>
      <c r="E15" s="536" t="s">
        <v>617</v>
      </c>
      <c r="F15" s="536" t="s">
        <v>144</v>
      </c>
      <c r="G15" s="536" t="s">
        <v>149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2238</v>
      </c>
      <c r="C2" s="418"/>
      <c r="D2" s="418"/>
      <c r="E2" s="418"/>
      <c r="F2" s="469"/>
      <c r="G2" s="419" t="s">
        <v>2047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935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1364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 collapsed="1">
      <c r="A7" s="376"/>
      <c r="B7" s="470" t="s">
        <v>1100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897</v>
      </c>
      <c r="C9" s="475" t="s">
        <v>1089</v>
      </c>
      <c r="D9" s="475" t="s">
        <v>159</v>
      </c>
      <c r="E9" s="475" t="s">
        <v>1100</v>
      </c>
      <c r="F9" s="475" t="s">
        <v>2239</v>
      </c>
      <c r="G9" s="476">
        <v>0</v>
      </c>
      <c r="H9" s="476">
        <v>0</v>
      </c>
    </row>
    <row r="10" spans="1:24" hidden="1" outlineLevel="1" collapsed="1">
      <c r="B10" s="475" t="s">
        <v>898</v>
      </c>
      <c r="C10" s="446" t="s">
        <v>1099</v>
      </c>
      <c r="D10" s="445" t="s">
        <v>159</v>
      </c>
      <c r="E10" s="446" t="s">
        <v>1100</v>
      </c>
      <c r="F10" s="475" t="s">
        <v>2240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898</v>
      </c>
      <c r="C11" s="447" t="s">
        <v>1099</v>
      </c>
      <c r="D11" s="443" t="s">
        <v>159</v>
      </c>
      <c r="E11" s="447" t="s">
        <v>1100</v>
      </c>
      <c r="F11" s="477" t="s">
        <v>174</v>
      </c>
      <c r="G11" s="478">
        <v>7.0000000000000007E-2</v>
      </c>
      <c r="H11" s="478">
        <v>1</v>
      </c>
    </row>
    <row r="12" spans="1:24" hidden="1" outlineLevel="2">
      <c r="B12" s="477" t="s">
        <v>898</v>
      </c>
      <c r="C12" s="447" t="s">
        <v>1099</v>
      </c>
      <c r="D12" s="443" t="s">
        <v>159</v>
      </c>
      <c r="E12" s="447" t="s">
        <v>1100</v>
      </c>
      <c r="F12" s="477" t="s">
        <v>175</v>
      </c>
      <c r="G12" s="478">
        <v>0.18</v>
      </c>
      <c r="H12" s="478">
        <v>1</v>
      </c>
    </row>
    <row r="13" spans="1:24" hidden="1" outlineLevel="1" collapsed="1">
      <c r="B13" s="475" t="s">
        <v>899</v>
      </c>
      <c r="C13" s="446" t="s">
        <v>1107</v>
      </c>
      <c r="D13" s="445" t="s">
        <v>159</v>
      </c>
      <c r="E13" s="446" t="s">
        <v>1100</v>
      </c>
      <c r="F13" s="475" t="s">
        <v>2241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899</v>
      </c>
      <c r="C14" s="447" t="s">
        <v>1107</v>
      </c>
      <c r="D14" s="443" t="s">
        <v>159</v>
      </c>
      <c r="E14" s="447" t="s">
        <v>1100</v>
      </c>
      <c r="F14" s="477" t="s">
        <v>188</v>
      </c>
      <c r="G14" s="478">
        <v>0.3</v>
      </c>
      <c r="H14" s="478">
        <v>1</v>
      </c>
    </row>
    <row r="15" spans="1:24" hidden="1" outlineLevel="2">
      <c r="B15" s="477" t="s">
        <v>899</v>
      </c>
      <c r="C15" s="447" t="s">
        <v>1107</v>
      </c>
      <c r="D15" s="443" t="s">
        <v>159</v>
      </c>
      <c r="E15" s="447" t="s">
        <v>1100</v>
      </c>
      <c r="F15" s="477" t="s">
        <v>189</v>
      </c>
      <c r="G15" s="478">
        <v>0.3</v>
      </c>
      <c r="H15" s="478">
        <v>1</v>
      </c>
    </row>
    <row r="16" spans="1:24" hidden="1" outlineLevel="2">
      <c r="B16" s="477" t="s">
        <v>899</v>
      </c>
      <c r="C16" s="447" t="s">
        <v>1107</v>
      </c>
      <c r="D16" s="443" t="s">
        <v>159</v>
      </c>
      <c r="E16" s="447" t="s">
        <v>1100</v>
      </c>
      <c r="F16" s="477" t="s">
        <v>190</v>
      </c>
      <c r="G16" s="478">
        <v>0.03</v>
      </c>
      <c r="H16" s="478">
        <v>1</v>
      </c>
    </row>
    <row r="17" spans="2:8" hidden="1" outlineLevel="2">
      <c r="B17" s="477" t="s">
        <v>899</v>
      </c>
      <c r="C17" s="447" t="s">
        <v>1107</v>
      </c>
      <c r="D17" s="443" t="s">
        <v>159</v>
      </c>
      <c r="E17" s="447" t="s">
        <v>1100</v>
      </c>
      <c r="F17" s="477" t="s">
        <v>2122</v>
      </c>
      <c r="G17" s="478">
        <v>1.7453571000000001</v>
      </c>
      <c r="H17" s="478">
        <v>1</v>
      </c>
    </row>
    <row r="18" spans="2:8" hidden="1" outlineLevel="1" collapsed="1">
      <c r="B18" s="475" t="s">
        <v>1137</v>
      </c>
      <c r="C18" s="446" t="s">
        <v>956</v>
      </c>
      <c r="D18" s="445" t="s">
        <v>159</v>
      </c>
      <c r="E18" s="446" t="s">
        <v>1100</v>
      </c>
      <c r="F18" s="475" t="s">
        <v>2242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1137</v>
      </c>
      <c r="C19" s="447" t="s">
        <v>956</v>
      </c>
      <c r="D19" s="443" t="s">
        <v>159</v>
      </c>
      <c r="E19" s="447" t="s">
        <v>1100</v>
      </c>
      <c r="F19" s="477" t="s">
        <v>2139</v>
      </c>
      <c r="G19" s="478">
        <v>9.2092275000000001E-2</v>
      </c>
      <c r="H19" s="478">
        <v>1</v>
      </c>
    </row>
    <row r="20" spans="2:8" hidden="1" outlineLevel="2">
      <c r="B20" s="477" t="s">
        <v>1137</v>
      </c>
      <c r="C20" s="447" t="s">
        <v>956</v>
      </c>
      <c r="D20" s="443" t="s">
        <v>159</v>
      </c>
      <c r="E20" s="447" t="s">
        <v>1100</v>
      </c>
      <c r="F20" s="477" t="s">
        <v>2140</v>
      </c>
      <c r="G20" s="478">
        <v>0.13060359000000002</v>
      </c>
      <c r="H20" s="478">
        <v>1</v>
      </c>
    </row>
    <row r="21" spans="2:8" hidden="1" outlineLevel="2">
      <c r="B21" s="477" t="s">
        <v>1137</v>
      </c>
      <c r="C21" s="447" t="s">
        <v>956</v>
      </c>
      <c r="D21" s="443" t="s">
        <v>159</v>
      </c>
      <c r="E21" s="447" t="s">
        <v>1100</v>
      </c>
      <c r="F21" s="477" t="s">
        <v>2141</v>
      </c>
      <c r="G21" s="478">
        <v>7.8362154000000003E-2</v>
      </c>
      <c r="H21" s="478">
        <v>1</v>
      </c>
    </row>
    <row r="22" spans="2:8" hidden="1" outlineLevel="1" collapsed="1">
      <c r="B22" s="475" t="s">
        <v>1299</v>
      </c>
      <c r="C22" s="446" t="s">
        <v>1300</v>
      </c>
      <c r="D22" s="445" t="s">
        <v>159</v>
      </c>
      <c r="E22" s="446" t="s">
        <v>1100</v>
      </c>
      <c r="F22" s="475" t="s">
        <v>2243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1299</v>
      </c>
      <c r="C23" s="447" t="s">
        <v>1300</v>
      </c>
      <c r="D23" s="443" t="s">
        <v>159</v>
      </c>
      <c r="E23" s="447" t="s">
        <v>1100</v>
      </c>
      <c r="F23" s="477" t="s">
        <v>199</v>
      </c>
      <c r="G23" s="478">
        <v>4.3906973852126532</v>
      </c>
      <c r="H23" s="478">
        <v>1</v>
      </c>
    </row>
    <row r="24" spans="2:8" hidden="1" outlineLevel="2">
      <c r="B24" s="477" t="s">
        <v>1299</v>
      </c>
      <c r="C24" s="447" t="s">
        <v>1300</v>
      </c>
      <c r="D24" s="443" t="s">
        <v>159</v>
      </c>
      <c r="E24" s="447" t="s">
        <v>1100</v>
      </c>
      <c r="F24" s="477" t="s">
        <v>209</v>
      </c>
      <c r="G24" s="478">
        <v>2.1953486926063266</v>
      </c>
      <c r="H24" s="478">
        <v>1</v>
      </c>
    </row>
    <row r="25" spans="2:8" hidden="1" outlineLevel="2">
      <c r="B25" s="477" t="s">
        <v>1299</v>
      </c>
      <c r="C25" s="447" t="s">
        <v>1300</v>
      </c>
      <c r="D25" s="443" t="s">
        <v>159</v>
      </c>
      <c r="E25" s="447" t="s">
        <v>1100</v>
      </c>
      <c r="F25" s="477" t="s">
        <v>198</v>
      </c>
      <c r="G25" s="478">
        <v>2.1953486926063266</v>
      </c>
      <c r="H25" s="478">
        <v>1</v>
      </c>
    </row>
    <row r="26" spans="2:8" hidden="1" outlineLevel="1" collapsed="1">
      <c r="B26" s="475" t="s">
        <v>901</v>
      </c>
      <c r="C26" s="446" t="s">
        <v>1089</v>
      </c>
      <c r="D26" s="445" t="s">
        <v>159</v>
      </c>
      <c r="E26" s="446" t="s">
        <v>1100</v>
      </c>
      <c r="F26" s="475" t="s">
        <v>2244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901</v>
      </c>
      <c r="C27" s="447" t="s">
        <v>1089</v>
      </c>
      <c r="D27" s="443" t="s">
        <v>159</v>
      </c>
      <c r="E27" s="447" t="s">
        <v>1100</v>
      </c>
      <c r="F27" s="477" t="s">
        <v>216</v>
      </c>
      <c r="G27" s="478">
        <v>0.51</v>
      </c>
      <c r="H27" s="478">
        <v>1</v>
      </c>
    </row>
    <row r="28" spans="2:8" hidden="1" outlineLevel="2">
      <c r="B28" s="477" t="s">
        <v>901</v>
      </c>
      <c r="C28" s="447" t="s">
        <v>1089</v>
      </c>
      <c r="D28" s="443" t="s">
        <v>159</v>
      </c>
      <c r="E28" s="447" t="s">
        <v>1100</v>
      </c>
      <c r="F28" s="477" t="s">
        <v>218</v>
      </c>
      <c r="G28" s="478">
        <v>0.3</v>
      </c>
      <c r="H28" s="478">
        <v>1</v>
      </c>
    </row>
    <row r="29" spans="2:8" hidden="1" outlineLevel="2">
      <c r="B29" s="477" t="s">
        <v>901</v>
      </c>
      <c r="C29" s="447" t="s">
        <v>1089</v>
      </c>
      <c r="D29" s="443" t="s">
        <v>159</v>
      </c>
      <c r="E29" s="447" t="s">
        <v>1100</v>
      </c>
      <c r="F29" s="477" t="s">
        <v>190</v>
      </c>
      <c r="G29" s="478">
        <v>0.09</v>
      </c>
      <c r="H29" s="478">
        <v>1</v>
      </c>
    </row>
    <row r="30" spans="2:8" hidden="1" outlineLevel="2">
      <c r="B30" s="477" t="s">
        <v>901</v>
      </c>
      <c r="C30" s="447" t="s">
        <v>1089</v>
      </c>
      <c r="D30" s="443" t="s">
        <v>159</v>
      </c>
      <c r="E30" s="447" t="s">
        <v>1100</v>
      </c>
      <c r="F30" s="477" t="s">
        <v>174</v>
      </c>
      <c r="G30" s="478">
        <v>0.03</v>
      </c>
      <c r="H30" s="478">
        <v>1</v>
      </c>
    </row>
    <row r="31" spans="2:8" hidden="1" outlineLevel="2">
      <c r="B31" s="477" t="s">
        <v>901</v>
      </c>
      <c r="C31" s="447" t="s">
        <v>1089</v>
      </c>
      <c r="D31" s="443" t="s">
        <v>159</v>
      </c>
      <c r="E31" s="447" t="s">
        <v>1100</v>
      </c>
      <c r="F31" s="477" t="s">
        <v>195</v>
      </c>
      <c r="G31" s="478">
        <v>0.03</v>
      </c>
      <c r="H31" s="478">
        <v>1</v>
      </c>
    </row>
    <row r="32" spans="2:8" hidden="1" outlineLevel="1" collapsed="1">
      <c r="B32" s="475" t="s">
        <v>225</v>
      </c>
      <c r="C32" s="446" t="s">
        <v>1241</v>
      </c>
      <c r="D32" s="445" t="s">
        <v>159</v>
      </c>
      <c r="E32" s="446" t="s">
        <v>1100</v>
      </c>
      <c r="F32" s="475" t="s">
        <v>2245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225</v>
      </c>
      <c r="C33" s="447" t="s">
        <v>1241</v>
      </c>
      <c r="D33" s="443" t="s">
        <v>159</v>
      </c>
      <c r="E33" s="447" t="s">
        <v>1100</v>
      </c>
      <c r="F33" s="477" t="s">
        <v>36</v>
      </c>
      <c r="G33" s="478">
        <v>6.3E-2</v>
      </c>
      <c r="H33" s="478">
        <v>1</v>
      </c>
    </row>
    <row r="34" spans="2:8" hidden="1" outlineLevel="2">
      <c r="B34" s="477" t="s">
        <v>225</v>
      </c>
      <c r="C34" s="447" t="s">
        <v>1241</v>
      </c>
      <c r="D34" s="443" t="s">
        <v>159</v>
      </c>
      <c r="E34" s="447" t="s">
        <v>1100</v>
      </c>
      <c r="F34" s="477" t="s">
        <v>208</v>
      </c>
      <c r="G34" s="478">
        <v>4.2000000000000003E-2</v>
      </c>
      <c r="H34" s="478">
        <v>1</v>
      </c>
    </row>
    <row r="35" spans="2:8" hidden="1" outlineLevel="1" collapsed="1">
      <c r="B35" s="475" t="s">
        <v>229</v>
      </c>
      <c r="C35" s="446" t="s">
        <v>1245</v>
      </c>
      <c r="D35" s="445" t="s">
        <v>159</v>
      </c>
      <c r="E35" s="479" t="s">
        <v>1100</v>
      </c>
      <c r="F35" s="475" t="s">
        <v>2246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229</v>
      </c>
      <c r="C36" s="447" t="s">
        <v>1245</v>
      </c>
      <c r="D36" s="443" t="s">
        <v>159</v>
      </c>
      <c r="E36" s="382" t="s">
        <v>1100</v>
      </c>
      <c r="F36" s="477" t="s">
        <v>1238</v>
      </c>
      <c r="G36" s="478">
        <v>0.12999000000000002</v>
      </c>
      <c r="H36" s="478">
        <v>1</v>
      </c>
    </row>
    <row r="37" spans="2:8" hidden="1" outlineLevel="2">
      <c r="B37" s="477" t="s">
        <v>229</v>
      </c>
      <c r="C37" s="447" t="s">
        <v>1245</v>
      </c>
      <c r="D37" s="443" t="s">
        <v>159</v>
      </c>
      <c r="E37" s="382" t="s">
        <v>1100</v>
      </c>
      <c r="F37" s="477" t="s">
        <v>1239</v>
      </c>
      <c r="G37" s="478">
        <v>0.25998000000000004</v>
      </c>
      <c r="H37" s="478">
        <v>1</v>
      </c>
    </row>
    <row r="38" spans="2:8" hidden="1" outlineLevel="2">
      <c r="B38" s="477" t="s">
        <v>229</v>
      </c>
      <c r="C38" s="447" t="s">
        <v>1245</v>
      </c>
      <c r="D38" s="443" t="s">
        <v>159</v>
      </c>
      <c r="E38" s="382" t="s">
        <v>1100</v>
      </c>
      <c r="F38" s="477" t="s">
        <v>1246</v>
      </c>
      <c r="G38" s="478">
        <v>0.19498499999999999</v>
      </c>
      <c r="H38" s="478">
        <v>1</v>
      </c>
    </row>
    <row r="39" spans="2:8" hidden="1" outlineLevel="2">
      <c r="B39" s="477" t="s">
        <v>229</v>
      </c>
      <c r="C39" s="447" t="s">
        <v>1245</v>
      </c>
      <c r="D39" s="443" t="s">
        <v>159</v>
      </c>
      <c r="E39" s="382" t="s">
        <v>1100</v>
      </c>
      <c r="F39" s="477" t="s">
        <v>1247</v>
      </c>
      <c r="G39" s="478">
        <v>0.19498499999999999</v>
      </c>
      <c r="H39" s="478">
        <v>1</v>
      </c>
    </row>
    <row r="40" spans="2:8" hidden="1" outlineLevel="1" collapsed="1">
      <c r="B40" s="475" t="s">
        <v>498</v>
      </c>
      <c r="C40" s="446" t="s">
        <v>1258</v>
      </c>
      <c r="D40" s="445" t="s">
        <v>159</v>
      </c>
      <c r="E40" s="446" t="s">
        <v>1100</v>
      </c>
      <c r="F40" s="475" t="s">
        <v>2247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498</v>
      </c>
      <c r="C41" s="447" t="s">
        <v>1258</v>
      </c>
      <c r="D41" s="443" t="s">
        <v>159</v>
      </c>
      <c r="E41" s="447" t="s">
        <v>1100</v>
      </c>
      <c r="F41" s="468" t="s">
        <v>226</v>
      </c>
      <c r="G41" s="480">
        <v>0.17598400959999999</v>
      </c>
      <c r="H41" s="478">
        <v>1</v>
      </c>
    </row>
    <row r="42" spans="2:8" hidden="1" outlineLevel="2">
      <c r="B42" s="477" t="s">
        <v>498</v>
      </c>
      <c r="C42" s="447" t="s">
        <v>1258</v>
      </c>
      <c r="D42" s="443" t="s">
        <v>159</v>
      </c>
      <c r="E42" s="447" t="s">
        <v>1100</v>
      </c>
      <c r="F42" s="468" t="s">
        <v>36</v>
      </c>
      <c r="G42" s="480">
        <v>0.26397601440000001</v>
      </c>
      <c r="H42" s="478">
        <v>1</v>
      </c>
    </row>
    <row r="43" spans="2:8" hidden="1" outlineLevel="1" collapsed="1">
      <c r="B43" s="475" t="s">
        <v>902</v>
      </c>
      <c r="C43" s="446" t="s">
        <v>1018</v>
      </c>
      <c r="D43" s="445" t="s">
        <v>159</v>
      </c>
      <c r="E43" s="446" t="s">
        <v>1100</v>
      </c>
      <c r="F43" s="475" t="s">
        <v>2248</v>
      </c>
      <c r="G43" s="476">
        <v>1.18</v>
      </c>
      <c r="H43" s="476">
        <f>SUM(H44:H46)</f>
        <v>3</v>
      </c>
    </row>
    <row r="44" spans="2:8" hidden="1" outlineLevel="2">
      <c r="B44" s="477" t="s">
        <v>902</v>
      </c>
      <c r="C44" s="447" t="s">
        <v>1018</v>
      </c>
      <c r="D44" s="443" t="s">
        <v>159</v>
      </c>
      <c r="E44" s="447" t="s">
        <v>1100</v>
      </c>
      <c r="F44" s="477" t="s">
        <v>205</v>
      </c>
      <c r="G44" s="478">
        <v>0.54</v>
      </c>
      <c r="H44" s="478">
        <v>1</v>
      </c>
    </row>
    <row r="45" spans="2:8" hidden="1" outlineLevel="2">
      <c r="B45" s="477" t="s">
        <v>902</v>
      </c>
      <c r="C45" s="447" t="s">
        <v>1018</v>
      </c>
      <c r="D45" s="443" t="s">
        <v>159</v>
      </c>
      <c r="E45" s="447" t="s">
        <v>1100</v>
      </c>
      <c r="F45" s="477" t="s">
        <v>206</v>
      </c>
      <c r="G45" s="478">
        <v>0.43</v>
      </c>
      <c r="H45" s="478">
        <v>1</v>
      </c>
    </row>
    <row r="46" spans="2:8" hidden="1" outlineLevel="2">
      <c r="B46" s="477" t="s">
        <v>902</v>
      </c>
      <c r="C46" s="447" t="s">
        <v>1018</v>
      </c>
      <c r="D46" s="443" t="s">
        <v>159</v>
      </c>
      <c r="E46" s="447" t="s">
        <v>1100</v>
      </c>
      <c r="F46" s="477" t="s">
        <v>208</v>
      </c>
      <c r="G46" s="478">
        <v>0.21</v>
      </c>
      <c r="H46" s="478">
        <v>1</v>
      </c>
    </row>
    <row r="47" spans="2:8" hidden="1" outlineLevel="1" collapsed="1">
      <c r="B47" s="475" t="s">
        <v>1310</v>
      </c>
      <c r="C47" s="446" t="s">
        <v>1310</v>
      </c>
      <c r="D47" s="445" t="s">
        <v>159</v>
      </c>
      <c r="E47" s="481" t="s">
        <v>1100</v>
      </c>
      <c r="F47" s="475" t="s">
        <v>2249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1310</v>
      </c>
      <c r="C48" s="447" t="s">
        <v>1310</v>
      </c>
      <c r="D48" s="443" t="s">
        <v>159</v>
      </c>
      <c r="E48" s="448" t="s">
        <v>1100</v>
      </c>
      <c r="F48" s="482" t="s">
        <v>205</v>
      </c>
      <c r="G48" s="483">
        <v>4.7746000000000013</v>
      </c>
      <c r="H48" s="478">
        <v>1</v>
      </c>
    </row>
    <row r="49" spans="2:8" hidden="1" outlineLevel="2">
      <c r="B49" s="477" t="s">
        <v>1310</v>
      </c>
      <c r="C49" s="447" t="s">
        <v>1310</v>
      </c>
      <c r="D49" s="443" t="s">
        <v>159</v>
      </c>
      <c r="E49" s="448" t="s">
        <v>1100</v>
      </c>
      <c r="F49" s="482" t="s">
        <v>206</v>
      </c>
      <c r="G49" s="483">
        <v>4.3640000000000008</v>
      </c>
      <c r="H49" s="478">
        <v>1</v>
      </c>
    </row>
    <row r="50" spans="2:8" hidden="1" outlineLevel="2">
      <c r="B50" s="477" t="s">
        <v>1310</v>
      </c>
      <c r="C50" s="447" t="s">
        <v>1310</v>
      </c>
      <c r="D50" s="443" t="s">
        <v>159</v>
      </c>
      <c r="E50" s="448" t="s">
        <v>1100</v>
      </c>
      <c r="F50" s="482" t="s">
        <v>208</v>
      </c>
      <c r="G50" s="483">
        <v>2.2846500000000005</v>
      </c>
      <c r="H50" s="478">
        <v>1</v>
      </c>
    </row>
    <row r="51" spans="2:8" hidden="1" outlineLevel="2">
      <c r="B51" s="477" t="s">
        <v>1310</v>
      </c>
      <c r="C51" s="447" t="s">
        <v>1310</v>
      </c>
      <c r="D51" s="443" t="s">
        <v>159</v>
      </c>
      <c r="E51" s="448" t="s">
        <v>1100</v>
      </c>
      <c r="F51" s="482" t="s">
        <v>209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6" collapsed="1">
      <c r="B53" s="470" t="s">
        <v>950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891</v>
      </c>
      <c r="C55" s="446" t="s">
        <v>949</v>
      </c>
      <c r="D55" s="445" t="s">
        <v>159</v>
      </c>
      <c r="E55" s="446" t="s">
        <v>950</v>
      </c>
      <c r="F55" s="475" t="s">
        <v>2251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891</v>
      </c>
      <c r="C56" s="447" t="s">
        <v>949</v>
      </c>
      <c r="D56" s="443" t="s">
        <v>159</v>
      </c>
      <c r="E56" s="447" t="s">
        <v>950</v>
      </c>
      <c r="F56" s="477" t="s">
        <v>2049</v>
      </c>
      <c r="G56" s="478">
        <v>0.27</v>
      </c>
      <c r="H56" s="478">
        <v>1</v>
      </c>
    </row>
    <row r="57" spans="2:8" hidden="1" outlineLevel="2">
      <c r="B57" s="477" t="s">
        <v>891</v>
      </c>
      <c r="C57" s="447" t="s">
        <v>949</v>
      </c>
      <c r="D57" s="443" t="s">
        <v>159</v>
      </c>
      <c r="E57" s="447" t="s">
        <v>950</v>
      </c>
      <c r="F57" s="477" t="s">
        <v>2051</v>
      </c>
      <c r="G57" s="478">
        <v>4.5377035860000005E-2</v>
      </c>
      <c r="H57" s="478">
        <v>1</v>
      </c>
    </row>
    <row r="58" spans="2:8" hidden="1" outlineLevel="1" collapsed="1">
      <c r="B58" s="475" t="s">
        <v>891</v>
      </c>
      <c r="C58" s="446" t="s">
        <v>956</v>
      </c>
      <c r="D58" s="445" t="s">
        <v>159</v>
      </c>
      <c r="E58" s="446" t="s">
        <v>950</v>
      </c>
      <c r="F58" s="475" t="s">
        <v>2251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891</v>
      </c>
      <c r="C59" s="447" t="s">
        <v>956</v>
      </c>
      <c r="D59" s="443" t="s">
        <v>159</v>
      </c>
      <c r="E59" s="447" t="s">
        <v>950</v>
      </c>
      <c r="F59" s="477" t="s">
        <v>247</v>
      </c>
      <c r="G59" s="478">
        <v>4.2238262499999998E-2</v>
      </c>
      <c r="H59" s="478">
        <v>1</v>
      </c>
    </row>
    <row r="60" spans="2:8" hidden="1" outlineLevel="2">
      <c r="B60" s="477" t="s">
        <v>891</v>
      </c>
      <c r="C60" s="447" t="s">
        <v>956</v>
      </c>
      <c r="D60" s="443" t="s">
        <v>159</v>
      </c>
      <c r="E60" s="447" t="s">
        <v>950</v>
      </c>
      <c r="F60" s="477" t="s">
        <v>251</v>
      </c>
      <c r="G60" s="478">
        <v>3.9416283817853004E-2</v>
      </c>
      <c r="H60" s="478">
        <v>1</v>
      </c>
    </row>
    <row r="61" spans="2:8" hidden="1" outlineLevel="1" collapsed="1">
      <c r="B61" s="475" t="s">
        <v>891</v>
      </c>
      <c r="C61" s="446" t="s">
        <v>969</v>
      </c>
      <c r="D61" s="445" t="s">
        <v>159</v>
      </c>
      <c r="E61" s="446" t="s">
        <v>950</v>
      </c>
      <c r="F61" s="475" t="s">
        <v>2251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891</v>
      </c>
      <c r="C62" s="447" t="s">
        <v>969</v>
      </c>
      <c r="D62" s="443" t="s">
        <v>159</v>
      </c>
      <c r="E62" s="447" t="s">
        <v>950</v>
      </c>
      <c r="F62" s="468" t="s">
        <v>297</v>
      </c>
      <c r="G62" s="480">
        <v>0.27398366869616486</v>
      </c>
      <c r="H62" s="478">
        <v>1</v>
      </c>
    </row>
    <row r="63" spans="2:8" hidden="1" outlineLevel="2">
      <c r="B63" s="477" t="s">
        <v>891</v>
      </c>
      <c r="C63" s="447" t="s">
        <v>969</v>
      </c>
      <c r="D63" s="443" t="s">
        <v>159</v>
      </c>
      <c r="E63" s="447" t="s">
        <v>950</v>
      </c>
      <c r="F63" s="468" t="s">
        <v>206</v>
      </c>
      <c r="G63" s="480">
        <v>0.27398366869616486</v>
      </c>
      <c r="H63" s="478">
        <v>1</v>
      </c>
    </row>
    <row r="64" spans="2:8" hidden="1" outlineLevel="2">
      <c r="B64" s="477" t="s">
        <v>891</v>
      </c>
      <c r="C64" s="447" t="s">
        <v>969</v>
      </c>
      <c r="D64" s="443" t="s">
        <v>159</v>
      </c>
      <c r="E64" s="447" t="s">
        <v>950</v>
      </c>
      <c r="F64" s="468" t="s">
        <v>208</v>
      </c>
      <c r="G64" s="480">
        <v>0.13699183434808243</v>
      </c>
      <c r="H64" s="478">
        <v>1</v>
      </c>
    </row>
    <row r="65" spans="2:8" hidden="1" outlineLevel="2">
      <c r="B65" s="477" t="s">
        <v>891</v>
      </c>
      <c r="C65" s="447" t="s">
        <v>969</v>
      </c>
      <c r="D65" s="443" t="s">
        <v>159</v>
      </c>
      <c r="E65" s="447" t="s">
        <v>950</v>
      </c>
      <c r="F65" s="468" t="s">
        <v>199</v>
      </c>
      <c r="G65" s="480">
        <v>0.27398366869616486</v>
      </c>
      <c r="H65" s="478">
        <v>1</v>
      </c>
    </row>
    <row r="66" spans="2:8" hidden="1" outlineLevel="2">
      <c r="B66" s="477" t="s">
        <v>891</v>
      </c>
      <c r="C66" s="447" t="s">
        <v>969</v>
      </c>
      <c r="D66" s="443" t="s">
        <v>159</v>
      </c>
      <c r="E66" s="447" t="s">
        <v>950</v>
      </c>
      <c r="F66" s="468" t="s">
        <v>2059</v>
      </c>
      <c r="G66" s="480">
        <v>0.36</v>
      </c>
      <c r="H66" s="478">
        <v>1</v>
      </c>
    </row>
    <row r="67" spans="2:8" hidden="1" outlineLevel="2">
      <c r="B67" s="477" t="s">
        <v>891</v>
      </c>
      <c r="C67" s="447" t="s">
        <v>969</v>
      </c>
      <c r="D67" s="443" t="s">
        <v>159</v>
      </c>
      <c r="E67" s="447" t="s">
        <v>950</v>
      </c>
      <c r="F67" s="468" t="s">
        <v>2060</v>
      </c>
      <c r="G67" s="480">
        <v>4.3982695586700871E-2</v>
      </c>
      <c r="H67" s="478">
        <v>1</v>
      </c>
    </row>
    <row r="68" spans="2:8" hidden="1" outlineLevel="2">
      <c r="B68" s="477" t="s">
        <v>891</v>
      </c>
      <c r="C68" s="447" t="s">
        <v>969</v>
      </c>
      <c r="D68" s="443" t="s">
        <v>159</v>
      </c>
      <c r="E68" s="447" t="s">
        <v>950</v>
      </c>
      <c r="F68" s="468" t="s">
        <v>2061</v>
      </c>
      <c r="G68" s="480">
        <v>4.3982695586700871E-2</v>
      </c>
      <c r="H68" s="478">
        <v>1</v>
      </c>
    </row>
    <row r="69" spans="2:8" hidden="1" outlineLevel="2">
      <c r="B69" s="477" t="s">
        <v>891</v>
      </c>
      <c r="C69" s="447" t="s">
        <v>969</v>
      </c>
      <c r="D69" s="443" t="s">
        <v>159</v>
      </c>
      <c r="E69" s="447" t="s">
        <v>950</v>
      </c>
      <c r="F69" s="468" t="s">
        <v>2062</v>
      </c>
      <c r="G69" s="480">
        <v>6.5974043380051306E-2</v>
      </c>
      <c r="H69" s="478">
        <v>1</v>
      </c>
    </row>
    <row r="70" spans="2:8" hidden="1" outlineLevel="2">
      <c r="B70" s="477" t="s">
        <v>891</v>
      </c>
      <c r="C70" s="447" t="s">
        <v>969</v>
      </c>
      <c r="D70" s="443" t="s">
        <v>159</v>
      </c>
      <c r="E70" s="447" t="s">
        <v>950</v>
      </c>
      <c r="F70" s="468" t="s">
        <v>2063</v>
      </c>
      <c r="G70" s="480">
        <v>6.5974043380051306E-2</v>
      </c>
      <c r="H70" s="478">
        <v>1</v>
      </c>
    </row>
    <row r="71" spans="2:8" hidden="1" outlineLevel="2">
      <c r="B71" s="477" t="s">
        <v>891</v>
      </c>
      <c r="C71" s="447" t="s">
        <v>969</v>
      </c>
      <c r="D71" s="443" t="s">
        <v>159</v>
      </c>
      <c r="E71" s="447" t="s">
        <v>950</v>
      </c>
      <c r="F71" s="468" t="s">
        <v>2064</v>
      </c>
      <c r="G71" s="480">
        <v>6.5974043380051306E-2</v>
      </c>
      <c r="H71" s="478">
        <v>1</v>
      </c>
    </row>
    <row r="72" spans="2:8" hidden="1" outlineLevel="2">
      <c r="B72" s="477" t="s">
        <v>891</v>
      </c>
      <c r="C72" s="447" t="s">
        <v>969</v>
      </c>
      <c r="D72" s="443" t="s">
        <v>159</v>
      </c>
      <c r="E72" s="447" t="s">
        <v>950</v>
      </c>
      <c r="F72" s="468" t="s">
        <v>2065</v>
      </c>
      <c r="G72" s="480">
        <v>6.5974043380051306E-2</v>
      </c>
      <c r="H72" s="478">
        <v>1</v>
      </c>
    </row>
    <row r="73" spans="2:8" hidden="1" outlineLevel="2">
      <c r="B73" s="477" t="s">
        <v>891</v>
      </c>
      <c r="C73" s="447" t="s">
        <v>969</v>
      </c>
      <c r="D73" s="443" t="s">
        <v>159</v>
      </c>
      <c r="E73" s="447" t="s">
        <v>950</v>
      </c>
      <c r="F73" s="468" t="s">
        <v>2066</v>
      </c>
      <c r="G73" s="480">
        <v>1.466089852890029E-2</v>
      </c>
      <c r="H73" s="478">
        <v>1</v>
      </c>
    </row>
    <row r="74" spans="2:8" hidden="1" outlineLevel="2">
      <c r="B74" s="477" t="s">
        <v>891</v>
      </c>
      <c r="C74" s="447" t="s">
        <v>969</v>
      </c>
      <c r="D74" s="443" t="s">
        <v>159</v>
      </c>
      <c r="E74" s="447" t="s">
        <v>950</v>
      </c>
      <c r="F74" s="468" t="s">
        <v>2067</v>
      </c>
      <c r="G74" s="480">
        <v>2.932179705780058E-2</v>
      </c>
      <c r="H74" s="478">
        <v>1</v>
      </c>
    </row>
    <row r="75" spans="2:8" hidden="1" outlineLevel="2">
      <c r="B75" s="477" t="s">
        <v>891</v>
      </c>
      <c r="C75" s="447" t="s">
        <v>969</v>
      </c>
      <c r="D75" s="443" t="s">
        <v>159</v>
      </c>
      <c r="E75" s="447" t="s">
        <v>950</v>
      </c>
      <c r="F75" s="468" t="s">
        <v>2068</v>
      </c>
      <c r="G75" s="480">
        <v>4.3982695586700871E-2</v>
      </c>
      <c r="H75" s="478">
        <v>1</v>
      </c>
    </row>
    <row r="76" spans="2:8" hidden="1" outlineLevel="2">
      <c r="B76" s="477" t="s">
        <v>891</v>
      </c>
      <c r="C76" s="447" t="s">
        <v>969</v>
      </c>
      <c r="D76" s="443" t="s">
        <v>159</v>
      </c>
      <c r="E76" s="447" t="s">
        <v>950</v>
      </c>
      <c r="F76" s="468" t="s">
        <v>490</v>
      </c>
      <c r="G76" s="480">
        <v>0.05</v>
      </c>
      <c r="H76" s="478">
        <v>1</v>
      </c>
    </row>
    <row r="77" spans="2:8" hidden="1" outlineLevel="1" collapsed="1">
      <c r="B77" s="475" t="s">
        <v>894</v>
      </c>
      <c r="C77" s="446" t="s">
        <v>1021</v>
      </c>
      <c r="D77" s="445" t="s">
        <v>159</v>
      </c>
      <c r="E77" s="446" t="s">
        <v>950</v>
      </c>
      <c r="F77" s="475" t="s">
        <v>2252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894</v>
      </c>
      <c r="C78" s="447" t="s">
        <v>1021</v>
      </c>
      <c r="D78" s="443" t="s">
        <v>159</v>
      </c>
      <c r="E78" s="447" t="s">
        <v>950</v>
      </c>
      <c r="F78" s="477" t="s">
        <v>334</v>
      </c>
      <c r="G78" s="478">
        <v>0.17</v>
      </c>
      <c r="H78" s="478">
        <v>1</v>
      </c>
    </row>
    <row r="79" spans="2:8" hidden="1" outlineLevel="2">
      <c r="B79" s="477" t="s">
        <v>894</v>
      </c>
      <c r="C79" s="447" t="s">
        <v>1021</v>
      </c>
      <c r="D79" s="443" t="s">
        <v>159</v>
      </c>
      <c r="E79" s="447" t="s">
        <v>950</v>
      </c>
      <c r="F79" s="477" t="s">
        <v>335</v>
      </c>
      <c r="G79" s="478">
        <v>0.17</v>
      </c>
      <c r="H79" s="478">
        <v>1</v>
      </c>
    </row>
    <row r="80" spans="2:8" hidden="1" outlineLevel="2">
      <c r="B80" s="477" t="s">
        <v>894</v>
      </c>
      <c r="C80" s="447" t="s">
        <v>1021</v>
      </c>
      <c r="D80" s="443" t="s">
        <v>159</v>
      </c>
      <c r="E80" s="447" t="s">
        <v>950</v>
      </c>
      <c r="F80" s="477" t="s">
        <v>336</v>
      </c>
      <c r="G80" s="478">
        <v>1.18</v>
      </c>
      <c r="H80" s="478">
        <v>1</v>
      </c>
    </row>
    <row r="81" spans="2:8" hidden="1" outlineLevel="2">
      <c r="B81" s="477" t="s">
        <v>894</v>
      </c>
      <c r="C81" s="447" t="s">
        <v>1021</v>
      </c>
      <c r="D81" s="443" t="s">
        <v>159</v>
      </c>
      <c r="E81" s="447" t="s">
        <v>950</v>
      </c>
      <c r="F81" s="477" t="s">
        <v>2091</v>
      </c>
      <c r="G81" s="478">
        <v>1.0659000000000001</v>
      </c>
      <c r="H81" s="478">
        <v>1</v>
      </c>
    </row>
    <row r="82" spans="2:8" hidden="1" outlineLevel="2">
      <c r="B82" s="477" t="s">
        <v>894</v>
      </c>
      <c r="C82" s="447" t="s">
        <v>1021</v>
      </c>
      <c r="D82" s="443" t="s">
        <v>159</v>
      </c>
      <c r="E82" s="447" t="s">
        <v>950</v>
      </c>
      <c r="F82" s="477" t="s">
        <v>337</v>
      </c>
      <c r="G82" s="478">
        <v>0.45</v>
      </c>
      <c r="H82" s="478">
        <v>1</v>
      </c>
    </row>
    <row r="83" spans="2:8" hidden="1" outlineLevel="2">
      <c r="B83" s="477" t="s">
        <v>894</v>
      </c>
      <c r="C83" s="447" t="s">
        <v>1021</v>
      </c>
      <c r="D83" s="443" t="s">
        <v>159</v>
      </c>
      <c r="E83" s="447" t="s">
        <v>950</v>
      </c>
      <c r="F83" s="477" t="s">
        <v>338</v>
      </c>
      <c r="G83" s="478">
        <v>0.15</v>
      </c>
      <c r="H83" s="478">
        <v>1</v>
      </c>
    </row>
    <row r="84" spans="2:8" hidden="1" outlineLevel="2">
      <c r="B84" s="477" t="s">
        <v>894</v>
      </c>
      <c r="C84" s="447" t="s">
        <v>1021</v>
      </c>
      <c r="D84" s="443" t="s">
        <v>159</v>
      </c>
      <c r="E84" s="447" t="s">
        <v>950</v>
      </c>
      <c r="F84" s="477" t="s">
        <v>339</v>
      </c>
      <c r="G84" s="478">
        <v>0.15</v>
      </c>
      <c r="H84" s="478">
        <v>1</v>
      </c>
    </row>
    <row r="85" spans="2:8" hidden="1" outlineLevel="2">
      <c r="B85" s="477" t="s">
        <v>894</v>
      </c>
      <c r="C85" s="447" t="s">
        <v>1021</v>
      </c>
      <c r="D85" s="443" t="s">
        <v>159</v>
      </c>
      <c r="E85" s="447" t="s">
        <v>950</v>
      </c>
      <c r="F85" s="477" t="s">
        <v>340</v>
      </c>
      <c r="G85" s="478">
        <v>0.03</v>
      </c>
      <c r="H85" s="478">
        <v>1</v>
      </c>
    </row>
    <row r="86" spans="2:8" hidden="1" outlineLevel="1" collapsed="1">
      <c r="B86" s="475" t="s">
        <v>469</v>
      </c>
      <c r="C86" s="446" t="s">
        <v>1049</v>
      </c>
      <c r="D86" s="445" t="s">
        <v>159</v>
      </c>
      <c r="E86" s="446" t="s">
        <v>950</v>
      </c>
      <c r="F86" s="475" t="s">
        <v>2253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469</v>
      </c>
      <c r="C87" s="447" t="s">
        <v>1049</v>
      </c>
      <c r="D87" s="443" t="s">
        <v>159</v>
      </c>
      <c r="E87" s="447" t="s">
        <v>950</v>
      </c>
      <c r="F87" s="477" t="s">
        <v>2103</v>
      </c>
      <c r="G87" s="478">
        <v>0.2</v>
      </c>
      <c r="H87" s="478">
        <v>1</v>
      </c>
    </row>
    <row r="88" spans="2:8" hidden="1" outlineLevel="2">
      <c r="B88" s="477" t="s">
        <v>469</v>
      </c>
      <c r="C88" s="447" t="s">
        <v>1049</v>
      </c>
      <c r="D88" s="443" t="s">
        <v>159</v>
      </c>
      <c r="E88" s="447" t="s">
        <v>950</v>
      </c>
      <c r="F88" s="477" t="s">
        <v>2104</v>
      </c>
      <c r="G88" s="478">
        <v>0.41</v>
      </c>
      <c r="H88" s="478">
        <v>1</v>
      </c>
    </row>
    <row r="89" spans="2:8" hidden="1" outlineLevel="2">
      <c r="B89" s="477" t="s">
        <v>469</v>
      </c>
      <c r="C89" s="447" t="s">
        <v>1049</v>
      </c>
      <c r="D89" s="443" t="s">
        <v>159</v>
      </c>
      <c r="E89" s="447" t="s">
        <v>950</v>
      </c>
      <c r="F89" s="477" t="s">
        <v>2105</v>
      </c>
      <c r="G89" s="478">
        <v>0.61</v>
      </c>
      <c r="H89" s="478">
        <v>1</v>
      </c>
    </row>
    <row r="90" spans="2:8" hidden="1" outlineLevel="2">
      <c r="B90" s="477" t="s">
        <v>469</v>
      </c>
      <c r="C90" s="447" t="s">
        <v>1049</v>
      </c>
      <c r="D90" s="443" t="s">
        <v>159</v>
      </c>
      <c r="E90" s="447" t="s">
        <v>950</v>
      </c>
      <c r="F90" s="477" t="s">
        <v>2106</v>
      </c>
      <c r="G90" s="478">
        <v>0.82</v>
      </c>
      <c r="H90" s="478">
        <v>1</v>
      </c>
    </row>
    <row r="91" spans="2:8" hidden="1" outlineLevel="2">
      <c r="B91" s="477" t="s">
        <v>469</v>
      </c>
      <c r="C91" s="447" t="s">
        <v>1049</v>
      </c>
      <c r="D91" s="443" t="s">
        <v>159</v>
      </c>
      <c r="E91" s="447" t="s">
        <v>950</v>
      </c>
      <c r="F91" s="477" t="s">
        <v>1536</v>
      </c>
      <c r="G91" s="478">
        <v>0.48</v>
      </c>
      <c r="H91" s="478">
        <v>1</v>
      </c>
    </row>
    <row r="92" spans="2:8" hidden="1" outlineLevel="2">
      <c r="B92" s="477" t="s">
        <v>469</v>
      </c>
      <c r="C92" s="447" t="s">
        <v>1049</v>
      </c>
      <c r="D92" s="443" t="s">
        <v>159</v>
      </c>
      <c r="E92" s="447" t="s">
        <v>950</v>
      </c>
      <c r="F92" s="477" t="s">
        <v>1542</v>
      </c>
      <c r="G92" s="478">
        <v>0.9638500000000001</v>
      </c>
      <c r="H92" s="478">
        <v>1</v>
      </c>
    </row>
    <row r="93" spans="2:8" hidden="1" outlineLevel="2">
      <c r="B93" s="477" t="s">
        <v>469</v>
      </c>
      <c r="C93" s="447" t="s">
        <v>1049</v>
      </c>
      <c r="D93" s="443" t="s">
        <v>159</v>
      </c>
      <c r="E93" s="447" t="s">
        <v>950</v>
      </c>
      <c r="F93" s="477" t="s">
        <v>2107</v>
      </c>
      <c r="G93" s="478">
        <v>0.52</v>
      </c>
      <c r="H93" s="478">
        <v>1</v>
      </c>
    </row>
    <row r="94" spans="2:8" hidden="1" outlineLevel="2">
      <c r="B94" s="477" t="s">
        <v>469</v>
      </c>
      <c r="C94" s="447" t="s">
        <v>1049</v>
      </c>
      <c r="D94" s="443" t="s">
        <v>159</v>
      </c>
      <c r="E94" s="447" t="s">
        <v>950</v>
      </c>
      <c r="F94" s="477" t="s">
        <v>2108</v>
      </c>
      <c r="G94" s="478">
        <v>0.52</v>
      </c>
      <c r="H94" s="478">
        <v>1</v>
      </c>
    </row>
    <row r="95" spans="2:8" hidden="1" outlineLevel="2">
      <c r="B95" s="477" t="s">
        <v>469</v>
      </c>
      <c r="C95" s="447" t="s">
        <v>1049</v>
      </c>
      <c r="D95" s="443" t="s">
        <v>159</v>
      </c>
      <c r="E95" s="447" t="s">
        <v>950</v>
      </c>
      <c r="F95" s="477" t="s">
        <v>2109</v>
      </c>
      <c r="G95" s="478">
        <v>0.52</v>
      </c>
      <c r="H95" s="478">
        <v>1</v>
      </c>
    </row>
    <row r="96" spans="2:8" hidden="1" outlineLevel="2">
      <c r="B96" s="477" t="s">
        <v>469</v>
      </c>
      <c r="C96" s="447" t="s">
        <v>1049</v>
      </c>
      <c r="D96" s="443" t="s">
        <v>159</v>
      </c>
      <c r="E96" s="447" t="s">
        <v>950</v>
      </c>
      <c r="F96" s="477" t="s">
        <v>244</v>
      </c>
      <c r="G96" s="478">
        <v>0.17</v>
      </c>
      <c r="H96" s="478">
        <v>1</v>
      </c>
    </row>
    <row r="97" spans="2:8" hidden="1" outlineLevel="2">
      <c r="B97" s="477" t="s">
        <v>469</v>
      </c>
      <c r="C97" s="447" t="s">
        <v>1049</v>
      </c>
      <c r="D97" s="443" t="s">
        <v>159</v>
      </c>
      <c r="E97" s="447" t="s">
        <v>950</v>
      </c>
      <c r="F97" s="477" t="s">
        <v>544</v>
      </c>
      <c r="G97" s="478">
        <v>0.48</v>
      </c>
      <c r="H97" s="478">
        <v>1</v>
      </c>
    </row>
    <row r="98" spans="2:8" hidden="1" outlineLevel="2">
      <c r="B98" s="477" t="s">
        <v>469</v>
      </c>
      <c r="C98" s="447" t="s">
        <v>1049</v>
      </c>
      <c r="D98" s="443" t="s">
        <v>159</v>
      </c>
      <c r="E98" s="447" t="s">
        <v>950</v>
      </c>
      <c r="F98" s="477" t="s">
        <v>545</v>
      </c>
      <c r="G98" s="478">
        <v>0.24</v>
      </c>
      <c r="H98" s="478">
        <v>1</v>
      </c>
    </row>
    <row r="99" spans="2:8" hidden="1" outlineLevel="2">
      <c r="B99" s="477" t="s">
        <v>469</v>
      </c>
      <c r="C99" s="447" t="s">
        <v>1049</v>
      </c>
      <c r="D99" s="443" t="s">
        <v>159</v>
      </c>
      <c r="E99" s="447" t="s">
        <v>950</v>
      </c>
      <c r="F99" s="477" t="s">
        <v>1546</v>
      </c>
      <c r="G99" s="478">
        <v>0.96</v>
      </c>
      <c r="H99" s="478">
        <v>1</v>
      </c>
    </row>
    <row r="100" spans="2:8" hidden="1" outlineLevel="2">
      <c r="B100" s="477" t="s">
        <v>469</v>
      </c>
      <c r="C100" s="447" t="s">
        <v>1049</v>
      </c>
      <c r="D100" s="443" t="s">
        <v>159</v>
      </c>
      <c r="E100" s="447" t="s">
        <v>950</v>
      </c>
      <c r="F100" s="477" t="s">
        <v>860</v>
      </c>
      <c r="G100" s="478">
        <v>0.03</v>
      </c>
      <c r="H100" s="478">
        <v>1</v>
      </c>
    </row>
    <row r="101" spans="2:8" hidden="1" outlineLevel="2">
      <c r="B101" s="477" t="s">
        <v>469</v>
      </c>
      <c r="C101" s="447" t="s">
        <v>1049</v>
      </c>
      <c r="D101" s="443" t="s">
        <v>159</v>
      </c>
      <c r="E101" s="447" t="s">
        <v>950</v>
      </c>
      <c r="F101" s="477" t="s">
        <v>221</v>
      </c>
      <c r="G101" s="478">
        <v>0.03</v>
      </c>
      <c r="H101" s="478">
        <v>1</v>
      </c>
    </row>
    <row r="102" spans="2:8" hidden="1" outlineLevel="2">
      <c r="B102" s="477" t="s">
        <v>469</v>
      </c>
      <c r="C102" s="447" t="s">
        <v>1049</v>
      </c>
      <c r="D102" s="443" t="s">
        <v>159</v>
      </c>
      <c r="E102" s="447" t="s">
        <v>950</v>
      </c>
      <c r="F102" s="477" t="s">
        <v>245</v>
      </c>
      <c r="G102" s="478">
        <v>1.4999999999999999E-2</v>
      </c>
      <c r="H102" s="478">
        <v>1</v>
      </c>
    </row>
    <row r="103" spans="2:8" hidden="1" outlineLevel="2">
      <c r="B103" s="477" t="s">
        <v>469</v>
      </c>
      <c r="C103" s="447" t="s">
        <v>1049</v>
      </c>
      <c r="D103" s="443" t="s">
        <v>159</v>
      </c>
      <c r="E103" s="447" t="s">
        <v>950</v>
      </c>
      <c r="F103" s="477" t="s">
        <v>283</v>
      </c>
      <c r="G103" s="478">
        <v>1.4999999999999999E-2</v>
      </c>
      <c r="H103" s="478">
        <v>1</v>
      </c>
    </row>
    <row r="104" spans="2:8" hidden="1" outlineLevel="2">
      <c r="B104" s="477" t="s">
        <v>469</v>
      </c>
      <c r="C104" s="447" t="s">
        <v>1049</v>
      </c>
      <c r="D104" s="443" t="s">
        <v>159</v>
      </c>
      <c r="E104" s="447" t="s">
        <v>950</v>
      </c>
      <c r="F104" s="477" t="s">
        <v>543</v>
      </c>
      <c r="G104" s="478">
        <v>0.1</v>
      </c>
      <c r="H104" s="478">
        <v>1</v>
      </c>
    </row>
    <row r="105" spans="2:8" hidden="1" outlineLevel="1">
      <c r="B105" s="475" t="s">
        <v>1388</v>
      </c>
      <c r="C105" s="446" t="s">
        <v>1388</v>
      </c>
      <c r="D105" s="445" t="s">
        <v>159</v>
      </c>
      <c r="E105" s="446" t="s">
        <v>950</v>
      </c>
      <c r="F105" s="475" t="s">
        <v>2254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6" collapsed="1">
      <c r="B107" s="470" t="s">
        <v>664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893</v>
      </c>
      <c r="C109" s="446" t="s">
        <v>1000</v>
      </c>
      <c r="D109" s="445" t="s">
        <v>159</v>
      </c>
      <c r="E109" s="446" t="s">
        <v>664</v>
      </c>
      <c r="F109" s="475" t="s">
        <v>2263</v>
      </c>
      <c r="G109" s="476">
        <v>0.3642147722995997</v>
      </c>
      <c r="H109" s="476">
        <v>3</v>
      </c>
    </row>
    <row r="110" spans="2:8" hidden="1" outlineLevel="2">
      <c r="B110" s="477" t="s">
        <v>893</v>
      </c>
      <c r="C110" s="447" t="s">
        <v>1000</v>
      </c>
      <c r="D110" s="443" t="s">
        <v>159</v>
      </c>
      <c r="E110" s="447" t="s">
        <v>664</v>
      </c>
      <c r="F110" s="477" t="s">
        <v>246</v>
      </c>
      <c r="G110" s="480">
        <v>0.13658053961234987</v>
      </c>
      <c r="H110" s="478">
        <v>1</v>
      </c>
    </row>
    <row r="111" spans="2:8" hidden="1" outlineLevel="2">
      <c r="B111" s="477" t="s">
        <v>893</v>
      </c>
      <c r="C111" s="447" t="s">
        <v>1000</v>
      </c>
      <c r="D111" s="443" t="s">
        <v>159</v>
      </c>
      <c r="E111" s="447" t="s">
        <v>664</v>
      </c>
      <c r="F111" s="477" t="s">
        <v>247</v>
      </c>
      <c r="G111" s="480">
        <v>0.18210738614979985</v>
      </c>
      <c r="H111" s="478">
        <v>1</v>
      </c>
    </row>
    <row r="112" spans="2:8" hidden="1" outlineLevel="2">
      <c r="B112" s="477" t="s">
        <v>893</v>
      </c>
      <c r="C112" s="447" t="s">
        <v>1000</v>
      </c>
      <c r="D112" s="443" t="s">
        <v>159</v>
      </c>
      <c r="E112" s="447" t="s">
        <v>664</v>
      </c>
      <c r="F112" s="477" t="s">
        <v>248</v>
      </c>
      <c r="G112" s="480">
        <v>4.5526846537449962E-2</v>
      </c>
      <c r="H112" s="478">
        <v>1</v>
      </c>
    </row>
    <row r="113" spans="2:8" hidden="1" outlineLevel="1" collapsed="1">
      <c r="B113" s="475" t="s">
        <v>497</v>
      </c>
      <c r="C113" s="446" t="s">
        <v>1394</v>
      </c>
      <c r="D113" s="445" t="s">
        <v>159</v>
      </c>
      <c r="E113" s="446" t="s">
        <v>664</v>
      </c>
      <c r="F113" s="475" t="s">
        <v>2264</v>
      </c>
      <c r="G113" s="476">
        <v>1.6099999999999999</v>
      </c>
      <c r="H113" s="476">
        <v>3</v>
      </c>
    </row>
    <row r="114" spans="2:8" hidden="1" outlineLevel="2">
      <c r="B114" s="477" t="s">
        <v>497</v>
      </c>
      <c r="C114" s="447" t="s">
        <v>1394</v>
      </c>
      <c r="D114" s="443" t="s">
        <v>159</v>
      </c>
      <c r="E114" s="447" t="s">
        <v>664</v>
      </c>
      <c r="F114" s="477" t="s">
        <v>226</v>
      </c>
      <c r="G114" s="480">
        <v>0.46</v>
      </c>
      <c r="H114" s="478">
        <v>1</v>
      </c>
    </row>
    <row r="115" spans="2:8" hidden="1" outlineLevel="2">
      <c r="B115" s="477" t="s">
        <v>497</v>
      </c>
      <c r="C115" s="447" t="s">
        <v>1394</v>
      </c>
      <c r="D115" s="443" t="s">
        <v>159</v>
      </c>
      <c r="E115" s="447" t="s">
        <v>664</v>
      </c>
      <c r="F115" s="477" t="s">
        <v>36</v>
      </c>
      <c r="G115" s="480">
        <v>0.69</v>
      </c>
      <c r="H115" s="478">
        <v>1</v>
      </c>
    </row>
    <row r="116" spans="2:8" hidden="1" outlineLevel="2">
      <c r="B116" s="477" t="s">
        <v>497</v>
      </c>
      <c r="C116" s="447" t="s">
        <v>1394</v>
      </c>
      <c r="D116" s="443" t="s">
        <v>159</v>
      </c>
      <c r="E116" s="447" t="s">
        <v>664</v>
      </c>
      <c r="F116" s="477" t="s">
        <v>208</v>
      </c>
      <c r="G116" s="480">
        <v>0.46</v>
      </c>
      <c r="H116" s="478">
        <v>1</v>
      </c>
    </row>
    <row r="117" spans="2:8" hidden="1" outlineLevel="1" collapsed="1">
      <c r="B117" s="475" t="s">
        <v>1290</v>
      </c>
      <c r="C117" s="446" t="s">
        <v>969</v>
      </c>
      <c r="D117" s="445" t="s">
        <v>159</v>
      </c>
      <c r="E117" s="446" t="s">
        <v>664</v>
      </c>
      <c r="F117" s="475" t="s">
        <v>2265</v>
      </c>
      <c r="G117" s="476">
        <v>0.61820000000000008</v>
      </c>
      <c r="H117" s="476">
        <v>3</v>
      </c>
    </row>
    <row r="118" spans="2:8" hidden="1" outlineLevel="2">
      <c r="B118" s="477" t="s">
        <v>1290</v>
      </c>
      <c r="C118" s="447" t="s">
        <v>969</v>
      </c>
      <c r="D118" s="443" t="s">
        <v>159</v>
      </c>
      <c r="E118" s="447" t="s">
        <v>664</v>
      </c>
      <c r="F118" s="477" t="s">
        <v>205</v>
      </c>
      <c r="G118" s="480">
        <v>0.24728000000000006</v>
      </c>
      <c r="H118" s="478">
        <v>1</v>
      </c>
    </row>
    <row r="119" spans="2:8" hidden="1" outlineLevel="2">
      <c r="B119" s="477" t="s">
        <v>1290</v>
      </c>
      <c r="C119" s="447" t="s">
        <v>969</v>
      </c>
      <c r="D119" s="443" t="s">
        <v>159</v>
      </c>
      <c r="E119" s="447" t="s">
        <v>664</v>
      </c>
      <c r="F119" s="477" t="s">
        <v>206</v>
      </c>
      <c r="G119" s="480">
        <v>0.24728000000000006</v>
      </c>
      <c r="H119" s="478">
        <v>1</v>
      </c>
    </row>
    <row r="120" spans="2:8" hidden="1" outlineLevel="2">
      <c r="B120" s="477" t="s">
        <v>1290</v>
      </c>
      <c r="C120" s="447" t="s">
        <v>969</v>
      </c>
      <c r="D120" s="443" t="s">
        <v>159</v>
      </c>
      <c r="E120" s="447" t="s">
        <v>664</v>
      </c>
      <c r="F120" s="477" t="s">
        <v>208</v>
      </c>
      <c r="G120" s="480">
        <v>0.12364000000000003</v>
      </c>
      <c r="H120" s="478">
        <v>1</v>
      </c>
    </row>
    <row r="121" spans="2:8" hidden="1" outlineLevel="1" collapsed="1">
      <c r="B121" s="475" t="s">
        <v>1330</v>
      </c>
      <c r="C121" s="446" t="s">
        <v>1330</v>
      </c>
      <c r="D121" s="445" t="s">
        <v>159</v>
      </c>
      <c r="E121" s="446" t="s">
        <v>664</v>
      </c>
      <c r="F121" s="475" t="s">
        <v>2266</v>
      </c>
      <c r="G121" s="476">
        <v>3.6843765000000004</v>
      </c>
      <c r="H121" s="476">
        <v>3</v>
      </c>
    </row>
    <row r="122" spans="2:8" hidden="1" outlineLevel="2">
      <c r="B122" s="477" t="s">
        <v>1330</v>
      </c>
      <c r="C122" s="447" t="s">
        <v>1330</v>
      </c>
      <c r="D122" s="443" t="s">
        <v>159</v>
      </c>
      <c r="E122" s="447" t="s">
        <v>664</v>
      </c>
      <c r="F122" s="477" t="s">
        <v>205</v>
      </c>
      <c r="G122" s="483">
        <v>1.2281255000000002</v>
      </c>
      <c r="H122" s="478">
        <v>1</v>
      </c>
    </row>
    <row r="123" spans="2:8" hidden="1" outlineLevel="2">
      <c r="B123" s="477" t="s">
        <v>1330</v>
      </c>
      <c r="C123" s="447" t="s">
        <v>1330</v>
      </c>
      <c r="D123" s="443" t="s">
        <v>159</v>
      </c>
      <c r="E123" s="447" t="s">
        <v>664</v>
      </c>
      <c r="F123" s="477" t="s">
        <v>206</v>
      </c>
      <c r="G123" s="483">
        <v>1.2281255000000002</v>
      </c>
      <c r="H123" s="478">
        <v>1</v>
      </c>
    </row>
    <row r="124" spans="2:8" hidden="1" outlineLevel="2">
      <c r="B124" s="477" t="s">
        <v>1330</v>
      </c>
      <c r="C124" s="447" t="s">
        <v>1330</v>
      </c>
      <c r="D124" s="443" t="s">
        <v>159</v>
      </c>
      <c r="E124" s="447" t="s">
        <v>664</v>
      </c>
      <c r="F124" s="477" t="s">
        <v>208</v>
      </c>
      <c r="G124" s="483">
        <v>1.2281255</v>
      </c>
      <c r="H124" s="478">
        <v>1</v>
      </c>
    </row>
    <row r="125" spans="2:8" hidden="1" outlineLevel="1" collapsed="1">
      <c r="B125" s="475" t="s">
        <v>1273</v>
      </c>
      <c r="C125" s="446" t="s">
        <v>1273</v>
      </c>
      <c r="D125" s="445" t="s">
        <v>159</v>
      </c>
      <c r="E125" s="446" t="s">
        <v>664</v>
      </c>
      <c r="F125" s="475" t="s">
        <v>2267</v>
      </c>
      <c r="G125" s="476">
        <v>2.7524999999999999</v>
      </c>
      <c r="H125" s="476">
        <v>6</v>
      </c>
    </row>
    <row r="126" spans="2:8" hidden="1" outlineLevel="2">
      <c r="B126" s="477" t="s">
        <v>1273</v>
      </c>
      <c r="C126" s="447" t="s">
        <v>1273</v>
      </c>
      <c r="D126" s="443" t="s">
        <v>1335</v>
      </c>
      <c r="E126" s="447" t="s">
        <v>664</v>
      </c>
      <c r="F126" s="477" t="s">
        <v>374</v>
      </c>
      <c r="G126" s="480">
        <v>0.33750000000000002</v>
      </c>
      <c r="H126" s="478">
        <v>1</v>
      </c>
    </row>
    <row r="127" spans="2:8" hidden="1" outlineLevel="2">
      <c r="B127" s="477" t="s">
        <v>1273</v>
      </c>
      <c r="C127" s="447" t="s">
        <v>1273</v>
      </c>
      <c r="D127" s="443" t="s">
        <v>1335</v>
      </c>
      <c r="E127" s="447" t="s">
        <v>664</v>
      </c>
      <c r="F127" s="477" t="s">
        <v>206</v>
      </c>
      <c r="G127" s="480">
        <v>0.58000000000000007</v>
      </c>
      <c r="H127" s="478">
        <v>1</v>
      </c>
    </row>
    <row r="128" spans="2:8" hidden="1" outlineLevel="2">
      <c r="B128" s="477" t="s">
        <v>1273</v>
      </c>
      <c r="C128" s="447" t="s">
        <v>1273</v>
      </c>
      <c r="D128" s="443" t="s">
        <v>1335</v>
      </c>
      <c r="E128" s="447" t="s">
        <v>664</v>
      </c>
      <c r="F128" s="477" t="s">
        <v>1339</v>
      </c>
      <c r="G128" s="480">
        <v>0.58000000000000007</v>
      </c>
      <c r="H128" s="478">
        <v>1</v>
      </c>
    </row>
    <row r="129" spans="2:8" hidden="1" outlineLevel="2">
      <c r="B129" s="477" t="s">
        <v>1273</v>
      </c>
      <c r="C129" s="447" t="s">
        <v>1273</v>
      </c>
      <c r="D129" s="443" t="s">
        <v>1335</v>
      </c>
      <c r="E129" s="447" t="s">
        <v>664</v>
      </c>
      <c r="F129" s="477" t="s">
        <v>2208</v>
      </c>
      <c r="G129" s="480">
        <v>0.58000000000000007</v>
      </c>
      <c r="H129" s="478">
        <v>1</v>
      </c>
    </row>
    <row r="130" spans="2:8" hidden="1" outlineLevel="2">
      <c r="B130" s="477" t="s">
        <v>1273</v>
      </c>
      <c r="C130" s="447" t="s">
        <v>1273</v>
      </c>
      <c r="D130" s="443" t="s">
        <v>1335</v>
      </c>
      <c r="E130" s="447" t="s">
        <v>664</v>
      </c>
      <c r="F130" s="477" t="s">
        <v>198</v>
      </c>
      <c r="G130" s="480">
        <v>0.33750000000000002</v>
      </c>
      <c r="H130" s="478">
        <v>1</v>
      </c>
    </row>
    <row r="131" spans="2:8" hidden="1" outlineLevel="2">
      <c r="B131" s="477" t="s">
        <v>1273</v>
      </c>
      <c r="C131" s="447" t="s">
        <v>1273</v>
      </c>
      <c r="D131" s="443" t="s">
        <v>1335</v>
      </c>
      <c r="E131" s="447" t="s">
        <v>664</v>
      </c>
      <c r="F131" s="477" t="s">
        <v>2237</v>
      </c>
      <c r="G131" s="480">
        <v>0.33750000000000002</v>
      </c>
      <c r="H131" s="478">
        <v>1</v>
      </c>
    </row>
    <row r="132" spans="2:8" hidden="1" outlineLevel="1" collapsed="1">
      <c r="B132" s="475" t="s">
        <v>1321</v>
      </c>
      <c r="C132" s="446" t="s">
        <v>1321</v>
      </c>
      <c r="D132" s="445" t="s">
        <v>159</v>
      </c>
      <c r="E132" s="446" t="s">
        <v>664</v>
      </c>
      <c r="F132" s="475" t="s">
        <v>2268</v>
      </c>
      <c r="G132" s="476">
        <v>11.053129500000001</v>
      </c>
      <c r="H132" s="476">
        <v>3</v>
      </c>
    </row>
    <row r="133" spans="2:8" hidden="1" outlineLevel="2">
      <c r="B133" s="477" t="s">
        <v>1321</v>
      </c>
      <c r="C133" s="447" t="s">
        <v>1321</v>
      </c>
      <c r="D133" s="443" t="s">
        <v>159</v>
      </c>
      <c r="E133" s="447" t="s">
        <v>664</v>
      </c>
      <c r="F133" s="477" t="s">
        <v>205</v>
      </c>
      <c r="G133" s="483">
        <v>3.6843765000000008</v>
      </c>
      <c r="H133" s="478">
        <v>1</v>
      </c>
    </row>
    <row r="134" spans="2:8" hidden="1" outlineLevel="2">
      <c r="B134" s="477" t="s">
        <v>1321</v>
      </c>
      <c r="C134" s="447" t="s">
        <v>1321</v>
      </c>
      <c r="D134" s="443" t="s">
        <v>159</v>
      </c>
      <c r="E134" s="447" t="s">
        <v>664</v>
      </c>
      <c r="F134" s="477" t="s">
        <v>206</v>
      </c>
      <c r="G134" s="483">
        <v>3.6843765000000008</v>
      </c>
      <c r="H134" s="478">
        <v>1</v>
      </c>
    </row>
    <row r="135" spans="2:8" hidden="1" outlineLevel="2">
      <c r="B135" s="477" t="s">
        <v>1321</v>
      </c>
      <c r="C135" s="447" t="s">
        <v>1321</v>
      </c>
      <c r="D135" s="443" t="s">
        <v>159</v>
      </c>
      <c r="E135" s="447" t="s">
        <v>664</v>
      </c>
      <c r="F135" s="477" t="s">
        <v>208</v>
      </c>
      <c r="G135" s="483">
        <v>3.6843764999999999</v>
      </c>
      <c r="H135" s="478">
        <v>1</v>
      </c>
    </row>
    <row r="136" spans="2:8" hidden="1" outlineLevel="1" collapsed="1">
      <c r="B136" s="475" t="s">
        <v>369</v>
      </c>
      <c r="C136" s="446" t="s">
        <v>843</v>
      </c>
      <c r="D136" s="445" t="s">
        <v>159</v>
      </c>
      <c r="E136" s="446" t="s">
        <v>664</v>
      </c>
      <c r="F136" s="475" t="s">
        <v>2269</v>
      </c>
      <c r="G136" s="476">
        <v>3.35</v>
      </c>
      <c r="H136" s="476">
        <v>3</v>
      </c>
    </row>
    <row r="137" spans="2:8" hidden="1" outlineLevel="2">
      <c r="B137" s="477" t="s">
        <v>369</v>
      </c>
      <c r="C137" s="447" t="s">
        <v>843</v>
      </c>
      <c r="D137" s="443" t="s">
        <v>159</v>
      </c>
      <c r="E137" s="447" t="s">
        <v>664</v>
      </c>
      <c r="F137" s="477" t="s">
        <v>370</v>
      </c>
      <c r="G137" s="480">
        <v>1.34</v>
      </c>
      <c r="H137" s="478">
        <v>1</v>
      </c>
    </row>
    <row r="138" spans="2:8" hidden="1" outlineLevel="2">
      <c r="B138" s="477" t="s">
        <v>369</v>
      </c>
      <c r="C138" s="447" t="s">
        <v>843</v>
      </c>
      <c r="D138" s="443" t="s">
        <v>159</v>
      </c>
      <c r="E138" s="447" t="s">
        <v>664</v>
      </c>
      <c r="F138" s="477" t="s">
        <v>230</v>
      </c>
      <c r="G138" s="480">
        <v>1.34</v>
      </c>
      <c r="H138" s="478">
        <v>1</v>
      </c>
    </row>
    <row r="139" spans="2:8" hidden="1" outlineLevel="2">
      <c r="B139" s="477" t="s">
        <v>369</v>
      </c>
      <c r="C139" s="447" t="s">
        <v>843</v>
      </c>
      <c r="D139" s="443" t="s">
        <v>159</v>
      </c>
      <c r="E139" s="447" t="s">
        <v>664</v>
      </c>
      <c r="F139" s="477" t="s">
        <v>208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6" collapsed="1">
      <c r="B141" s="470" t="s">
        <v>1159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162</v>
      </c>
      <c r="C143" s="446" t="s">
        <v>162</v>
      </c>
      <c r="D143" s="445" t="s">
        <v>159</v>
      </c>
      <c r="E143" s="446" t="s">
        <v>1159</v>
      </c>
      <c r="F143" s="475" t="s">
        <v>2270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162</v>
      </c>
      <c r="C144" s="447" t="s">
        <v>162</v>
      </c>
      <c r="D144" s="443" t="s">
        <v>159</v>
      </c>
      <c r="E144" s="447" t="s">
        <v>1159</v>
      </c>
      <c r="F144" s="477" t="s">
        <v>245</v>
      </c>
      <c r="G144" s="478">
        <v>0.1547754763030085</v>
      </c>
      <c r="H144" s="478">
        <v>1</v>
      </c>
    </row>
    <row r="145" spans="2:8" hidden="1" outlineLevel="2">
      <c r="B145" s="373" t="s">
        <v>162</v>
      </c>
      <c r="C145" s="447" t="s">
        <v>162</v>
      </c>
      <c r="D145" s="443" t="s">
        <v>159</v>
      </c>
      <c r="E145" s="447" t="s">
        <v>1159</v>
      </c>
      <c r="F145" s="477" t="s">
        <v>283</v>
      </c>
      <c r="G145" s="478">
        <v>0.1547754763030085</v>
      </c>
      <c r="H145" s="478">
        <v>1</v>
      </c>
    </row>
    <row r="146" spans="2:8" hidden="1" outlineLevel="1" collapsed="1">
      <c r="B146" s="390" t="s">
        <v>252</v>
      </c>
      <c r="C146" s="446" t="s">
        <v>252</v>
      </c>
      <c r="D146" s="445" t="s">
        <v>159</v>
      </c>
      <c r="E146" s="446" t="s">
        <v>1159</v>
      </c>
      <c r="F146" s="475" t="s">
        <v>2271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252</v>
      </c>
      <c r="C147" s="447" t="s">
        <v>252</v>
      </c>
      <c r="D147" s="443" t="s">
        <v>159</v>
      </c>
      <c r="E147" s="447" t="s">
        <v>1159</v>
      </c>
      <c r="F147" s="468" t="s">
        <v>75</v>
      </c>
      <c r="G147" s="480">
        <v>0.22115071539599998</v>
      </c>
      <c r="H147" s="478">
        <v>1</v>
      </c>
    </row>
    <row r="148" spans="2:8" hidden="1" outlineLevel="2">
      <c r="B148" s="373" t="s">
        <v>252</v>
      </c>
      <c r="C148" s="447" t="s">
        <v>252</v>
      </c>
      <c r="D148" s="443" t="s">
        <v>159</v>
      </c>
      <c r="E148" s="447" t="s">
        <v>1159</v>
      </c>
      <c r="F148" s="468" t="s">
        <v>957</v>
      </c>
      <c r="G148" s="480">
        <v>7.3716905132000007E-2</v>
      </c>
      <c r="H148" s="478">
        <v>1</v>
      </c>
    </row>
    <row r="149" spans="2:8" hidden="1" outlineLevel="2">
      <c r="B149" s="373" t="s">
        <v>252</v>
      </c>
      <c r="C149" s="447" t="s">
        <v>252</v>
      </c>
      <c r="D149" s="443" t="s">
        <v>159</v>
      </c>
      <c r="E149" s="447" t="s">
        <v>1159</v>
      </c>
      <c r="F149" s="468" t="s">
        <v>1004</v>
      </c>
      <c r="G149" s="480">
        <v>7.3716905132000007E-2</v>
      </c>
      <c r="H149" s="478">
        <v>1</v>
      </c>
    </row>
    <row r="150" spans="2:8" hidden="1" outlineLevel="2">
      <c r="B150" s="373" t="s">
        <v>252</v>
      </c>
      <c r="C150" s="447" t="s">
        <v>252</v>
      </c>
      <c r="D150" s="443" t="s">
        <v>159</v>
      </c>
      <c r="E150" s="447" t="s">
        <v>1159</v>
      </c>
      <c r="F150" s="468" t="s">
        <v>1181</v>
      </c>
      <c r="G150" s="480">
        <v>6.4031962499999998E-2</v>
      </c>
      <c r="H150" s="478">
        <v>1</v>
      </c>
    </row>
    <row r="151" spans="2:8" hidden="1" outlineLevel="2">
      <c r="B151" s="373" t="s">
        <v>252</v>
      </c>
      <c r="C151" s="447" t="s">
        <v>252</v>
      </c>
      <c r="D151" s="443" t="s">
        <v>159</v>
      </c>
      <c r="E151" s="447" t="s">
        <v>1159</v>
      </c>
      <c r="F151" s="468" t="s">
        <v>1182</v>
      </c>
      <c r="G151" s="480">
        <v>0.54994955184000005</v>
      </c>
      <c r="H151" s="478">
        <v>1</v>
      </c>
    </row>
    <row r="152" spans="2:8" hidden="1" outlineLevel="2">
      <c r="B152" s="373" t="s">
        <v>252</v>
      </c>
      <c r="C152" s="447" t="s">
        <v>252</v>
      </c>
      <c r="D152" s="443" t="s">
        <v>159</v>
      </c>
      <c r="E152" s="447" t="s">
        <v>1159</v>
      </c>
      <c r="F152" s="468" t="s">
        <v>1183</v>
      </c>
      <c r="G152" s="480">
        <v>0.27497477592000003</v>
      </c>
      <c r="H152" s="478">
        <v>1</v>
      </c>
    </row>
    <row r="153" spans="2:8" hidden="1" outlineLevel="2">
      <c r="B153" s="373" t="s">
        <v>252</v>
      </c>
      <c r="C153" s="447" t="s">
        <v>252</v>
      </c>
      <c r="D153" s="443" t="s">
        <v>159</v>
      </c>
      <c r="E153" s="447" t="s">
        <v>1159</v>
      </c>
      <c r="F153" s="468" t="s">
        <v>1184</v>
      </c>
      <c r="G153" s="480">
        <v>2.2352362560000003</v>
      </c>
      <c r="H153" s="478">
        <v>1</v>
      </c>
    </row>
    <row r="154" spans="2:8" hidden="1" outlineLevel="2">
      <c r="B154" s="373" t="s">
        <v>252</v>
      </c>
      <c r="C154" s="447" t="s">
        <v>252</v>
      </c>
      <c r="D154" s="443" t="s">
        <v>159</v>
      </c>
      <c r="E154" s="447" t="s">
        <v>1159</v>
      </c>
      <c r="F154" s="468" t="s">
        <v>1185</v>
      </c>
      <c r="G154" s="480">
        <v>2.2352362560000003</v>
      </c>
      <c r="H154" s="478">
        <v>1</v>
      </c>
    </row>
    <row r="155" spans="2:8" hidden="1" outlineLevel="2">
      <c r="B155" s="373" t="s">
        <v>252</v>
      </c>
      <c r="C155" s="447" t="s">
        <v>252</v>
      </c>
      <c r="D155" s="443" t="s">
        <v>159</v>
      </c>
      <c r="E155" s="447" t="s">
        <v>1159</v>
      </c>
      <c r="F155" s="468" t="s">
        <v>1160</v>
      </c>
      <c r="G155" s="480">
        <v>0.1125</v>
      </c>
      <c r="H155" s="478">
        <v>1</v>
      </c>
    </row>
    <row r="156" spans="2:8" hidden="1" outlineLevel="2">
      <c r="B156" s="373" t="s">
        <v>252</v>
      </c>
      <c r="C156" s="447" t="s">
        <v>252</v>
      </c>
      <c r="D156" s="443" t="s">
        <v>159</v>
      </c>
      <c r="E156" s="447" t="s">
        <v>1159</v>
      </c>
      <c r="F156" s="468" t="s">
        <v>1170</v>
      </c>
      <c r="G156" s="480">
        <v>3.7499999999999999E-2</v>
      </c>
      <c r="H156" s="478">
        <v>1</v>
      </c>
    </row>
    <row r="157" spans="2:8" hidden="1" outlineLevel="1" collapsed="1">
      <c r="B157" s="390" t="s">
        <v>903</v>
      </c>
      <c r="C157" s="446" t="s">
        <v>903</v>
      </c>
      <c r="D157" s="445" t="s">
        <v>159</v>
      </c>
      <c r="E157" s="446" t="s">
        <v>1159</v>
      </c>
      <c r="F157" s="475" t="s">
        <v>2272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903</v>
      </c>
      <c r="C158" s="447" t="s">
        <v>903</v>
      </c>
      <c r="D158" s="443" t="s">
        <v>159</v>
      </c>
      <c r="E158" s="447" t="s">
        <v>1159</v>
      </c>
      <c r="F158" s="468" t="s">
        <v>242</v>
      </c>
      <c r="G158" s="480">
        <v>0.25575333042562204</v>
      </c>
      <c r="H158" s="478">
        <v>1</v>
      </c>
    </row>
    <row r="159" spans="2:8" hidden="1" outlineLevel="2">
      <c r="B159" s="373" t="s">
        <v>903</v>
      </c>
      <c r="C159" s="447" t="s">
        <v>903</v>
      </c>
      <c r="D159" s="443" t="s">
        <v>159</v>
      </c>
      <c r="E159" s="447" t="s">
        <v>1159</v>
      </c>
      <c r="F159" s="468" t="s">
        <v>243</v>
      </c>
      <c r="G159" s="480">
        <v>8.1564148364617506E-2</v>
      </c>
      <c r="H159" s="478">
        <v>1</v>
      </c>
    </row>
    <row r="160" spans="2:8" hidden="1" outlineLevel="2">
      <c r="B160" s="373" t="s">
        <v>903</v>
      </c>
      <c r="C160" s="447" t="s">
        <v>903</v>
      </c>
      <c r="D160" s="443" t="s">
        <v>159</v>
      </c>
      <c r="E160" s="447" t="s">
        <v>1159</v>
      </c>
      <c r="F160" s="468" t="s">
        <v>490</v>
      </c>
      <c r="G160" s="480">
        <v>0.18696938245168926</v>
      </c>
      <c r="H160" s="478">
        <v>1</v>
      </c>
    </row>
    <row r="161" spans="2:8" hidden="1" outlineLevel="2">
      <c r="B161" s="373" t="s">
        <v>903</v>
      </c>
      <c r="C161" s="447" t="s">
        <v>903</v>
      </c>
      <c r="D161" s="443" t="s">
        <v>159</v>
      </c>
      <c r="E161" s="447" t="s">
        <v>1159</v>
      </c>
      <c r="F161" s="468" t="s">
        <v>245</v>
      </c>
      <c r="G161" s="480">
        <v>2.7188049454872507E-2</v>
      </c>
      <c r="H161" s="478">
        <v>1</v>
      </c>
    </row>
    <row r="162" spans="2:8" hidden="1" outlineLevel="2">
      <c r="B162" s="373" t="s">
        <v>903</v>
      </c>
      <c r="C162" s="447" t="s">
        <v>903</v>
      </c>
      <c r="D162" s="443" t="s">
        <v>159</v>
      </c>
      <c r="E162" s="447" t="s">
        <v>1159</v>
      </c>
      <c r="F162" s="468" t="s">
        <v>246</v>
      </c>
      <c r="G162" s="480">
        <v>0.11218162947101355</v>
      </c>
      <c r="H162" s="478">
        <v>1</v>
      </c>
    </row>
    <row r="163" spans="2:8" hidden="1" outlineLevel="2">
      <c r="B163" s="373" t="s">
        <v>903</v>
      </c>
      <c r="C163" s="447" t="s">
        <v>903</v>
      </c>
      <c r="D163" s="443" t="s">
        <v>159</v>
      </c>
      <c r="E163" s="447" t="s">
        <v>1159</v>
      </c>
      <c r="F163" s="468" t="s">
        <v>247</v>
      </c>
      <c r="G163" s="480">
        <v>3.7393876490337853E-2</v>
      </c>
      <c r="H163" s="478">
        <v>1</v>
      </c>
    </row>
    <row r="164" spans="2:8" hidden="1" outlineLevel="2">
      <c r="B164" s="373" t="s">
        <v>903</v>
      </c>
      <c r="C164" s="447" t="s">
        <v>903</v>
      </c>
      <c r="D164" s="443" t="s">
        <v>159</v>
      </c>
      <c r="E164" s="447" t="s">
        <v>1159</v>
      </c>
      <c r="F164" s="468" t="s">
        <v>248</v>
      </c>
      <c r="G164" s="480">
        <v>3.7393876490337853E-2</v>
      </c>
      <c r="H164" s="478">
        <v>1</v>
      </c>
    </row>
    <row r="165" spans="2:8" hidden="1" outlineLevel="2">
      <c r="B165" s="373" t="s">
        <v>903</v>
      </c>
      <c r="C165" s="447" t="s">
        <v>903</v>
      </c>
      <c r="D165" s="443" t="s">
        <v>159</v>
      </c>
      <c r="E165" s="447" t="s">
        <v>1159</v>
      </c>
      <c r="F165" s="468" t="s">
        <v>251</v>
      </c>
      <c r="G165" s="480">
        <v>2.7188049454872507E-2</v>
      </c>
      <c r="H165" s="478">
        <v>1</v>
      </c>
    </row>
    <row r="166" spans="2:8" hidden="1" outlineLevel="2">
      <c r="B166" s="373" t="s">
        <v>903</v>
      </c>
      <c r="C166" s="447" t="s">
        <v>903</v>
      </c>
      <c r="D166" s="443" t="s">
        <v>159</v>
      </c>
      <c r="E166" s="447" t="s">
        <v>1159</v>
      </c>
      <c r="F166" s="468" t="s">
        <v>2178</v>
      </c>
      <c r="G166" s="480">
        <v>8.6149088147247421E-2</v>
      </c>
      <c r="H166" s="478">
        <v>1</v>
      </c>
    </row>
    <row r="167" spans="2:8" hidden="1" outlineLevel="1" collapsed="1">
      <c r="B167" s="390" t="s">
        <v>502</v>
      </c>
      <c r="C167" s="446" t="s">
        <v>502</v>
      </c>
      <c r="D167" s="445" t="s">
        <v>159</v>
      </c>
      <c r="E167" s="446" t="s">
        <v>1159</v>
      </c>
      <c r="F167" s="475" t="s">
        <v>2273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502</v>
      </c>
      <c r="C168" s="447" t="s">
        <v>502</v>
      </c>
      <c r="D168" s="443" t="s">
        <v>159</v>
      </c>
      <c r="E168" s="447" t="s">
        <v>1159</v>
      </c>
      <c r="F168" s="468" t="s">
        <v>226</v>
      </c>
      <c r="G168" s="480">
        <v>0.15216712000000002</v>
      </c>
      <c r="H168" s="478">
        <v>1</v>
      </c>
    </row>
    <row r="169" spans="2:8" hidden="1" outlineLevel="2">
      <c r="B169" s="373" t="s">
        <v>502</v>
      </c>
      <c r="C169" s="447" t="s">
        <v>502</v>
      </c>
      <c r="D169" s="443" t="s">
        <v>159</v>
      </c>
      <c r="E169" s="447" t="s">
        <v>1159</v>
      </c>
      <c r="F169" s="468" t="s">
        <v>36</v>
      </c>
      <c r="G169" s="480">
        <v>0.22825067999999998</v>
      </c>
      <c r="H169" s="478">
        <v>1</v>
      </c>
    </row>
    <row r="170" spans="2:8" hidden="1" outlineLevel="1" collapsed="1">
      <c r="B170" s="390" t="s">
        <v>1310</v>
      </c>
      <c r="C170" s="446" t="s">
        <v>1310</v>
      </c>
      <c r="D170" s="445" t="s">
        <v>159</v>
      </c>
      <c r="E170" s="446" t="s">
        <v>1159</v>
      </c>
      <c r="F170" s="475" t="s">
        <v>2249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1310</v>
      </c>
      <c r="C171" s="447" t="s">
        <v>1310</v>
      </c>
      <c r="D171" s="443" t="s">
        <v>159</v>
      </c>
      <c r="E171" s="447" t="s">
        <v>1159</v>
      </c>
      <c r="F171" s="482" t="s">
        <v>2200</v>
      </c>
      <c r="G171" s="483">
        <v>0.41060000000000008</v>
      </c>
      <c r="H171" s="478">
        <v>1</v>
      </c>
    </row>
    <row r="172" spans="2:8" hidden="1" outlineLevel="2">
      <c r="B172" s="373" t="s">
        <v>1310</v>
      </c>
      <c r="C172" s="447" t="s">
        <v>1310</v>
      </c>
      <c r="D172" s="443" t="s">
        <v>159</v>
      </c>
      <c r="E172" s="447" t="s">
        <v>1159</v>
      </c>
      <c r="F172" s="482" t="s">
        <v>2201</v>
      </c>
      <c r="G172" s="483">
        <v>0.10265000000000002</v>
      </c>
      <c r="H172" s="478">
        <v>1</v>
      </c>
    </row>
    <row r="173" spans="2:8" hidden="1" outlineLevel="1" collapsed="1">
      <c r="B173" s="390" t="s">
        <v>1273</v>
      </c>
      <c r="C173" s="446" t="s">
        <v>1273</v>
      </c>
      <c r="D173" s="445" t="s">
        <v>159</v>
      </c>
      <c r="E173" s="446" t="s">
        <v>1159</v>
      </c>
      <c r="F173" s="475" t="s">
        <v>2267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1273</v>
      </c>
      <c r="C174" s="447" t="s">
        <v>1273</v>
      </c>
      <c r="D174" s="443" t="s">
        <v>159</v>
      </c>
      <c r="E174" s="447" t="s">
        <v>1159</v>
      </c>
      <c r="F174" s="406" t="s">
        <v>290</v>
      </c>
      <c r="G174" s="480">
        <v>9.5000000000000015E-2</v>
      </c>
      <c r="H174" s="478">
        <v>1</v>
      </c>
    </row>
    <row r="175" spans="2:8" hidden="1" outlineLevel="2">
      <c r="B175" s="373" t="s">
        <v>1273</v>
      </c>
      <c r="C175" s="447" t="s">
        <v>1273</v>
      </c>
      <c r="D175" s="443" t="s">
        <v>159</v>
      </c>
      <c r="E175" s="447" t="s">
        <v>1159</v>
      </c>
      <c r="F175" s="406" t="s">
        <v>1287</v>
      </c>
      <c r="G175" s="480">
        <v>9.5000000000000015E-2</v>
      </c>
      <c r="H175" s="478">
        <v>1</v>
      </c>
    </row>
    <row r="176" spans="2:8" hidden="1" outlineLevel="2">
      <c r="B176" s="373" t="s">
        <v>1273</v>
      </c>
      <c r="C176" s="447" t="s">
        <v>1273</v>
      </c>
      <c r="D176" s="443" t="s">
        <v>159</v>
      </c>
      <c r="E176" s="447" t="s">
        <v>1159</v>
      </c>
      <c r="F176" s="406" t="s">
        <v>2212</v>
      </c>
      <c r="G176" s="480">
        <v>9.5000000000000015E-2</v>
      </c>
      <c r="H176" s="478">
        <v>1</v>
      </c>
    </row>
    <row r="177" spans="2:8" hidden="1" outlineLevel="1">
      <c r="B177" s="390" t="s">
        <v>1347</v>
      </c>
      <c r="C177" s="446" t="s">
        <v>1089</v>
      </c>
      <c r="D177" s="445" t="s">
        <v>159</v>
      </c>
      <c r="E177" s="446" t="s">
        <v>1159</v>
      </c>
      <c r="F177" s="475" t="s">
        <v>2274</v>
      </c>
      <c r="G177" s="476">
        <v>0</v>
      </c>
      <c r="H177" s="476">
        <v>0</v>
      </c>
    </row>
    <row r="178" spans="2:8" hidden="1" outlineLevel="1" collapsed="1">
      <c r="B178" s="390" t="s">
        <v>2219</v>
      </c>
      <c r="C178" s="446" t="s">
        <v>1089</v>
      </c>
      <c r="D178" s="445" t="s">
        <v>159</v>
      </c>
      <c r="E178" s="446" t="s">
        <v>1159</v>
      </c>
      <c r="F178" s="475" t="s">
        <v>2275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2219</v>
      </c>
      <c r="C179" s="447" t="s">
        <v>1089</v>
      </c>
      <c r="D179" s="443" t="s">
        <v>159</v>
      </c>
      <c r="E179" s="447" t="s">
        <v>1159</v>
      </c>
      <c r="F179" s="468" t="s">
        <v>206</v>
      </c>
      <c r="G179" s="480">
        <v>8.9136273921988848E-2</v>
      </c>
      <c r="H179" s="478">
        <v>1</v>
      </c>
    </row>
    <row r="180" spans="2:8" hidden="1" outlineLevel="1" collapsed="1">
      <c r="B180" s="390" t="s">
        <v>609</v>
      </c>
      <c r="C180" s="446" t="s">
        <v>1089</v>
      </c>
      <c r="D180" s="445" t="s">
        <v>159</v>
      </c>
      <c r="E180" s="446" t="s">
        <v>1159</v>
      </c>
      <c r="F180" s="475" t="s">
        <v>2276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609</v>
      </c>
      <c r="C181" s="447" t="s">
        <v>1089</v>
      </c>
      <c r="D181" s="443" t="s">
        <v>159</v>
      </c>
      <c r="E181" s="447" t="s">
        <v>1159</v>
      </c>
      <c r="F181" s="468" t="s">
        <v>206</v>
      </c>
      <c r="G181" s="480">
        <v>5.8216850999999993E-2</v>
      </c>
      <c r="H181" s="478">
        <v>1</v>
      </c>
    </row>
    <row r="182" spans="2:8" hidden="1" outlineLevel="1">
      <c r="B182" s="390" t="s">
        <v>285</v>
      </c>
      <c r="C182" s="446" t="s">
        <v>1089</v>
      </c>
      <c r="D182" s="445" t="s">
        <v>159</v>
      </c>
      <c r="E182" s="446" t="s">
        <v>1159</v>
      </c>
      <c r="F182" s="475" t="s">
        <v>2277</v>
      </c>
      <c r="G182" s="476">
        <v>0</v>
      </c>
      <c r="H182" s="476">
        <v>0</v>
      </c>
    </row>
    <row r="183" spans="2:8" hidden="1" outlineLevel="1" collapsed="1">
      <c r="B183" s="390" t="s">
        <v>916</v>
      </c>
      <c r="C183" s="446" t="s">
        <v>916</v>
      </c>
      <c r="D183" s="445" t="s">
        <v>159</v>
      </c>
      <c r="E183" s="446" t="s">
        <v>1159</v>
      </c>
      <c r="F183" s="475" t="s">
        <v>2278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916</v>
      </c>
      <c r="C184" s="447" t="s">
        <v>916</v>
      </c>
      <c r="D184" s="443" t="s">
        <v>159</v>
      </c>
      <c r="E184" s="447" t="s">
        <v>1159</v>
      </c>
      <c r="F184" s="468" t="s">
        <v>205</v>
      </c>
      <c r="G184" s="480">
        <v>1.6141000000000003</v>
      </c>
      <c r="H184" s="478">
        <v>1</v>
      </c>
    </row>
    <row r="185" spans="2:8" hidden="1" outlineLevel="1" collapsed="1">
      <c r="B185" s="390" t="s">
        <v>902</v>
      </c>
      <c r="C185" s="446" t="s">
        <v>1018</v>
      </c>
      <c r="D185" s="445" t="s">
        <v>159</v>
      </c>
      <c r="E185" s="446" t="s">
        <v>1159</v>
      </c>
      <c r="F185" s="475" t="s">
        <v>2248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902</v>
      </c>
      <c r="C186" s="447" t="s">
        <v>1018</v>
      </c>
      <c r="D186" s="443" t="s">
        <v>159</v>
      </c>
      <c r="E186" s="447" t="s">
        <v>1159</v>
      </c>
      <c r="F186" s="468" t="s">
        <v>290</v>
      </c>
      <c r="G186" s="480">
        <v>0.11</v>
      </c>
      <c r="H186" s="478">
        <v>1</v>
      </c>
    </row>
    <row r="187" spans="2:8" hidden="1" outlineLevel="2">
      <c r="B187" s="373" t="s">
        <v>902</v>
      </c>
      <c r="C187" s="447" t="s">
        <v>1018</v>
      </c>
      <c r="D187" s="443" t="s">
        <v>159</v>
      </c>
      <c r="E187" s="447" t="s">
        <v>1159</v>
      </c>
      <c r="F187" s="468" t="s">
        <v>1287</v>
      </c>
      <c r="G187" s="480">
        <v>0.06</v>
      </c>
      <c r="H187" s="478">
        <v>1</v>
      </c>
    </row>
    <row r="188" spans="2:8" hidden="1" outlineLevel="1" collapsed="1">
      <c r="B188" s="390" t="s">
        <v>369</v>
      </c>
      <c r="C188" s="446" t="s">
        <v>843</v>
      </c>
      <c r="D188" s="445" t="s">
        <v>159</v>
      </c>
      <c r="E188" s="446" t="s">
        <v>1159</v>
      </c>
      <c r="F188" s="475" t="s">
        <v>2269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369</v>
      </c>
      <c r="C189" s="447" t="s">
        <v>843</v>
      </c>
      <c r="D189" s="443" t="s">
        <v>159</v>
      </c>
      <c r="E189" s="447" t="s">
        <v>1159</v>
      </c>
      <c r="F189" s="406" t="s">
        <v>38</v>
      </c>
      <c r="G189" s="480">
        <v>0.03</v>
      </c>
      <c r="H189" s="478">
        <v>1</v>
      </c>
    </row>
    <row r="190" spans="2:8" hidden="1" outlineLevel="2">
      <c r="B190" s="373" t="s">
        <v>369</v>
      </c>
      <c r="C190" s="447" t="s">
        <v>843</v>
      </c>
      <c r="D190" s="443" t="s">
        <v>159</v>
      </c>
      <c r="E190" s="447" t="s">
        <v>1159</v>
      </c>
      <c r="F190" s="406" t="s">
        <v>1343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6">
      <c r="B192" s="470" t="s">
        <v>1236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414</v>
      </c>
      <c r="C194" s="446" t="s">
        <v>414</v>
      </c>
      <c r="D194" s="445" t="s">
        <v>159</v>
      </c>
      <c r="E194" s="446" t="s">
        <v>1236</v>
      </c>
      <c r="F194" s="475" t="s">
        <v>2279</v>
      </c>
      <c r="G194" s="476">
        <v>0</v>
      </c>
      <c r="H194" s="476">
        <v>0</v>
      </c>
    </row>
    <row r="195" spans="2:8" outlineLevel="1" collapsed="1">
      <c r="B195" s="390" t="s">
        <v>612</v>
      </c>
      <c r="C195" s="446" t="s">
        <v>612</v>
      </c>
      <c r="D195" s="445" t="s">
        <v>159</v>
      </c>
      <c r="E195" s="446" t="s">
        <v>1236</v>
      </c>
      <c r="F195" s="475" t="s">
        <v>2282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612</v>
      </c>
      <c r="C196" s="447" t="s">
        <v>612</v>
      </c>
      <c r="D196" s="443" t="s">
        <v>159</v>
      </c>
      <c r="E196" s="447" t="s">
        <v>1236</v>
      </c>
      <c r="F196" s="477" t="s">
        <v>226</v>
      </c>
      <c r="G196" s="478">
        <v>0.15625749999999999</v>
      </c>
      <c r="H196" s="478">
        <v>1</v>
      </c>
    </row>
    <row r="197" spans="2:8" hidden="1" outlineLevel="2">
      <c r="B197" s="373" t="s">
        <v>612</v>
      </c>
      <c r="C197" s="447" t="s">
        <v>612</v>
      </c>
      <c r="D197" s="443" t="s">
        <v>159</v>
      </c>
      <c r="E197" s="447" t="s">
        <v>1236</v>
      </c>
      <c r="F197" s="477" t="s">
        <v>36</v>
      </c>
      <c r="G197" s="478">
        <v>0.23438624999999996</v>
      </c>
      <c r="H197" s="478">
        <v>1</v>
      </c>
    </row>
    <row r="198" spans="2:8" hidden="1" outlineLevel="2">
      <c r="B198" s="373" t="s">
        <v>612</v>
      </c>
      <c r="C198" s="447" t="s">
        <v>612</v>
      </c>
      <c r="D198" s="443" t="s">
        <v>159</v>
      </c>
      <c r="E198" s="447" t="s">
        <v>1236</v>
      </c>
      <c r="F198" s="477" t="s">
        <v>208</v>
      </c>
      <c r="G198" s="478">
        <v>0.15625749999999999</v>
      </c>
      <c r="H198" s="478">
        <v>1</v>
      </c>
    </row>
    <row r="199" spans="2:8" hidden="1" outlineLevel="2">
      <c r="B199" s="439" t="s">
        <v>612</v>
      </c>
      <c r="C199" s="484" t="s">
        <v>612</v>
      </c>
      <c r="D199" s="485" t="s">
        <v>159</v>
      </c>
      <c r="E199" s="484" t="s">
        <v>1236</v>
      </c>
      <c r="F199" s="486" t="s">
        <v>36</v>
      </c>
      <c r="G199" s="487">
        <v>7.1431999999999995E-2</v>
      </c>
      <c r="H199" s="487">
        <v>1</v>
      </c>
    </row>
    <row r="200" spans="2:8" hidden="1" outlineLevel="2">
      <c r="B200" s="439" t="s">
        <v>612</v>
      </c>
      <c r="C200" s="484" t="s">
        <v>612</v>
      </c>
      <c r="D200" s="485" t="s">
        <v>159</v>
      </c>
      <c r="E200" s="484" t="s">
        <v>1236</v>
      </c>
      <c r="F200" s="486" t="s">
        <v>36</v>
      </c>
      <c r="G200" s="487">
        <v>2.009025E-2</v>
      </c>
      <c r="H200" s="487">
        <v>1</v>
      </c>
    </row>
    <row r="201" spans="2:8" hidden="1" outlineLevel="2">
      <c r="B201" s="439" t="s">
        <v>612</v>
      </c>
      <c r="C201" s="484" t="s">
        <v>612</v>
      </c>
      <c r="D201" s="485" t="s">
        <v>159</v>
      </c>
      <c r="E201" s="484" t="s">
        <v>1236</v>
      </c>
      <c r="F201" s="486" t="s">
        <v>208</v>
      </c>
      <c r="G201" s="487">
        <v>2.009025E-2</v>
      </c>
      <c r="H201" s="487">
        <v>1</v>
      </c>
    </row>
    <row r="202" spans="2:8" hidden="1" outlineLevel="2">
      <c r="B202" s="439" t="s">
        <v>612</v>
      </c>
      <c r="C202" s="484" t="s">
        <v>612</v>
      </c>
      <c r="D202" s="485" t="s">
        <v>159</v>
      </c>
      <c r="E202" s="484" t="s">
        <v>1236</v>
      </c>
      <c r="F202" s="486" t="s">
        <v>36</v>
      </c>
      <c r="G202" s="487">
        <v>1.6741875E-2</v>
      </c>
      <c r="H202" s="487">
        <v>1</v>
      </c>
    </row>
    <row r="203" spans="2:8" hidden="1" outlineLevel="2">
      <c r="B203" s="439" t="s">
        <v>612</v>
      </c>
      <c r="C203" s="484" t="s">
        <v>612</v>
      </c>
      <c r="D203" s="485" t="s">
        <v>159</v>
      </c>
      <c r="E203" s="484" t="s">
        <v>1236</v>
      </c>
      <c r="F203" s="486" t="s">
        <v>208</v>
      </c>
      <c r="G203" s="487">
        <v>2.009025E-2</v>
      </c>
      <c r="H203" s="487">
        <v>1</v>
      </c>
    </row>
    <row r="204" spans="2:8" outlineLevel="1">
      <c r="B204" s="390" t="s">
        <v>918</v>
      </c>
      <c r="C204" s="446" t="s">
        <v>918</v>
      </c>
      <c r="D204" s="445" t="s">
        <v>159</v>
      </c>
      <c r="E204" s="446" t="s">
        <v>1236</v>
      </c>
      <c r="F204" s="475" t="s">
        <v>2289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918</v>
      </c>
      <c r="C205" s="447" t="s">
        <v>918</v>
      </c>
      <c r="D205" s="443" t="s">
        <v>159</v>
      </c>
      <c r="E205" s="447" t="s">
        <v>1236</v>
      </c>
      <c r="F205" s="477" t="s">
        <v>1252</v>
      </c>
      <c r="G205" s="478">
        <v>2.0999999999999999E-3</v>
      </c>
      <c r="H205" s="478">
        <v>1</v>
      </c>
    </row>
    <row r="206" spans="2:8" outlineLevel="2">
      <c r="B206" s="373" t="s">
        <v>918</v>
      </c>
      <c r="C206" s="447" t="s">
        <v>918</v>
      </c>
      <c r="D206" s="443" t="s">
        <v>159</v>
      </c>
      <c r="E206" s="447" t="s">
        <v>1236</v>
      </c>
      <c r="F206" s="477" t="s">
        <v>1253</v>
      </c>
      <c r="G206" s="478">
        <v>8.7500000000000002E-4</v>
      </c>
      <c r="H206" s="478">
        <v>1</v>
      </c>
    </row>
    <row r="207" spans="2:8" outlineLevel="2">
      <c r="B207" s="373" t="s">
        <v>918</v>
      </c>
      <c r="C207" s="447" t="s">
        <v>918</v>
      </c>
      <c r="D207" s="443" t="s">
        <v>159</v>
      </c>
      <c r="E207" s="447" t="s">
        <v>1236</v>
      </c>
      <c r="F207" s="477" t="s">
        <v>1254</v>
      </c>
      <c r="G207" s="478">
        <v>5.2499999999999997E-4</v>
      </c>
      <c r="H207" s="478">
        <v>1</v>
      </c>
    </row>
    <row r="208" spans="2:8" outlineLevel="2">
      <c r="B208" s="373" t="s">
        <v>918</v>
      </c>
      <c r="C208" s="447" t="s">
        <v>918</v>
      </c>
      <c r="D208" s="443" t="s">
        <v>159</v>
      </c>
      <c r="E208" s="447" t="s">
        <v>1236</v>
      </c>
      <c r="F208" s="477" t="s">
        <v>1255</v>
      </c>
      <c r="G208" s="478">
        <v>5.0000000000000001E-4</v>
      </c>
      <c r="H208" s="478">
        <v>1</v>
      </c>
    </row>
    <row r="209" spans="2:8" outlineLevel="1" collapsed="1">
      <c r="B209" s="390" t="s">
        <v>1400</v>
      </c>
      <c r="C209" s="446" t="s">
        <v>1400</v>
      </c>
      <c r="D209" s="445" t="s">
        <v>159</v>
      </c>
      <c r="E209" s="446" t="s">
        <v>1236</v>
      </c>
      <c r="F209" s="475" t="s">
        <v>2291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1400</v>
      </c>
      <c r="C210" s="447" t="s">
        <v>1400</v>
      </c>
      <c r="D210" s="443" t="s">
        <v>159</v>
      </c>
      <c r="E210" s="447" t="s">
        <v>1236</v>
      </c>
      <c r="F210" s="488" t="s">
        <v>226</v>
      </c>
      <c r="G210" s="489">
        <v>4.3845312000000004E-2</v>
      </c>
      <c r="H210" s="489">
        <v>1</v>
      </c>
    </row>
    <row r="211" spans="2:8" hidden="1" outlineLevel="2">
      <c r="B211" s="373" t="s">
        <v>1400</v>
      </c>
      <c r="C211" s="447" t="s">
        <v>1400</v>
      </c>
      <c r="D211" s="443" t="s">
        <v>159</v>
      </c>
      <c r="E211" s="447" t="s">
        <v>1236</v>
      </c>
      <c r="F211" s="488" t="s">
        <v>36</v>
      </c>
      <c r="G211" s="489">
        <v>6.576796800000001E-2</v>
      </c>
      <c r="H211" s="489">
        <v>1</v>
      </c>
    </row>
    <row r="212" spans="2:8" hidden="1" outlineLevel="2">
      <c r="B212" s="373" t="s">
        <v>1400</v>
      </c>
      <c r="C212" s="447" t="s">
        <v>1400</v>
      </c>
      <c r="D212" s="443" t="s">
        <v>159</v>
      </c>
      <c r="E212" s="447" t="s">
        <v>1236</v>
      </c>
      <c r="F212" s="488" t="s">
        <v>208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6" collapsed="1">
      <c r="B214" s="470" t="s">
        <v>45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162</v>
      </c>
      <c r="C216" s="447" t="s">
        <v>160</v>
      </c>
      <c r="D216" s="443" t="s">
        <v>159</v>
      </c>
      <c r="E216" s="447" t="s">
        <v>45</v>
      </c>
      <c r="F216" s="477" t="s">
        <v>2343</v>
      </c>
      <c r="G216" s="478"/>
      <c r="H216" s="478">
        <v>3</v>
      </c>
    </row>
    <row r="217" spans="2:8" hidden="1" outlineLevel="1">
      <c r="B217" s="373" t="s">
        <v>163</v>
      </c>
      <c r="C217" s="447" t="s">
        <v>160</v>
      </c>
      <c r="D217" s="443" t="s">
        <v>159</v>
      </c>
      <c r="E217" s="447" t="s">
        <v>45</v>
      </c>
      <c r="F217" s="477" t="s">
        <v>2344</v>
      </c>
      <c r="G217" s="478"/>
      <c r="H217" s="478">
        <v>3</v>
      </c>
    </row>
    <row r="218" spans="2:8" hidden="1" outlineLevel="1">
      <c r="B218" s="373" t="s">
        <v>164</v>
      </c>
      <c r="C218" s="447" t="s">
        <v>160</v>
      </c>
      <c r="D218" s="443" t="s">
        <v>159</v>
      </c>
      <c r="E218" s="447" t="s">
        <v>45</v>
      </c>
      <c r="F218" s="477" t="s">
        <v>2345</v>
      </c>
      <c r="G218" s="478"/>
      <c r="H218" s="478">
        <v>2</v>
      </c>
    </row>
    <row r="219" spans="2:8" hidden="1" outlineLevel="1">
      <c r="B219" s="373" t="s">
        <v>165</v>
      </c>
      <c r="C219" s="447" t="s">
        <v>160</v>
      </c>
      <c r="D219" s="443" t="s">
        <v>159</v>
      </c>
      <c r="E219" s="447" t="s">
        <v>45</v>
      </c>
      <c r="F219" s="477" t="s">
        <v>2346</v>
      </c>
      <c r="G219" s="478"/>
      <c r="H219" s="478">
        <v>1</v>
      </c>
    </row>
    <row r="220" spans="2:8" hidden="1" outlineLevel="1">
      <c r="B220" s="373" t="s">
        <v>1273</v>
      </c>
      <c r="C220" s="447" t="s">
        <v>160</v>
      </c>
      <c r="D220" s="443" t="s">
        <v>159</v>
      </c>
      <c r="E220" s="447" t="s">
        <v>45</v>
      </c>
      <c r="F220" s="477" t="s">
        <v>2347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6" collapsed="1">
      <c r="B222" s="470" t="s">
        <v>56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891</v>
      </c>
      <c r="C224" s="390" t="s">
        <v>949</v>
      </c>
      <c r="D224" s="390" t="s">
        <v>518</v>
      </c>
      <c r="E224" s="390" t="s">
        <v>56</v>
      </c>
      <c r="F224" s="475" t="s">
        <v>2251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891</v>
      </c>
      <c r="C225" s="373" t="s">
        <v>949</v>
      </c>
      <c r="D225" s="373" t="s">
        <v>518</v>
      </c>
      <c r="E225" s="373" t="s">
        <v>56</v>
      </c>
      <c r="F225" s="491" t="s">
        <v>2051</v>
      </c>
      <c r="G225" s="492">
        <v>5.2867302539999998E-3</v>
      </c>
      <c r="H225" s="492">
        <v>1</v>
      </c>
    </row>
    <row r="226" spans="2:8" hidden="1" outlineLevel="1" collapsed="1">
      <c r="B226" s="390" t="s">
        <v>891</v>
      </c>
      <c r="C226" s="390" t="s">
        <v>956</v>
      </c>
      <c r="D226" s="390" t="s">
        <v>518</v>
      </c>
      <c r="E226" s="390" t="s">
        <v>56</v>
      </c>
      <c r="F226" s="475" t="s">
        <v>2251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891</v>
      </c>
      <c r="C227" s="373" t="s">
        <v>956</v>
      </c>
      <c r="D227" s="373" t="s">
        <v>518</v>
      </c>
      <c r="E227" s="373" t="s">
        <v>56</v>
      </c>
      <c r="F227" s="491" t="s">
        <v>247</v>
      </c>
      <c r="G227" s="492">
        <v>1.0861267500000001E-2</v>
      </c>
      <c r="H227" s="492">
        <v>1</v>
      </c>
    </row>
    <row r="228" spans="2:8" hidden="1" outlineLevel="2">
      <c r="B228" s="373" t="s">
        <v>891</v>
      </c>
      <c r="C228" s="373" t="s">
        <v>956</v>
      </c>
      <c r="D228" s="373" t="s">
        <v>518</v>
      </c>
      <c r="E228" s="373" t="s">
        <v>56</v>
      </c>
      <c r="F228" s="491" t="s">
        <v>251</v>
      </c>
      <c r="G228" s="492">
        <v>5.2029494639565963E-3</v>
      </c>
      <c r="H228" s="492">
        <v>1</v>
      </c>
    </row>
    <row r="229" spans="2:8" hidden="1" outlineLevel="1" collapsed="1">
      <c r="B229" s="390" t="s">
        <v>891</v>
      </c>
      <c r="C229" s="390" t="s">
        <v>969</v>
      </c>
      <c r="D229" s="390" t="s">
        <v>518</v>
      </c>
      <c r="E229" s="390" t="s">
        <v>56</v>
      </c>
      <c r="F229" s="475" t="s">
        <v>2251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891</v>
      </c>
      <c r="C230" s="373" t="s">
        <v>969</v>
      </c>
      <c r="D230" s="373" t="s">
        <v>518</v>
      </c>
      <c r="E230" s="373" t="s">
        <v>56</v>
      </c>
      <c r="F230" s="491" t="s">
        <v>206</v>
      </c>
      <c r="G230" s="492">
        <v>9.3421603890201377E-2</v>
      </c>
      <c r="H230" s="492">
        <v>1</v>
      </c>
    </row>
    <row r="231" spans="2:8" hidden="1" outlineLevel="2">
      <c r="B231" s="373" t="s">
        <v>891</v>
      </c>
      <c r="C231" s="373" t="s">
        <v>969</v>
      </c>
      <c r="D231" s="373" t="s">
        <v>518</v>
      </c>
      <c r="E231" s="373" t="s">
        <v>56</v>
      </c>
      <c r="F231" s="491" t="s">
        <v>199</v>
      </c>
      <c r="G231" s="492">
        <v>9.3421603890201377E-2</v>
      </c>
      <c r="H231" s="492">
        <v>1</v>
      </c>
    </row>
    <row r="232" spans="2:8" hidden="1" outlineLevel="2">
      <c r="B232" s="373" t="s">
        <v>891</v>
      </c>
      <c r="C232" s="373" t="s">
        <v>969</v>
      </c>
      <c r="D232" s="373" t="s">
        <v>518</v>
      </c>
      <c r="E232" s="373" t="s">
        <v>56</v>
      </c>
      <c r="F232" s="491" t="s">
        <v>2069</v>
      </c>
      <c r="G232" s="492">
        <v>2.1106865436972901E-2</v>
      </c>
      <c r="H232" s="492">
        <v>1</v>
      </c>
    </row>
    <row r="233" spans="2:8" hidden="1" outlineLevel="2">
      <c r="B233" s="373" t="s">
        <v>891</v>
      </c>
      <c r="C233" s="373" t="s">
        <v>969</v>
      </c>
      <c r="D233" s="373" t="s">
        <v>518</v>
      </c>
      <c r="E233" s="373" t="s">
        <v>56</v>
      </c>
      <c r="F233" s="491" t="s">
        <v>2070</v>
      </c>
      <c r="G233" s="492">
        <v>3.166029815545935E-2</v>
      </c>
      <c r="H233" s="492">
        <v>1</v>
      </c>
    </row>
    <row r="234" spans="2:8" hidden="1" outlineLevel="2">
      <c r="B234" s="373" t="s">
        <v>891</v>
      </c>
      <c r="C234" s="373" t="s">
        <v>969</v>
      </c>
      <c r="D234" s="373" t="s">
        <v>518</v>
      </c>
      <c r="E234" s="373" t="s">
        <v>56</v>
      </c>
      <c r="F234" s="491" t="s">
        <v>2063</v>
      </c>
      <c r="G234" s="492">
        <v>5.2767163592432253E-3</v>
      </c>
      <c r="H234" s="492">
        <v>1</v>
      </c>
    </row>
    <row r="235" spans="2:8" hidden="1" outlineLevel="2">
      <c r="B235" s="373" t="s">
        <v>891</v>
      </c>
      <c r="C235" s="373" t="s">
        <v>969</v>
      </c>
      <c r="D235" s="373" t="s">
        <v>518</v>
      </c>
      <c r="E235" s="373" t="s">
        <v>56</v>
      </c>
      <c r="F235" s="491" t="s">
        <v>2071</v>
      </c>
      <c r="G235" s="492">
        <v>2.1106865436972901E-2</v>
      </c>
      <c r="H235" s="492">
        <v>1</v>
      </c>
    </row>
    <row r="236" spans="2:8" hidden="1" outlineLevel="2">
      <c r="B236" s="373" t="s">
        <v>891</v>
      </c>
      <c r="C236" s="373" t="s">
        <v>969</v>
      </c>
      <c r="D236" s="373" t="s">
        <v>518</v>
      </c>
      <c r="E236" s="373" t="s">
        <v>56</v>
      </c>
      <c r="F236" s="491" t="s">
        <v>2072</v>
      </c>
      <c r="G236" s="492">
        <v>3.166029815545935E-2</v>
      </c>
      <c r="H236" s="492">
        <v>1</v>
      </c>
    </row>
    <row r="237" spans="2:8" hidden="1" outlineLevel="2">
      <c r="B237" s="373" t="s">
        <v>891</v>
      </c>
      <c r="C237" s="373" t="s">
        <v>969</v>
      </c>
      <c r="D237" s="373" t="s">
        <v>518</v>
      </c>
      <c r="E237" s="373" t="s">
        <v>56</v>
      </c>
      <c r="F237" s="491" t="s">
        <v>2065</v>
      </c>
      <c r="G237" s="492">
        <v>5.2767163592432253E-3</v>
      </c>
      <c r="H237" s="492">
        <v>1</v>
      </c>
    </row>
    <row r="238" spans="2:8" hidden="1" outlineLevel="2">
      <c r="B238" s="373" t="s">
        <v>891</v>
      </c>
      <c r="C238" s="373" t="s">
        <v>969</v>
      </c>
      <c r="D238" s="373" t="s">
        <v>518</v>
      </c>
      <c r="E238" s="373" t="s">
        <v>56</v>
      </c>
      <c r="F238" s="491" t="s">
        <v>2073</v>
      </c>
      <c r="G238" s="492">
        <v>4.0000000000000001E-3</v>
      </c>
      <c r="H238" s="492">
        <v>1</v>
      </c>
    </row>
    <row r="239" spans="2:8" hidden="1" outlineLevel="2">
      <c r="B239" s="373" t="s">
        <v>891</v>
      </c>
      <c r="C239" s="373" t="s">
        <v>969</v>
      </c>
      <c r="D239" s="373" t="s">
        <v>518</v>
      </c>
      <c r="E239" s="373" t="s">
        <v>56</v>
      </c>
      <c r="F239" s="491" t="s">
        <v>2074</v>
      </c>
      <c r="G239" s="492">
        <v>7.0000000000000001E-3</v>
      </c>
      <c r="H239" s="492">
        <v>1</v>
      </c>
    </row>
    <row r="240" spans="2:8" hidden="1" outlineLevel="2">
      <c r="B240" s="373" t="s">
        <v>891</v>
      </c>
      <c r="C240" s="373" t="s">
        <v>969</v>
      </c>
      <c r="D240" s="373" t="s">
        <v>518</v>
      </c>
      <c r="E240" s="373" t="s">
        <v>56</v>
      </c>
      <c r="F240" s="491" t="s">
        <v>2066</v>
      </c>
      <c r="G240" s="492">
        <v>1E-3</v>
      </c>
      <c r="H240" s="492">
        <v>1</v>
      </c>
    </row>
    <row r="241" spans="2:8" hidden="1" outlineLevel="2">
      <c r="B241" s="373" t="s">
        <v>891</v>
      </c>
      <c r="C241" s="373" t="s">
        <v>969</v>
      </c>
      <c r="D241" s="373" t="s">
        <v>518</v>
      </c>
      <c r="E241" s="373" t="s">
        <v>56</v>
      </c>
      <c r="F241" s="491" t="s">
        <v>2067</v>
      </c>
      <c r="G241" s="492">
        <v>2.3452072707747665E-3</v>
      </c>
      <c r="H241" s="492">
        <v>1</v>
      </c>
    </row>
    <row r="242" spans="2:8" hidden="1" outlineLevel="2">
      <c r="B242" s="373" t="s">
        <v>891</v>
      </c>
      <c r="C242" s="373" t="s">
        <v>969</v>
      </c>
      <c r="D242" s="373" t="s">
        <v>518</v>
      </c>
      <c r="E242" s="373" t="s">
        <v>56</v>
      </c>
      <c r="F242" s="491" t="s">
        <v>2075</v>
      </c>
      <c r="G242" s="492">
        <v>1.4071243624648597E-2</v>
      </c>
      <c r="H242" s="492">
        <v>1</v>
      </c>
    </row>
    <row r="243" spans="2:8" hidden="1" outlineLevel="2">
      <c r="B243" s="373" t="s">
        <v>891</v>
      </c>
      <c r="C243" s="373" t="s">
        <v>969</v>
      </c>
      <c r="D243" s="373" t="s">
        <v>518</v>
      </c>
      <c r="E243" s="373" t="s">
        <v>56</v>
      </c>
      <c r="F243" s="491" t="s">
        <v>2076</v>
      </c>
      <c r="G243" s="492">
        <v>2.1106865436972894E-2</v>
      </c>
      <c r="H243" s="492">
        <v>1</v>
      </c>
    </row>
    <row r="244" spans="2:8" hidden="1" outlineLevel="2">
      <c r="B244" s="373" t="s">
        <v>891</v>
      </c>
      <c r="C244" s="373" t="s">
        <v>969</v>
      </c>
      <c r="D244" s="373" t="s">
        <v>518</v>
      </c>
      <c r="E244" s="373" t="s">
        <v>56</v>
      </c>
      <c r="F244" s="491" t="s">
        <v>2068</v>
      </c>
      <c r="G244" s="492">
        <v>3.5178109061621493E-3</v>
      </c>
      <c r="H244" s="492">
        <v>1</v>
      </c>
    </row>
    <row r="245" spans="2:8" hidden="1" outlineLevel="1" collapsed="1">
      <c r="B245" s="390" t="s">
        <v>893</v>
      </c>
      <c r="C245" s="390" t="s">
        <v>1000</v>
      </c>
      <c r="D245" s="390" t="s">
        <v>518</v>
      </c>
      <c r="E245" s="390" t="s">
        <v>56</v>
      </c>
      <c r="F245" s="475" t="s">
        <v>2263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893</v>
      </c>
      <c r="C246" s="373" t="s">
        <v>1000</v>
      </c>
      <c r="D246" s="373" t="s">
        <v>518</v>
      </c>
      <c r="E246" s="373" t="s">
        <v>56</v>
      </c>
      <c r="F246" s="491" t="s">
        <v>2081</v>
      </c>
      <c r="G246" s="492">
        <v>0.12911355532138755</v>
      </c>
      <c r="H246" s="492">
        <v>1</v>
      </c>
    </row>
    <row r="247" spans="2:8" hidden="1" outlineLevel="2">
      <c r="B247" s="373" t="s">
        <v>893</v>
      </c>
      <c r="C247" s="373" t="s">
        <v>1000</v>
      </c>
      <c r="D247" s="373" t="s">
        <v>518</v>
      </c>
      <c r="E247" s="373" t="s">
        <v>56</v>
      </c>
      <c r="F247" s="491" t="s">
        <v>2082</v>
      </c>
      <c r="G247" s="492">
        <v>0.25822711064277509</v>
      </c>
      <c r="H247" s="492">
        <v>1</v>
      </c>
    </row>
    <row r="248" spans="2:8" hidden="1" outlineLevel="2">
      <c r="B248" s="373" t="s">
        <v>893</v>
      </c>
      <c r="C248" s="373" t="s">
        <v>1000</v>
      </c>
      <c r="D248" s="373" t="s">
        <v>518</v>
      </c>
      <c r="E248" s="373" t="s">
        <v>56</v>
      </c>
      <c r="F248" s="491" t="s">
        <v>246</v>
      </c>
      <c r="G248" s="492">
        <v>1.4486092893899998E-2</v>
      </c>
      <c r="H248" s="492">
        <v>1</v>
      </c>
    </row>
    <row r="249" spans="2:8" hidden="1" outlineLevel="2">
      <c r="B249" s="373" t="s">
        <v>893</v>
      </c>
      <c r="C249" s="373" t="s">
        <v>1000</v>
      </c>
      <c r="D249" s="373" t="s">
        <v>518</v>
      </c>
      <c r="E249" s="373" t="s">
        <v>56</v>
      </c>
      <c r="F249" s="491" t="s">
        <v>247</v>
      </c>
      <c r="G249" s="492">
        <v>1.2071744078249999E-2</v>
      </c>
      <c r="H249" s="492">
        <v>1</v>
      </c>
    </row>
    <row r="250" spans="2:8" hidden="1" outlineLevel="1" collapsed="1">
      <c r="B250" s="390" t="s">
        <v>894</v>
      </c>
      <c r="C250" s="390" t="s">
        <v>1021</v>
      </c>
      <c r="D250" s="390" t="s">
        <v>518</v>
      </c>
      <c r="E250" s="390" t="s">
        <v>56</v>
      </c>
      <c r="F250" s="475" t="s">
        <v>2252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894</v>
      </c>
      <c r="C251" s="373" t="s">
        <v>1021</v>
      </c>
      <c r="D251" s="373" t="s">
        <v>518</v>
      </c>
      <c r="E251" s="373" t="s">
        <v>56</v>
      </c>
      <c r="F251" s="491" t="s">
        <v>543</v>
      </c>
      <c r="G251" s="492">
        <v>0.19</v>
      </c>
      <c r="H251" s="492">
        <v>1</v>
      </c>
    </row>
    <row r="252" spans="2:8" hidden="1" outlineLevel="2">
      <c r="B252" s="373" t="s">
        <v>894</v>
      </c>
      <c r="C252" s="373" t="s">
        <v>1021</v>
      </c>
      <c r="D252" s="373" t="s">
        <v>518</v>
      </c>
      <c r="E252" s="373" t="s">
        <v>56</v>
      </c>
      <c r="F252" s="491" t="s">
        <v>221</v>
      </c>
      <c r="G252" s="492">
        <v>0.16</v>
      </c>
      <c r="H252" s="492">
        <v>1</v>
      </c>
    </row>
    <row r="253" spans="2:8" hidden="1" outlineLevel="2">
      <c r="B253" s="373" t="s">
        <v>894</v>
      </c>
      <c r="C253" s="373" t="s">
        <v>1021</v>
      </c>
      <c r="D253" s="373" t="s">
        <v>518</v>
      </c>
      <c r="E253" s="373" t="s">
        <v>56</v>
      </c>
      <c r="F253" s="491" t="s">
        <v>254</v>
      </c>
      <c r="G253" s="492">
        <v>0.01</v>
      </c>
      <c r="H253" s="492">
        <v>1</v>
      </c>
    </row>
    <row r="254" spans="2:8" hidden="1" outlineLevel="1" collapsed="1">
      <c r="B254" s="390" t="s">
        <v>469</v>
      </c>
      <c r="C254" s="390" t="s">
        <v>1049</v>
      </c>
      <c r="D254" s="390" t="s">
        <v>518</v>
      </c>
      <c r="E254" s="390" t="s">
        <v>56</v>
      </c>
      <c r="F254" s="475" t="s">
        <v>2253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469</v>
      </c>
      <c r="C255" s="373" t="s">
        <v>1049</v>
      </c>
      <c r="D255" s="373" t="s">
        <v>518</v>
      </c>
      <c r="E255" s="373" t="s">
        <v>56</v>
      </c>
      <c r="F255" s="491" t="s">
        <v>544</v>
      </c>
      <c r="G255" s="492">
        <v>0.2</v>
      </c>
      <c r="H255" s="492">
        <v>1</v>
      </c>
    </row>
    <row r="256" spans="2:8" hidden="1" outlineLevel="2">
      <c r="B256" s="373" t="s">
        <v>469</v>
      </c>
      <c r="C256" s="373" t="s">
        <v>1049</v>
      </c>
      <c r="D256" s="373" t="s">
        <v>518</v>
      </c>
      <c r="E256" s="373" t="s">
        <v>56</v>
      </c>
      <c r="F256" s="491" t="s">
        <v>545</v>
      </c>
      <c r="G256" s="492">
        <v>0.4</v>
      </c>
      <c r="H256" s="492">
        <v>1</v>
      </c>
    </row>
    <row r="257" spans="2:8" hidden="1" outlineLevel="2">
      <c r="B257" s="373" t="s">
        <v>469</v>
      </c>
      <c r="C257" s="373" t="s">
        <v>1049</v>
      </c>
      <c r="D257" s="373" t="s">
        <v>518</v>
      </c>
      <c r="E257" s="373" t="s">
        <v>56</v>
      </c>
      <c r="F257" s="491" t="s">
        <v>342</v>
      </c>
      <c r="G257" s="492">
        <v>0.32</v>
      </c>
      <c r="H257" s="492">
        <v>1</v>
      </c>
    </row>
    <row r="258" spans="2:8" hidden="1" outlineLevel="2">
      <c r="B258" s="373" t="s">
        <v>469</v>
      </c>
      <c r="C258" s="373" t="s">
        <v>1049</v>
      </c>
      <c r="D258" s="373" t="s">
        <v>518</v>
      </c>
      <c r="E258" s="373" t="s">
        <v>56</v>
      </c>
      <c r="F258" s="491" t="s">
        <v>546</v>
      </c>
      <c r="G258" s="492">
        <v>0.32</v>
      </c>
      <c r="H258" s="492">
        <v>1</v>
      </c>
    </row>
    <row r="259" spans="2:8" hidden="1" outlineLevel="2">
      <c r="B259" s="373" t="s">
        <v>469</v>
      </c>
      <c r="C259" s="373" t="s">
        <v>1049</v>
      </c>
      <c r="D259" s="373" t="s">
        <v>518</v>
      </c>
      <c r="E259" s="373" t="s">
        <v>56</v>
      </c>
      <c r="F259" s="491" t="s">
        <v>547</v>
      </c>
      <c r="G259" s="492">
        <v>0.43</v>
      </c>
      <c r="H259" s="492">
        <v>1</v>
      </c>
    </row>
    <row r="260" spans="2:8" hidden="1" outlineLevel="2">
      <c r="B260" s="373" t="s">
        <v>469</v>
      </c>
      <c r="C260" s="373" t="s">
        <v>1049</v>
      </c>
      <c r="D260" s="373" t="s">
        <v>518</v>
      </c>
      <c r="E260" s="373" t="s">
        <v>56</v>
      </c>
      <c r="F260" s="491" t="s">
        <v>543</v>
      </c>
      <c r="G260" s="492">
        <v>0.02</v>
      </c>
      <c r="H260" s="492">
        <v>1</v>
      </c>
    </row>
    <row r="261" spans="2:8" hidden="1" outlineLevel="2">
      <c r="B261" s="373" t="s">
        <v>469</v>
      </c>
      <c r="C261" s="373" t="s">
        <v>1049</v>
      </c>
      <c r="D261" s="373" t="s">
        <v>518</v>
      </c>
      <c r="E261" s="373" t="s">
        <v>56</v>
      </c>
      <c r="F261" s="491" t="s">
        <v>221</v>
      </c>
      <c r="G261" s="492">
        <v>0.01</v>
      </c>
      <c r="H261" s="492">
        <v>1</v>
      </c>
    </row>
    <row r="262" spans="2:8" hidden="1" outlineLevel="2">
      <c r="B262" s="373" t="s">
        <v>469</v>
      </c>
      <c r="C262" s="373" t="s">
        <v>1049</v>
      </c>
      <c r="D262" s="373" t="s">
        <v>518</v>
      </c>
      <c r="E262" s="373" t="s">
        <v>56</v>
      </c>
      <c r="F262" s="491" t="s">
        <v>2189</v>
      </c>
      <c r="G262" s="492">
        <v>0.4</v>
      </c>
      <c r="H262" s="492">
        <v>1</v>
      </c>
    </row>
    <row r="263" spans="2:8" hidden="1" outlineLevel="1" collapsed="1">
      <c r="B263" s="390" t="s">
        <v>897</v>
      </c>
      <c r="C263" s="390" t="s">
        <v>1089</v>
      </c>
      <c r="D263" s="390" t="s">
        <v>518</v>
      </c>
      <c r="E263" s="390" t="s">
        <v>56</v>
      </c>
      <c r="F263" s="475" t="s">
        <v>2239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897</v>
      </c>
      <c r="C264" s="373" t="s">
        <v>1089</v>
      </c>
      <c r="D264" s="373" t="s">
        <v>518</v>
      </c>
      <c r="E264" s="373" t="s">
        <v>56</v>
      </c>
      <c r="F264" s="491" t="s">
        <v>174</v>
      </c>
      <c r="G264" s="492">
        <v>6.0248605439999423E-2</v>
      </c>
      <c r="H264" s="492">
        <v>1</v>
      </c>
    </row>
    <row r="265" spans="2:8" hidden="1" outlineLevel="2">
      <c r="B265" s="373" t="s">
        <v>897</v>
      </c>
      <c r="C265" s="373" t="s">
        <v>1089</v>
      </c>
      <c r="D265" s="373" t="s">
        <v>518</v>
      </c>
      <c r="E265" s="373" t="s">
        <v>56</v>
      </c>
      <c r="F265" s="491" t="s">
        <v>552</v>
      </c>
      <c r="G265" s="492">
        <v>1.1911781127994301E-2</v>
      </c>
      <c r="H265" s="492">
        <v>1</v>
      </c>
    </row>
    <row r="266" spans="2:8" hidden="1" outlineLevel="2">
      <c r="B266" s="373" t="s">
        <v>897</v>
      </c>
      <c r="C266" s="373" t="s">
        <v>1089</v>
      </c>
      <c r="D266" s="373" t="s">
        <v>518</v>
      </c>
      <c r="E266" s="373" t="s">
        <v>56</v>
      </c>
      <c r="F266" s="491" t="s">
        <v>553</v>
      </c>
      <c r="G266" s="492">
        <v>1.1911781127994301E-2</v>
      </c>
      <c r="H266" s="492">
        <v>1</v>
      </c>
    </row>
    <row r="267" spans="2:8" hidden="1" outlineLevel="1" collapsed="1">
      <c r="B267" s="390" t="s">
        <v>898</v>
      </c>
      <c r="C267" s="390" t="s">
        <v>1099</v>
      </c>
      <c r="D267" s="390" t="s">
        <v>518</v>
      </c>
      <c r="E267" s="390" t="s">
        <v>56</v>
      </c>
      <c r="F267" s="475" t="s">
        <v>2240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898</v>
      </c>
      <c r="C268" s="373" t="s">
        <v>1099</v>
      </c>
      <c r="D268" s="373" t="s">
        <v>518</v>
      </c>
      <c r="E268" s="373" t="s">
        <v>56</v>
      </c>
      <c r="F268" s="491" t="s">
        <v>175</v>
      </c>
      <c r="G268" s="492">
        <v>7.0000000000000007E-2</v>
      </c>
      <c r="H268" s="492">
        <v>1</v>
      </c>
    </row>
    <row r="269" spans="2:8" hidden="1" outlineLevel="2">
      <c r="B269" s="373" t="s">
        <v>898</v>
      </c>
      <c r="C269" s="373" t="s">
        <v>1099</v>
      </c>
      <c r="D269" s="373" t="s">
        <v>518</v>
      </c>
      <c r="E269" s="373" t="s">
        <v>56</v>
      </c>
      <c r="F269" s="491" t="s">
        <v>174</v>
      </c>
      <c r="G269" s="492">
        <v>5.4103609800000001E-2</v>
      </c>
      <c r="H269" s="492">
        <v>1</v>
      </c>
    </row>
    <row r="270" spans="2:8" hidden="1" outlineLevel="2">
      <c r="B270" s="373" t="s">
        <v>898</v>
      </c>
      <c r="C270" s="373" t="s">
        <v>1099</v>
      </c>
      <c r="D270" s="373" t="s">
        <v>518</v>
      </c>
      <c r="E270" s="373" t="s">
        <v>56</v>
      </c>
      <c r="F270" s="491" t="s">
        <v>195</v>
      </c>
      <c r="G270" s="492">
        <v>4.5086341500000002E-2</v>
      </c>
      <c r="H270" s="492">
        <v>1</v>
      </c>
    </row>
    <row r="271" spans="2:8" hidden="1" outlineLevel="1" collapsed="1">
      <c r="B271" s="390" t="s">
        <v>899</v>
      </c>
      <c r="C271" s="390" t="s">
        <v>1107</v>
      </c>
      <c r="D271" s="390" t="s">
        <v>518</v>
      </c>
      <c r="E271" s="390" t="s">
        <v>56</v>
      </c>
      <c r="F271" s="475" t="s">
        <v>2241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899</v>
      </c>
      <c r="C272" s="373" t="s">
        <v>1107</v>
      </c>
      <c r="D272" s="373" t="s">
        <v>518</v>
      </c>
      <c r="E272" s="373" t="s">
        <v>56</v>
      </c>
      <c r="F272" s="491" t="s">
        <v>2123</v>
      </c>
      <c r="G272" s="492">
        <v>7.0000000000000007E-2</v>
      </c>
      <c r="H272" s="492">
        <v>1</v>
      </c>
    </row>
    <row r="273" spans="2:8" hidden="1" outlineLevel="2">
      <c r="B273" s="373" t="s">
        <v>899</v>
      </c>
      <c r="C273" s="373" t="s">
        <v>1107</v>
      </c>
      <c r="D273" s="373" t="s">
        <v>518</v>
      </c>
      <c r="E273" s="373" t="s">
        <v>56</v>
      </c>
      <c r="F273" s="491" t="s">
        <v>2124</v>
      </c>
      <c r="G273" s="492">
        <v>7.0000000000000007E-2</v>
      </c>
      <c r="H273" s="492">
        <v>1</v>
      </c>
    </row>
    <row r="274" spans="2:8" hidden="1" outlineLevel="2">
      <c r="B274" s="373" t="s">
        <v>899</v>
      </c>
      <c r="C274" s="373" t="s">
        <v>1107</v>
      </c>
      <c r="D274" s="373" t="s">
        <v>518</v>
      </c>
      <c r="E274" s="373" t="s">
        <v>56</v>
      </c>
      <c r="F274" s="491" t="s">
        <v>2125</v>
      </c>
      <c r="G274" s="492">
        <v>7.0000000000000007E-2</v>
      </c>
      <c r="H274" s="492">
        <v>1</v>
      </c>
    </row>
    <row r="275" spans="2:8" hidden="1" outlineLevel="2">
      <c r="B275" s="373" t="s">
        <v>899</v>
      </c>
      <c r="C275" s="373" t="s">
        <v>1107</v>
      </c>
      <c r="D275" s="373" t="s">
        <v>518</v>
      </c>
      <c r="E275" s="373" t="s">
        <v>56</v>
      </c>
      <c r="F275" s="491" t="s">
        <v>2127</v>
      </c>
      <c r="G275" s="492">
        <v>7.0000000000000007E-2</v>
      </c>
      <c r="H275" s="492">
        <v>1</v>
      </c>
    </row>
    <row r="276" spans="2:8" hidden="1" outlineLevel="2">
      <c r="B276" s="373" t="s">
        <v>899</v>
      </c>
      <c r="C276" s="373" t="s">
        <v>1107</v>
      </c>
      <c r="D276" s="373" t="s">
        <v>518</v>
      </c>
      <c r="E276" s="373" t="s">
        <v>56</v>
      </c>
      <c r="F276" s="491" t="s">
        <v>2129</v>
      </c>
      <c r="G276" s="492">
        <v>7.0000000000000007E-2</v>
      </c>
      <c r="H276" s="492">
        <v>1</v>
      </c>
    </row>
    <row r="277" spans="2:8" hidden="1" outlineLevel="2">
      <c r="B277" s="373" t="s">
        <v>899</v>
      </c>
      <c r="C277" s="373" t="s">
        <v>1107</v>
      </c>
      <c r="D277" s="373" t="s">
        <v>518</v>
      </c>
      <c r="E277" s="373" t="s">
        <v>56</v>
      </c>
      <c r="F277" s="491" t="s">
        <v>2130</v>
      </c>
      <c r="G277" s="492">
        <v>7.0000000000000007E-2</v>
      </c>
      <c r="H277" s="492">
        <v>1</v>
      </c>
    </row>
    <row r="278" spans="2:8" hidden="1" outlineLevel="2">
      <c r="B278" s="373" t="s">
        <v>899</v>
      </c>
      <c r="C278" s="373" t="s">
        <v>1107</v>
      </c>
      <c r="D278" s="373" t="s">
        <v>518</v>
      </c>
      <c r="E278" s="373" t="s">
        <v>56</v>
      </c>
      <c r="F278" s="491" t="s">
        <v>2131</v>
      </c>
      <c r="G278" s="492">
        <v>0.13</v>
      </c>
      <c r="H278" s="492">
        <v>1</v>
      </c>
    </row>
    <row r="279" spans="2:8" hidden="1" outlineLevel="2">
      <c r="B279" s="373" t="s">
        <v>899</v>
      </c>
      <c r="C279" s="373" t="s">
        <v>1107</v>
      </c>
      <c r="D279" s="373" t="s">
        <v>518</v>
      </c>
      <c r="E279" s="373" t="s">
        <v>56</v>
      </c>
      <c r="F279" s="491" t="s">
        <v>2133</v>
      </c>
      <c r="G279" s="492">
        <v>0.18</v>
      </c>
      <c r="H279" s="492">
        <v>1</v>
      </c>
    </row>
    <row r="280" spans="2:8" hidden="1" outlineLevel="2">
      <c r="B280" s="373" t="s">
        <v>899</v>
      </c>
      <c r="C280" s="373" t="s">
        <v>1107</v>
      </c>
      <c r="D280" s="373" t="s">
        <v>518</v>
      </c>
      <c r="E280" s="373" t="s">
        <v>56</v>
      </c>
      <c r="F280" s="491" t="s">
        <v>2135</v>
      </c>
      <c r="G280" s="492">
        <v>0.13</v>
      </c>
      <c r="H280" s="492">
        <v>1</v>
      </c>
    </row>
    <row r="281" spans="2:8" hidden="1" outlineLevel="2">
      <c r="B281" s="373" t="s">
        <v>899</v>
      </c>
      <c r="C281" s="373" t="s">
        <v>1107</v>
      </c>
      <c r="D281" s="373" t="s">
        <v>518</v>
      </c>
      <c r="E281" s="373" t="s">
        <v>56</v>
      </c>
      <c r="F281" s="491" t="s">
        <v>2136</v>
      </c>
      <c r="G281" s="492">
        <v>0.13</v>
      </c>
      <c r="H281" s="492">
        <v>1</v>
      </c>
    </row>
    <row r="282" spans="2:8" hidden="1" outlineLevel="2">
      <c r="B282" s="373" t="s">
        <v>899</v>
      </c>
      <c r="C282" s="373" t="s">
        <v>1107</v>
      </c>
      <c r="D282" s="373" t="s">
        <v>518</v>
      </c>
      <c r="E282" s="373" t="s">
        <v>56</v>
      </c>
      <c r="F282" s="491" t="s">
        <v>192</v>
      </c>
      <c r="G282" s="492">
        <v>0.13</v>
      </c>
      <c r="H282" s="492">
        <v>1</v>
      </c>
    </row>
    <row r="283" spans="2:8" hidden="1" outlineLevel="1" collapsed="1">
      <c r="B283" s="390" t="s">
        <v>1137</v>
      </c>
      <c r="C283" s="390" t="s">
        <v>956</v>
      </c>
      <c r="D283" s="390" t="s">
        <v>518</v>
      </c>
      <c r="E283" s="390" t="s">
        <v>56</v>
      </c>
      <c r="F283" s="475" t="s">
        <v>2242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1137</v>
      </c>
      <c r="C284" s="373" t="s">
        <v>956</v>
      </c>
      <c r="D284" s="373" t="s">
        <v>518</v>
      </c>
      <c r="E284" s="373" t="s">
        <v>56</v>
      </c>
      <c r="F284" s="491" t="s">
        <v>2142</v>
      </c>
      <c r="G284" s="492">
        <v>9.7617811500000009E-3</v>
      </c>
      <c r="H284" s="492">
        <v>1</v>
      </c>
    </row>
    <row r="285" spans="2:8" hidden="1" outlineLevel="2">
      <c r="B285" s="373" t="s">
        <v>1137</v>
      </c>
      <c r="C285" s="373" t="s">
        <v>956</v>
      </c>
      <c r="D285" s="373" t="s">
        <v>518</v>
      </c>
      <c r="E285" s="373" t="s">
        <v>56</v>
      </c>
      <c r="F285" s="491" t="s">
        <v>2139</v>
      </c>
      <c r="G285" s="492">
        <v>3.9047124600000004E-2</v>
      </c>
      <c r="H285" s="492">
        <v>1</v>
      </c>
    </row>
    <row r="286" spans="2:8" hidden="1" outlineLevel="2">
      <c r="B286" s="373" t="s">
        <v>1137</v>
      </c>
      <c r="C286" s="373" t="s">
        <v>956</v>
      </c>
      <c r="D286" s="373" t="s">
        <v>518</v>
      </c>
      <c r="E286" s="373" t="s">
        <v>56</v>
      </c>
      <c r="F286" s="491" t="s">
        <v>2140</v>
      </c>
      <c r="G286" s="492">
        <v>0.11799571852507491</v>
      </c>
      <c r="H286" s="492">
        <v>1</v>
      </c>
    </row>
    <row r="287" spans="2:8" hidden="1" outlineLevel="2">
      <c r="B287" s="373" t="s">
        <v>1137</v>
      </c>
      <c r="C287" s="373" t="s">
        <v>956</v>
      </c>
      <c r="D287" s="373" t="s">
        <v>518</v>
      </c>
      <c r="E287" s="373" t="s">
        <v>56</v>
      </c>
      <c r="F287" s="491" t="s">
        <v>2141</v>
      </c>
      <c r="G287" s="492">
        <v>0.11799571852507491</v>
      </c>
      <c r="H287" s="492">
        <v>1</v>
      </c>
    </row>
    <row r="288" spans="2:8" hidden="1" outlineLevel="1" collapsed="1">
      <c r="B288" s="390" t="s">
        <v>1299</v>
      </c>
      <c r="C288" s="390" t="s">
        <v>1300</v>
      </c>
      <c r="D288" s="390" t="s">
        <v>518</v>
      </c>
      <c r="E288" s="390" t="s">
        <v>56</v>
      </c>
      <c r="F288" s="475" t="s">
        <v>2243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1299</v>
      </c>
      <c r="C289" s="373" t="s">
        <v>1300</v>
      </c>
      <c r="D289" s="373" t="s">
        <v>518</v>
      </c>
      <c r="E289" s="373" t="s">
        <v>56</v>
      </c>
      <c r="F289" s="491" t="s">
        <v>206</v>
      </c>
      <c r="G289" s="492">
        <v>1.3962417684976238</v>
      </c>
      <c r="H289" s="492">
        <v>1</v>
      </c>
    </row>
    <row r="290" spans="2:8" hidden="1" outlineLevel="2">
      <c r="B290" s="373" t="s">
        <v>1299</v>
      </c>
      <c r="C290" s="373" t="s">
        <v>1300</v>
      </c>
      <c r="D290" s="373" t="s">
        <v>518</v>
      </c>
      <c r="E290" s="373" t="s">
        <v>56</v>
      </c>
      <c r="F290" s="491" t="s">
        <v>199</v>
      </c>
      <c r="G290" s="492">
        <v>1.8616556913301652</v>
      </c>
      <c r="H290" s="492">
        <v>1</v>
      </c>
    </row>
    <row r="291" spans="2:8" hidden="1" outlineLevel="1">
      <c r="B291" s="373" t="s">
        <v>1281</v>
      </c>
      <c r="C291" s="373" t="s">
        <v>1282</v>
      </c>
      <c r="D291" s="373" t="s">
        <v>518</v>
      </c>
      <c r="E291" s="373" t="s">
        <v>56</v>
      </c>
      <c r="F291" s="475" t="s">
        <v>2333</v>
      </c>
      <c r="G291" s="492">
        <v>0</v>
      </c>
      <c r="H291" s="492">
        <v>0</v>
      </c>
    </row>
    <row r="292" spans="2:8" hidden="1" outlineLevel="1" collapsed="1">
      <c r="B292" s="390" t="s">
        <v>901</v>
      </c>
      <c r="C292" s="390" t="s">
        <v>1089</v>
      </c>
      <c r="D292" s="390" t="s">
        <v>518</v>
      </c>
      <c r="E292" s="390" t="s">
        <v>56</v>
      </c>
      <c r="F292" s="475" t="s">
        <v>2244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901</v>
      </c>
      <c r="C293" s="373" t="s">
        <v>1089</v>
      </c>
      <c r="D293" s="373" t="s">
        <v>518</v>
      </c>
      <c r="E293" s="373" t="s">
        <v>56</v>
      </c>
      <c r="F293" s="491" t="s">
        <v>209</v>
      </c>
      <c r="G293" s="492">
        <v>0.08</v>
      </c>
      <c r="H293" s="492">
        <v>1</v>
      </c>
    </row>
    <row r="294" spans="2:8" hidden="1" outlineLevel="2">
      <c r="B294" s="373" t="s">
        <v>901</v>
      </c>
      <c r="C294" s="373" t="s">
        <v>1089</v>
      </c>
      <c r="D294" s="373" t="s">
        <v>518</v>
      </c>
      <c r="E294" s="373" t="s">
        <v>56</v>
      </c>
      <c r="F294" s="491" t="s">
        <v>217</v>
      </c>
      <c r="G294" s="492">
        <v>0.17</v>
      </c>
      <c r="H294" s="492">
        <v>1</v>
      </c>
    </row>
    <row r="295" spans="2:8" hidden="1" outlineLevel="2">
      <c r="B295" s="373" t="s">
        <v>901</v>
      </c>
      <c r="C295" s="373" t="s">
        <v>1089</v>
      </c>
      <c r="D295" s="373" t="s">
        <v>518</v>
      </c>
      <c r="E295" s="373" t="s">
        <v>56</v>
      </c>
      <c r="F295" s="491" t="s">
        <v>174</v>
      </c>
      <c r="G295" s="492">
        <v>0.03</v>
      </c>
      <c r="H295" s="492">
        <v>1</v>
      </c>
    </row>
    <row r="296" spans="2:8" hidden="1" outlineLevel="2">
      <c r="B296" s="373" t="s">
        <v>901</v>
      </c>
      <c r="C296" s="373" t="s">
        <v>1089</v>
      </c>
      <c r="D296" s="373" t="s">
        <v>518</v>
      </c>
      <c r="E296" s="373" t="s">
        <v>56</v>
      </c>
      <c r="F296" s="491" t="s">
        <v>195</v>
      </c>
      <c r="G296" s="492">
        <v>0.03</v>
      </c>
      <c r="H296" s="492">
        <v>1</v>
      </c>
    </row>
    <row r="297" spans="2:8" hidden="1" outlineLevel="2">
      <c r="B297" s="373" t="s">
        <v>901</v>
      </c>
      <c r="C297" s="373" t="s">
        <v>1089</v>
      </c>
      <c r="D297" s="373" t="s">
        <v>518</v>
      </c>
      <c r="E297" s="373" t="s">
        <v>56</v>
      </c>
      <c r="F297" s="491" t="s">
        <v>2154</v>
      </c>
      <c r="G297" s="492">
        <v>7.0000000000000007E-2</v>
      </c>
      <c r="H297" s="492">
        <v>1</v>
      </c>
    </row>
    <row r="298" spans="2:8" hidden="1" outlineLevel="1" collapsed="1">
      <c r="B298" s="390" t="s">
        <v>162</v>
      </c>
      <c r="C298" s="390" t="s">
        <v>162</v>
      </c>
      <c r="D298" s="390" t="s">
        <v>518</v>
      </c>
      <c r="E298" s="390" t="s">
        <v>56</v>
      </c>
      <c r="F298" s="475" t="s">
        <v>2270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162</v>
      </c>
      <c r="C299" s="373" t="s">
        <v>162</v>
      </c>
      <c r="D299" s="373" t="s">
        <v>518</v>
      </c>
      <c r="E299" s="373" t="s">
        <v>56</v>
      </c>
      <c r="F299" s="491" t="s">
        <v>543</v>
      </c>
      <c r="G299" s="492">
        <v>0.40295193575893268</v>
      </c>
      <c r="H299" s="492">
        <v>1</v>
      </c>
    </row>
    <row r="300" spans="2:8" hidden="1" outlineLevel="2">
      <c r="B300" s="373" t="s">
        <v>162</v>
      </c>
      <c r="C300" s="373" t="s">
        <v>162</v>
      </c>
      <c r="D300" s="373" t="s">
        <v>518</v>
      </c>
      <c r="E300" s="373" t="s">
        <v>56</v>
      </c>
      <c r="F300" s="491" t="s">
        <v>221</v>
      </c>
      <c r="G300" s="492">
        <v>0.33579327979911056</v>
      </c>
      <c r="H300" s="492">
        <v>1</v>
      </c>
    </row>
    <row r="301" spans="2:8" hidden="1" outlineLevel="2">
      <c r="B301" s="373" t="s">
        <v>162</v>
      </c>
      <c r="C301" s="373" t="s">
        <v>162</v>
      </c>
      <c r="D301" s="373" t="s">
        <v>518</v>
      </c>
      <c r="E301" s="373" t="s">
        <v>56</v>
      </c>
      <c r="F301" s="491" t="s">
        <v>245</v>
      </c>
      <c r="G301" s="492">
        <v>3.0990830409541533E-2</v>
      </c>
      <c r="H301" s="492">
        <v>1</v>
      </c>
    </row>
    <row r="302" spans="2:8" hidden="1" outlineLevel="2">
      <c r="B302" s="373" t="s">
        <v>162</v>
      </c>
      <c r="C302" s="373" t="s">
        <v>162</v>
      </c>
      <c r="D302" s="373" t="s">
        <v>518</v>
      </c>
      <c r="E302" s="373" t="s">
        <v>56</v>
      </c>
      <c r="F302" s="491" t="s">
        <v>283</v>
      </c>
      <c r="G302" s="492">
        <v>3.0990830409541533E-2</v>
      </c>
      <c r="H302" s="492">
        <v>1</v>
      </c>
    </row>
    <row r="303" spans="2:8" hidden="1" outlineLevel="1" collapsed="1">
      <c r="B303" s="390" t="s">
        <v>1175</v>
      </c>
      <c r="C303" s="390" t="s">
        <v>1018</v>
      </c>
      <c r="D303" s="390" t="s">
        <v>518</v>
      </c>
      <c r="E303" s="390" t="s">
        <v>56</v>
      </c>
      <c r="F303" s="475" t="s">
        <v>2334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1175</v>
      </c>
      <c r="C304" s="373" t="s">
        <v>1018</v>
      </c>
      <c r="D304" s="373" t="s">
        <v>518</v>
      </c>
      <c r="E304" s="373" t="s">
        <v>56</v>
      </c>
      <c r="F304" s="491" t="s">
        <v>1167</v>
      </c>
      <c r="G304" s="492">
        <v>0.03</v>
      </c>
      <c r="H304" s="492">
        <v>1</v>
      </c>
    </row>
    <row r="305" spans="2:8" hidden="1" outlineLevel="1" collapsed="1">
      <c r="B305" s="390" t="s">
        <v>252</v>
      </c>
      <c r="C305" s="390" t="s">
        <v>252</v>
      </c>
      <c r="D305" s="390" t="s">
        <v>518</v>
      </c>
      <c r="E305" s="390" t="s">
        <v>56</v>
      </c>
      <c r="F305" s="475" t="s">
        <v>2271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252</v>
      </c>
      <c r="C306" s="373" t="s">
        <v>252</v>
      </c>
      <c r="D306" s="373" t="s">
        <v>518</v>
      </c>
      <c r="E306" s="373" t="s">
        <v>56</v>
      </c>
      <c r="F306" s="491" t="s">
        <v>2172</v>
      </c>
      <c r="G306" s="492">
        <v>2.25123394992</v>
      </c>
      <c r="H306" s="492">
        <v>1</v>
      </c>
    </row>
    <row r="307" spans="2:8" hidden="1" outlineLevel="2">
      <c r="B307" s="373" t="s">
        <v>252</v>
      </c>
      <c r="C307" s="373" t="s">
        <v>252</v>
      </c>
      <c r="D307" s="373" t="s">
        <v>518</v>
      </c>
      <c r="E307" s="373" t="s">
        <v>56</v>
      </c>
      <c r="F307" s="491" t="s">
        <v>1182</v>
      </c>
      <c r="G307" s="492">
        <v>0.5295810499200001</v>
      </c>
      <c r="H307" s="492">
        <v>1</v>
      </c>
    </row>
    <row r="308" spans="2:8" hidden="1" outlineLevel="2">
      <c r="B308" s="373" t="s">
        <v>252</v>
      </c>
      <c r="C308" s="373" t="s">
        <v>252</v>
      </c>
      <c r="D308" s="373" t="s">
        <v>518</v>
      </c>
      <c r="E308" s="373" t="s">
        <v>56</v>
      </c>
      <c r="F308" s="491" t="s">
        <v>1188</v>
      </c>
      <c r="G308" s="492">
        <v>2.5612785000000002E-2</v>
      </c>
      <c r="H308" s="492">
        <v>1</v>
      </c>
    </row>
    <row r="309" spans="2:8" hidden="1" outlineLevel="2">
      <c r="B309" s="373" t="s">
        <v>252</v>
      </c>
      <c r="C309" s="373" t="s">
        <v>252</v>
      </c>
      <c r="D309" s="373" t="s">
        <v>518</v>
      </c>
      <c r="E309" s="373" t="s">
        <v>56</v>
      </c>
      <c r="F309" s="491" t="s">
        <v>1190</v>
      </c>
      <c r="G309" s="492">
        <v>0.10833933000000003</v>
      </c>
      <c r="H309" s="492">
        <v>1</v>
      </c>
    </row>
    <row r="310" spans="2:8" hidden="1" outlineLevel="2">
      <c r="B310" s="373" t="s">
        <v>252</v>
      </c>
      <c r="C310" s="373" t="s">
        <v>252</v>
      </c>
      <c r="D310" s="373" t="s">
        <v>518</v>
      </c>
      <c r="E310" s="373" t="s">
        <v>56</v>
      </c>
      <c r="F310" s="491" t="s">
        <v>1191</v>
      </c>
      <c r="G310" s="492">
        <v>5.4169665000000013E-2</v>
      </c>
      <c r="H310" s="492">
        <v>1</v>
      </c>
    </row>
    <row r="311" spans="2:8" hidden="1" outlineLevel="2">
      <c r="B311" s="373" t="s">
        <v>252</v>
      </c>
      <c r="C311" s="373" t="s">
        <v>252</v>
      </c>
      <c r="D311" s="373" t="s">
        <v>518</v>
      </c>
      <c r="E311" s="373" t="s">
        <v>56</v>
      </c>
      <c r="F311" s="491" t="s">
        <v>1193</v>
      </c>
      <c r="G311" s="492">
        <v>0.10833933000000003</v>
      </c>
      <c r="H311" s="492">
        <v>1</v>
      </c>
    </row>
    <row r="312" spans="2:8" hidden="1" outlineLevel="2">
      <c r="B312" s="373" t="s">
        <v>252</v>
      </c>
      <c r="C312" s="373" t="s">
        <v>252</v>
      </c>
      <c r="D312" s="373" t="s">
        <v>518</v>
      </c>
      <c r="E312" s="373" t="s">
        <v>56</v>
      </c>
      <c r="F312" s="491" t="s">
        <v>1194</v>
      </c>
      <c r="G312" s="492">
        <v>5.4169665000000013E-2</v>
      </c>
      <c r="H312" s="492">
        <v>1</v>
      </c>
    </row>
    <row r="313" spans="2:8" hidden="1" outlineLevel="2">
      <c r="B313" s="373" t="s">
        <v>252</v>
      </c>
      <c r="C313" s="373" t="s">
        <v>252</v>
      </c>
      <c r="D313" s="373" t="s">
        <v>518</v>
      </c>
      <c r="E313" s="373" t="s">
        <v>56</v>
      </c>
      <c r="F313" s="491" t="s">
        <v>1196</v>
      </c>
      <c r="G313" s="492">
        <v>0.10833933000000003</v>
      </c>
      <c r="H313" s="492">
        <v>1</v>
      </c>
    </row>
    <row r="314" spans="2:8" hidden="1" outlineLevel="2">
      <c r="B314" s="373" t="s">
        <v>252</v>
      </c>
      <c r="C314" s="373" t="s">
        <v>252</v>
      </c>
      <c r="D314" s="373" t="s">
        <v>518</v>
      </c>
      <c r="E314" s="373" t="s">
        <v>56</v>
      </c>
      <c r="F314" s="491" t="s">
        <v>1197</v>
      </c>
      <c r="G314" s="492">
        <v>5.4169665000000013E-2</v>
      </c>
      <c r="H314" s="492">
        <v>1</v>
      </c>
    </row>
    <row r="315" spans="2:8" hidden="1" outlineLevel="2">
      <c r="B315" s="373" t="s">
        <v>252</v>
      </c>
      <c r="C315" s="373" t="s">
        <v>252</v>
      </c>
      <c r="D315" s="373" t="s">
        <v>518</v>
      </c>
      <c r="E315" s="373" t="s">
        <v>56</v>
      </c>
      <c r="F315" s="491" t="s">
        <v>1200</v>
      </c>
      <c r="G315" s="492">
        <v>0.10833933000000003</v>
      </c>
      <c r="H315" s="492">
        <v>1</v>
      </c>
    </row>
    <row r="316" spans="2:8" hidden="1" outlineLevel="2">
      <c r="B316" s="373" t="s">
        <v>252</v>
      </c>
      <c r="C316" s="373" t="s">
        <v>252</v>
      </c>
      <c r="D316" s="373" t="s">
        <v>518</v>
      </c>
      <c r="E316" s="373" t="s">
        <v>56</v>
      </c>
      <c r="F316" s="491" t="s">
        <v>1201</v>
      </c>
      <c r="G316" s="492">
        <v>5.4169665000000013E-2</v>
      </c>
      <c r="H316" s="492">
        <v>1</v>
      </c>
    </row>
    <row r="317" spans="2:8" hidden="1" outlineLevel="2">
      <c r="B317" s="373" t="s">
        <v>252</v>
      </c>
      <c r="C317" s="373" t="s">
        <v>252</v>
      </c>
      <c r="D317" s="373" t="s">
        <v>518</v>
      </c>
      <c r="E317" s="373" t="s">
        <v>56</v>
      </c>
      <c r="F317" s="491" t="s">
        <v>1203</v>
      </c>
      <c r="G317" s="492">
        <v>5.1225570000000005E-2</v>
      </c>
      <c r="H317" s="492">
        <v>1</v>
      </c>
    </row>
    <row r="318" spans="2:8" hidden="1" outlineLevel="2">
      <c r="B318" s="373" t="s">
        <v>252</v>
      </c>
      <c r="C318" s="373" t="s">
        <v>252</v>
      </c>
      <c r="D318" s="373" t="s">
        <v>518</v>
      </c>
      <c r="E318" s="373" t="s">
        <v>56</v>
      </c>
      <c r="F318" s="491" t="s">
        <v>1204</v>
      </c>
      <c r="G318" s="492">
        <v>5.1225570000000005E-2</v>
      </c>
      <c r="H318" s="492">
        <v>1</v>
      </c>
    </row>
    <row r="319" spans="2:8" hidden="1" outlineLevel="2">
      <c r="B319" s="373" t="s">
        <v>252</v>
      </c>
      <c r="C319" s="373" t="s">
        <v>252</v>
      </c>
      <c r="D319" s="373" t="s">
        <v>518</v>
      </c>
      <c r="E319" s="373" t="s">
        <v>56</v>
      </c>
      <c r="F319" s="491" t="s">
        <v>1205</v>
      </c>
      <c r="G319" s="492">
        <v>5.1225570000000005E-2</v>
      </c>
      <c r="H319" s="492">
        <v>1</v>
      </c>
    </row>
    <row r="320" spans="2:8" hidden="1" outlineLevel="2">
      <c r="B320" s="373" t="s">
        <v>252</v>
      </c>
      <c r="C320" s="373" t="s">
        <v>252</v>
      </c>
      <c r="D320" s="373" t="s">
        <v>518</v>
      </c>
      <c r="E320" s="373" t="s">
        <v>56</v>
      </c>
      <c r="F320" s="491" t="s">
        <v>1206</v>
      </c>
      <c r="G320" s="492">
        <v>2.5612785000000002E-2</v>
      </c>
      <c r="H320" s="492">
        <v>1</v>
      </c>
    </row>
    <row r="321" spans="2:8" hidden="1" outlineLevel="1" collapsed="1">
      <c r="B321" s="390" t="s">
        <v>903</v>
      </c>
      <c r="C321" s="390" t="s">
        <v>903</v>
      </c>
      <c r="D321" s="390" t="s">
        <v>518</v>
      </c>
      <c r="E321" s="390" t="s">
        <v>56</v>
      </c>
      <c r="F321" s="475" t="s">
        <v>2272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903</v>
      </c>
      <c r="C322" s="373" t="s">
        <v>903</v>
      </c>
      <c r="D322" s="373" t="s">
        <v>518</v>
      </c>
      <c r="E322" s="373" t="s">
        <v>56</v>
      </c>
      <c r="F322" s="491" t="s">
        <v>273</v>
      </c>
      <c r="G322" s="492">
        <v>0.20115878538561949</v>
      </c>
      <c r="H322" s="492">
        <v>1</v>
      </c>
    </row>
    <row r="323" spans="2:8" hidden="1" outlineLevel="2">
      <c r="B323" s="373" t="s">
        <v>903</v>
      </c>
      <c r="C323" s="373" t="s">
        <v>903</v>
      </c>
      <c r="D323" s="373" t="s">
        <v>518</v>
      </c>
      <c r="E323" s="373" t="s">
        <v>56</v>
      </c>
      <c r="F323" s="491" t="s">
        <v>246</v>
      </c>
      <c r="G323" s="492">
        <v>5.8456730700000001E-2</v>
      </c>
      <c r="H323" s="492">
        <v>1</v>
      </c>
    </row>
    <row r="324" spans="2:8" hidden="1" outlineLevel="2">
      <c r="B324" s="373" t="s">
        <v>903</v>
      </c>
      <c r="C324" s="373" t="s">
        <v>903</v>
      </c>
      <c r="D324" s="373" t="s">
        <v>518</v>
      </c>
      <c r="E324" s="373" t="s">
        <v>56</v>
      </c>
      <c r="F324" s="491" t="s">
        <v>247</v>
      </c>
      <c r="G324" s="492">
        <v>4.8713942250000003E-2</v>
      </c>
      <c r="H324" s="492">
        <v>1</v>
      </c>
    </row>
    <row r="325" spans="2:8" hidden="1" outlineLevel="2">
      <c r="B325" s="373" t="s">
        <v>903</v>
      </c>
      <c r="C325" s="373" t="s">
        <v>903</v>
      </c>
      <c r="D325" s="373" t="s">
        <v>518</v>
      </c>
      <c r="E325" s="373" t="s">
        <v>56</v>
      </c>
      <c r="F325" s="491" t="s">
        <v>243</v>
      </c>
      <c r="G325" s="492">
        <v>2.5989279749999997E-2</v>
      </c>
      <c r="H325" s="492">
        <v>1</v>
      </c>
    </row>
    <row r="326" spans="2:8" hidden="1" outlineLevel="2">
      <c r="B326" s="373" t="s">
        <v>903</v>
      </c>
      <c r="C326" s="373" t="s">
        <v>903</v>
      </c>
      <c r="D326" s="373" t="s">
        <v>518</v>
      </c>
      <c r="E326" s="373" t="s">
        <v>56</v>
      </c>
      <c r="F326" s="491" t="s">
        <v>245</v>
      </c>
      <c r="G326" s="492">
        <v>3.7127542499999998E-3</v>
      </c>
      <c r="H326" s="492">
        <v>1</v>
      </c>
    </row>
    <row r="327" spans="2:8" hidden="1" outlineLevel="2">
      <c r="B327" s="373" t="s">
        <v>903</v>
      </c>
      <c r="C327" s="373" t="s">
        <v>903</v>
      </c>
      <c r="D327" s="373" t="s">
        <v>518</v>
      </c>
      <c r="E327" s="373" t="s">
        <v>56</v>
      </c>
      <c r="F327" s="491" t="s">
        <v>551</v>
      </c>
      <c r="G327" s="492">
        <v>7.4255085000000005E-3</v>
      </c>
      <c r="H327" s="492">
        <v>1</v>
      </c>
    </row>
    <row r="328" spans="2:8" hidden="1" outlineLevel="1">
      <c r="B328" s="390" t="s">
        <v>502</v>
      </c>
      <c r="C328" s="390" t="s">
        <v>502</v>
      </c>
      <c r="D328" s="390" t="s">
        <v>518</v>
      </c>
      <c r="E328" s="390" t="s">
        <v>56</v>
      </c>
      <c r="F328" s="475" t="s">
        <v>2273</v>
      </c>
      <c r="G328" s="490">
        <v>0</v>
      </c>
      <c r="H328" s="490">
        <v>0</v>
      </c>
    </row>
    <row r="329" spans="2:8" hidden="1" outlineLevel="1">
      <c r="B329" s="390" t="s">
        <v>414</v>
      </c>
      <c r="C329" s="390" t="s">
        <v>414</v>
      </c>
      <c r="D329" s="390" t="s">
        <v>518</v>
      </c>
      <c r="E329" s="390" t="s">
        <v>56</v>
      </c>
      <c r="F329" s="475" t="s">
        <v>2279</v>
      </c>
      <c r="G329" s="490">
        <v>0</v>
      </c>
      <c r="H329" s="490">
        <v>0</v>
      </c>
    </row>
    <row r="330" spans="2:8" hidden="1" outlineLevel="1">
      <c r="B330" s="390" t="s">
        <v>612</v>
      </c>
      <c r="C330" s="390" t="s">
        <v>612</v>
      </c>
      <c r="D330" s="390" t="s">
        <v>518</v>
      </c>
      <c r="E330" s="390" t="s">
        <v>56</v>
      </c>
      <c r="F330" s="475" t="s">
        <v>2282</v>
      </c>
      <c r="G330" s="490">
        <v>0</v>
      </c>
      <c r="H330" s="490">
        <v>0</v>
      </c>
    </row>
    <row r="331" spans="2:8" hidden="1" outlineLevel="1" collapsed="1">
      <c r="B331" s="390" t="s">
        <v>225</v>
      </c>
      <c r="C331" s="390" t="s">
        <v>1241</v>
      </c>
      <c r="D331" s="390" t="s">
        <v>518</v>
      </c>
      <c r="E331" s="390" t="s">
        <v>56</v>
      </c>
      <c r="F331" s="475" t="s">
        <v>2245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225</v>
      </c>
      <c r="C332" s="373" t="s">
        <v>1241</v>
      </c>
      <c r="D332" s="373" t="s">
        <v>518</v>
      </c>
      <c r="E332" s="373" t="s">
        <v>56</v>
      </c>
      <c r="F332" s="491" t="s">
        <v>36</v>
      </c>
      <c r="G332" s="492">
        <v>1.9200000000000002E-2</v>
      </c>
      <c r="H332" s="492">
        <v>1</v>
      </c>
    </row>
    <row r="333" spans="2:8" hidden="1" outlineLevel="1" collapsed="1">
      <c r="B333" s="390" t="s">
        <v>229</v>
      </c>
      <c r="C333" s="390" t="s">
        <v>1245</v>
      </c>
      <c r="D333" s="390" t="s">
        <v>518</v>
      </c>
      <c r="E333" s="390" t="s">
        <v>56</v>
      </c>
      <c r="F333" s="475" t="s">
        <v>2246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229</v>
      </c>
      <c r="C334" s="373" t="s">
        <v>1245</v>
      </c>
      <c r="D334" s="373" t="s">
        <v>518</v>
      </c>
      <c r="E334" s="373" t="s">
        <v>56</v>
      </c>
      <c r="F334" s="491" t="s">
        <v>1238</v>
      </c>
      <c r="G334" s="492">
        <v>5.9424000000000005E-2</v>
      </c>
      <c r="H334" s="492">
        <v>1</v>
      </c>
    </row>
    <row r="335" spans="2:8" hidden="1" outlineLevel="2">
      <c r="B335" s="373" t="s">
        <v>229</v>
      </c>
      <c r="C335" s="373" t="s">
        <v>1245</v>
      </c>
      <c r="D335" s="373" t="s">
        <v>518</v>
      </c>
      <c r="E335" s="373" t="s">
        <v>56</v>
      </c>
      <c r="F335" s="491" t="s">
        <v>1239</v>
      </c>
      <c r="G335" s="492">
        <v>0.14856</v>
      </c>
      <c r="H335" s="492">
        <v>1</v>
      </c>
    </row>
    <row r="336" spans="2:8" hidden="1" outlineLevel="2">
      <c r="B336" s="373" t="s">
        <v>229</v>
      </c>
      <c r="C336" s="373" t="s">
        <v>1245</v>
      </c>
      <c r="D336" s="373" t="s">
        <v>518</v>
      </c>
      <c r="E336" s="373" t="s">
        <v>56</v>
      </c>
      <c r="F336" s="491" t="s">
        <v>1246</v>
      </c>
      <c r="G336" s="492">
        <v>1.4856000000000001E-2</v>
      </c>
      <c r="H336" s="492">
        <v>1</v>
      </c>
    </row>
    <row r="337" spans="2:8" hidden="1" outlineLevel="1">
      <c r="B337" s="390" t="s">
        <v>498</v>
      </c>
      <c r="C337" s="390" t="s">
        <v>1258</v>
      </c>
      <c r="D337" s="390" t="s">
        <v>518</v>
      </c>
      <c r="E337" s="390" t="s">
        <v>56</v>
      </c>
      <c r="F337" s="475" t="s">
        <v>2247</v>
      </c>
      <c r="G337" s="490">
        <v>0</v>
      </c>
      <c r="H337" s="490">
        <v>0</v>
      </c>
    </row>
    <row r="338" spans="2:8" hidden="1" outlineLevel="1" collapsed="1">
      <c r="B338" s="390" t="s">
        <v>1392</v>
      </c>
      <c r="C338" s="390" t="s">
        <v>1392</v>
      </c>
      <c r="D338" s="390" t="s">
        <v>518</v>
      </c>
      <c r="E338" s="390" t="s">
        <v>56</v>
      </c>
      <c r="F338" s="475" t="s">
        <v>2336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1392</v>
      </c>
      <c r="C339" s="373" t="s">
        <v>1392</v>
      </c>
      <c r="D339" s="373" t="s">
        <v>518</v>
      </c>
      <c r="E339" s="373" t="s">
        <v>56</v>
      </c>
      <c r="F339" s="491" t="s">
        <v>36</v>
      </c>
      <c r="G339" s="492"/>
      <c r="H339" s="492">
        <v>1</v>
      </c>
    </row>
    <row r="340" spans="2:8" hidden="1" outlineLevel="1" collapsed="1">
      <c r="B340" s="390" t="s">
        <v>497</v>
      </c>
      <c r="C340" s="390" t="s">
        <v>1394</v>
      </c>
      <c r="D340" s="390" t="s">
        <v>518</v>
      </c>
      <c r="E340" s="390" t="s">
        <v>56</v>
      </c>
      <c r="F340" s="475" t="s">
        <v>2264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497</v>
      </c>
      <c r="C341" s="373" t="s">
        <v>1394</v>
      </c>
      <c r="D341" s="373" t="s">
        <v>518</v>
      </c>
      <c r="E341" s="373" t="s">
        <v>56</v>
      </c>
      <c r="F341" s="491" t="s">
        <v>36</v>
      </c>
      <c r="G341" s="492">
        <v>0.19</v>
      </c>
      <c r="H341" s="492">
        <v>1</v>
      </c>
    </row>
    <row r="342" spans="2:8" hidden="1" outlineLevel="1" collapsed="1">
      <c r="B342" s="390" t="s">
        <v>902</v>
      </c>
      <c r="C342" s="390" t="s">
        <v>1018</v>
      </c>
      <c r="D342" s="390" t="s">
        <v>518</v>
      </c>
      <c r="E342" s="390" t="s">
        <v>56</v>
      </c>
      <c r="F342" s="475" t="s">
        <v>2248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902</v>
      </c>
      <c r="C343" s="373" t="s">
        <v>1018</v>
      </c>
      <c r="D343" s="373" t="s">
        <v>518</v>
      </c>
      <c r="E343" s="373" t="s">
        <v>56</v>
      </c>
      <c r="F343" s="491" t="s">
        <v>206</v>
      </c>
      <c r="G343" s="492">
        <v>0.17172000000000001</v>
      </c>
      <c r="H343" s="492">
        <v>1</v>
      </c>
    </row>
    <row r="344" spans="2:8" hidden="1" outlineLevel="1" collapsed="1">
      <c r="B344" s="390" t="s">
        <v>1290</v>
      </c>
      <c r="C344" s="390" t="s">
        <v>969</v>
      </c>
      <c r="D344" s="390" t="s">
        <v>518</v>
      </c>
      <c r="E344" s="390" t="s">
        <v>56</v>
      </c>
      <c r="F344" s="475" t="s">
        <v>2265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1290</v>
      </c>
      <c r="C345" s="373" t="s">
        <v>969</v>
      </c>
      <c r="D345" s="373" t="s">
        <v>518</v>
      </c>
      <c r="E345" s="373" t="s">
        <v>56</v>
      </c>
      <c r="F345" s="491" t="s">
        <v>206</v>
      </c>
      <c r="G345" s="492">
        <v>7.8635040000000003E-2</v>
      </c>
      <c r="H345" s="492">
        <v>1</v>
      </c>
    </row>
    <row r="346" spans="2:8" hidden="1" outlineLevel="1" collapsed="1">
      <c r="B346" s="390" t="s">
        <v>1310</v>
      </c>
      <c r="C346" s="390" t="s">
        <v>1310</v>
      </c>
      <c r="D346" s="390" t="s">
        <v>518</v>
      </c>
      <c r="E346" s="390" t="s">
        <v>56</v>
      </c>
      <c r="F346" s="475" t="s">
        <v>2249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1310</v>
      </c>
      <c r="C347" s="373" t="s">
        <v>1310</v>
      </c>
      <c r="D347" s="373" t="s">
        <v>518</v>
      </c>
      <c r="E347" s="373" t="s">
        <v>56</v>
      </c>
      <c r="F347" s="491" t="s">
        <v>206</v>
      </c>
      <c r="G347" s="492">
        <v>1.5183228000000002</v>
      </c>
      <c r="H347" s="492">
        <v>1</v>
      </c>
    </row>
    <row r="348" spans="2:8" hidden="1" outlineLevel="2">
      <c r="B348" s="373" t="s">
        <v>1310</v>
      </c>
      <c r="C348" s="373" t="s">
        <v>1310</v>
      </c>
      <c r="D348" s="373" t="s">
        <v>518</v>
      </c>
      <c r="E348" s="373" t="s">
        <v>56</v>
      </c>
      <c r="F348" s="491" t="s">
        <v>209</v>
      </c>
      <c r="G348" s="492">
        <v>0.5061076000000001</v>
      </c>
      <c r="H348" s="492">
        <v>1</v>
      </c>
    </row>
    <row r="349" spans="2:8" hidden="1" outlineLevel="1" collapsed="1">
      <c r="B349" s="390" t="s">
        <v>1321</v>
      </c>
      <c r="C349" s="390" t="s">
        <v>1321</v>
      </c>
      <c r="D349" s="390" t="s">
        <v>518</v>
      </c>
      <c r="E349" s="390" t="s">
        <v>56</v>
      </c>
      <c r="F349" s="475" t="s">
        <v>2268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1321</v>
      </c>
      <c r="C350" s="373" t="s">
        <v>1321</v>
      </c>
      <c r="D350" s="373" t="s">
        <v>518</v>
      </c>
      <c r="E350" s="373" t="s">
        <v>56</v>
      </c>
      <c r="F350" s="491" t="s">
        <v>206</v>
      </c>
      <c r="G350" s="492">
        <v>1.5621756360000001</v>
      </c>
      <c r="H350" s="492">
        <v>1</v>
      </c>
    </row>
    <row r="351" spans="2:8" hidden="1" outlineLevel="1" collapsed="1">
      <c r="B351" s="390" t="s">
        <v>1330</v>
      </c>
      <c r="C351" s="390" t="s">
        <v>1330</v>
      </c>
      <c r="D351" s="390" t="s">
        <v>518</v>
      </c>
      <c r="E351" s="390" t="s">
        <v>56</v>
      </c>
      <c r="F351" s="475" t="s">
        <v>2266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1330</v>
      </c>
      <c r="C352" s="373" t="s">
        <v>1330</v>
      </c>
      <c r="D352" s="373" t="s">
        <v>518</v>
      </c>
      <c r="E352" s="373" t="s">
        <v>56</v>
      </c>
      <c r="F352" s="491" t="s">
        <v>206</v>
      </c>
      <c r="G352" s="492">
        <v>0.52072521199999999</v>
      </c>
      <c r="H352" s="492">
        <v>1</v>
      </c>
    </row>
    <row r="353" spans="2:8" hidden="1" outlineLevel="1" collapsed="1">
      <c r="B353" s="390" t="s">
        <v>1273</v>
      </c>
      <c r="C353" s="390" t="s">
        <v>1273</v>
      </c>
      <c r="D353" s="390" t="s">
        <v>518</v>
      </c>
      <c r="E353" s="390" t="s">
        <v>56</v>
      </c>
      <c r="F353" s="475" t="s">
        <v>2267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1273</v>
      </c>
      <c r="C354" s="373" t="s">
        <v>1273</v>
      </c>
      <c r="D354" s="373" t="s">
        <v>518</v>
      </c>
      <c r="E354" s="373" t="s">
        <v>56</v>
      </c>
      <c r="F354" s="491" t="s">
        <v>206</v>
      </c>
      <c r="G354" s="492">
        <v>0.1431</v>
      </c>
      <c r="H354" s="492">
        <v>1</v>
      </c>
    </row>
    <row r="355" spans="2:8" hidden="1" outlineLevel="2">
      <c r="B355" s="373" t="s">
        <v>1273</v>
      </c>
      <c r="C355" s="373" t="s">
        <v>1273</v>
      </c>
      <c r="D355" s="373" t="s">
        <v>518</v>
      </c>
      <c r="E355" s="373" t="s">
        <v>56</v>
      </c>
      <c r="F355" s="491" t="s">
        <v>199</v>
      </c>
      <c r="G355" s="492">
        <v>0.28620000000000001</v>
      </c>
      <c r="H355" s="492">
        <v>1</v>
      </c>
    </row>
    <row r="356" spans="2:8" hidden="1" outlineLevel="2">
      <c r="B356" s="373" t="s">
        <v>1273</v>
      </c>
      <c r="C356" s="373" t="s">
        <v>1273</v>
      </c>
      <c r="D356" s="373" t="s">
        <v>518</v>
      </c>
      <c r="E356" s="373" t="s">
        <v>56</v>
      </c>
      <c r="F356" s="491" t="s">
        <v>608</v>
      </c>
      <c r="G356" s="492">
        <v>0.1431</v>
      </c>
      <c r="H356" s="492">
        <v>1</v>
      </c>
    </row>
    <row r="357" spans="2:8" hidden="1" outlineLevel="1" collapsed="1">
      <c r="B357" s="390" t="s">
        <v>1347</v>
      </c>
      <c r="C357" s="390" t="s">
        <v>1089</v>
      </c>
      <c r="D357" s="390" t="s">
        <v>518</v>
      </c>
      <c r="E357" s="390" t="s">
        <v>56</v>
      </c>
      <c r="F357" s="475" t="s">
        <v>2274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1347</v>
      </c>
      <c r="C358" s="373" t="s">
        <v>1089</v>
      </c>
      <c r="D358" s="373" t="s">
        <v>518</v>
      </c>
      <c r="E358" s="373" t="s">
        <v>56</v>
      </c>
      <c r="F358" s="491" t="s">
        <v>206</v>
      </c>
      <c r="G358" s="492">
        <v>0.36252000000000001</v>
      </c>
      <c r="H358" s="492">
        <v>1</v>
      </c>
    </row>
    <row r="359" spans="2:8" hidden="1" outlineLevel="2">
      <c r="B359" s="373" t="s">
        <v>1347</v>
      </c>
      <c r="C359" s="373" t="s">
        <v>1089</v>
      </c>
      <c r="D359" s="373" t="s">
        <v>518</v>
      </c>
      <c r="E359" s="373" t="s">
        <v>56</v>
      </c>
      <c r="F359" s="491" t="s">
        <v>608</v>
      </c>
      <c r="G359" s="492">
        <v>0.36252000000000001</v>
      </c>
      <c r="H359" s="492">
        <v>1</v>
      </c>
    </row>
    <row r="360" spans="2:8" hidden="1" outlineLevel="1" collapsed="1">
      <c r="B360" s="390" t="s">
        <v>2219</v>
      </c>
      <c r="C360" s="390" t="s">
        <v>1089</v>
      </c>
      <c r="D360" s="390" t="s">
        <v>518</v>
      </c>
      <c r="E360" s="390" t="s">
        <v>56</v>
      </c>
      <c r="F360" s="475" t="s">
        <v>2275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2219</v>
      </c>
      <c r="C361" s="373" t="s">
        <v>1089</v>
      </c>
      <c r="D361" s="373" t="s">
        <v>518</v>
      </c>
      <c r="E361" s="373" t="s">
        <v>56</v>
      </c>
      <c r="F361" s="491" t="s">
        <v>206</v>
      </c>
      <c r="G361" s="492">
        <v>0.20033977216751808</v>
      </c>
      <c r="H361" s="492">
        <v>1</v>
      </c>
    </row>
    <row r="362" spans="2:8" hidden="1" outlineLevel="1" collapsed="1">
      <c r="B362" s="390" t="s">
        <v>609</v>
      </c>
      <c r="C362" s="390" t="s">
        <v>1089</v>
      </c>
      <c r="D362" s="390" t="s">
        <v>518</v>
      </c>
      <c r="E362" s="390" t="s">
        <v>56</v>
      </c>
      <c r="F362" s="475" t="s">
        <v>2276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609</v>
      </c>
      <c r="C363" s="373" t="s">
        <v>1089</v>
      </c>
      <c r="D363" s="373" t="s">
        <v>518</v>
      </c>
      <c r="E363" s="373" t="s">
        <v>56</v>
      </c>
      <c r="F363" s="491" t="s">
        <v>206</v>
      </c>
      <c r="G363" s="492">
        <v>0.12908390889240001</v>
      </c>
      <c r="H363" s="492">
        <v>1</v>
      </c>
    </row>
    <row r="364" spans="2:8" hidden="1" outlineLevel="2">
      <c r="B364" s="373" t="s">
        <v>609</v>
      </c>
      <c r="C364" s="373" t="s">
        <v>1089</v>
      </c>
      <c r="D364" s="373" t="s">
        <v>518</v>
      </c>
      <c r="E364" s="373" t="s">
        <v>56</v>
      </c>
      <c r="F364" s="491" t="s">
        <v>199</v>
      </c>
      <c r="G364" s="492">
        <v>0.25816781778480002</v>
      </c>
      <c r="H364" s="492">
        <v>1</v>
      </c>
    </row>
    <row r="365" spans="2:8" hidden="1" outlineLevel="2">
      <c r="B365" s="373" t="s">
        <v>609</v>
      </c>
      <c r="C365" s="373" t="s">
        <v>1089</v>
      </c>
      <c r="D365" s="373" t="s">
        <v>518</v>
      </c>
      <c r="E365" s="373" t="s">
        <v>56</v>
      </c>
      <c r="F365" s="491" t="s">
        <v>608</v>
      </c>
      <c r="G365" s="492">
        <v>0.12908390889240001</v>
      </c>
      <c r="H365" s="492">
        <v>1</v>
      </c>
    </row>
    <row r="366" spans="2:8" hidden="1" outlineLevel="2">
      <c r="B366" s="373" t="s">
        <v>609</v>
      </c>
      <c r="C366" s="373" t="s">
        <v>1089</v>
      </c>
      <c r="D366" s="373" t="s">
        <v>518</v>
      </c>
      <c r="E366" s="373" t="s">
        <v>56</v>
      </c>
      <c r="F366" s="491" t="s">
        <v>2224</v>
      </c>
      <c r="G366" s="492">
        <v>5.8370968240200008E-2</v>
      </c>
      <c r="H366" s="492">
        <v>1</v>
      </c>
    </row>
    <row r="367" spans="2:8" hidden="1" outlineLevel="1">
      <c r="B367" s="390" t="s">
        <v>285</v>
      </c>
      <c r="C367" s="390" t="s">
        <v>1089</v>
      </c>
      <c r="D367" s="390" t="s">
        <v>518</v>
      </c>
      <c r="E367" s="390" t="s">
        <v>56</v>
      </c>
      <c r="F367" s="475" t="s">
        <v>2277</v>
      </c>
      <c r="G367" s="490">
        <v>0</v>
      </c>
      <c r="H367" s="490">
        <v>0</v>
      </c>
    </row>
    <row r="368" spans="2:8" hidden="1" outlineLevel="1">
      <c r="B368" s="390" t="s">
        <v>916</v>
      </c>
      <c r="C368" s="390" t="s">
        <v>916</v>
      </c>
      <c r="D368" s="390" t="s">
        <v>518</v>
      </c>
      <c r="E368" s="390" t="s">
        <v>56</v>
      </c>
      <c r="F368" s="475" t="s">
        <v>2278</v>
      </c>
      <c r="G368" s="490">
        <v>0</v>
      </c>
      <c r="H368" s="490">
        <v>0</v>
      </c>
    </row>
    <row r="369" spans="2:8" hidden="1" outlineLevel="1">
      <c r="B369" s="390" t="s">
        <v>1388</v>
      </c>
      <c r="C369" s="390" t="s">
        <v>1388</v>
      </c>
      <c r="D369" s="390" t="s">
        <v>518</v>
      </c>
      <c r="E369" s="390" t="s">
        <v>56</v>
      </c>
      <c r="F369" s="475" t="s">
        <v>2254</v>
      </c>
      <c r="G369" s="490">
        <v>0</v>
      </c>
      <c r="H369" s="490">
        <v>0</v>
      </c>
    </row>
    <row r="370" spans="2:8" hidden="1" outlineLevel="1" collapsed="1">
      <c r="B370" s="390" t="s">
        <v>918</v>
      </c>
      <c r="C370" s="390" t="s">
        <v>1250</v>
      </c>
      <c r="D370" s="390" t="s">
        <v>518</v>
      </c>
      <c r="E370" s="390" t="s">
        <v>56</v>
      </c>
      <c r="F370" s="475" t="s">
        <v>2289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918</v>
      </c>
      <c r="C371" s="373" t="s">
        <v>1250</v>
      </c>
      <c r="D371" s="373" t="s">
        <v>518</v>
      </c>
      <c r="E371" s="373" t="s">
        <v>56</v>
      </c>
      <c r="F371" s="491" t="s">
        <v>1255</v>
      </c>
      <c r="G371" s="492">
        <v>8.0000000000000004E-4</v>
      </c>
      <c r="H371" s="492">
        <v>1</v>
      </c>
    </row>
    <row r="372" spans="2:8" hidden="1" outlineLevel="1" collapsed="1">
      <c r="B372" s="390" t="s">
        <v>1400</v>
      </c>
      <c r="C372" s="390" t="s">
        <v>1400</v>
      </c>
      <c r="D372" s="390" t="s">
        <v>518</v>
      </c>
      <c r="E372" s="390" t="s">
        <v>56</v>
      </c>
      <c r="F372" s="475" t="s">
        <v>2291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1400</v>
      </c>
      <c r="C373" s="373" t="s">
        <v>1400</v>
      </c>
      <c r="D373" s="373" t="s">
        <v>518</v>
      </c>
      <c r="E373" s="373" t="s">
        <v>56</v>
      </c>
      <c r="F373" s="491" t="s">
        <v>36</v>
      </c>
      <c r="G373" s="492">
        <v>2.0043571200000002E-2</v>
      </c>
      <c r="H373" s="492">
        <v>1</v>
      </c>
    </row>
    <row r="374" spans="2:8" hidden="1" outlineLevel="1" collapsed="1">
      <c r="B374" s="390" t="s">
        <v>369</v>
      </c>
      <c r="C374" s="390" t="s">
        <v>843</v>
      </c>
      <c r="D374" s="390" t="s">
        <v>518</v>
      </c>
      <c r="E374" s="390" t="s">
        <v>56</v>
      </c>
      <c r="F374" s="475" t="s">
        <v>2269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369</v>
      </c>
      <c r="C375" s="373" t="s">
        <v>843</v>
      </c>
      <c r="D375" s="373" t="s">
        <v>518</v>
      </c>
      <c r="E375" s="373" t="s">
        <v>56</v>
      </c>
      <c r="F375" s="491" t="s">
        <v>370</v>
      </c>
      <c r="G375" s="492">
        <v>0.26984501099999997</v>
      </c>
      <c r="H375" s="492">
        <v>1</v>
      </c>
    </row>
    <row r="376" spans="2:8" hidden="1" outlineLevel="2">
      <c r="B376" s="373" t="s">
        <v>369</v>
      </c>
      <c r="C376" s="373" t="s">
        <v>843</v>
      </c>
      <c r="D376" s="373" t="s">
        <v>518</v>
      </c>
      <c r="E376" s="373" t="s">
        <v>56</v>
      </c>
      <c r="F376" s="491" t="s">
        <v>230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6" collapsed="1">
      <c r="B378" s="470" t="s">
        <v>102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891</v>
      </c>
      <c r="C380" s="390" t="s">
        <v>956</v>
      </c>
      <c r="D380" s="385" t="s">
        <v>441</v>
      </c>
      <c r="E380" s="390" t="s">
        <v>102</v>
      </c>
      <c r="F380" s="475" t="s">
        <v>2251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891</v>
      </c>
      <c r="C381" s="390" t="s">
        <v>956</v>
      </c>
      <c r="D381" s="372" t="s">
        <v>441</v>
      </c>
      <c r="E381" s="373" t="s">
        <v>102</v>
      </c>
      <c r="F381" s="468" t="s">
        <v>247</v>
      </c>
      <c r="G381" s="480">
        <v>1.4336873100000001E-2</v>
      </c>
      <c r="H381" s="480">
        <v>1</v>
      </c>
    </row>
    <row r="382" spans="2:8" hidden="1" outlineLevel="1" collapsed="1">
      <c r="B382" s="390" t="s">
        <v>891</v>
      </c>
      <c r="C382" s="390" t="s">
        <v>969</v>
      </c>
      <c r="D382" s="390"/>
      <c r="E382" s="390" t="s">
        <v>102</v>
      </c>
      <c r="F382" s="475" t="s">
        <v>2251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891</v>
      </c>
      <c r="C383" s="373" t="s">
        <v>969</v>
      </c>
      <c r="D383" s="372" t="s">
        <v>441</v>
      </c>
      <c r="E383" s="373" t="s">
        <v>102</v>
      </c>
      <c r="F383" s="491" t="s">
        <v>444</v>
      </c>
      <c r="G383" s="493">
        <v>2.1499694035440806E-2</v>
      </c>
      <c r="H383" s="493">
        <v>1</v>
      </c>
    </row>
    <row r="384" spans="2:8" hidden="1" outlineLevel="2">
      <c r="B384" s="373" t="s">
        <v>891</v>
      </c>
      <c r="C384" s="373" t="s">
        <v>969</v>
      </c>
      <c r="D384" s="372" t="s">
        <v>441</v>
      </c>
      <c r="E384" s="373" t="s">
        <v>102</v>
      </c>
      <c r="F384" s="491" t="s">
        <v>481</v>
      </c>
      <c r="G384" s="493">
        <v>2.1499694035440806E-2</v>
      </c>
      <c r="H384" s="493">
        <v>1</v>
      </c>
    </row>
    <row r="385" spans="2:8" hidden="1" outlineLevel="2">
      <c r="B385" s="373" t="s">
        <v>891</v>
      </c>
      <c r="C385" s="373" t="s">
        <v>969</v>
      </c>
      <c r="D385" s="372" t="s">
        <v>441</v>
      </c>
      <c r="E385" s="373" t="s">
        <v>102</v>
      </c>
      <c r="F385" s="491" t="s">
        <v>2077</v>
      </c>
      <c r="G385" s="493">
        <v>9.4245302543668119E-4</v>
      </c>
      <c r="H385" s="493">
        <v>1</v>
      </c>
    </row>
    <row r="386" spans="2:8" hidden="1" outlineLevel="2">
      <c r="B386" s="373" t="s">
        <v>891</v>
      </c>
      <c r="C386" s="373" t="s">
        <v>969</v>
      </c>
      <c r="D386" s="372" t="s">
        <v>441</v>
      </c>
      <c r="E386" s="373" t="s">
        <v>102</v>
      </c>
      <c r="F386" s="491" t="s">
        <v>2078</v>
      </c>
      <c r="G386" s="493">
        <v>1.8849060508733624E-3</v>
      </c>
      <c r="H386" s="493">
        <v>1</v>
      </c>
    </row>
    <row r="387" spans="2:8" hidden="1" outlineLevel="2">
      <c r="B387" s="373" t="s">
        <v>891</v>
      </c>
      <c r="C387" s="373" t="s">
        <v>969</v>
      </c>
      <c r="D387" s="372" t="s">
        <v>441</v>
      </c>
      <c r="E387" s="373" t="s">
        <v>102</v>
      </c>
      <c r="F387" s="491" t="s">
        <v>2061</v>
      </c>
      <c r="G387" s="493">
        <v>2.8273590763100436E-3</v>
      </c>
      <c r="H387" s="493">
        <v>1</v>
      </c>
    </row>
    <row r="388" spans="2:8" hidden="1" outlineLevel="2">
      <c r="B388" s="373" t="s">
        <v>891</v>
      </c>
      <c r="C388" s="373" t="s">
        <v>969</v>
      </c>
      <c r="D388" s="372" t="s">
        <v>441</v>
      </c>
      <c r="E388" s="373" t="s">
        <v>102</v>
      </c>
      <c r="F388" s="491" t="s">
        <v>2059</v>
      </c>
      <c r="G388" s="493">
        <v>0.10494596538461541</v>
      </c>
      <c r="H388" s="493">
        <v>1</v>
      </c>
    </row>
    <row r="389" spans="2:8" hidden="1" outlineLevel="2">
      <c r="B389" s="373" t="s">
        <v>891</v>
      </c>
      <c r="C389" s="373" t="s">
        <v>969</v>
      </c>
      <c r="D389" s="372" t="s">
        <v>441</v>
      </c>
      <c r="E389" s="373" t="s">
        <v>102</v>
      </c>
      <c r="F389" s="491" t="s">
        <v>490</v>
      </c>
      <c r="G389" s="493">
        <v>0.04</v>
      </c>
      <c r="H389" s="493">
        <v>1</v>
      </c>
    </row>
    <row r="390" spans="2:8" hidden="1" outlineLevel="2">
      <c r="B390" s="373" t="s">
        <v>891</v>
      </c>
      <c r="C390" s="373" t="s">
        <v>969</v>
      </c>
      <c r="D390" s="372" t="s">
        <v>860</v>
      </c>
      <c r="E390" s="373" t="s">
        <v>102</v>
      </c>
      <c r="F390" s="491" t="s">
        <v>206</v>
      </c>
      <c r="G390" s="493">
        <v>4.7863519954722676E-2</v>
      </c>
      <c r="H390" s="493">
        <v>1</v>
      </c>
    </row>
    <row r="391" spans="2:8" hidden="1" outlineLevel="2">
      <c r="B391" s="373" t="s">
        <v>891</v>
      </c>
      <c r="C391" s="373" t="s">
        <v>969</v>
      </c>
      <c r="D391" s="372" t="s">
        <v>860</v>
      </c>
      <c r="E391" s="373" t="s">
        <v>102</v>
      </c>
      <c r="F391" s="491" t="s">
        <v>207</v>
      </c>
      <c r="G391" s="493">
        <v>4.7863519954722676E-2</v>
      </c>
      <c r="H391" s="493">
        <v>1</v>
      </c>
    </row>
    <row r="392" spans="2:8" hidden="1" outlineLevel="2">
      <c r="B392" s="373" t="s">
        <v>891</v>
      </c>
      <c r="C392" s="373" t="s">
        <v>969</v>
      </c>
      <c r="D392" s="372" t="s">
        <v>860</v>
      </c>
      <c r="E392" s="373" t="s">
        <v>102</v>
      </c>
      <c r="F392" s="491" t="s">
        <v>2079</v>
      </c>
      <c r="G392" s="493">
        <v>4.6404645614642186E-2</v>
      </c>
      <c r="H392" s="493">
        <v>1</v>
      </c>
    </row>
    <row r="393" spans="2:8" hidden="1" outlineLevel="2">
      <c r="B393" s="373" t="s">
        <v>891</v>
      </c>
      <c r="C393" s="373" t="s">
        <v>969</v>
      </c>
      <c r="D393" s="372" t="s">
        <v>860</v>
      </c>
      <c r="E393" s="373" t="s">
        <v>102</v>
      </c>
      <c r="F393" s="491" t="s">
        <v>244</v>
      </c>
      <c r="G393" s="493">
        <v>0.02</v>
      </c>
      <c r="H393" s="493">
        <v>1</v>
      </c>
    </row>
    <row r="394" spans="2:8" hidden="1" outlineLevel="2">
      <c r="B394" s="373" t="s">
        <v>891</v>
      </c>
      <c r="C394" s="373" t="s">
        <v>969</v>
      </c>
      <c r="D394" s="372" t="s">
        <v>860</v>
      </c>
      <c r="E394" s="373" t="s">
        <v>102</v>
      </c>
      <c r="F394" s="491" t="s">
        <v>2080</v>
      </c>
      <c r="G394" s="493">
        <v>0.01</v>
      </c>
      <c r="H394" s="493">
        <v>1</v>
      </c>
    </row>
    <row r="395" spans="2:8" hidden="1" outlineLevel="1" collapsed="1">
      <c r="B395" s="390" t="s">
        <v>893</v>
      </c>
      <c r="C395" s="390" t="s">
        <v>1000</v>
      </c>
      <c r="D395" s="390"/>
      <c r="E395" s="390" t="s">
        <v>102</v>
      </c>
      <c r="F395" s="475" t="s">
        <v>2263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893</v>
      </c>
      <c r="C396" s="373" t="s">
        <v>1000</v>
      </c>
      <c r="D396" s="372" t="s">
        <v>441</v>
      </c>
      <c r="E396" s="373" t="s">
        <v>102</v>
      </c>
      <c r="F396" s="491" t="s">
        <v>490</v>
      </c>
      <c r="G396" s="493">
        <v>3.8655111599999993E-2</v>
      </c>
      <c r="H396" s="493">
        <v>1</v>
      </c>
    </row>
    <row r="397" spans="2:8" hidden="1" outlineLevel="2">
      <c r="B397" s="373" t="s">
        <v>893</v>
      </c>
      <c r="C397" s="373" t="s">
        <v>1000</v>
      </c>
      <c r="D397" s="372" t="s">
        <v>441</v>
      </c>
      <c r="E397" s="373" t="s">
        <v>102</v>
      </c>
      <c r="F397" s="491" t="s">
        <v>247</v>
      </c>
      <c r="G397" s="493">
        <v>0.12885037199999999</v>
      </c>
      <c r="H397" s="493">
        <v>1</v>
      </c>
    </row>
    <row r="398" spans="2:8" hidden="1" outlineLevel="1" collapsed="1">
      <c r="B398" s="390" t="s">
        <v>894</v>
      </c>
      <c r="C398" s="390" t="s">
        <v>1021</v>
      </c>
      <c r="D398" s="390"/>
      <c r="E398" s="390" t="s">
        <v>102</v>
      </c>
      <c r="F398" s="475" t="s">
        <v>2252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894</v>
      </c>
      <c r="C399" s="373" t="s">
        <v>1021</v>
      </c>
      <c r="D399" s="372" t="s">
        <v>441</v>
      </c>
      <c r="E399" s="373" t="s">
        <v>102</v>
      </c>
      <c r="F399" s="491" t="s">
        <v>221</v>
      </c>
      <c r="G399" s="493">
        <v>0.36</v>
      </c>
      <c r="H399" s="493">
        <v>1</v>
      </c>
    </row>
    <row r="400" spans="2:8" hidden="1" outlineLevel="2">
      <c r="B400" s="373" t="s">
        <v>894</v>
      </c>
      <c r="C400" s="373" t="s">
        <v>1021</v>
      </c>
      <c r="D400" s="372" t="s">
        <v>441</v>
      </c>
      <c r="E400" s="373" t="s">
        <v>102</v>
      </c>
      <c r="F400" s="491" t="s">
        <v>2100</v>
      </c>
      <c r="G400" s="493">
        <v>2.183E-3</v>
      </c>
      <c r="H400" s="493">
        <v>1</v>
      </c>
    </row>
    <row r="401" spans="2:8" hidden="1" outlineLevel="2">
      <c r="B401" s="373" t="s">
        <v>894</v>
      </c>
      <c r="C401" s="373" t="s">
        <v>1021</v>
      </c>
      <c r="D401" s="372" t="s">
        <v>441</v>
      </c>
      <c r="E401" s="373" t="s">
        <v>102</v>
      </c>
      <c r="F401" s="491" t="s">
        <v>254</v>
      </c>
      <c r="G401" s="493">
        <v>1.0915E-3</v>
      </c>
      <c r="H401" s="493">
        <v>1</v>
      </c>
    </row>
    <row r="402" spans="2:8" hidden="1" outlineLevel="2">
      <c r="B402" s="373" t="s">
        <v>894</v>
      </c>
      <c r="C402" s="373" t="s">
        <v>1021</v>
      </c>
      <c r="D402" s="372" t="s">
        <v>860</v>
      </c>
      <c r="E402" s="373" t="s">
        <v>102</v>
      </c>
      <c r="F402" s="491" t="s">
        <v>468</v>
      </c>
      <c r="G402" s="493">
        <v>0.04</v>
      </c>
      <c r="H402" s="493">
        <v>1</v>
      </c>
    </row>
    <row r="403" spans="2:8" hidden="1" outlineLevel="1" collapsed="1">
      <c r="B403" s="390" t="s">
        <v>469</v>
      </c>
      <c r="C403" s="390" t="s">
        <v>1049</v>
      </c>
      <c r="D403" s="390"/>
      <c r="E403" s="390" t="s">
        <v>102</v>
      </c>
      <c r="F403" s="475" t="s">
        <v>2253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469</v>
      </c>
      <c r="C404" s="373" t="s">
        <v>1049</v>
      </c>
      <c r="D404" s="372" t="s">
        <v>441</v>
      </c>
      <c r="E404" s="373" t="s">
        <v>102</v>
      </c>
      <c r="F404" s="491" t="s">
        <v>2110</v>
      </c>
      <c r="G404" s="493">
        <v>0.02</v>
      </c>
      <c r="H404" s="493">
        <v>1</v>
      </c>
    </row>
    <row r="405" spans="2:8" hidden="1" outlineLevel="2">
      <c r="B405" s="373" t="s">
        <v>469</v>
      </c>
      <c r="C405" s="373" t="s">
        <v>1049</v>
      </c>
      <c r="D405" s="372" t="s">
        <v>441</v>
      </c>
      <c r="E405" s="373" t="s">
        <v>102</v>
      </c>
      <c r="F405" s="491" t="s">
        <v>349</v>
      </c>
      <c r="G405" s="493">
        <v>0.06</v>
      </c>
      <c r="H405" s="493">
        <v>1</v>
      </c>
    </row>
    <row r="406" spans="2:8" hidden="1" outlineLevel="2">
      <c r="B406" s="373" t="s">
        <v>469</v>
      </c>
      <c r="C406" s="373" t="s">
        <v>1049</v>
      </c>
      <c r="D406" s="372" t="s">
        <v>441</v>
      </c>
      <c r="E406" s="373" t="s">
        <v>102</v>
      </c>
      <c r="F406" s="491" t="s">
        <v>350</v>
      </c>
      <c r="G406" s="493">
        <v>0.06</v>
      </c>
      <c r="H406" s="493">
        <v>1</v>
      </c>
    </row>
    <row r="407" spans="2:8" hidden="1" outlineLevel="1" collapsed="1">
      <c r="B407" s="390" t="s">
        <v>899</v>
      </c>
      <c r="C407" s="390" t="s">
        <v>1107</v>
      </c>
      <c r="D407" s="390"/>
      <c r="E407" s="390" t="s">
        <v>102</v>
      </c>
      <c r="F407" s="475" t="s">
        <v>2241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899</v>
      </c>
      <c r="C408" s="373" t="s">
        <v>1107</v>
      </c>
      <c r="D408" s="372" t="s">
        <v>441</v>
      </c>
      <c r="E408" s="373" t="s">
        <v>102</v>
      </c>
      <c r="F408" s="491" t="s">
        <v>475</v>
      </c>
      <c r="G408" s="493">
        <v>1.5827943605759998E-2</v>
      </c>
      <c r="H408" s="493">
        <v>1</v>
      </c>
    </row>
    <row r="409" spans="2:8" hidden="1" outlineLevel="2">
      <c r="B409" s="373" t="s">
        <v>899</v>
      </c>
      <c r="C409" s="373" t="s">
        <v>1107</v>
      </c>
      <c r="D409" s="372" t="s">
        <v>441</v>
      </c>
      <c r="E409" s="373" t="s">
        <v>102</v>
      </c>
      <c r="F409" s="491" t="s">
        <v>476</v>
      </c>
      <c r="G409" s="493">
        <v>1.5827943605759998E-2</v>
      </c>
      <c r="H409" s="493">
        <v>1</v>
      </c>
    </row>
    <row r="410" spans="2:8" hidden="1" outlineLevel="1" collapsed="1">
      <c r="B410" s="390" t="s">
        <v>1137</v>
      </c>
      <c r="C410" s="390" t="s">
        <v>956</v>
      </c>
      <c r="D410" s="390"/>
      <c r="E410" s="390" t="s">
        <v>102</v>
      </c>
      <c r="F410" s="475" t="s">
        <v>2242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1137</v>
      </c>
      <c r="C411" s="373" t="s">
        <v>956</v>
      </c>
      <c r="D411" s="373" t="s">
        <v>441</v>
      </c>
      <c r="E411" s="373" t="s">
        <v>102</v>
      </c>
      <c r="F411" s="494" t="s">
        <v>2139</v>
      </c>
      <c r="G411" s="493">
        <v>1.6300332674999998E-2</v>
      </c>
      <c r="H411" s="493">
        <v>1</v>
      </c>
    </row>
    <row r="412" spans="2:8" hidden="1" outlineLevel="2">
      <c r="B412" s="373" t="s">
        <v>1137</v>
      </c>
      <c r="C412" s="373" t="s">
        <v>956</v>
      </c>
      <c r="D412" s="373" t="s">
        <v>441</v>
      </c>
      <c r="E412" s="373" t="s">
        <v>102</v>
      </c>
      <c r="F412" s="494" t="s">
        <v>2140</v>
      </c>
      <c r="G412" s="493">
        <v>3.0822447240000002E-2</v>
      </c>
      <c r="H412" s="493">
        <v>1</v>
      </c>
    </row>
    <row r="413" spans="2:8" hidden="1" outlineLevel="1" collapsed="1">
      <c r="B413" s="390" t="s">
        <v>1299</v>
      </c>
      <c r="C413" s="390" t="s">
        <v>1300</v>
      </c>
      <c r="D413" s="390"/>
      <c r="E413" s="390" t="s">
        <v>102</v>
      </c>
      <c r="F413" s="475" t="s">
        <v>2243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1299</v>
      </c>
      <c r="C414" s="373" t="s">
        <v>1300</v>
      </c>
      <c r="D414" s="373" t="s">
        <v>441</v>
      </c>
      <c r="E414" s="373" t="s">
        <v>437</v>
      </c>
      <c r="F414" s="491" t="s">
        <v>206</v>
      </c>
      <c r="G414" s="492">
        <v>0.51810229145509312</v>
      </c>
      <c r="H414" s="492">
        <v>1</v>
      </c>
    </row>
    <row r="415" spans="2:8" hidden="1" outlineLevel="2">
      <c r="B415" s="373" t="s">
        <v>1299</v>
      </c>
      <c r="C415" s="373" t="s">
        <v>1300</v>
      </c>
      <c r="D415" s="373" t="s">
        <v>441</v>
      </c>
      <c r="E415" s="373" t="s">
        <v>437</v>
      </c>
      <c r="F415" s="491" t="s">
        <v>199</v>
      </c>
      <c r="G415" s="492">
        <v>0.51810229145509312</v>
      </c>
      <c r="H415" s="492">
        <v>1</v>
      </c>
    </row>
    <row r="416" spans="2:8" hidden="1" outlineLevel="2">
      <c r="B416" s="373" t="s">
        <v>1299</v>
      </c>
      <c r="C416" s="373" t="s">
        <v>1300</v>
      </c>
      <c r="D416" s="373" t="s">
        <v>441</v>
      </c>
      <c r="E416" s="373" t="s">
        <v>437</v>
      </c>
      <c r="F416" s="491" t="s">
        <v>209</v>
      </c>
      <c r="G416" s="492">
        <v>0.25905114572754701</v>
      </c>
      <c r="H416" s="492">
        <v>1</v>
      </c>
    </row>
    <row r="417" spans="2:8" hidden="1" outlineLevel="2">
      <c r="B417" s="373" t="s">
        <v>1299</v>
      </c>
      <c r="C417" s="373" t="s">
        <v>1300</v>
      </c>
      <c r="D417" s="373" t="s">
        <v>860</v>
      </c>
      <c r="E417" s="373" t="s">
        <v>437</v>
      </c>
      <c r="F417" s="491" t="s">
        <v>206</v>
      </c>
      <c r="G417" s="492">
        <v>0.43467904113605266</v>
      </c>
      <c r="H417" s="492">
        <v>1</v>
      </c>
    </row>
    <row r="418" spans="2:8" hidden="1" outlineLevel="2">
      <c r="B418" s="373" t="s">
        <v>1299</v>
      </c>
      <c r="C418" s="373" t="s">
        <v>1300</v>
      </c>
      <c r="D418" s="373" t="s">
        <v>860</v>
      </c>
      <c r="E418" s="373" t="s">
        <v>437</v>
      </c>
      <c r="F418" s="491" t="s">
        <v>199</v>
      </c>
      <c r="G418" s="492">
        <v>0.43467904113605266</v>
      </c>
      <c r="H418" s="492">
        <v>1</v>
      </c>
    </row>
    <row r="419" spans="2:8" hidden="1" outlineLevel="1" collapsed="1">
      <c r="B419" s="390" t="s">
        <v>901</v>
      </c>
      <c r="C419" s="390" t="s">
        <v>1089</v>
      </c>
      <c r="D419" s="390"/>
      <c r="E419" s="390" t="s">
        <v>102</v>
      </c>
      <c r="F419" s="475" t="s">
        <v>2244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901</v>
      </c>
      <c r="C420" s="373" t="s">
        <v>1089</v>
      </c>
      <c r="D420" s="373" t="s">
        <v>441</v>
      </c>
      <c r="E420" s="373" t="s">
        <v>102</v>
      </c>
      <c r="F420" s="494" t="s">
        <v>195</v>
      </c>
      <c r="G420" s="493">
        <v>0.04</v>
      </c>
      <c r="H420" s="493">
        <v>1</v>
      </c>
    </row>
    <row r="421" spans="2:8" hidden="1" outlineLevel="1" collapsed="1">
      <c r="B421" s="390" t="s">
        <v>162</v>
      </c>
      <c r="C421" s="390" t="s">
        <v>162</v>
      </c>
      <c r="D421" s="390"/>
      <c r="E421" s="390" t="s">
        <v>102</v>
      </c>
      <c r="F421" s="475" t="s">
        <v>2270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162</v>
      </c>
      <c r="C422" s="373" t="s">
        <v>162</v>
      </c>
      <c r="D422" s="373" t="s">
        <v>441</v>
      </c>
      <c r="E422" s="373" t="s">
        <v>437</v>
      </c>
      <c r="F422" s="494" t="s">
        <v>243</v>
      </c>
      <c r="G422" s="492">
        <v>0.17350895211679071</v>
      </c>
      <c r="H422" s="492">
        <v>1</v>
      </c>
    </row>
    <row r="423" spans="2:8" hidden="1" outlineLevel="2">
      <c r="B423" s="373" t="s">
        <v>162</v>
      </c>
      <c r="C423" s="373" t="s">
        <v>162</v>
      </c>
      <c r="D423" s="373" t="s">
        <v>441</v>
      </c>
      <c r="E423" s="373" t="s">
        <v>437</v>
      </c>
      <c r="F423" s="494" t="s">
        <v>245</v>
      </c>
      <c r="G423" s="492">
        <v>4.9573986319083066E-2</v>
      </c>
      <c r="H423" s="492">
        <v>1</v>
      </c>
    </row>
    <row r="424" spans="2:8" hidden="1" outlineLevel="2">
      <c r="B424" s="373" t="s">
        <v>162</v>
      </c>
      <c r="C424" s="373" t="s">
        <v>162</v>
      </c>
      <c r="D424" s="373" t="s">
        <v>441</v>
      </c>
      <c r="E424" s="373" t="s">
        <v>437</v>
      </c>
      <c r="F424" s="494" t="s">
        <v>254</v>
      </c>
      <c r="G424" s="492">
        <v>0.02</v>
      </c>
      <c r="H424" s="492">
        <v>1</v>
      </c>
    </row>
    <row r="425" spans="2:8" hidden="1" outlineLevel="2">
      <c r="B425" s="373" t="s">
        <v>162</v>
      </c>
      <c r="C425" s="373" t="s">
        <v>162</v>
      </c>
      <c r="D425" s="373" t="s">
        <v>860</v>
      </c>
      <c r="E425" s="373" t="s">
        <v>437</v>
      </c>
      <c r="F425" s="494" t="s">
        <v>283</v>
      </c>
      <c r="G425" s="492">
        <v>8.1128101250000001E-2</v>
      </c>
      <c r="H425" s="492">
        <v>1</v>
      </c>
    </row>
    <row r="426" spans="2:8" hidden="1" outlineLevel="1" collapsed="1">
      <c r="B426" s="390" t="s">
        <v>252</v>
      </c>
      <c r="C426" s="390" t="s">
        <v>252</v>
      </c>
      <c r="D426" s="390"/>
      <c r="E426" s="390" t="s">
        <v>102</v>
      </c>
      <c r="F426" s="475" t="s">
        <v>2271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252</v>
      </c>
      <c r="C427" s="373" t="s">
        <v>252</v>
      </c>
      <c r="D427" s="372" t="s">
        <v>441</v>
      </c>
      <c r="E427" s="373" t="s">
        <v>102</v>
      </c>
      <c r="F427" s="468" t="s">
        <v>1208</v>
      </c>
      <c r="G427" s="480">
        <v>3.6853334887931043E-2</v>
      </c>
      <c r="H427" s="480">
        <v>1</v>
      </c>
    </row>
    <row r="428" spans="2:8" hidden="1" outlineLevel="1" collapsed="1">
      <c r="B428" s="390" t="s">
        <v>903</v>
      </c>
      <c r="C428" s="390" t="s">
        <v>903</v>
      </c>
      <c r="D428" s="390"/>
      <c r="E428" s="390" t="s">
        <v>102</v>
      </c>
      <c r="F428" s="475" t="s">
        <v>2272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903</v>
      </c>
      <c r="C429" s="373" t="s">
        <v>903</v>
      </c>
      <c r="D429" s="372" t="s">
        <v>441</v>
      </c>
      <c r="E429" s="373" t="s">
        <v>102</v>
      </c>
      <c r="F429" s="468" t="s">
        <v>442</v>
      </c>
      <c r="G429" s="480">
        <v>2.0842521999999999E-2</v>
      </c>
      <c r="H429" s="480">
        <v>1</v>
      </c>
    </row>
    <row r="430" spans="2:8" hidden="1" outlineLevel="2">
      <c r="B430" s="373" t="s">
        <v>903</v>
      </c>
      <c r="C430" s="373" t="s">
        <v>903</v>
      </c>
      <c r="D430" s="372" t="s">
        <v>441</v>
      </c>
      <c r="E430" s="373" t="s">
        <v>102</v>
      </c>
      <c r="F430" s="468" t="s">
        <v>463</v>
      </c>
      <c r="G430" s="480">
        <v>5.5533570000000003E-4</v>
      </c>
      <c r="H430" s="480">
        <v>1</v>
      </c>
    </row>
    <row r="431" spans="2:8" hidden="1" outlineLevel="1">
      <c r="B431" s="390" t="s">
        <v>502</v>
      </c>
      <c r="C431" s="390" t="s">
        <v>502</v>
      </c>
      <c r="D431" s="390"/>
      <c r="E431" s="390" t="s">
        <v>102</v>
      </c>
      <c r="F431" s="475" t="s">
        <v>2273</v>
      </c>
      <c r="G431" s="490">
        <v>0</v>
      </c>
      <c r="H431" s="490">
        <v>0</v>
      </c>
    </row>
    <row r="432" spans="2:8" hidden="1" outlineLevel="1">
      <c r="B432" s="390" t="s">
        <v>414</v>
      </c>
      <c r="C432" s="390" t="s">
        <v>414</v>
      </c>
      <c r="D432" s="390"/>
      <c r="E432" s="390" t="s">
        <v>102</v>
      </c>
      <c r="F432" s="475" t="s">
        <v>2279</v>
      </c>
      <c r="G432" s="490">
        <v>0</v>
      </c>
      <c r="H432" s="490">
        <v>0</v>
      </c>
    </row>
    <row r="433" spans="2:8" hidden="1" outlineLevel="1">
      <c r="B433" s="390" t="s">
        <v>612</v>
      </c>
      <c r="C433" s="390" t="s">
        <v>612</v>
      </c>
      <c r="D433" s="390"/>
      <c r="E433" s="390" t="s">
        <v>102</v>
      </c>
      <c r="F433" s="475" t="s">
        <v>2282</v>
      </c>
      <c r="G433" s="490">
        <v>0</v>
      </c>
      <c r="H433" s="490">
        <v>0</v>
      </c>
    </row>
    <row r="434" spans="2:8" hidden="1" outlineLevel="1" collapsed="1">
      <c r="B434" s="390" t="s">
        <v>225</v>
      </c>
      <c r="C434" s="390" t="s">
        <v>1241</v>
      </c>
      <c r="D434" s="390"/>
      <c r="E434" s="390" t="s">
        <v>102</v>
      </c>
      <c r="F434" s="475" t="s">
        <v>2245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225</v>
      </c>
      <c r="C435" s="373" t="s">
        <v>1241</v>
      </c>
      <c r="D435" s="373" t="s">
        <v>441</v>
      </c>
      <c r="E435" s="373" t="s">
        <v>437</v>
      </c>
      <c r="F435" s="491" t="s">
        <v>36</v>
      </c>
      <c r="G435" s="492">
        <v>5.4000000000000003E-3</v>
      </c>
      <c r="H435" s="492">
        <v>1</v>
      </c>
    </row>
    <row r="436" spans="2:8" hidden="1" outlineLevel="2">
      <c r="B436" s="373" t="s">
        <v>225</v>
      </c>
      <c r="C436" s="373" t="s">
        <v>1241</v>
      </c>
      <c r="D436" s="373" t="s">
        <v>441</v>
      </c>
      <c r="E436" s="373" t="s">
        <v>437</v>
      </c>
      <c r="F436" s="491" t="s">
        <v>208</v>
      </c>
      <c r="G436" s="492">
        <v>5.4000000000000003E-3</v>
      </c>
      <c r="H436" s="492">
        <v>1</v>
      </c>
    </row>
    <row r="437" spans="2:8" hidden="1" outlineLevel="2">
      <c r="B437" s="373" t="s">
        <v>225</v>
      </c>
      <c r="C437" s="373" t="s">
        <v>1241</v>
      </c>
      <c r="D437" s="373" t="s">
        <v>860</v>
      </c>
      <c r="E437" s="373" t="s">
        <v>437</v>
      </c>
      <c r="F437" s="491" t="s">
        <v>36</v>
      </c>
      <c r="G437" s="492">
        <v>6.0000000000000001E-3</v>
      </c>
      <c r="H437" s="492">
        <v>1</v>
      </c>
    </row>
    <row r="438" spans="2:8" hidden="1" outlineLevel="1" collapsed="1">
      <c r="B438" s="390" t="s">
        <v>229</v>
      </c>
      <c r="C438" s="390" t="s">
        <v>1245</v>
      </c>
      <c r="D438" s="390"/>
      <c r="E438" s="390" t="s">
        <v>102</v>
      </c>
      <c r="F438" s="475" t="s">
        <v>2246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229</v>
      </c>
      <c r="C439" s="373" t="s">
        <v>1245</v>
      </c>
      <c r="D439" s="373" t="s">
        <v>441</v>
      </c>
      <c r="E439" s="373" t="s">
        <v>437</v>
      </c>
      <c r="F439" s="491" t="s">
        <v>208</v>
      </c>
      <c r="G439" s="492">
        <v>1.6713000000000002E-2</v>
      </c>
      <c r="H439" s="492">
        <v>1</v>
      </c>
    </row>
    <row r="440" spans="2:8" hidden="1" outlineLevel="2">
      <c r="B440" s="373" t="s">
        <v>229</v>
      </c>
      <c r="C440" s="373" t="s">
        <v>1245</v>
      </c>
      <c r="D440" s="373" t="s">
        <v>441</v>
      </c>
      <c r="E440" s="373" t="s">
        <v>437</v>
      </c>
      <c r="F440" s="491" t="s">
        <v>1238</v>
      </c>
      <c r="G440" s="492">
        <v>1.6713000000000002E-2</v>
      </c>
      <c r="H440" s="492">
        <v>1</v>
      </c>
    </row>
    <row r="441" spans="2:8" hidden="1" outlineLevel="2">
      <c r="B441" s="373" t="s">
        <v>229</v>
      </c>
      <c r="C441" s="373" t="s">
        <v>1245</v>
      </c>
      <c r="D441" s="373" t="s">
        <v>441</v>
      </c>
      <c r="E441" s="373" t="s">
        <v>437</v>
      </c>
      <c r="F441" s="491" t="s">
        <v>1239</v>
      </c>
      <c r="G441" s="492">
        <v>5.8495499999999999E-2</v>
      </c>
      <c r="H441" s="492">
        <v>1</v>
      </c>
    </row>
    <row r="442" spans="2:8" hidden="1" outlineLevel="2">
      <c r="B442" s="373" t="s">
        <v>229</v>
      </c>
      <c r="C442" s="373" t="s">
        <v>1245</v>
      </c>
      <c r="D442" s="373" t="s">
        <v>441</v>
      </c>
      <c r="E442" s="373" t="s">
        <v>437</v>
      </c>
      <c r="F442" s="491" t="s">
        <v>1246</v>
      </c>
      <c r="G442" s="492">
        <v>2.5069499999999998E-2</v>
      </c>
      <c r="H442" s="492">
        <v>1</v>
      </c>
    </row>
    <row r="443" spans="2:8" hidden="1" outlineLevel="2">
      <c r="B443" s="373" t="s">
        <v>229</v>
      </c>
      <c r="C443" s="373" t="s">
        <v>1245</v>
      </c>
      <c r="D443" s="373" t="s">
        <v>441</v>
      </c>
      <c r="E443" s="373" t="s">
        <v>437</v>
      </c>
      <c r="F443" s="491" t="s">
        <v>1247</v>
      </c>
      <c r="G443" s="492">
        <v>2.5069499999999998E-2</v>
      </c>
      <c r="H443" s="492">
        <v>1</v>
      </c>
    </row>
    <row r="444" spans="2:8" hidden="1" outlineLevel="2">
      <c r="B444" s="373" t="s">
        <v>229</v>
      </c>
      <c r="C444" s="373" t="s">
        <v>1245</v>
      </c>
      <c r="D444" s="373" t="s">
        <v>860</v>
      </c>
      <c r="E444" s="373" t="s">
        <v>437</v>
      </c>
      <c r="F444" s="491" t="s">
        <v>36</v>
      </c>
      <c r="G444" s="492">
        <v>1.857E-2</v>
      </c>
      <c r="H444" s="492">
        <v>1</v>
      </c>
    </row>
    <row r="445" spans="2:8" hidden="1" outlineLevel="2">
      <c r="B445" s="373" t="s">
        <v>229</v>
      </c>
      <c r="C445" s="373" t="s">
        <v>1245</v>
      </c>
      <c r="D445" s="373" t="s">
        <v>860</v>
      </c>
      <c r="E445" s="373" t="s">
        <v>437</v>
      </c>
      <c r="F445" s="491" t="s">
        <v>1238</v>
      </c>
      <c r="G445" s="492">
        <v>1.857E-2</v>
      </c>
      <c r="H445" s="492">
        <v>1</v>
      </c>
    </row>
    <row r="446" spans="2:8" hidden="1" outlineLevel="2">
      <c r="B446" s="373" t="s">
        <v>229</v>
      </c>
      <c r="C446" s="373" t="s">
        <v>1245</v>
      </c>
      <c r="D446" s="373" t="s">
        <v>860</v>
      </c>
      <c r="E446" s="373" t="s">
        <v>437</v>
      </c>
      <c r="F446" s="491" t="s">
        <v>1246</v>
      </c>
      <c r="G446" s="492">
        <v>5.1067500000000002E-2</v>
      </c>
      <c r="H446" s="492">
        <v>1</v>
      </c>
    </row>
    <row r="447" spans="2:8" hidden="1" outlineLevel="1" collapsed="1">
      <c r="B447" s="390" t="s">
        <v>918</v>
      </c>
      <c r="C447" s="390" t="s">
        <v>1250</v>
      </c>
      <c r="D447" s="390"/>
      <c r="E447" s="390" t="s">
        <v>102</v>
      </c>
      <c r="F447" s="475" t="s">
        <v>2289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918</v>
      </c>
      <c r="C448" s="373" t="s">
        <v>1250</v>
      </c>
      <c r="D448" s="373" t="s">
        <v>860</v>
      </c>
      <c r="E448" s="373" t="s">
        <v>437</v>
      </c>
      <c r="F448" s="491" t="s">
        <v>1256</v>
      </c>
      <c r="G448" s="492">
        <v>1.13E-4</v>
      </c>
      <c r="H448" s="492">
        <v>1</v>
      </c>
    </row>
    <row r="449" spans="2:8" hidden="1" outlineLevel="1">
      <c r="B449" s="390" t="s">
        <v>498</v>
      </c>
      <c r="C449" s="390" t="s">
        <v>1258</v>
      </c>
      <c r="D449" s="390"/>
      <c r="E449" s="390" t="s">
        <v>102</v>
      </c>
      <c r="F449" s="475" t="s">
        <v>2247</v>
      </c>
      <c r="G449" s="490">
        <v>0</v>
      </c>
      <c r="H449" s="490">
        <v>0</v>
      </c>
    </row>
    <row r="450" spans="2:8" hidden="1" outlineLevel="1" collapsed="1">
      <c r="B450" s="390" t="s">
        <v>1392</v>
      </c>
      <c r="C450" s="390" t="s">
        <v>1392</v>
      </c>
      <c r="D450" s="390"/>
      <c r="E450" s="390" t="s">
        <v>102</v>
      </c>
      <c r="F450" s="475" t="s">
        <v>2336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1392</v>
      </c>
      <c r="C451" s="373" t="s">
        <v>1392</v>
      </c>
      <c r="D451" s="373" t="s">
        <v>1335</v>
      </c>
      <c r="E451" s="373" t="s">
        <v>437</v>
      </c>
      <c r="F451" s="491" t="s">
        <v>205</v>
      </c>
      <c r="G451" s="492"/>
      <c r="H451" s="492">
        <v>1</v>
      </c>
    </row>
    <row r="452" spans="2:8" hidden="1" outlineLevel="2">
      <c r="B452" s="373" t="s">
        <v>1392</v>
      </c>
      <c r="C452" s="373" t="s">
        <v>1392</v>
      </c>
      <c r="D452" s="373" t="s">
        <v>1335</v>
      </c>
      <c r="E452" s="373" t="s">
        <v>437</v>
      </c>
      <c r="F452" s="491" t="s">
        <v>36</v>
      </c>
      <c r="G452" s="492"/>
      <c r="H452" s="492">
        <v>1</v>
      </c>
    </row>
    <row r="453" spans="2:8" hidden="1" outlineLevel="2">
      <c r="B453" s="373" t="s">
        <v>1392</v>
      </c>
      <c r="C453" s="373" t="s">
        <v>1392</v>
      </c>
      <c r="D453" s="373" t="s">
        <v>1335</v>
      </c>
      <c r="E453" s="373" t="s">
        <v>437</v>
      </c>
      <c r="F453" s="491" t="s">
        <v>208</v>
      </c>
      <c r="G453" s="492"/>
      <c r="H453" s="492">
        <v>1</v>
      </c>
    </row>
    <row r="454" spans="2:8" hidden="1" outlineLevel="2">
      <c r="B454" s="373" t="s">
        <v>1392</v>
      </c>
      <c r="C454" s="373" t="s">
        <v>1392</v>
      </c>
      <c r="D454" s="373" t="s">
        <v>441</v>
      </c>
      <c r="E454" s="373" t="s">
        <v>437</v>
      </c>
      <c r="F454" s="491" t="s">
        <v>36</v>
      </c>
      <c r="G454" s="492"/>
      <c r="H454" s="492">
        <v>1</v>
      </c>
    </row>
    <row r="455" spans="2:8" hidden="1" outlineLevel="2">
      <c r="B455" s="373" t="s">
        <v>1392</v>
      </c>
      <c r="C455" s="373" t="s">
        <v>1392</v>
      </c>
      <c r="D455" s="373" t="s">
        <v>441</v>
      </c>
      <c r="E455" s="373" t="s">
        <v>437</v>
      </c>
      <c r="F455" s="491" t="s">
        <v>208</v>
      </c>
      <c r="G455" s="492"/>
      <c r="H455" s="492">
        <v>1</v>
      </c>
    </row>
    <row r="456" spans="2:8" hidden="1" outlineLevel="2">
      <c r="B456" s="373" t="s">
        <v>1392</v>
      </c>
      <c r="C456" s="373" t="s">
        <v>1392</v>
      </c>
      <c r="D456" s="373" t="s">
        <v>860</v>
      </c>
      <c r="E456" s="373" t="s">
        <v>437</v>
      </c>
      <c r="F456" s="491" t="s">
        <v>36</v>
      </c>
      <c r="G456" s="492"/>
      <c r="H456" s="492">
        <v>1</v>
      </c>
    </row>
    <row r="457" spans="2:8" hidden="1" outlineLevel="2">
      <c r="B457" s="373" t="s">
        <v>1392</v>
      </c>
      <c r="C457" s="373" t="s">
        <v>1392</v>
      </c>
      <c r="D457" s="373" t="s">
        <v>860</v>
      </c>
      <c r="E457" s="373" t="s">
        <v>437</v>
      </c>
      <c r="F457" s="491" t="s">
        <v>208</v>
      </c>
      <c r="G457" s="492"/>
      <c r="H457" s="492">
        <v>1</v>
      </c>
    </row>
    <row r="458" spans="2:8" hidden="1" outlineLevel="1" collapsed="1">
      <c r="B458" s="390" t="s">
        <v>497</v>
      </c>
      <c r="C458" s="390" t="s">
        <v>1394</v>
      </c>
      <c r="D458" s="390"/>
      <c r="E458" s="390" t="s">
        <v>102</v>
      </c>
      <c r="F458" s="475" t="s">
        <v>2264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497</v>
      </c>
      <c r="C459" s="373" t="s">
        <v>1394</v>
      </c>
      <c r="D459" s="373" t="s">
        <v>441</v>
      </c>
      <c r="E459" s="373" t="s">
        <v>437</v>
      </c>
      <c r="F459" s="491" t="s">
        <v>36</v>
      </c>
      <c r="G459" s="492">
        <v>0.05</v>
      </c>
      <c r="H459" s="492">
        <v>1</v>
      </c>
    </row>
    <row r="460" spans="2:8" hidden="1" outlineLevel="2">
      <c r="B460" s="373" t="s">
        <v>497</v>
      </c>
      <c r="C460" s="373" t="s">
        <v>1394</v>
      </c>
      <c r="D460" s="373" t="s">
        <v>441</v>
      </c>
      <c r="E460" s="373" t="s">
        <v>437</v>
      </c>
      <c r="F460" s="491" t="s">
        <v>208</v>
      </c>
      <c r="G460" s="492">
        <v>0.05</v>
      </c>
      <c r="H460" s="492">
        <v>1</v>
      </c>
    </row>
    <row r="461" spans="2:8" hidden="1" outlineLevel="2">
      <c r="B461" s="373" t="s">
        <v>497</v>
      </c>
      <c r="C461" s="373" t="s">
        <v>1394</v>
      </c>
      <c r="D461" s="373" t="s">
        <v>860</v>
      </c>
      <c r="E461" s="373" t="s">
        <v>437</v>
      </c>
      <c r="F461" s="491" t="s">
        <v>208</v>
      </c>
      <c r="G461" s="492">
        <v>0.05</v>
      </c>
      <c r="H461" s="492">
        <v>1</v>
      </c>
    </row>
    <row r="462" spans="2:8" hidden="1" outlineLevel="1" collapsed="1">
      <c r="B462" s="390" t="s">
        <v>902</v>
      </c>
      <c r="C462" s="390" t="s">
        <v>1018</v>
      </c>
      <c r="D462" s="390"/>
      <c r="E462" s="390" t="s">
        <v>102</v>
      </c>
      <c r="F462" s="475" t="s">
        <v>2248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902</v>
      </c>
      <c r="C463" s="373" t="s">
        <v>1018</v>
      </c>
      <c r="D463" s="372" t="s">
        <v>441</v>
      </c>
      <c r="E463" s="373" t="s">
        <v>102</v>
      </c>
      <c r="F463" s="491" t="s">
        <v>206</v>
      </c>
      <c r="G463" s="493">
        <v>6.3719999999999999E-2</v>
      </c>
      <c r="H463" s="493">
        <v>1</v>
      </c>
    </row>
    <row r="464" spans="2:8" hidden="1" outlineLevel="2">
      <c r="B464" s="373" t="s">
        <v>902</v>
      </c>
      <c r="C464" s="373" t="s">
        <v>1018</v>
      </c>
      <c r="D464" s="372" t="s">
        <v>441</v>
      </c>
      <c r="E464" s="373" t="s">
        <v>102</v>
      </c>
      <c r="F464" s="491" t="s">
        <v>208</v>
      </c>
      <c r="G464" s="493">
        <v>3.1859999999999999E-2</v>
      </c>
      <c r="H464" s="493">
        <v>1</v>
      </c>
    </row>
    <row r="465" spans="2:8" hidden="1" outlineLevel="2">
      <c r="B465" s="373" t="s">
        <v>902</v>
      </c>
      <c r="C465" s="373" t="s">
        <v>1018</v>
      </c>
      <c r="D465" s="372" t="s">
        <v>860</v>
      </c>
      <c r="E465" s="373" t="s">
        <v>102</v>
      </c>
      <c r="F465" s="491" t="s">
        <v>206</v>
      </c>
      <c r="G465" s="493">
        <v>5.3460000000000001E-2</v>
      </c>
      <c r="H465" s="493">
        <v>1</v>
      </c>
    </row>
    <row r="466" spans="2:8" hidden="1" outlineLevel="2">
      <c r="B466" s="373" t="s">
        <v>902</v>
      </c>
      <c r="C466" s="373" t="s">
        <v>1018</v>
      </c>
      <c r="D466" s="372" t="s">
        <v>860</v>
      </c>
      <c r="E466" s="373" t="s">
        <v>102</v>
      </c>
      <c r="F466" s="491" t="s">
        <v>208</v>
      </c>
      <c r="G466" s="493">
        <v>1.7819999999999999E-2</v>
      </c>
      <c r="H466" s="493">
        <v>1</v>
      </c>
    </row>
    <row r="467" spans="2:8" hidden="1" outlineLevel="1" collapsed="1">
      <c r="B467" s="390" t="s">
        <v>1290</v>
      </c>
      <c r="C467" s="390" t="s">
        <v>969</v>
      </c>
      <c r="D467" s="390"/>
      <c r="E467" s="390" t="s">
        <v>102</v>
      </c>
      <c r="F467" s="475" t="s">
        <v>2265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1290</v>
      </c>
      <c r="C468" s="373" t="s">
        <v>969</v>
      </c>
      <c r="D468" s="373" t="s">
        <v>441</v>
      </c>
      <c r="E468" s="373" t="s">
        <v>102</v>
      </c>
      <c r="F468" s="491" t="s">
        <v>206</v>
      </c>
      <c r="G468" s="493">
        <v>2.9179040000000003E-2</v>
      </c>
      <c r="H468" s="493">
        <v>1</v>
      </c>
    </row>
    <row r="469" spans="2:8" hidden="1" outlineLevel="2">
      <c r="B469" s="373" t="s">
        <v>1290</v>
      </c>
      <c r="C469" s="373" t="s">
        <v>969</v>
      </c>
      <c r="D469" s="373" t="s">
        <v>441</v>
      </c>
      <c r="E469" s="373" t="s">
        <v>102</v>
      </c>
      <c r="F469" s="491" t="s">
        <v>208</v>
      </c>
      <c r="G469" s="493">
        <v>1.4589520000000002E-2</v>
      </c>
      <c r="H469" s="493">
        <v>1</v>
      </c>
    </row>
    <row r="470" spans="2:8" hidden="1" outlineLevel="2">
      <c r="B470" s="373" t="s">
        <v>1290</v>
      </c>
      <c r="C470" s="373" t="s">
        <v>969</v>
      </c>
      <c r="D470" s="373" t="s">
        <v>860</v>
      </c>
      <c r="E470" s="373" t="s">
        <v>102</v>
      </c>
      <c r="F470" s="491" t="s">
        <v>206</v>
      </c>
      <c r="G470" s="493">
        <v>2.4480720000000001E-2</v>
      </c>
      <c r="H470" s="493">
        <v>1</v>
      </c>
    </row>
    <row r="471" spans="2:8" hidden="1" outlineLevel="2">
      <c r="B471" s="373" t="s">
        <v>1290</v>
      </c>
      <c r="C471" s="373" t="s">
        <v>969</v>
      </c>
      <c r="D471" s="373" t="s">
        <v>860</v>
      </c>
      <c r="E471" s="373" t="s">
        <v>102</v>
      </c>
      <c r="F471" s="491" t="s">
        <v>208</v>
      </c>
      <c r="G471" s="493">
        <v>8.1602400000000009E-3</v>
      </c>
      <c r="H471" s="493">
        <v>1</v>
      </c>
    </row>
    <row r="472" spans="2:8" hidden="1" outlineLevel="1" collapsed="1">
      <c r="B472" s="390" t="s">
        <v>1310</v>
      </c>
      <c r="C472" s="390" t="s">
        <v>1310</v>
      </c>
      <c r="D472" s="390"/>
      <c r="E472" s="390" t="s">
        <v>102</v>
      </c>
      <c r="F472" s="475" t="s">
        <v>2249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1310</v>
      </c>
      <c r="C473" s="373" t="s">
        <v>1310</v>
      </c>
      <c r="D473" s="373" t="s">
        <v>441</v>
      </c>
      <c r="E473" s="373" t="s">
        <v>102</v>
      </c>
      <c r="F473" s="491" t="s">
        <v>206</v>
      </c>
      <c r="G473" s="493">
        <v>0.56340280000000009</v>
      </c>
      <c r="H473" s="493">
        <v>1</v>
      </c>
    </row>
    <row r="474" spans="2:8" hidden="1" outlineLevel="2">
      <c r="B474" s="373" t="s">
        <v>1310</v>
      </c>
      <c r="C474" s="373" t="s">
        <v>1310</v>
      </c>
      <c r="D474" s="373" t="s">
        <v>441</v>
      </c>
      <c r="E474" s="373" t="s">
        <v>102</v>
      </c>
      <c r="F474" s="491" t="s">
        <v>208</v>
      </c>
      <c r="G474" s="493">
        <v>0.28170140000000005</v>
      </c>
      <c r="H474" s="493">
        <v>1</v>
      </c>
    </row>
    <row r="475" spans="2:8" hidden="1" outlineLevel="2">
      <c r="B475" s="373" t="s">
        <v>1310</v>
      </c>
      <c r="C475" s="373" t="s">
        <v>1310</v>
      </c>
      <c r="D475" s="373" t="s">
        <v>441</v>
      </c>
      <c r="E475" s="373" t="s">
        <v>102</v>
      </c>
      <c r="F475" s="491" t="s">
        <v>209</v>
      </c>
      <c r="G475" s="493">
        <v>0.28170140000000005</v>
      </c>
      <c r="H475" s="493">
        <v>1</v>
      </c>
    </row>
    <row r="476" spans="2:8" hidden="1" outlineLevel="2">
      <c r="B476" s="373" t="s">
        <v>1310</v>
      </c>
      <c r="C476" s="373" t="s">
        <v>1310</v>
      </c>
      <c r="D476" s="373" t="s">
        <v>860</v>
      </c>
      <c r="E476" s="373" t="s">
        <v>102</v>
      </c>
      <c r="F476" s="491" t="s">
        <v>206</v>
      </c>
      <c r="G476" s="493">
        <v>0.47268540000000003</v>
      </c>
      <c r="H476" s="493">
        <v>1</v>
      </c>
    </row>
    <row r="477" spans="2:8" hidden="1" outlineLevel="2">
      <c r="B477" s="373" t="s">
        <v>1310</v>
      </c>
      <c r="C477" s="373" t="s">
        <v>1310</v>
      </c>
      <c r="D477" s="373" t="s">
        <v>860</v>
      </c>
      <c r="E477" s="373" t="s">
        <v>102</v>
      </c>
      <c r="F477" s="491" t="s">
        <v>209</v>
      </c>
      <c r="G477" s="493">
        <v>0.15756180000000003</v>
      </c>
      <c r="H477" s="493">
        <v>1</v>
      </c>
    </row>
    <row r="478" spans="2:8" hidden="1" outlineLevel="1" collapsed="1">
      <c r="B478" s="390" t="s">
        <v>1321</v>
      </c>
      <c r="C478" s="390" t="s">
        <v>1321</v>
      </c>
      <c r="D478" s="390"/>
      <c r="E478" s="390" t="s">
        <v>102</v>
      </c>
      <c r="F478" s="475" t="s">
        <v>2268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1321</v>
      </c>
      <c r="C479" s="373" t="s">
        <v>1321</v>
      </c>
      <c r="D479" s="373" t="s">
        <v>441</v>
      </c>
      <c r="E479" s="373" t="s">
        <v>102</v>
      </c>
      <c r="F479" s="491" t="s">
        <v>206</v>
      </c>
      <c r="G479" s="493">
        <v>0.43475642700000006</v>
      </c>
      <c r="H479" s="493">
        <v>1</v>
      </c>
    </row>
    <row r="480" spans="2:8" hidden="1" outlineLevel="2">
      <c r="B480" s="373" t="s">
        <v>1321</v>
      </c>
      <c r="C480" s="373" t="s">
        <v>1321</v>
      </c>
      <c r="D480" s="373" t="s">
        <v>441</v>
      </c>
      <c r="E480" s="373" t="s">
        <v>102</v>
      </c>
      <c r="F480" s="491" t="s">
        <v>208</v>
      </c>
      <c r="G480" s="493">
        <v>0.43475642700000006</v>
      </c>
      <c r="H480" s="493">
        <v>1</v>
      </c>
    </row>
    <row r="481" spans="2:8" hidden="1" outlineLevel="1" collapsed="1">
      <c r="B481" s="390" t="s">
        <v>1330</v>
      </c>
      <c r="C481" s="390" t="s">
        <v>1330</v>
      </c>
      <c r="D481" s="390"/>
      <c r="E481" s="390" t="s">
        <v>102</v>
      </c>
      <c r="F481" s="475" t="s">
        <v>2266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1330</v>
      </c>
      <c r="C482" s="373" t="s">
        <v>1330</v>
      </c>
      <c r="D482" s="373" t="s">
        <v>441</v>
      </c>
      <c r="E482" s="373" t="s">
        <v>102</v>
      </c>
      <c r="F482" s="491" t="s">
        <v>206</v>
      </c>
      <c r="G482" s="493">
        <v>0.14491880900000001</v>
      </c>
      <c r="H482" s="493">
        <v>1</v>
      </c>
    </row>
    <row r="483" spans="2:8" hidden="1" outlineLevel="2">
      <c r="B483" s="373" t="s">
        <v>1330</v>
      </c>
      <c r="C483" s="373" t="s">
        <v>1330</v>
      </c>
      <c r="D483" s="373" t="s">
        <v>441</v>
      </c>
      <c r="E483" s="373" t="s">
        <v>102</v>
      </c>
      <c r="F483" s="491" t="s">
        <v>208</v>
      </c>
      <c r="G483" s="493">
        <v>0.14491880900000001</v>
      </c>
      <c r="H483" s="493">
        <v>1</v>
      </c>
    </row>
    <row r="484" spans="2:8" hidden="1" outlineLevel="1" collapsed="1">
      <c r="B484" s="390" t="s">
        <v>1273</v>
      </c>
      <c r="C484" s="390" t="s">
        <v>1273</v>
      </c>
      <c r="D484" s="390"/>
      <c r="E484" s="390" t="s">
        <v>102</v>
      </c>
      <c r="F484" s="475" t="s">
        <v>2267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1273</v>
      </c>
      <c r="C485" s="373" t="s">
        <v>1273</v>
      </c>
      <c r="D485" s="373" t="s">
        <v>441</v>
      </c>
      <c r="E485" s="373" t="s">
        <v>437</v>
      </c>
      <c r="F485" s="491" t="s">
        <v>206</v>
      </c>
      <c r="G485" s="492">
        <v>3.9824999999999999E-2</v>
      </c>
      <c r="H485" s="492">
        <v>1</v>
      </c>
    </row>
    <row r="486" spans="2:8" hidden="1" outlineLevel="2">
      <c r="B486" s="373" t="s">
        <v>1273</v>
      </c>
      <c r="C486" s="373" t="s">
        <v>1273</v>
      </c>
      <c r="D486" s="373" t="s">
        <v>441</v>
      </c>
      <c r="E486" s="373" t="s">
        <v>437</v>
      </c>
      <c r="F486" s="491" t="s">
        <v>208</v>
      </c>
      <c r="G486" s="492">
        <v>7.9649999999999999E-2</v>
      </c>
      <c r="H486" s="492">
        <v>1</v>
      </c>
    </row>
    <row r="487" spans="2:8" hidden="1" outlineLevel="2">
      <c r="B487" s="373" t="s">
        <v>1273</v>
      </c>
      <c r="C487" s="373" t="s">
        <v>1273</v>
      </c>
      <c r="D487" s="373" t="s">
        <v>441</v>
      </c>
      <c r="E487" s="373" t="s">
        <v>437</v>
      </c>
      <c r="F487" s="491" t="s">
        <v>199</v>
      </c>
      <c r="G487" s="492">
        <v>7.9649999999999999E-2</v>
      </c>
      <c r="H487" s="492">
        <v>1</v>
      </c>
    </row>
    <row r="488" spans="2:8" hidden="1" outlineLevel="2">
      <c r="B488" s="373" t="s">
        <v>1273</v>
      </c>
      <c r="C488" s="373" t="s">
        <v>1273</v>
      </c>
      <c r="D488" s="373" t="s">
        <v>441</v>
      </c>
      <c r="E488" s="373" t="s">
        <v>437</v>
      </c>
      <c r="F488" s="491" t="s">
        <v>209</v>
      </c>
      <c r="G488" s="492">
        <v>3.9824999999999999E-2</v>
      </c>
      <c r="H488" s="492">
        <v>1</v>
      </c>
    </row>
    <row r="489" spans="2:8" hidden="1" outlineLevel="2">
      <c r="B489" s="373" t="s">
        <v>1273</v>
      </c>
      <c r="C489" s="373" t="s">
        <v>1273</v>
      </c>
      <c r="D489" s="373" t="s">
        <v>860</v>
      </c>
      <c r="E489" s="373" t="s">
        <v>437</v>
      </c>
      <c r="F489" s="491" t="s">
        <v>206</v>
      </c>
      <c r="G489" s="492">
        <v>4.4550000000000006E-2</v>
      </c>
      <c r="H489" s="492">
        <v>1</v>
      </c>
    </row>
    <row r="490" spans="2:8" hidden="1" outlineLevel="2">
      <c r="B490" s="373" t="s">
        <v>1273</v>
      </c>
      <c r="C490" s="373" t="s">
        <v>1273</v>
      </c>
      <c r="D490" s="373" t="s">
        <v>860</v>
      </c>
      <c r="E490" s="373" t="s">
        <v>437</v>
      </c>
      <c r="F490" s="491" t="s">
        <v>199</v>
      </c>
      <c r="G490" s="492">
        <v>2.2275000000000003E-2</v>
      </c>
      <c r="H490" s="492">
        <v>1</v>
      </c>
    </row>
    <row r="491" spans="2:8" hidden="1" outlineLevel="2">
      <c r="B491" s="373" t="s">
        <v>1273</v>
      </c>
      <c r="C491" s="373" t="s">
        <v>1273</v>
      </c>
      <c r="D491" s="373" t="s">
        <v>860</v>
      </c>
      <c r="E491" s="373" t="s">
        <v>437</v>
      </c>
      <c r="F491" s="491" t="s">
        <v>608</v>
      </c>
      <c r="G491" s="492">
        <v>2.2275000000000003E-2</v>
      </c>
      <c r="H491" s="492">
        <v>1</v>
      </c>
    </row>
    <row r="492" spans="2:8" hidden="1" outlineLevel="1" collapsed="1">
      <c r="B492" s="390" t="s">
        <v>1347</v>
      </c>
      <c r="C492" s="390" t="s">
        <v>1089</v>
      </c>
      <c r="D492" s="390"/>
      <c r="E492" s="390" t="s">
        <v>102</v>
      </c>
      <c r="F492" s="475" t="s">
        <v>2274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1347</v>
      </c>
      <c r="C493" s="373" t="s">
        <v>1089</v>
      </c>
      <c r="D493" s="373" t="s">
        <v>1335</v>
      </c>
      <c r="E493" s="373" t="s">
        <v>437</v>
      </c>
      <c r="F493" s="491" t="s">
        <v>205</v>
      </c>
      <c r="G493" s="492">
        <v>0.85500000000000009</v>
      </c>
      <c r="H493" s="492">
        <v>1</v>
      </c>
    </row>
    <row r="494" spans="2:8" hidden="1" outlineLevel="2">
      <c r="B494" s="373" t="s">
        <v>1347</v>
      </c>
      <c r="C494" s="373" t="s">
        <v>1089</v>
      </c>
      <c r="D494" s="373" t="s">
        <v>1335</v>
      </c>
      <c r="E494" s="373" t="s">
        <v>437</v>
      </c>
      <c r="F494" s="491" t="s">
        <v>206</v>
      </c>
      <c r="G494" s="492">
        <v>1.4050000000000002</v>
      </c>
      <c r="H494" s="492">
        <v>1</v>
      </c>
    </row>
    <row r="495" spans="2:8" hidden="1" outlineLevel="2">
      <c r="B495" s="373" t="s">
        <v>1347</v>
      </c>
      <c r="C495" s="373" t="s">
        <v>1089</v>
      </c>
      <c r="D495" s="373" t="s">
        <v>1335</v>
      </c>
      <c r="E495" s="373" t="s">
        <v>437</v>
      </c>
      <c r="F495" s="491" t="s">
        <v>208</v>
      </c>
      <c r="G495" s="492">
        <v>1.4050000000000002</v>
      </c>
      <c r="H495" s="492">
        <v>1</v>
      </c>
    </row>
    <row r="496" spans="2:8" hidden="1" outlineLevel="2">
      <c r="B496" s="373" t="s">
        <v>1347</v>
      </c>
      <c r="C496" s="373" t="s">
        <v>1089</v>
      </c>
      <c r="D496" s="373" t="s">
        <v>1335</v>
      </c>
      <c r="E496" s="373" t="s">
        <v>437</v>
      </c>
      <c r="F496" s="491" t="s">
        <v>608</v>
      </c>
      <c r="G496" s="492">
        <v>0.85500000000000009</v>
      </c>
      <c r="H496" s="492">
        <v>1</v>
      </c>
    </row>
    <row r="497" spans="2:8" hidden="1" outlineLevel="2">
      <c r="B497" s="373" t="s">
        <v>1347</v>
      </c>
      <c r="C497" s="373" t="s">
        <v>1089</v>
      </c>
      <c r="D497" s="373" t="s">
        <v>441</v>
      </c>
      <c r="E497" s="373" t="s">
        <v>437</v>
      </c>
      <c r="F497" s="491" t="s">
        <v>206</v>
      </c>
      <c r="G497" s="492">
        <v>0.10088999999999999</v>
      </c>
      <c r="H497" s="492">
        <v>1</v>
      </c>
    </row>
    <row r="498" spans="2:8" hidden="1" outlineLevel="2">
      <c r="B498" s="373" t="s">
        <v>1347</v>
      </c>
      <c r="C498" s="373" t="s">
        <v>1089</v>
      </c>
      <c r="D498" s="373" t="s">
        <v>441</v>
      </c>
      <c r="E498" s="373" t="s">
        <v>437</v>
      </c>
      <c r="F498" s="491" t="s">
        <v>208</v>
      </c>
      <c r="G498" s="492">
        <v>0.20177999999999999</v>
      </c>
      <c r="H498" s="492">
        <v>1</v>
      </c>
    </row>
    <row r="499" spans="2:8" hidden="1" outlineLevel="2">
      <c r="B499" s="373" t="s">
        <v>1347</v>
      </c>
      <c r="C499" s="373" t="s">
        <v>1089</v>
      </c>
      <c r="D499" s="373" t="s">
        <v>441</v>
      </c>
      <c r="E499" s="373" t="s">
        <v>437</v>
      </c>
      <c r="F499" s="491" t="s">
        <v>608</v>
      </c>
      <c r="G499" s="492">
        <v>0.10088999999999999</v>
      </c>
      <c r="H499" s="492">
        <v>1</v>
      </c>
    </row>
    <row r="500" spans="2:8" hidden="1" outlineLevel="2">
      <c r="B500" s="373" t="s">
        <v>1347</v>
      </c>
      <c r="C500" s="373" t="s">
        <v>1089</v>
      </c>
      <c r="D500" s="373" t="s">
        <v>860</v>
      </c>
      <c r="E500" s="373" t="s">
        <v>437</v>
      </c>
      <c r="F500" s="491" t="s">
        <v>206</v>
      </c>
      <c r="G500" s="492">
        <v>0.11286000000000002</v>
      </c>
      <c r="H500" s="492">
        <v>1</v>
      </c>
    </row>
    <row r="501" spans="2:8" hidden="1" outlineLevel="2">
      <c r="B501" s="373" t="s">
        <v>1347</v>
      </c>
      <c r="C501" s="373" t="s">
        <v>1089</v>
      </c>
      <c r="D501" s="373" t="s">
        <v>860</v>
      </c>
      <c r="E501" s="373" t="s">
        <v>437</v>
      </c>
      <c r="F501" s="491" t="s">
        <v>208</v>
      </c>
      <c r="G501" s="492">
        <v>0.16929</v>
      </c>
      <c r="H501" s="492">
        <v>1</v>
      </c>
    </row>
    <row r="502" spans="2:8" hidden="1" outlineLevel="2">
      <c r="B502" s="373" t="s">
        <v>1347</v>
      </c>
      <c r="C502" s="373" t="s">
        <v>1089</v>
      </c>
      <c r="D502" s="373" t="s">
        <v>860</v>
      </c>
      <c r="E502" s="373" t="s">
        <v>437</v>
      </c>
      <c r="F502" s="491" t="s">
        <v>608</v>
      </c>
      <c r="G502" s="492">
        <v>5.6430000000000008E-2</v>
      </c>
      <c r="H502" s="492">
        <v>1</v>
      </c>
    </row>
    <row r="503" spans="2:8" hidden="1" outlineLevel="1" collapsed="1">
      <c r="B503" s="390" t="s">
        <v>2219</v>
      </c>
      <c r="C503" s="390" t="s">
        <v>1089</v>
      </c>
      <c r="D503" s="390"/>
      <c r="E503" s="390" t="s">
        <v>102</v>
      </c>
      <c r="F503" s="475" t="s">
        <v>2275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2219</v>
      </c>
      <c r="C504" s="373" t="s">
        <v>1089</v>
      </c>
      <c r="D504" s="373" t="s">
        <v>1335</v>
      </c>
      <c r="E504" s="373" t="s">
        <v>437</v>
      </c>
      <c r="F504" s="491" t="s">
        <v>205</v>
      </c>
      <c r="G504" s="492">
        <v>0.4724994626592407</v>
      </c>
      <c r="H504" s="492">
        <v>1</v>
      </c>
    </row>
    <row r="505" spans="2:8" hidden="1" outlineLevel="2">
      <c r="B505" s="373" t="s">
        <v>2219</v>
      </c>
      <c r="C505" s="373" t="s">
        <v>1089</v>
      </c>
      <c r="D505" s="373" t="s">
        <v>1335</v>
      </c>
      <c r="E505" s="373" t="s">
        <v>437</v>
      </c>
      <c r="F505" s="491" t="s">
        <v>206</v>
      </c>
      <c r="G505" s="492">
        <v>0.85586265139649265</v>
      </c>
      <c r="H505" s="492">
        <v>1</v>
      </c>
    </row>
    <row r="506" spans="2:8" hidden="1" outlineLevel="2">
      <c r="B506" s="373" t="s">
        <v>2219</v>
      </c>
      <c r="C506" s="373" t="s">
        <v>1089</v>
      </c>
      <c r="D506" s="373" t="s">
        <v>1335</v>
      </c>
      <c r="E506" s="373" t="s">
        <v>437</v>
      </c>
      <c r="F506" s="491" t="s">
        <v>208</v>
      </c>
      <c r="G506" s="492">
        <v>0.85586265139649265</v>
      </c>
      <c r="H506" s="492">
        <v>1</v>
      </c>
    </row>
    <row r="507" spans="2:8" hidden="1" outlineLevel="2">
      <c r="B507" s="373" t="s">
        <v>2219</v>
      </c>
      <c r="C507" s="373" t="s">
        <v>1089</v>
      </c>
      <c r="D507" s="373" t="s">
        <v>441</v>
      </c>
      <c r="E507" s="373" t="s">
        <v>437</v>
      </c>
      <c r="F507" s="491" t="s">
        <v>206</v>
      </c>
      <c r="G507" s="492">
        <v>5.5754936593790397E-2</v>
      </c>
      <c r="H507" s="492">
        <v>1</v>
      </c>
    </row>
    <row r="508" spans="2:8" hidden="1" outlineLevel="2">
      <c r="B508" s="373" t="s">
        <v>2219</v>
      </c>
      <c r="C508" s="373" t="s">
        <v>1089</v>
      </c>
      <c r="D508" s="373" t="s">
        <v>441</v>
      </c>
      <c r="E508" s="373" t="s">
        <v>437</v>
      </c>
      <c r="F508" s="491" t="s">
        <v>208</v>
      </c>
      <c r="G508" s="492">
        <v>0.11150987318758079</v>
      </c>
      <c r="H508" s="492">
        <v>1</v>
      </c>
    </row>
    <row r="509" spans="2:8" hidden="1" outlineLevel="2">
      <c r="B509" s="373" t="s">
        <v>2219</v>
      </c>
      <c r="C509" s="373" t="s">
        <v>1089</v>
      </c>
      <c r="D509" s="373" t="s">
        <v>860</v>
      </c>
      <c r="E509" s="373" t="s">
        <v>437</v>
      </c>
      <c r="F509" s="491" t="s">
        <v>206</v>
      </c>
      <c r="G509" s="492">
        <v>6.2369929071019771E-2</v>
      </c>
      <c r="H509" s="492">
        <v>1</v>
      </c>
    </row>
    <row r="510" spans="2:8" hidden="1" outlineLevel="2">
      <c r="B510" s="373" t="s">
        <v>2219</v>
      </c>
      <c r="C510" s="373" t="s">
        <v>1089</v>
      </c>
      <c r="D510" s="373" t="s">
        <v>860</v>
      </c>
      <c r="E510" s="373" t="s">
        <v>437</v>
      </c>
      <c r="F510" s="491" t="s">
        <v>208</v>
      </c>
      <c r="G510" s="492">
        <v>9.3554893606529646E-2</v>
      </c>
      <c r="H510" s="492">
        <v>1</v>
      </c>
    </row>
    <row r="511" spans="2:8" hidden="1" outlineLevel="1" collapsed="1">
      <c r="B511" s="390" t="s">
        <v>609</v>
      </c>
      <c r="C511" s="390" t="s">
        <v>1089</v>
      </c>
      <c r="D511" s="390"/>
      <c r="E511" s="390" t="s">
        <v>102</v>
      </c>
      <c r="F511" s="475" t="s">
        <v>2276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609</v>
      </c>
      <c r="C512" s="373" t="s">
        <v>1089</v>
      </c>
      <c r="D512" s="373" t="s">
        <v>1335</v>
      </c>
      <c r="E512" s="373" t="s">
        <v>437</v>
      </c>
      <c r="F512" s="491" t="s">
        <v>2222</v>
      </c>
      <c r="G512" s="492">
        <v>0.55066951170000011</v>
      </c>
      <c r="H512" s="492">
        <v>1</v>
      </c>
    </row>
    <row r="513" spans="2:8" hidden="1" outlineLevel="2">
      <c r="B513" s="373" t="s">
        <v>609</v>
      </c>
      <c r="C513" s="373" t="s">
        <v>1089</v>
      </c>
      <c r="D513" s="373" t="s">
        <v>1335</v>
      </c>
      <c r="E513" s="373" t="s">
        <v>437</v>
      </c>
      <c r="F513" s="491" t="s">
        <v>2223</v>
      </c>
      <c r="G513" s="492">
        <v>0.55066951170000011</v>
      </c>
      <c r="H513" s="492">
        <v>1</v>
      </c>
    </row>
    <row r="514" spans="2:8" hidden="1" outlineLevel="2">
      <c r="B514" s="373" t="s">
        <v>609</v>
      </c>
      <c r="C514" s="373" t="s">
        <v>1089</v>
      </c>
      <c r="D514" s="373" t="s">
        <v>1335</v>
      </c>
      <c r="E514" s="373" t="s">
        <v>437</v>
      </c>
      <c r="F514" s="491" t="s">
        <v>199</v>
      </c>
      <c r="G514" s="492">
        <v>0.55066951170000011</v>
      </c>
      <c r="H514" s="492">
        <v>1</v>
      </c>
    </row>
    <row r="515" spans="2:8" hidden="1" outlineLevel="2">
      <c r="B515" s="373" t="s">
        <v>609</v>
      </c>
      <c r="C515" s="373" t="s">
        <v>1089</v>
      </c>
      <c r="D515" s="373" t="s">
        <v>1335</v>
      </c>
      <c r="E515" s="373" t="s">
        <v>437</v>
      </c>
      <c r="F515" s="491" t="s">
        <v>608</v>
      </c>
      <c r="G515" s="492">
        <v>0.30444318135000004</v>
      </c>
      <c r="H515" s="492">
        <v>1</v>
      </c>
    </row>
    <row r="516" spans="2:8" hidden="1" outlineLevel="2">
      <c r="B516" s="373" t="s">
        <v>609</v>
      </c>
      <c r="C516" s="373" t="s">
        <v>1089</v>
      </c>
      <c r="D516" s="373" t="s">
        <v>1335</v>
      </c>
      <c r="E516" s="373" t="s">
        <v>437</v>
      </c>
      <c r="F516" s="491" t="s">
        <v>198</v>
      </c>
      <c r="G516" s="492">
        <v>0.30444318135000004</v>
      </c>
      <c r="H516" s="492">
        <v>1</v>
      </c>
    </row>
    <row r="517" spans="2:8" hidden="1" outlineLevel="2">
      <c r="B517" s="373" t="s">
        <v>609</v>
      </c>
      <c r="C517" s="373" t="s">
        <v>1089</v>
      </c>
      <c r="D517" s="373" t="s">
        <v>1335</v>
      </c>
      <c r="E517" s="373" t="s">
        <v>437</v>
      </c>
      <c r="F517" s="491" t="s">
        <v>2224</v>
      </c>
      <c r="G517" s="492">
        <v>0.16520085351</v>
      </c>
      <c r="H517" s="492">
        <v>1</v>
      </c>
    </row>
    <row r="518" spans="2:8" hidden="1" outlineLevel="2">
      <c r="B518" s="373" t="s">
        <v>609</v>
      </c>
      <c r="C518" s="373" t="s">
        <v>1089</v>
      </c>
      <c r="D518" s="373" t="s">
        <v>441</v>
      </c>
      <c r="E518" s="373" t="s">
        <v>437</v>
      </c>
      <c r="F518" s="491" t="s">
        <v>206</v>
      </c>
      <c r="G518" s="492">
        <v>3.5924295399299998E-2</v>
      </c>
      <c r="H518" s="492">
        <v>1</v>
      </c>
    </row>
    <row r="519" spans="2:8" hidden="1" outlineLevel="2">
      <c r="B519" s="373" t="s">
        <v>609</v>
      </c>
      <c r="C519" s="373" t="s">
        <v>1089</v>
      </c>
      <c r="D519" s="373" t="s">
        <v>441</v>
      </c>
      <c r="E519" s="373" t="s">
        <v>437</v>
      </c>
      <c r="F519" s="491" t="s">
        <v>2223</v>
      </c>
      <c r="G519" s="492">
        <v>7.1848590798599996E-2</v>
      </c>
      <c r="H519" s="492">
        <v>1</v>
      </c>
    </row>
    <row r="520" spans="2:8" hidden="1" outlineLevel="2">
      <c r="B520" s="373" t="s">
        <v>609</v>
      </c>
      <c r="C520" s="373" t="s">
        <v>1089</v>
      </c>
      <c r="D520" s="373" t="s">
        <v>441</v>
      </c>
      <c r="E520" s="373" t="s">
        <v>437</v>
      </c>
      <c r="F520" s="491" t="s">
        <v>199</v>
      </c>
      <c r="G520" s="492">
        <v>7.1848590798599996E-2</v>
      </c>
      <c r="H520" s="492">
        <v>1</v>
      </c>
    </row>
    <row r="521" spans="2:8" hidden="1" outlineLevel="2">
      <c r="B521" s="373" t="s">
        <v>609</v>
      </c>
      <c r="C521" s="373" t="s">
        <v>1089</v>
      </c>
      <c r="D521" s="373" t="s">
        <v>441</v>
      </c>
      <c r="E521" s="373" t="s">
        <v>437</v>
      </c>
      <c r="F521" s="491" t="s">
        <v>608</v>
      </c>
      <c r="G521" s="492">
        <v>3.5924295399299998E-2</v>
      </c>
      <c r="H521" s="492">
        <v>1</v>
      </c>
    </row>
    <row r="522" spans="2:8" hidden="1" outlineLevel="2">
      <c r="B522" s="373" t="s">
        <v>609</v>
      </c>
      <c r="C522" s="373" t="s">
        <v>1089</v>
      </c>
      <c r="D522" s="373" t="s">
        <v>441</v>
      </c>
      <c r="E522" s="373" t="s">
        <v>437</v>
      </c>
      <c r="F522" s="491" t="s">
        <v>2226</v>
      </c>
      <c r="G522" s="492">
        <v>3.2489501190300002E-2</v>
      </c>
      <c r="H522" s="492">
        <v>1</v>
      </c>
    </row>
    <row r="523" spans="2:8" hidden="1" outlineLevel="2">
      <c r="B523" s="373" t="s">
        <v>609</v>
      </c>
      <c r="C523" s="373" t="s">
        <v>1089</v>
      </c>
      <c r="D523" s="373" t="s">
        <v>860</v>
      </c>
      <c r="E523" s="373" t="s">
        <v>437</v>
      </c>
      <c r="F523" s="491" t="s">
        <v>206</v>
      </c>
      <c r="G523" s="492">
        <v>4.0186499938200004E-2</v>
      </c>
      <c r="H523" s="492">
        <v>1</v>
      </c>
    </row>
    <row r="524" spans="2:8" hidden="1" outlineLevel="2">
      <c r="B524" s="373" t="s">
        <v>609</v>
      </c>
      <c r="C524" s="373" t="s">
        <v>1089</v>
      </c>
      <c r="D524" s="373" t="s">
        <v>860</v>
      </c>
      <c r="E524" s="373" t="s">
        <v>437</v>
      </c>
      <c r="F524" s="491" t="s">
        <v>199</v>
      </c>
      <c r="G524" s="492">
        <v>2.0093249969100002E-2</v>
      </c>
      <c r="H524" s="492">
        <v>1</v>
      </c>
    </row>
    <row r="525" spans="2:8" hidden="1" outlineLevel="2">
      <c r="B525" s="373" t="s">
        <v>609</v>
      </c>
      <c r="C525" s="373" t="s">
        <v>1089</v>
      </c>
      <c r="D525" s="373" t="s">
        <v>860</v>
      </c>
      <c r="E525" s="373" t="s">
        <v>437</v>
      </c>
      <c r="F525" s="491" t="s">
        <v>608</v>
      </c>
      <c r="G525" s="492">
        <v>2.0093249969100002E-2</v>
      </c>
      <c r="H525" s="492">
        <v>1</v>
      </c>
    </row>
    <row r="526" spans="2:8" hidden="1" outlineLevel="2">
      <c r="B526" s="373" t="s">
        <v>609</v>
      </c>
      <c r="C526" s="373" t="s">
        <v>1089</v>
      </c>
      <c r="D526" s="373" t="s">
        <v>860</v>
      </c>
      <c r="E526" s="373" t="s">
        <v>437</v>
      </c>
      <c r="F526" s="491" t="s">
        <v>198</v>
      </c>
      <c r="G526" s="492">
        <v>2.0093249969100002E-2</v>
      </c>
      <c r="H526" s="492">
        <v>1</v>
      </c>
    </row>
    <row r="527" spans="2:8" hidden="1" outlineLevel="2">
      <c r="B527" s="373" t="s">
        <v>609</v>
      </c>
      <c r="C527" s="373" t="s">
        <v>1089</v>
      </c>
      <c r="D527" s="373" t="s">
        <v>860</v>
      </c>
      <c r="E527" s="373" t="s">
        <v>437</v>
      </c>
      <c r="F527" s="491" t="s">
        <v>2226</v>
      </c>
      <c r="G527" s="492">
        <v>1.8172093886100003E-2</v>
      </c>
      <c r="H527" s="492">
        <v>1</v>
      </c>
    </row>
    <row r="528" spans="2:8" hidden="1" outlineLevel="1">
      <c r="B528" s="390" t="s">
        <v>285</v>
      </c>
      <c r="C528" s="390" t="s">
        <v>1089</v>
      </c>
      <c r="D528" s="390"/>
      <c r="E528" s="390" t="s">
        <v>102</v>
      </c>
      <c r="F528" s="475" t="s">
        <v>2277</v>
      </c>
      <c r="G528" s="490">
        <v>0</v>
      </c>
      <c r="H528" s="490">
        <v>0</v>
      </c>
    </row>
    <row r="529" spans="2:8" hidden="1" outlineLevel="1">
      <c r="B529" s="390" t="s">
        <v>916</v>
      </c>
      <c r="C529" s="390" t="s">
        <v>916</v>
      </c>
      <c r="D529" s="390"/>
      <c r="E529" s="390" t="s">
        <v>102</v>
      </c>
      <c r="F529" s="475" t="s">
        <v>2278</v>
      </c>
      <c r="G529" s="490">
        <v>0</v>
      </c>
      <c r="H529" s="490">
        <v>0</v>
      </c>
    </row>
    <row r="530" spans="2:8" hidden="1" outlineLevel="1">
      <c r="B530" s="390" t="s">
        <v>1388</v>
      </c>
      <c r="C530" s="390" t="s">
        <v>1388</v>
      </c>
      <c r="D530" s="390"/>
      <c r="E530" s="390" t="s">
        <v>102</v>
      </c>
      <c r="F530" s="475" t="s">
        <v>2254</v>
      </c>
      <c r="G530" s="490">
        <v>0</v>
      </c>
      <c r="H530" s="490">
        <v>0</v>
      </c>
    </row>
    <row r="531" spans="2:8" hidden="1" outlineLevel="1" collapsed="1">
      <c r="B531" s="390" t="s">
        <v>1400</v>
      </c>
      <c r="C531" s="390" t="s">
        <v>1400</v>
      </c>
      <c r="D531" s="390"/>
      <c r="E531" s="390" t="s">
        <v>102</v>
      </c>
      <c r="F531" s="475" t="s">
        <v>2291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1400</v>
      </c>
      <c r="C532" s="373" t="s">
        <v>1400</v>
      </c>
      <c r="D532" s="373" t="s">
        <v>441</v>
      </c>
      <c r="E532" s="373" t="s">
        <v>437</v>
      </c>
      <c r="F532" s="491" t="s">
        <v>36</v>
      </c>
      <c r="G532" s="492">
        <v>5.6372543999999997E-3</v>
      </c>
      <c r="H532" s="492">
        <v>1</v>
      </c>
    </row>
    <row r="533" spans="2:8" hidden="1" outlineLevel="2">
      <c r="B533" s="373" t="s">
        <v>1400</v>
      </c>
      <c r="C533" s="373" t="s">
        <v>1400</v>
      </c>
      <c r="D533" s="373" t="s">
        <v>441</v>
      </c>
      <c r="E533" s="373" t="s">
        <v>437</v>
      </c>
      <c r="F533" s="491" t="s">
        <v>208</v>
      </c>
      <c r="G533" s="492">
        <v>5.6372543999999997E-3</v>
      </c>
      <c r="H533" s="492">
        <v>1</v>
      </c>
    </row>
    <row r="534" spans="2:8" hidden="1" outlineLevel="2">
      <c r="B534" s="373" t="s">
        <v>1400</v>
      </c>
      <c r="C534" s="373" t="s">
        <v>1400</v>
      </c>
      <c r="D534" s="373" t="s">
        <v>860</v>
      </c>
      <c r="E534" s="373" t="s">
        <v>437</v>
      </c>
      <c r="F534" s="491" t="s">
        <v>36</v>
      </c>
      <c r="G534" s="492">
        <v>4.6977119999999997E-3</v>
      </c>
      <c r="H534" s="492">
        <v>1</v>
      </c>
    </row>
    <row r="535" spans="2:8" hidden="1" outlineLevel="2">
      <c r="B535" s="373" t="s">
        <v>1400</v>
      </c>
      <c r="C535" s="373" t="s">
        <v>1400</v>
      </c>
      <c r="D535" s="373" t="s">
        <v>860</v>
      </c>
      <c r="E535" s="373" t="s">
        <v>437</v>
      </c>
      <c r="F535" s="491" t="s">
        <v>208</v>
      </c>
      <c r="G535" s="492">
        <v>4.6977119999999997E-3</v>
      </c>
      <c r="H535" s="492">
        <v>1</v>
      </c>
    </row>
    <row r="536" spans="2:8" hidden="1" outlineLevel="1" collapsed="1">
      <c r="B536" s="390" t="s">
        <v>369</v>
      </c>
      <c r="C536" s="390" t="s">
        <v>843</v>
      </c>
      <c r="D536" s="390"/>
      <c r="E536" s="390" t="s">
        <v>102</v>
      </c>
      <c r="F536" s="475" t="s">
        <v>2269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369</v>
      </c>
      <c r="C537" s="373" t="s">
        <v>843</v>
      </c>
      <c r="D537" s="373" t="s">
        <v>441</v>
      </c>
      <c r="E537" s="373" t="s">
        <v>437</v>
      </c>
      <c r="F537" s="491" t="s">
        <v>206</v>
      </c>
      <c r="G537" s="492">
        <v>0.1</v>
      </c>
      <c r="H537" s="492">
        <v>1</v>
      </c>
    </row>
    <row r="538" spans="2:8" hidden="1" outlineLevel="2">
      <c r="B538" s="373" t="s">
        <v>369</v>
      </c>
      <c r="C538" s="373" t="s">
        <v>843</v>
      </c>
      <c r="D538" s="373" t="s">
        <v>441</v>
      </c>
      <c r="E538" s="373" t="s">
        <v>437</v>
      </c>
      <c r="F538" s="491" t="s">
        <v>208</v>
      </c>
      <c r="G538" s="492">
        <v>0.05</v>
      </c>
      <c r="H538" s="492">
        <v>1</v>
      </c>
    </row>
    <row r="539" spans="2:8" hidden="1" outlineLevel="2">
      <c r="B539" s="373" t="s">
        <v>369</v>
      </c>
      <c r="C539" s="373" t="s">
        <v>843</v>
      </c>
      <c r="D539" s="373" t="s">
        <v>441</v>
      </c>
      <c r="E539" s="373" t="s">
        <v>437</v>
      </c>
      <c r="F539" s="491" t="s">
        <v>230</v>
      </c>
      <c r="G539" s="492">
        <v>0.1</v>
      </c>
      <c r="H539" s="492">
        <v>1</v>
      </c>
    </row>
    <row r="540" spans="2:8" hidden="1" outlineLevel="2">
      <c r="B540" s="373" t="s">
        <v>369</v>
      </c>
      <c r="C540" s="373" t="s">
        <v>843</v>
      </c>
      <c r="D540" s="373" t="s">
        <v>860</v>
      </c>
      <c r="E540" s="373" t="s">
        <v>437</v>
      </c>
      <c r="F540" s="491" t="s">
        <v>206</v>
      </c>
      <c r="G540" s="492">
        <v>0.15</v>
      </c>
      <c r="H540" s="492">
        <v>1</v>
      </c>
    </row>
    <row r="541" spans="2:8" hidden="1" outlineLevel="2">
      <c r="B541" s="373" t="s">
        <v>369</v>
      </c>
      <c r="C541" s="373" t="s">
        <v>843</v>
      </c>
      <c r="D541" s="373" t="s">
        <v>860</v>
      </c>
      <c r="E541" s="373" t="s">
        <v>437</v>
      </c>
      <c r="F541" s="491" t="s">
        <v>208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A9BDF9-F82C-46C3-858A-9396328B6365}"/>
</file>

<file path=customXml/itemProps2.xml><?xml version="1.0" encoding="utf-8"?>
<ds:datastoreItem xmlns:ds="http://schemas.openxmlformats.org/officeDocument/2006/customXml" ds:itemID="{2D840187-9EF4-4E44-B2B9-F79E5D103205}"/>
</file>

<file path=customXml/itemProps3.xml><?xml version="1.0" encoding="utf-8"?>
<ds:datastoreItem xmlns:ds="http://schemas.openxmlformats.org/officeDocument/2006/customXml" ds:itemID="{37F01CEE-A6F8-409E-9FAD-BDD3DDDDB7C1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Mallola Satishbabu</cp:lastModifiedBy>
  <cp:revision/>
  <dcterms:created xsi:type="dcterms:W3CDTF">2024-04-25T11:54:44Z</dcterms:created>
  <dcterms:modified xsi:type="dcterms:W3CDTF">2026-09-23T04:08:50Z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