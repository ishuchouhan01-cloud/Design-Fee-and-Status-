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Objects="none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605" documentId="8_{9CC12655-22FF-457B-8ADE-0B9B63E5E6DD}" xr6:coauthVersionLast="47" xr6:coauthVersionMax="47" xr10:uidLastSave="{CDB646F9-7C45-4CDB-8019-A4039458E9FA}"/>
  <bookViews>
    <workbookView xWindow="-110" yWindow="-110" windowWidth="19420" windowHeight="11500" xr2:uid="{89E5E68E-FAC6-4E6B-93FB-AB9F1FA4FF09}"/>
  </bookViews>
  <sheets>
    <sheet name="Goals FY 26-27Q3" sheetId="1" r:id="rId1"/>
    <sheet name="Pkgs Summary OTR Phase1" sheetId="2" r:id="rId2"/>
    <sheet name="Pkgs Summary OTR Phase2" sheetId="3" r:id="rId3"/>
    <sheet name="Pkgs Summary OTR Museum" sheetId="4" r:id="rId4"/>
  </sheets>
  <definedNames>
    <definedName name="_" localSheetId="3" hidden="1">#REF!</definedName>
    <definedName name="_" localSheetId="1" hidden="1">#REF!</definedName>
    <definedName name="_" localSheetId="2" hidden="1">#REF!</definedName>
    <definedName name="_" hidden="1">#REF!</definedName>
    <definedName name="__123Graph_A" localSheetId="3" hidden="1">#REF!</definedName>
    <definedName name="__123Graph_A" localSheetId="1" hidden="1">#REF!</definedName>
    <definedName name="__123Graph_A" localSheetId="2" hidden="1">#REF!</definedName>
    <definedName name="__123Graph_A" hidden="1">#REF!</definedName>
    <definedName name="__123Graph_B" localSheetId="3" hidden="1">#REF!</definedName>
    <definedName name="__123Graph_B" localSheetId="1" hidden="1">#REF!</definedName>
    <definedName name="__123Graph_B" localSheetId="2" hidden="1">#REF!</definedName>
    <definedName name="__123Graph_B" hidden="1">#REF!</definedName>
    <definedName name="__123Graph_C" localSheetId="3" hidden="1">#REF!</definedName>
    <definedName name="__123Graph_C" localSheetId="1" hidden="1">#REF!</definedName>
    <definedName name="__123Graph_C" localSheetId="2" hidden="1">#REF!</definedName>
    <definedName name="__123Graph_C" hidden="1">#REF!</definedName>
    <definedName name="__123Graph_D" localSheetId="3" hidden="1">#REF!</definedName>
    <definedName name="__123Graph_D" localSheetId="1" hidden="1">#REF!</definedName>
    <definedName name="__123Graph_D" localSheetId="2" hidden="1">#REF!</definedName>
    <definedName name="__123Graph_D" hidden="1">#REF!</definedName>
    <definedName name="__123Graph_E" localSheetId="3" hidden="1">#REF!</definedName>
    <definedName name="__123Graph_E" localSheetId="1" hidden="1">#REF!</definedName>
    <definedName name="__123Graph_E" localSheetId="2" hidden="1">#REF!</definedName>
    <definedName name="__123Graph_E" hidden="1">#REF!</definedName>
    <definedName name="__123Graph_F" localSheetId="3" hidden="1">#REF!</definedName>
    <definedName name="__123Graph_F" localSheetId="1" hidden="1">#REF!</definedName>
    <definedName name="__123Graph_F" localSheetId="2" hidden="1">#REF!</definedName>
    <definedName name="__123Graph_F" hidden="1">#REF!</definedName>
    <definedName name="__123Graph_X" localSheetId="3" hidden="1">#REF!</definedName>
    <definedName name="__123Graph_X" localSheetId="1" hidden="1">#REF!</definedName>
    <definedName name="__123Graph_X" localSheetId="2" hidden="1">#REF!</definedName>
    <definedName name="__123Graph_X" hidden="1">#REF!</definedName>
    <definedName name="__IntlFixup" hidden="1">TRUE</definedName>
    <definedName name="_c" localSheetId="3" hidden="1">#REF!</definedName>
    <definedName name="_c" localSheetId="1" hidden="1">#REF!</definedName>
    <definedName name="_c" localSheetId="2" hidden="1">#REF!</definedName>
    <definedName name="_c" hidden="1">#REF!</definedName>
    <definedName name="_Dist_Bin" localSheetId="3" hidden="1">#REF!</definedName>
    <definedName name="_Dist_Bin" localSheetId="1" hidden="1">#REF!</definedName>
    <definedName name="_Dist_Bin" localSheetId="2" hidden="1">#REF!</definedName>
    <definedName name="_Dist_Bin" hidden="1">#REF!</definedName>
    <definedName name="_Dist_Values" localSheetId="3" hidden="1">#REF!</definedName>
    <definedName name="_Dist_Values" localSheetId="1" hidden="1">#REF!</definedName>
    <definedName name="_Dist_Values" localSheetId="2" hidden="1">#REF!</definedName>
    <definedName name="_Dist_Values" hidden="1">#REF!</definedName>
    <definedName name="_Fill" localSheetId="3" hidden="1">#REF!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0">'Goals FY 26-27Q3'!$B$4:$AA$48</definedName>
    <definedName name="_xlnm._FilterDatabase" localSheetId="3" hidden="1">'Pkgs Summary OTR Museum'!#REF!</definedName>
    <definedName name="_xlnm._FilterDatabase" localSheetId="1" hidden="1">'Pkgs Summary OTR Phase1'!#REF!</definedName>
    <definedName name="_xlnm._FilterDatabase" localSheetId="2" hidden="1">'Pkgs Summary OTR Phase2'!#REF!</definedName>
    <definedName name="_xlnm._FilterDatabase" hidden="1">#REF!</definedName>
    <definedName name="_Goal_New" localSheetId="3" hidden="1">#REF!</definedName>
    <definedName name="_Goal_New" localSheetId="1" hidden="1">#REF!</definedName>
    <definedName name="_Goal_New" localSheetId="2" hidden="1">#REF!</definedName>
    <definedName name="_Goal_New" hidden="1">#REF!</definedName>
    <definedName name="_Key1" localSheetId="3" hidden="1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3" hidden="1">#REF!</definedName>
    <definedName name="_Key2" localSheetId="1" hidden="1">#REF!</definedName>
    <definedName name="_Key2" localSheetId="2" hidden="1">#REF!</definedName>
    <definedName name="_Key2" hidden="1">#REF!</definedName>
    <definedName name="_Order1" hidden="1">255</definedName>
    <definedName name="_Parse_In" localSheetId="3" hidden="1">#REF!</definedName>
    <definedName name="_Parse_In" localSheetId="1" hidden="1">#REF!</definedName>
    <definedName name="_Parse_In" localSheetId="2" hidden="1">#REF!</definedName>
    <definedName name="_Parse_In" hidden="1">#REF!</definedName>
    <definedName name="_Parse_Out" localSheetId="3" hidden="1">#REF!</definedName>
    <definedName name="_Parse_Out" localSheetId="1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3" hidden="1">#REF!</definedName>
    <definedName name="_Sort" localSheetId="1" hidden="1">#REF!</definedName>
    <definedName name="_Sort" localSheetId="2" hidden="1">#REF!</definedName>
    <definedName name="_Sort" hidden="1">#REF!</definedName>
    <definedName name="_Table2_In1" localSheetId="3" hidden="1">#REF!</definedName>
    <definedName name="_Table2_In1" localSheetId="1" hidden="1">#REF!</definedName>
    <definedName name="_Table2_In1" localSheetId="2" hidden="1">#REF!</definedName>
    <definedName name="_Table2_In1" hidden="1">#REF!</definedName>
    <definedName name="_Table2_In2" localSheetId="3" hidden="1">#REF!</definedName>
    <definedName name="_Table2_In2" localSheetId="1" hidden="1">#REF!</definedName>
    <definedName name="_Table2_In2" localSheetId="2" hidden="1">#REF!</definedName>
    <definedName name="_Table2_In2" hidden="1">#REF!</definedName>
    <definedName name="_Table2_Out" localSheetId="3" hidden="1">#REF!</definedName>
    <definedName name="_Table2_Out" localSheetId="1" hidden="1">#REF!</definedName>
    <definedName name="_Table2_Out" localSheetId="2" hidden="1">#REF!</definedName>
    <definedName name="_Table2_Out" hidden="1">#REF!</definedName>
    <definedName name="_Table3_In2" localSheetId="3" hidden="1">#REF!</definedName>
    <definedName name="_Table3_In2" localSheetId="1" hidden="1">#REF!</definedName>
    <definedName name="_Table3_In2" localSheetId="2" hidden="1">#REF!</definedName>
    <definedName name="_Table3_In2" hidden="1">#REF!</definedName>
    <definedName name="AccessDatabase" hidden="1">"W:\2000-01 Srb\March 2001\Lease Payments\outstanding lease.mdb"</definedName>
    <definedName name="ALupro" localSheetId="3" hidden="1">{"BSSCHA4",#N/A,FALSE,"sch bs"}</definedName>
    <definedName name="ALupro" localSheetId="1" hidden="1">{"BSSCHA4",#N/A,FALSE,"sch bs"}</definedName>
    <definedName name="ALupro" localSheetId="2" hidden="1">{"BSSCHA4",#N/A,FALSE,"sch bs"}</definedName>
    <definedName name="ALupro" hidden="1">{"BSSCHA4",#N/A,FALSE,"sch bs"}</definedName>
    <definedName name="ALupro0" localSheetId="3" hidden="1">{"BSSCHA4",#N/A,FALSE,"sch bs"}</definedName>
    <definedName name="ALupro0" localSheetId="1" hidden="1">{"BSSCHA4",#N/A,FALSE,"sch bs"}</definedName>
    <definedName name="ALupro0" localSheetId="2" hidden="1">{"BSSCHA4",#N/A,FALSE,"sch bs"}</definedName>
    <definedName name="ALupro0" hidden="1">{"BSSCHA4",#N/A,FALSE,"sch bs"}</definedName>
    <definedName name="annexure" localSheetId="3" hidden="1">{"BSSCHA4",#N/A,FALSE,"sch bs"}</definedName>
    <definedName name="annexure" localSheetId="1" hidden="1">{"BSSCHA4",#N/A,FALSE,"sch bs"}</definedName>
    <definedName name="annexure" localSheetId="2" hidden="1">{"BSSCHA4",#N/A,FALSE,"sch bs"}</definedName>
    <definedName name="annexure" hidden="1">{"BSSCHA4",#N/A,FALSE,"sch bs"}</definedName>
    <definedName name="annexure_1" localSheetId="3" hidden="1">{"BSSCHA4",#N/A,FALSE,"sch bs"}</definedName>
    <definedName name="annexure_1" localSheetId="1" hidden="1">{"BSSCHA4",#N/A,FALSE,"sch bs"}</definedName>
    <definedName name="annexure_1" localSheetId="2" hidden="1">{"BSSCHA4",#N/A,FALSE,"sch bs"}</definedName>
    <definedName name="annexure_1" hidden="1">{"BSSCHA4",#N/A,FALSE,"sch bs"}</definedName>
    <definedName name="as" localSheetId="3" hidden="1">#REF!</definedName>
    <definedName name="as" localSheetId="1" hidden="1">#REF!</definedName>
    <definedName name="as" localSheetId="2" hidden="1">#REF!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localSheetId="3" hidden="1">#REF!</definedName>
    <definedName name="AS2StaticLS" localSheetId="1" hidden="1">#REF!</definedName>
    <definedName name="AS2StaticLS" localSheetId="2" hidden="1">#REF!</definedName>
    <definedName name="AS2StaticLS" hidden="1">#REF!</definedName>
    <definedName name="AS2SyncStepLS" hidden="1">0</definedName>
    <definedName name="AS2TickmarkLS" localSheetId="3" hidden="1">#REF!</definedName>
    <definedName name="AS2TickmarkLS" localSheetId="1" hidden="1">#REF!</definedName>
    <definedName name="AS2TickmarkLS" localSheetId="2" hidden="1">#REF!</definedName>
    <definedName name="AS2TickmarkLS" hidden="1">#REF!</definedName>
    <definedName name="AS2VersionLS" hidden="1">300</definedName>
    <definedName name="avneeep" localSheetId="3" hidden="1">{"A4BS",#N/A,FALSE,"bs"}</definedName>
    <definedName name="avneeep" localSheetId="1" hidden="1">{"A4BS",#N/A,FALSE,"bs"}</definedName>
    <definedName name="avneeep" localSheetId="2" hidden="1">{"A4BS",#N/A,FALSE,"bs"}</definedName>
    <definedName name="avneeep" hidden="1">{"A4BS",#N/A,FALSE,"bs"}</definedName>
    <definedName name="avneeep_1" localSheetId="3" hidden="1">{"A4BS",#N/A,FALSE,"bs"}</definedName>
    <definedName name="avneeep_1" localSheetId="1" hidden="1">{"A4BS",#N/A,FALSE,"bs"}</definedName>
    <definedName name="avneeep_1" localSheetId="2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localSheetId="3" hidden="1">#REF!</definedName>
    <definedName name="BLPH1" localSheetId="1" hidden="1">#REF!</definedName>
    <definedName name="BLPH1" localSheetId="2" hidden="1">#REF!</definedName>
    <definedName name="BLPH1" hidden="1">#REF!</definedName>
    <definedName name="CIQWBGuid" hidden="1">"e353c960-9a20-40e3-8480-874cea54de8e"</definedName>
    <definedName name="dde" localSheetId="3" hidden="1">#REF!</definedName>
    <definedName name="dde" localSheetId="1" hidden="1">#REF!</definedName>
    <definedName name="dde" localSheetId="2" hidden="1">#REF!</definedName>
    <definedName name="dde" hidden="1">#REF!</definedName>
    <definedName name="depn" localSheetId="3" hidden="1">#REF!</definedName>
    <definedName name="depn" localSheetId="1" hidden="1">#REF!</definedName>
    <definedName name="depn" localSheetId="2" hidden="1">#REF!</definedName>
    <definedName name="depn" hidden="1">#REF!</definedName>
    <definedName name="dist" localSheetId="3" hidden="1">#REF!</definedName>
    <definedName name="dist" localSheetId="1" hidden="1">#REF!</definedName>
    <definedName name="dist" localSheetId="2" hidden="1">#REF!</definedName>
    <definedName name="dist" hidden="1">#REF!</definedName>
    <definedName name="egdywmk" localSheetId="3" hidden="1">{"A4depsch",#N/A,FALSE,"fa&amp;dep"}</definedName>
    <definedName name="egdywmk" localSheetId="1" hidden="1">{"A4depsch",#N/A,FALSE,"fa&amp;dep"}</definedName>
    <definedName name="egdywmk" localSheetId="2" hidden="1">{"A4depsch",#N/A,FALSE,"fa&amp;dep"}</definedName>
    <definedName name="egdywmk" hidden="1">{"A4depsch",#N/A,FALSE,"fa&amp;dep"}</definedName>
    <definedName name="egdywmk_1" localSheetId="3" hidden="1">{"A4depsch",#N/A,FALSE,"fa&amp;dep"}</definedName>
    <definedName name="egdywmk_1" localSheetId="1" hidden="1">{"A4depsch",#N/A,FALSE,"fa&amp;dep"}</definedName>
    <definedName name="egdywmk_1" localSheetId="2" hidden="1">{"A4depsch",#N/A,FALSE,"fa&amp;dep"}</definedName>
    <definedName name="egdywmk_1" hidden="1">{"A4depsch",#N/A,FALSE,"fa&amp;dep"}</definedName>
    <definedName name="Empty" localSheetId="3" hidden="1">#REF!</definedName>
    <definedName name="Empty" localSheetId="1" hidden="1">#REF!</definedName>
    <definedName name="Empty" localSheetId="2" hidden="1">#REF!</definedName>
    <definedName name="Empty" hidden="1">#REF!</definedName>
    <definedName name="Empty1" localSheetId="3" hidden="1">#REF!</definedName>
    <definedName name="Empty1" localSheetId="1" hidden="1">#REF!</definedName>
    <definedName name="Empty1" localSheetId="2" hidden="1">#REF!</definedName>
    <definedName name="Empty1" hidden="1">#REF!</definedName>
    <definedName name="Empty2" localSheetId="3" hidden="1">#REF!</definedName>
    <definedName name="Empty2" localSheetId="1" hidden="1">#REF!</definedName>
    <definedName name="Empty2" localSheetId="2" hidden="1">#REF!</definedName>
    <definedName name="Empty2" hidden="1">#REF!</definedName>
    <definedName name="etc" localSheetId="3" hidden="1">#REF!</definedName>
    <definedName name="etc" localSheetId="1" hidden="1">#REF!</definedName>
    <definedName name="etc" localSheetId="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localSheetId="3" hidden="1">#REF!</definedName>
    <definedName name="FA" localSheetId="1" hidden="1">#REF!</definedName>
    <definedName name="FA" localSheetId="2" hidden="1">#REF!</definedName>
    <definedName name="FA" hidden="1">#REF!</definedName>
    <definedName name="ffff" localSheetId="3" hidden="1">#REF!</definedName>
    <definedName name="ffff" localSheetId="1" hidden="1">#REF!</definedName>
    <definedName name="ffff" localSheetId="2" hidden="1">#REF!</definedName>
    <definedName name="ffff" hidden="1">#REF!</definedName>
    <definedName name="fffffffffffffffffffffffffffjjjjjj" localSheetId="3" hidden="1">#REF!</definedName>
    <definedName name="fffffffffffffffffffffffffffjjjjjj" localSheetId="1" hidden="1">#REF!</definedName>
    <definedName name="fffffffffffffffffffffffffffjjjjjj" localSheetId="2" hidden="1">#REF!</definedName>
    <definedName name="fffffffffffffffffffffffffffjjjjjj" hidden="1">#REF!</definedName>
    <definedName name="fgfg" localSheetId="3" hidden="1">#REF!</definedName>
    <definedName name="fgfg" localSheetId="1" hidden="1">#REF!</definedName>
    <definedName name="fgfg" localSheetId="2" hidden="1">#REF!</definedName>
    <definedName name="fgfg" hidden="1">#REF!</definedName>
    <definedName name="form3cd" localSheetId="3" hidden="1">#REF!</definedName>
    <definedName name="form3cd" localSheetId="1" hidden="1">#REF!</definedName>
    <definedName name="form3cd" localSheetId="2" hidden="1">#REF!</definedName>
    <definedName name="form3cd" hidden="1">#REF!</definedName>
    <definedName name="g" localSheetId="3" hidden="1">#REF!</definedName>
    <definedName name="g" localSheetId="1" hidden="1">#REF!</definedName>
    <definedName name="g" localSheetId="2" hidden="1">#REF!</definedName>
    <definedName name="g" hidden="1">#REF!</definedName>
    <definedName name="gallup" localSheetId="3" hidden="1">{"a4p&amp;L",#N/A,FALSE,"tr &amp; pl"}</definedName>
    <definedName name="gallup" localSheetId="1" hidden="1">{"a4p&amp;L",#N/A,FALSE,"tr &amp; pl"}</definedName>
    <definedName name="gallup" localSheetId="2" hidden="1">{"a4p&amp;L",#N/A,FALSE,"tr &amp; pl"}</definedName>
    <definedName name="gallup" hidden="1">{"a4p&amp;L",#N/A,FALSE,"tr &amp; pl"}</definedName>
    <definedName name="gallup_1" localSheetId="3" hidden="1">{"a4p&amp;L",#N/A,FALSE,"tr &amp; pl"}</definedName>
    <definedName name="gallup_1" localSheetId="1" hidden="1">{"a4p&amp;L",#N/A,FALSE,"tr &amp; pl"}</definedName>
    <definedName name="gallup_1" localSheetId="2" hidden="1">{"a4p&amp;L",#N/A,FALSE,"tr &amp; pl"}</definedName>
    <definedName name="gallup_1" hidden="1">{"a4p&amp;L",#N/A,FALSE,"tr &amp; pl"}</definedName>
    <definedName name="GDF" localSheetId="3" hidden="1">{#N/A,#N/A,FALSE,"COMP"}</definedName>
    <definedName name="GDF" localSheetId="1" hidden="1">{#N/A,#N/A,FALSE,"COMP"}</definedName>
    <definedName name="GDF" localSheetId="2" hidden="1">{#N/A,#N/A,FALSE,"COMP"}</definedName>
    <definedName name="GDF" hidden="1">{#N/A,#N/A,FALSE,"COMP"}</definedName>
    <definedName name="Goal" localSheetId="3" hidden="1">#REF!</definedName>
    <definedName name="Goal" localSheetId="1" hidden="1">#REF!</definedName>
    <definedName name="Goal" localSheetId="2" hidden="1">#REF!</definedName>
    <definedName name="Goal" hidden="1">#REF!</definedName>
    <definedName name="Goal_New" localSheetId="3" hidden="1">#REF!</definedName>
    <definedName name="Goal_New" localSheetId="1" hidden="1">#REF!</definedName>
    <definedName name="Goal_New" localSheetId="2" hidden="1">#REF!</definedName>
    <definedName name="Goal_New" hidden="1">#REF!</definedName>
    <definedName name="Goal_new1" localSheetId="3" hidden="1">#REF!</definedName>
    <definedName name="Goal_new1" localSheetId="1" hidden="1">#REF!</definedName>
    <definedName name="Goal_new1" localSheetId="2" hidden="1">#REF!</definedName>
    <definedName name="Goal_new1" hidden="1">#REF!</definedName>
    <definedName name="Goals_new" localSheetId="3" hidden="1">#REF!</definedName>
    <definedName name="Goals_new" localSheetId="1" hidden="1">#REF!</definedName>
    <definedName name="Goals_new" localSheetId="2" hidden="1">#REF!</definedName>
    <definedName name="Goals_new" hidden="1">#REF!</definedName>
    <definedName name="hgfhtr" localSheetId="3" hidden="1">{#N/A,#N/A,FALSE,"COMP"}</definedName>
    <definedName name="hgfhtr" localSheetId="1" hidden="1">{#N/A,#N/A,FALSE,"COMP"}</definedName>
    <definedName name="hgfhtr" localSheetId="2" hidden="1">{#N/A,#N/A,FALSE,"COMP"}</definedName>
    <definedName name="hgfhtr" hidden="1">{#N/A,#N/A,FALSE,"COMP"}</definedName>
    <definedName name="hgkh" localSheetId="3" hidden="1">{#N/A,#N/A,FALSE,"Aging Summary";#N/A,#N/A,FALSE,"Ratio Analysis";#N/A,#N/A,FALSE,"Test 120 Day Accts";#N/A,#N/A,FALSE,"Tickmarks"}</definedName>
    <definedName name="hgkh" localSheetId="1" hidden="1">{#N/A,#N/A,FALSE,"Aging Summary";#N/A,#N/A,FALSE,"Ratio Analysis";#N/A,#N/A,FALSE,"Test 120 Day Accts";#N/A,#N/A,FALSE,"Tickmarks"}</definedName>
    <definedName name="hgkh" localSheetId="2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3" hidden="1">{"'August 2000'!$A$1:$J$101"}</definedName>
    <definedName name="HTML_Control" localSheetId="1" hidden="1">{"'August 2000'!$A$1:$J$101"}</definedName>
    <definedName name="HTML_Control" localSheetId="2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localSheetId="3" hidden="1">#REF!</definedName>
    <definedName name="jay" localSheetId="1" hidden="1">#REF!</definedName>
    <definedName name="jay" localSheetId="2" hidden="1">#REF!</definedName>
    <definedName name="jay" hidden="1">#REF!</definedName>
    <definedName name="M" hidden="1">#REF!</definedName>
    <definedName name="PEDESTAL2" localSheetId="3" hidden="1">#REF!</definedName>
    <definedName name="PEDESTAL2" localSheetId="1" hidden="1">#REF!</definedName>
    <definedName name="PEDESTAL2" localSheetId="2" hidden="1">#REF!</definedName>
    <definedName name="PEDESTAL2" hidden="1">#REF!</definedName>
    <definedName name="_xlnm.Print_Area" localSheetId="3">'Pkgs Summary OTR Museum'!#REF!</definedName>
    <definedName name="_xlnm.Print_Area" localSheetId="1">'Pkgs Summary OTR Phase1'!#REF!</definedName>
    <definedName name="_xlnm.Print_Area" localSheetId="2">'Pkgs Summary OTR Phase2'!#REF!</definedName>
    <definedName name="_xlnm.Print_Titles" localSheetId="0">'Goals FY 26-27Q3'!$2:$4</definedName>
    <definedName name="_xlnm.Print_Titles" localSheetId="3">'Pkgs Summary OTR Museum'!$1:$7</definedName>
    <definedName name="_xlnm.Print_Titles" localSheetId="1">'Pkgs Summary OTR Phase1'!$1:$7</definedName>
    <definedName name="_xlnm.Print_Titles" localSheetId="2">'Pkgs Summary OTR Phase2'!$1:$7</definedName>
    <definedName name="Prof" localSheetId="3" hidden="1">#REF!</definedName>
    <definedName name="Prof" localSheetId="1" hidden="1">#REF!</definedName>
    <definedName name="Prof" localSheetId="2" hidden="1">#REF!</definedName>
    <definedName name="Prof" hidden="1">#REF!</definedName>
    <definedName name="q" localSheetId="3" hidden="1">#REF!</definedName>
    <definedName name="q" localSheetId="1" hidden="1">#REF!</definedName>
    <definedName name="q" localSheetId="2" hidden="1">#REF!</definedName>
    <definedName name="q" hidden="1">#REF!</definedName>
    <definedName name="sales1" localSheetId="3" hidden="1">{#N/A,#N/A,FALSE,"OPSTATE";#N/A,#N/A,FALSE,"BSLIABILITY";#N/A,#N/A,FALSE,"BSASSETS";#N/A,#N/A,FALSE,"Sheet1"}</definedName>
    <definedName name="sales1" localSheetId="1" hidden="1">{#N/A,#N/A,FALSE,"OPSTATE";#N/A,#N/A,FALSE,"BSLIABILITY";#N/A,#N/A,FALSE,"BSASSETS";#N/A,#N/A,FALSE,"Sheet1"}</definedName>
    <definedName name="sales1" localSheetId="2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3" hidden="1">{"A4depsch",#N/A,FALSE,"fa&amp;dep"}</definedName>
    <definedName name="salws2" localSheetId="1" hidden="1">{"A4depsch",#N/A,FALSE,"fa&amp;dep"}</definedName>
    <definedName name="salws2" localSheetId="2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localSheetId="3" hidden="1">#REF!</definedName>
    <definedName name="shp" localSheetId="1" hidden="1">#REF!</definedName>
    <definedName name="shp" localSheetId="2" hidden="1">#REF!</definedName>
    <definedName name="shp" hidden="1">#REF!</definedName>
    <definedName name="SORT1" localSheetId="3" hidden="1">#REF!</definedName>
    <definedName name="SORT1" localSheetId="1" hidden="1">#REF!</definedName>
    <definedName name="SORT1" localSheetId="2" hidden="1">#REF!</definedName>
    <definedName name="SORT1" hidden="1">#REF!</definedName>
    <definedName name="sss" localSheetId="3" hidden="1">{#N/A,#N/A,FALSE,"COMP"}</definedName>
    <definedName name="sss" localSheetId="1" hidden="1">{#N/A,#N/A,FALSE,"COMP"}</definedName>
    <definedName name="sss" localSheetId="2" hidden="1">{#N/A,#N/A,FALSE,"COMP"}</definedName>
    <definedName name="sss" hidden="1">{#N/A,#N/A,FALSE,"COMP"}</definedName>
    <definedName name="the" localSheetId="3" hidden="1">{#N/A,#N/A,FALSE,"COMP"}</definedName>
    <definedName name="the" localSheetId="1" hidden="1">{#N/A,#N/A,FALSE,"COMP"}</definedName>
    <definedName name="the" localSheetId="2" hidden="1">{#N/A,#N/A,FALSE,"COMP"}</definedName>
    <definedName name="the" hidden="1">{#N/A,#N/A,FALSE,"COMP"}</definedName>
    <definedName name="v" localSheetId="3" hidden="1">#REF!,#REF!</definedName>
    <definedName name="v" localSheetId="1" hidden="1">#REF!,#REF!</definedName>
    <definedName name="v" localSheetId="2" hidden="1">#REF!,#REF!</definedName>
    <definedName name="v" hidden="1">#REF!,#REF!</definedName>
    <definedName name="vivek1" localSheetId="3" hidden="1">#REF!</definedName>
    <definedName name="vivek1" localSheetId="1" hidden="1">#REF!</definedName>
    <definedName name="vivek1" localSheetId="2" hidden="1">#REF!</definedName>
    <definedName name="vivek1" hidden="1">#REF!</definedName>
    <definedName name="vivek11" localSheetId="3" hidden="1">#REF!</definedName>
    <definedName name="vivek11" localSheetId="1" hidden="1">#REF!</definedName>
    <definedName name="vivek11" localSheetId="2" hidden="1">#REF!</definedName>
    <definedName name="vivek11" hidden="1">#REF!</definedName>
    <definedName name="vivek12" localSheetId="3" hidden="1">#REF!</definedName>
    <definedName name="vivek12" localSheetId="1" hidden="1">#REF!</definedName>
    <definedName name="vivek12" localSheetId="2" hidden="1">#REF!</definedName>
    <definedName name="vivek12" hidden="1">#REF!</definedName>
    <definedName name="vivek13" localSheetId="3" hidden="1">#REF!</definedName>
    <definedName name="vivek13" localSheetId="1" hidden="1">#REF!</definedName>
    <definedName name="vivek13" localSheetId="2" hidden="1">#REF!</definedName>
    <definedName name="vivek13" hidden="1">#REF!</definedName>
    <definedName name="vivek17" localSheetId="3" hidden="1">#REF!</definedName>
    <definedName name="vivek17" localSheetId="1" hidden="1">#REF!</definedName>
    <definedName name="vivek17" localSheetId="2" hidden="1">#REF!</definedName>
    <definedName name="vivek17" hidden="1">#REF!</definedName>
    <definedName name="vivek18" localSheetId="3" hidden="1">#REF!</definedName>
    <definedName name="vivek18" localSheetId="1" hidden="1">#REF!</definedName>
    <definedName name="vivek18" localSheetId="2" hidden="1">#REF!</definedName>
    <definedName name="vivek18" hidden="1">#REF!</definedName>
    <definedName name="vivek2" localSheetId="3" hidden="1">#REF!</definedName>
    <definedName name="vivek2" localSheetId="1" hidden="1">#REF!</definedName>
    <definedName name="vivek2" localSheetId="2" hidden="1">#REF!</definedName>
    <definedName name="vivek2" hidden="1">#REF!</definedName>
    <definedName name="vivek220" localSheetId="3" hidden="1">#REF!</definedName>
    <definedName name="vivek220" localSheetId="1" hidden="1">#REF!</definedName>
    <definedName name="vivek220" localSheetId="2" hidden="1">#REF!</definedName>
    <definedName name="vivek220" hidden="1">#REF!</definedName>
    <definedName name="vivek288888" localSheetId="3" hidden="1">#REF!</definedName>
    <definedName name="vivek288888" localSheetId="1" hidden="1">#REF!</definedName>
    <definedName name="vivek288888" localSheetId="2" hidden="1">#REF!</definedName>
    <definedName name="vivek288888" hidden="1">#REF!</definedName>
    <definedName name="vivek2dddddddddddddddd" localSheetId="3" hidden="1">#REF!</definedName>
    <definedName name="vivek2dddddddddddddddd" localSheetId="1" hidden="1">#REF!</definedName>
    <definedName name="vivek2dddddddddddddddd" localSheetId="2" hidden="1">#REF!</definedName>
    <definedName name="vivek2dddddddddddddddd" hidden="1">#REF!</definedName>
    <definedName name="vivek2oooooooooooooooo" localSheetId="3" hidden="1">#REF!</definedName>
    <definedName name="vivek2oooooooooooooooo" localSheetId="1" hidden="1">#REF!</definedName>
    <definedName name="vivek2oooooooooooooooo" localSheetId="2" hidden="1">#REF!</definedName>
    <definedName name="vivek2oooooooooooooooo" hidden="1">#REF!</definedName>
    <definedName name="vivek3" localSheetId="3" hidden="1">#REF!</definedName>
    <definedName name="vivek3" localSheetId="1" hidden="1">#REF!</definedName>
    <definedName name="vivek3" localSheetId="2" hidden="1">#REF!</definedName>
    <definedName name="vivek3" hidden="1">#REF!</definedName>
    <definedName name="vivek4" localSheetId="3" hidden="1">#REF!</definedName>
    <definedName name="vivek4" localSheetId="1" hidden="1">#REF!</definedName>
    <definedName name="vivek4" localSheetId="2" hidden="1">#REF!</definedName>
    <definedName name="vivek4" hidden="1">#REF!</definedName>
    <definedName name="vivek444" localSheetId="3" hidden="1">#REF!</definedName>
    <definedName name="vivek444" localSheetId="1" hidden="1">#REF!</definedName>
    <definedName name="vivek444" localSheetId="2" hidden="1">#REF!</definedName>
    <definedName name="vivek444" hidden="1">#REF!</definedName>
    <definedName name="vivek5" localSheetId="3" hidden="1">#REF!</definedName>
    <definedName name="vivek5" localSheetId="1" hidden="1">#REF!</definedName>
    <definedName name="vivek5" localSheetId="2" hidden="1">#REF!</definedName>
    <definedName name="vivek5" hidden="1">#REF!</definedName>
    <definedName name="vivek6" localSheetId="3" hidden="1">#REF!</definedName>
    <definedName name="vivek6" localSheetId="1" hidden="1">#REF!</definedName>
    <definedName name="vivek6" localSheetId="2" hidden="1">#REF!</definedName>
    <definedName name="vivek6" hidden="1">#REF!</definedName>
    <definedName name="vivek6666" localSheetId="3" hidden="1">#REF!</definedName>
    <definedName name="vivek6666" localSheetId="1" hidden="1">#REF!</definedName>
    <definedName name="vivek6666" localSheetId="2" hidden="1">#REF!</definedName>
    <definedName name="vivek6666" hidden="1">#REF!</definedName>
    <definedName name="vivek9" localSheetId="3" hidden="1">#REF!</definedName>
    <definedName name="vivek9" localSheetId="1" hidden="1">#REF!</definedName>
    <definedName name="vivek9" localSheetId="2" hidden="1">#REF!</definedName>
    <definedName name="vivek9" hidden="1">#REF!</definedName>
    <definedName name="wr" localSheetId="3" hidden="1">{#N/A,#N/A,FALSE,"COMP"}</definedName>
    <definedName name="wr" localSheetId="1" hidden="1">{#N/A,#N/A,FALSE,"COMP"}</definedName>
    <definedName name="wr" localSheetId="2" hidden="1">{#N/A,#N/A,FALSE,"COMP"}</definedName>
    <definedName name="wr" hidden="1">{#N/A,#N/A,FALSE,"COMP"}</definedName>
    <definedName name="WRI" localSheetId="3" hidden="1">{#N/A,#N/A,FALSE,"COMP"}</definedName>
    <definedName name="WRI" localSheetId="1" hidden="1">{#N/A,#N/A,FALSE,"COMP"}</definedName>
    <definedName name="WRI" localSheetId="2" hidden="1">{#N/A,#N/A,FALSE,"COMP"}</definedName>
    <definedName name="WRI" hidden="1">{#N/A,#N/A,FALSE,"COMP"}</definedName>
    <definedName name="wrn.A4BSSCH." localSheetId="3" hidden="1">{"BSSCHA4",#N/A,FALSE,"sch bs"}</definedName>
    <definedName name="wrn.A4BSSCH." localSheetId="1" hidden="1">{"BSSCHA4",#N/A,FALSE,"sch bs"}</definedName>
    <definedName name="wrn.A4BSSCH." localSheetId="2" hidden="1">{"BSSCHA4",#N/A,FALSE,"sch bs"}</definedName>
    <definedName name="wrn.A4BSSCH." hidden="1">{"BSSCHA4",#N/A,FALSE,"sch bs"}</definedName>
    <definedName name="wrn.A4BSSCH._1" localSheetId="3" hidden="1">{"BSSCHA4",#N/A,FALSE,"sch bs"}</definedName>
    <definedName name="wrn.A4BSSCH._1" localSheetId="1" hidden="1">{"BSSCHA4",#N/A,FALSE,"sch bs"}</definedName>
    <definedName name="wrn.A4BSSCH._1" localSheetId="2" hidden="1">{"BSSCHA4",#N/A,FALSE,"sch bs"}</definedName>
    <definedName name="wrn.A4BSSCH._1" hidden="1">{"BSSCHA4",#N/A,FALSE,"sch bs"}</definedName>
    <definedName name="wrn.A4PL." localSheetId="3" hidden="1">{"a4p&amp;L",#N/A,FALSE,"tr &amp; pl"}</definedName>
    <definedName name="wrn.A4PL." localSheetId="1" hidden="1">{"a4p&amp;L",#N/A,FALSE,"tr &amp; pl"}</definedName>
    <definedName name="wrn.A4PL." localSheetId="2" hidden="1">{"a4p&amp;L",#N/A,FALSE,"tr &amp; pl"}</definedName>
    <definedName name="wrn.A4PL." hidden="1">{"a4p&amp;L",#N/A,FALSE,"tr &amp; pl"}</definedName>
    <definedName name="wrn.A4PL._1" localSheetId="3" hidden="1">{"a4p&amp;L",#N/A,FALSE,"tr &amp; pl"}</definedName>
    <definedName name="wrn.A4PL._1" localSheetId="1" hidden="1">{"a4p&amp;L",#N/A,FALSE,"tr &amp; pl"}</definedName>
    <definedName name="wrn.A4PL._1" localSheetId="2" hidden="1">{"a4p&amp;L",#N/A,FALSE,"tr &amp; pl"}</definedName>
    <definedName name="wrn.A4PL._1" hidden="1">{"a4p&amp;L",#N/A,FALSE,"tr &amp; pl"}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" hidden="1">{#N/A,#N/A,FALSE,"OPSTATE";#N/A,#N/A,FALSE,"BSLIABILITY";#N/A,#N/A,FALSE,"BSASSETS";#N/A,#N/A,FALSE,"Sheet1"}</definedName>
    <definedName name="wrn.AkrutiCMA." localSheetId="1" hidden="1">{#N/A,#N/A,FALSE,"OPSTATE";#N/A,#N/A,FALSE,"BSLIABILITY";#N/A,#N/A,FALSE,"BSASSETS";#N/A,#N/A,FALSE,"Sheet1"}</definedName>
    <definedName name="wrn.AkrutiCMA." localSheetId="2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" hidden="1">{"A4BS",#N/A,FALSE,"bs"}</definedName>
    <definedName name="wrn.BSA4." localSheetId="1" hidden="1">{"A4BS",#N/A,FALSE,"bs"}</definedName>
    <definedName name="wrn.BSA4." localSheetId="2" hidden="1">{"A4BS",#N/A,FALSE,"bs"}</definedName>
    <definedName name="wrn.BSA4." hidden="1">{"A4BS",#N/A,FALSE,"bs"}</definedName>
    <definedName name="wrn.BSA4._1" localSheetId="3" hidden="1">{"A4BS",#N/A,FALSE,"bs"}</definedName>
    <definedName name="wrn.BSA4._1" localSheetId="1" hidden="1">{"A4BS",#N/A,FALSE,"bs"}</definedName>
    <definedName name="wrn.BSA4._1" localSheetId="2" hidden="1">{"A4BS",#N/A,FALSE,"bs"}</definedName>
    <definedName name="wrn.BSA4._1" hidden="1">{"A4BS",#N/A,FALSE,"bs"}</definedName>
    <definedName name="wrn.capA4." localSheetId="3" hidden="1">{"capA4",#N/A,FALSE,"capt"}</definedName>
    <definedName name="wrn.capA4." localSheetId="1" hidden="1">{"capA4",#N/A,FALSE,"capt"}</definedName>
    <definedName name="wrn.capA4." localSheetId="2" hidden="1">{"capA4",#N/A,FALSE,"capt"}</definedName>
    <definedName name="wrn.capA4." hidden="1">{"capA4",#N/A,FALSE,"capt"}</definedName>
    <definedName name="wrn.capA4._1" localSheetId="3" hidden="1">{"capA4",#N/A,FALSE,"capt"}</definedName>
    <definedName name="wrn.capA4._1" localSheetId="1" hidden="1">{"capA4",#N/A,FALSE,"capt"}</definedName>
    <definedName name="wrn.capA4._1" localSheetId="2" hidden="1">{"capA4",#N/A,FALSE,"capt"}</definedName>
    <definedName name="wrn.capA4._1" hidden="1">{"capA4",#N/A,FALSE,"capt"}</definedName>
    <definedName name="wrn.depschA4." localSheetId="3" hidden="1">{"A4depsch",#N/A,FALSE,"fa&amp;dep"}</definedName>
    <definedName name="wrn.depschA4." localSheetId="1" hidden="1">{"A4depsch",#N/A,FALSE,"fa&amp;dep"}</definedName>
    <definedName name="wrn.depschA4." localSheetId="2" hidden="1">{"A4depsch",#N/A,FALSE,"fa&amp;dep"}</definedName>
    <definedName name="wrn.depschA4." hidden="1">{"A4depsch",#N/A,FALSE,"fa&amp;dep"}</definedName>
    <definedName name="wrn.depschA4._1" localSheetId="3" hidden="1">{"A4depsch",#N/A,FALSE,"fa&amp;dep"}</definedName>
    <definedName name="wrn.depschA4._1" localSheetId="1" hidden="1">{"A4depsch",#N/A,FALSE,"fa&amp;dep"}</definedName>
    <definedName name="wrn.depschA4._1" localSheetId="2" hidden="1">{"A4depsch",#N/A,FALSE,"fa&amp;dep"}</definedName>
    <definedName name="wrn.depschA4._1" hidden="1">{"A4depsch",#N/A,FALSE,"fa&amp;dep"}</definedName>
    <definedName name="wrn.EVEREST." localSheetId="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3" hidden="1">{#N/A,#N/A,FALSE,"COMP"}</definedName>
    <definedName name="wrn.FORM1." localSheetId="1" hidden="1">{#N/A,#N/A,FALSE,"COMP"}</definedName>
    <definedName name="wrn.FORM1." localSheetId="2" hidden="1">{#N/A,#N/A,FALSE,"COMP"}</definedName>
    <definedName name="wrn.FORM1." hidden="1">{#N/A,#N/A,FALSE,"COMP"}</definedName>
    <definedName name="wrn.Full._.Financials." localSheetId="3" hidden="1">{#N/A,#N/A,TRUE,"Financials";#N/A,#N/A,TRUE,"Operating Statistics";#N/A,#N/A,TRUE,"Capex &amp; Depreciation";#N/A,#N/A,TRUE,"Debt"}</definedName>
    <definedName name="wrn.Full._.Financials." localSheetId="1" hidden="1">{#N/A,#N/A,TRUE,"Financials";#N/A,#N/A,TRUE,"Operating Statistics";#N/A,#N/A,TRUE,"Capex &amp; Depreciation";#N/A,#N/A,TRUE,"Debt"}</definedName>
    <definedName name="wrn.Full._.Financials." localSheetId="2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" hidden="1">{#N/A,#N/A,FALSE,"One Pager";#N/A,#N/A,FALSE,"Technical"}</definedName>
    <definedName name="wrn.One._.Pager._.plus._.Technicals." localSheetId="1" hidden="1">{#N/A,#N/A,FALSE,"One Pager";#N/A,#N/A,FALSE,"Technical"}</definedName>
    <definedName name="wrn.One._.Pager._.plus._.Technicals." localSheetId="2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" hidden="1">{"A4PLSCH",#N/A,FALSE,"sch pl"}</definedName>
    <definedName name="wrn.PLSCHA4." localSheetId="1" hidden="1">{"A4PLSCH",#N/A,FALSE,"sch pl"}</definedName>
    <definedName name="wrn.PLSCHA4." localSheetId="2" hidden="1">{"A4PLSCH",#N/A,FALSE,"sch pl"}</definedName>
    <definedName name="wrn.PLSCHA4." hidden="1">{"A4PLSCH",#N/A,FALSE,"sch pl"}</definedName>
    <definedName name="wrn.PLSCHA4._1" localSheetId="3" hidden="1">{"A4PLSCH",#N/A,FALSE,"sch pl"}</definedName>
    <definedName name="wrn.PLSCHA4._1" localSheetId="1" hidden="1">{"A4PLSCH",#N/A,FALSE,"sch pl"}</definedName>
    <definedName name="wrn.PLSCHA4._1" localSheetId="2" hidden="1">{"A4PLSCH",#N/A,FALSE,"sch pl"}</definedName>
    <definedName name="wrn.PLSCHA4._1" hidden="1">{"A4PLSCH",#N/A,FALSE,"sch pl"}</definedName>
    <definedName name="wrn.Print." localSheetId="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localSheetId="3" hidden="1">#REF!</definedName>
    <definedName name="XREF_COLUMN_2" localSheetId="1" hidden="1">#REF!</definedName>
    <definedName name="XREF_COLUMN_2" localSheetId="2" hidden="1">#REF!</definedName>
    <definedName name="XREF_COLUMN_2" hidden="1">#REF!</definedName>
    <definedName name="XREF_COLUMN_3" localSheetId="3" hidden="1">#REF!</definedName>
    <definedName name="XREF_COLUMN_3" localSheetId="1" hidden="1">#REF!</definedName>
    <definedName name="XREF_COLUMN_3" localSheetId="2" hidden="1">#REF!</definedName>
    <definedName name="XREF_COLUMN_3" hidden="1">#REF!</definedName>
    <definedName name="XREF_COLUMN_4" localSheetId="3" hidden="1">#REF!</definedName>
    <definedName name="XREF_COLUMN_4" localSheetId="1" hidden="1">#REF!</definedName>
    <definedName name="XREF_COLUMN_4" localSheetId="2" hidden="1">#REF!</definedName>
    <definedName name="XREF_COLUMN_4" hidden="1">#REF!</definedName>
    <definedName name="XREF_COLUMN_5" localSheetId="3" hidden="1">#REF!</definedName>
    <definedName name="XREF_COLUMN_5" localSheetId="1" hidden="1">#REF!</definedName>
    <definedName name="XREF_COLUMN_5" localSheetId="2" hidden="1">#REF!</definedName>
    <definedName name="XREF_COLUMN_5" hidden="1">#REF!</definedName>
    <definedName name="XREF_COLUMN_6" localSheetId="3" hidden="1">#REF!</definedName>
    <definedName name="XREF_COLUMN_6" localSheetId="1" hidden="1">#REF!</definedName>
    <definedName name="XREF_COLUMN_6" localSheetId="2" hidden="1">#REF!</definedName>
    <definedName name="XREF_COLUMN_6" hidden="1">#REF!</definedName>
    <definedName name="XREF_COLUMN_7" localSheetId="3" hidden="1">#REF!</definedName>
    <definedName name="XREF_COLUMN_7" localSheetId="1" hidden="1">#REF!</definedName>
    <definedName name="XREF_COLUMN_7" localSheetId="2" hidden="1">#REF!</definedName>
    <definedName name="XREF_COLUMN_7" hidden="1">#REF!</definedName>
    <definedName name="XREF_COLUMN_8" localSheetId="3" hidden="1">#REF!</definedName>
    <definedName name="XREF_COLUMN_8" localSheetId="1" hidden="1">#REF!</definedName>
    <definedName name="XREF_COLUMN_8" localSheetId="2" hidden="1">#REF!</definedName>
    <definedName name="XREF_COLUMN_8" hidden="1">#REF!</definedName>
    <definedName name="XREF_COLUMN_9" localSheetId="3" hidden="1">#REF!</definedName>
    <definedName name="XREF_COLUMN_9" localSheetId="1" hidden="1">#REF!</definedName>
    <definedName name="XREF_COLUMN_9" localSheetId="2" hidden="1">#REF!</definedName>
    <definedName name="XREF_COLUMN_9" hidden="1">#REF!</definedName>
    <definedName name="XRefCopyRangeCount" hidden="1">6</definedName>
    <definedName name="XRefPasteRangeCount" hidden="1">4</definedName>
    <definedName name="XYZ" localSheetId="3" hidden="1">#REF!,#REF!</definedName>
    <definedName name="XYZ" localSheetId="1" hidden="1">#REF!,#REF!</definedName>
    <definedName name="XYZ" localSheetId="2" hidden="1">#REF!,#REF!</definedName>
    <definedName name="XYZ" hidden="1">#REF!,#REF!</definedName>
    <definedName name="Z_0185ADC1_3830_11D3_88E4_00104B2D4E50_.wvu.FilterData" localSheetId="3" hidden="1">#REF!</definedName>
    <definedName name="Z_0185ADC1_3830_11D3_88E4_00104B2D4E50_.wvu.FilterData" localSheetId="1" hidden="1">#REF!</definedName>
    <definedName name="Z_0185ADC1_3830_11D3_88E4_00104B2D4E50_.wvu.FilterData" localSheetId="2" hidden="1">#REF!</definedName>
    <definedName name="Z_0185ADC1_3830_11D3_88E4_00104B2D4E50_.wvu.FilterData" hidden="1">#REF!</definedName>
    <definedName name="Z_0185ADC2_3830_11D3_88E4_00104B2D4E50_.wvu.FilterData" localSheetId="3" hidden="1">#REF!</definedName>
    <definedName name="Z_0185ADC2_3830_11D3_88E4_00104B2D4E50_.wvu.FilterData" localSheetId="1" hidden="1">#REF!</definedName>
    <definedName name="Z_0185ADC2_3830_11D3_88E4_00104B2D4E50_.wvu.FilterData" localSheetId="2" hidden="1">#REF!</definedName>
    <definedName name="Z_0185ADC2_3830_11D3_88E4_00104B2D4E50_.wvu.FilterData" hidden="1">#REF!</definedName>
    <definedName name="Z_020243C4_4FC9_11D3_88E5_00104B2D4E50_.wvu.FilterData" localSheetId="3" hidden="1">#REF!</definedName>
    <definedName name="Z_020243C4_4FC9_11D3_88E5_00104B2D4E50_.wvu.FilterData" localSheetId="1" hidden="1">#REF!</definedName>
    <definedName name="Z_020243C4_4FC9_11D3_88E5_00104B2D4E50_.wvu.FilterData" localSheetId="2" hidden="1">#REF!</definedName>
    <definedName name="Z_020243C4_4FC9_11D3_88E5_00104B2D4E50_.wvu.FilterData" hidden="1">#REF!</definedName>
    <definedName name="Z_020243C5_4FC9_11D3_88E5_00104B2D4E50_.wvu.FilterData" localSheetId="3" hidden="1">#REF!</definedName>
    <definedName name="Z_020243C5_4FC9_11D3_88E5_00104B2D4E50_.wvu.FilterData" localSheetId="1" hidden="1">#REF!</definedName>
    <definedName name="Z_020243C5_4FC9_11D3_88E5_00104B2D4E50_.wvu.FilterData" localSheetId="2" hidden="1">#REF!</definedName>
    <definedName name="Z_020243C5_4FC9_11D3_88E5_00104B2D4E50_.wvu.FilterData" hidden="1">#REF!</definedName>
    <definedName name="Z_020243D6_4FC9_11D3_88E5_00104B2D4E50_.wvu.FilterData" localSheetId="3" hidden="1">#REF!</definedName>
    <definedName name="Z_020243D6_4FC9_11D3_88E5_00104B2D4E50_.wvu.FilterData" localSheetId="1" hidden="1">#REF!</definedName>
    <definedName name="Z_020243D6_4FC9_11D3_88E5_00104B2D4E50_.wvu.FilterData" localSheetId="2" hidden="1">#REF!</definedName>
    <definedName name="Z_020243D6_4FC9_11D3_88E5_00104B2D4E50_.wvu.FilterData" hidden="1">#REF!</definedName>
    <definedName name="Z_020243D9_4FC9_11D3_88E5_00104B2D4E50_.wvu.FilterData" localSheetId="3" hidden="1">#REF!</definedName>
    <definedName name="Z_020243D9_4FC9_11D3_88E5_00104B2D4E50_.wvu.FilterData" localSheetId="1" hidden="1">#REF!</definedName>
    <definedName name="Z_020243D9_4FC9_11D3_88E5_00104B2D4E50_.wvu.FilterData" localSheetId="2" hidden="1">#REF!</definedName>
    <definedName name="Z_020243D9_4FC9_11D3_88E5_00104B2D4E50_.wvu.FilterData" hidden="1">#REF!</definedName>
    <definedName name="Z_18E867C2_363F_11D3_B384_00104B203064_.wvu.Cols" localSheetId="3" hidden="1">#REF!</definedName>
    <definedName name="Z_18E867C2_363F_11D3_B384_00104B203064_.wvu.Cols" localSheetId="1" hidden="1">#REF!</definedName>
    <definedName name="Z_18E867C2_363F_11D3_B384_00104B203064_.wvu.Cols" localSheetId="2" hidden="1">#REF!</definedName>
    <definedName name="Z_18E867C2_363F_11D3_B384_00104B203064_.wvu.Cols" hidden="1">#REF!</definedName>
    <definedName name="Z_18E867C2_363F_11D3_B384_00104B203064_.wvu.FilterData" localSheetId="3" hidden="1">#REF!</definedName>
    <definedName name="Z_18E867C2_363F_11D3_B384_00104B203064_.wvu.FilterData" localSheetId="1" hidden="1">#REF!</definedName>
    <definedName name="Z_18E867C2_363F_11D3_B384_00104B203064_.wvu.FilterData" localSheetId="2" hidden="1">#REF!</definedName>
    <definedName name="Z_18E867C2_363F_11D3_B384_00104B203064_.wvu.FilterData" hidden="1">#REF!</definedName>
    <definedName name="Z_18E867C6_363F_11D3_B384_00104B203064_.wvu.FilterData" localSheetId="3" hidden="1">#REF!</definedName>
    <definedName name="Z_18E867C6_363F_11D3_B384_00104B203064_.wvu.FilterData" localSheetId="1" hidden="1">#REF!</definedName>
    <definedName name="Z_18E867C6_363F_11D3_B384_00104B203064_.wvu.FilterData" localSheetId="2" hidden="1">#REF!</definedName>
    <definedName name="Z_18E867C6_363F_11D3_B384_00104B203064_.wvu.FilterData" hidden="1">#REF!</definedName>
    <definedName name="Z_2529F30F_675A_11D3_88E6_00104B2D4E50_.wvu.FilterData" localSheetId="3" hidden="1">#REF!</definedName>
    <definedName name="Z_2529F30F_675A_11D3_88E6_00104B2D4E50_.wvu.FilterData" localSheetId="1" hidden="1">#REF!</definedName>
    <definedName name="Z_2529F30F_675A_11D3_88E6_00104B2D4E50_.wvu.FilterData" localSheetId="2" hidden="1">#REF!</definedName>
    <definedName name="Z_2529F30F_675A_11D3_88E6_00104B2D4E50_.wvu.FilterData" hidden="1">#REF!</definedName>
    <definedName name="Z_37C90060_2018_11D3_9FEA_008048EE1BB3_.wvu.Cols" localSheetId="3" hidden="1">#REF!</definedName>
    <definedName name="Z_37C90060_2018_11D3_9FEA_008048EE1BB3_.wvu.Cols" localSheetId="1" hidden="1">#REF!</definedName>
    <definedName name="Z_37C90060_2018_11D3_9FEA_008048EE1BB3_.wvu.Cols" localSheetId="2" hidden="1">#REF!</definedName>
    <definedName name="Z_37C90060_2018_11D3_9FEA_008048EE1BB3_.wvu.Cols" hidden="1">#REF!</definedName>
    <definedName name="Z_37C90060_2018_11D3_9FEA_008048EE1BB3_.wvu.FilterData" localSheetId="3" hidden="1">#REF!</definedName>
    <definedName name="Z_37C90060_2018_11D3_9FEA_008048EE1BB3_.wvu.FilterData" localSheetId="1" hidden="1">#REF!</definedName>
    <definedName name="Z_37C90060_2018_11D3_9FEA_008048EE1BB3_.wvu.FilterData" localSheetId="2" hidden="1">#REF!</definedName>
    <definedName name="Z_37C90060_2018_11D3_9FEA_008048EE1BB3_.wvu.FilterData" hidden="1">#REF!</definedName>
    <definedName name="Z_37C90061_2018_11D3_9FEA_008048EE1BB3_.wvu.FilterData" localSheetId="3" hidden="1">#REF!</definedName>
    <definedName name="Z_37C90061_2018_11D3_9FEA_008048EE1BB3_.wvu.FilterData" localSheetId="1" hidden="1">#REF!</definedName>
    <definedName name="Z_37C90061_2018_11D3_9FEA_008048EE1BB3_.wvu.FilterData" localSheetId="2" hidden="1">#REF!</definedName>
    <definedName name="Z_37C90061_2018_11D3_9FEA_008048EE1BB3_.wvu.FilterData" hidden="1">#REF!</definedName>
    <definedName name="Z_37C90063_2018_11D3_9FEA_008048EE1BB3_.wvu.FilterData" localSheetId="3" hidden="1">#REF!</definedName>
    <definedName name="Z_37C90063_2018_11D3_9FEA_008048EE1BB3_.wvu.FilterData" localSheetId="1" hidden="1">#REF!</definedName>
    <definedName name="Z_37C90063_2018_11D3_9FEA_008048EE1BB3_.wvu.FilterData" localSheetId="2" hidden="1">#REF!</definedName>
    <definedName name="Z_37C90063_2018_11D3_9FEA_008048EE1BB3_.wvu.FilterData" hidden="1">#REF!</definedName>
    <definedName name="Z_42177D60_3622_11D3_B2D2_008048EE2662_.wvu.FilterData" localSheetId="3" hidden="1">#REF!</definedName>
    <definedName name="Z_42177D60_3622_11D3_B2D2_008048EE2662_.wvu.FilterData" localSheetId="1" hidden="1">#REF!</definedName>
    <definedName name="Z_42177D60_3622_11D3_B2D2_008048EE2662_.wvu.FilterData" localSheetId="2" hidden="1">#REF!</definedName>
    <definedName name="Z_42177D60_3622_11D3_B2D2_008048EE2662_.wvu.FilterData" hidden="1">#REF!</definedName>
    <definedName name="Z_87846904_F246_11D2_88E4_00104B2D4E50_.wvu.PrintTitles" localSheetId="3" hidden="1">#REF!,#REF!</definedName>
    <definedName name="Z_87846904_F246_11D2_88E4_00104B2D4E50_.wvu.PrintTitles" localSheetId="1" hidden="1">#REF!,#REF!</definedName>
    <definedName name="Z_87846904_F246_11D2_88E4_00104B2D4E50_.wvu.PrintTitles" localSheetId="2" hidden="1">#REF!,#REF!</definedName>
    <definedName name="Z_87846904_F246_11D2_88E4_00104B2D4E50_.wvu.PrintTitles" hidden="1">#REF!,#REF!</definedName>
    <definedName name="Z_9C36B7A0_8E17_11D3_B2D2_008048EE2662_.wvu.Rows" localSheetId="3" hidden="1">#REF!,#REF!,#REF!</definedName>
    <definedName name="Z_9C36B7A0_8E17_11D3_B2D2_008048EE2662_.wvu.Rows" localSheetId="1" hidden="1">#REF!,#REF!,#REF!</definedName>
    <definedName name="Z_9C36B7A0_8E17_11D3_B2D2_008048EE2662_.wvu.Rows" localSheetId="2" hidden="1">#REF!,#REF!,#REF!</definedName>
    <definedName name="Z_9C36B7A0_8E17_11D3_B2D2_008048EE2662_.wvu.Rows" hidden="1">#REF!,#REF!,#REF!</definedName>
    <definedName name="Z_AF67EA27_37A9_11D3_88E4_00104B2D4E50_.wvu.FilterData" localSheetId="3" hidden="1">#REF!</definedName>
    <definedName name="Z_AF67EA27_37A9_11D3_88E4_00104B2D4E50_.wvu.FilterData" localSheetId="1" hidden="1">#REF!</definedName>
    <definedName name="Z_AF67EA27_37A9_11D3_88E4_00104B2D4E50_.wvu.FilterData" localSheetId="2" hidden="1">#REF!</definedName>
    <definedName name="Z_AF67EA27_37A9_11D3_88E4_00104B2D4E50_.wvu.FilterData" hidden="1">#REF!</definedName>
    <definedName name="Z_CC26C000_67A6_11D3_B801_444553540000_.wvu.FilterData" localSheetId="3" hidden="1">#REF!</definedName>
    <definedName name="Z_CC26C000_67A6_11D3_B801_444553540000_.wvu.FilterData" localSheetId="1" hidden="1">#REF!</definedName>
    <definedName name="Z_CC26C000_67A6_11D3_B801_444553540000_.wvu.FilterData" localSheetId="2" hidden="1">#REF!</definedName>
    <definedName name="Z_CC26C000_67A6_11D3_B801_444553540000_.wvu.FilterData" hidden="1">#REF!</definedName>
    <definedName name="Z_D840F8B1_668B_11D3_88E6_00104B2D4E50_.wvu.FilterData" localSheetId="3" hidden="1">#REF!</definedName>
    <definedName name="Z_D840F8B1_668B_11D3_88E6_00104B2D4E50_.wvu.FilterData" localSheetId="1" hidden="1">#REF!</definedName>
    <definedName name="Z_D840F8B1_668B_11D3_88E6_00104B2D4E50_.wvu.FilterData" localSheetId="2" hidden="1">#REF!</definedName>
    <definedName name="Z_D840F8B1_668B_11D3_88E6_00104B2D4E50_.wvu.FilterData" hidden="1">#REF!</definedName>
    <definedName name="Z_F0339D6F_2232_11D3_88E4_00104B2D4E50_.wvu.FilterData" localSheetId="3" hidden="1">#REF!</definedName>
    <definedName name="Z_F0339D6F_2232_11D3_88E4_00104B2D4E50_.wvu.FilterData" localSheetId="1" hidden="1">#REF!</definedName>
    <definedName name="Z_F0339D6F_2232_11D3_88E4_00104B2D4E50_.wvu.FilterData" localSheetId="2" hidden="1">#REF!</definedName>
    <definedName name="Z_F0339D6F_2232_11D3_88E4_00104B2D4E50_.wvu.FilterDat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" i="1" l="1"/>
  <c r="L4" i="4"/>
  <c r="J4" i="4"/>
  <c r="H4" i="4"/>
  <c r="F4" i="4"/>
  <c r="L3" i="4"/>
  <c r="J3" i="4"/>
  <c r="H3" i="4"/>
  <c r="F3" i="4"/>
  <c r="A37" i="3"/>
  <c r="A36" i="3"/>
  <c r="A35" i="3"/>
  <c r="A34" i="3"/>
  <c r="A33" i="3"/>
  <c r="L4" i="3"/>
  <c r="J4" i="3"/>
  <c r="H4" i="3"/>
  <c r="F4" i="3"/>
  <c r="L3" i="3"/>
  <c r="J3" i="3"/>
  <c r="H3" i="3"/>
  <c r="F3" i="3"/>
  <c r="A32" i="2"/>
  <c r="L4" i="2"/>
  <c r="J4" i="2"/>
  <c r="H4" i="2"/>
  <c r="F4" i="2"/>
  <c r="L3" i="2"/>
  <c r="J3" i="2"/>
  <c r="H3" i="2"/>
  <c r="F3" i="2"/>
  <c r="J47" i="1"/>
  <c r="K46" i="1"/>
  <c r="I46" i="1"/>
  <c r="H46" i="1"/>
  <c r="J43" i="1"/>
  <c r="K42" i="1"/>
  <c r="I42" i="1"/>
  <c r="H42" i="1"/>
  <c r="J39" i="1"/>
  <c r="J38" i="1" s="1"/>
  <c r="K38" i="1"/>
  <c r="I38" i="1"/>
  <c r="H38" i="1"/>
  <c r="J35" i="1"/>
  <c r="J32" i="1"/>
  <c r="J29" i="1"/>
  <c r="K28" i="1"/>
  <c r="I28" i="1"/>
  <c r="H28" i="1"/>
  <c r="J66" i="1"/>
  <c r="J65" i="1" s="1"/>
  <c r="K65" i="1"/>
  <c r="I65" i="1"/>
  <c r="H65" i="1"/>
  <c r="J62" i="1"/>
  <c r="J61" i="1" s="1"/>
  <c r="K61" i="1"/>
  <c r="I61" i="1"/>
  <c r="H61" i="1"/>
  <c r="J58" i="1"/>
  <c r="J57" i="1" s="1"/>
  <c r="K57" i="1"/>
  <c r="I57" i="1"/>
  <c r="H57" i="1"/>
  <c r="J54" i="1"/>
  <c r="J51" i="1"/>
  <c r="K50" i="1"/>
  <c r="I50" i="1"/>
  <c r="H50" i="1"/>
  <c r="J24" i="1"/>
  <c r="J23" i="1" s="1"/>
  <c r="K23" i="1"/>
  <c r="I23" i="1"/>
  <c r="H23" i="1"/>
  <c r="J20" i="1"/>
  <c r="J16" i="1"/>
  <c r="K15" i="1"/>
  <c r="I15" i="1"/>
  <c r="H15" i="1"/>
  <c r="J9" i="1"/>
  <c r="J8" i="1" s="1"/>
  <c r="K8" i="1"/>
  <c r="I8" i="1"/>
  <c r="H8" i="1"/>
  <c r="J50" i="1" l="1"/>
  <c r="J49" i="1" s="1"/>
  <c r="J46" i="1"/>
  <c r="J42" i="1"/>
  <c r="J15" i="1"/>
  <c r="J7" i="1" s="1"/>
  <c r="I7" i="1"/>
  <c r="H27" i="1"/>
  <c r="I27" i="1"/>
  <c r="H49" i="1"/>
  <c r="I49" i="1"/>
  <c r="K49" i="1"/>
  <c r="K7" i="1"/>
  <c r="K27" i="1"/>
  <c r="J28" i="1"/>
  <c r="H7" i="1"/>
  <c r="I6" i="1" l="1"/>
  <c r="I2" i="1" s="1"/>
  <c r="K6" i="1"/>
  <c r="K2" i="1" s="1"/>
  <c r="J27" i="1"/>
  <c r="J6" i="1" s="1"/>
  <c r="H6" i="1"/>
  <c r="H2" i="1" s="1"/>
  <c r="AC4" i="1" l="1"/>
  <c r="J2" i="1"/>
  <c r="AB4" i="1" s="1"/>
  <c r="AC2" i="1"/>
  <c r="AB2" i="1" l="1"/>
</calcChain>
</file>

<file path=xl/sharedStrings.xml><?xml version="1.0" encoding="utf-8"?>
<sst xmlns="http://schemas.openxmlformats.org/spreadsheetml/2006/main" count="453" uniqueCount="153">
  <si>
    <t>FY 2026-27 Q3 | Design Goals + Billing</t>
  </si>
  <si>
    <t>Project</t>
  </si>
  <si>
    <t>Description</t>
  </si>
  <si>
    <t>Release date</t>
  </si>
  <si>
    <t>Responsible</t>
  </si>
  <si>
    <t>Remarks</t>
  </si>
  <si>
    <t>Plan - Billing [Cr.]</t>
  </si>
  <si>
    <t>Plan - Pkgs</t>
  </si>
  <si>
    <t>Actuals - Billing [Cr.]</t>
  </si>
  <si>
    <t>Actuals - Pkgs</t>
  </si>
  <si>
    <t>Phase</t>
  </si>
  <si>
    <t>Discipline</t>
  </si>
  <si>
    <t>Design Lead</t>
  </si>
  <si>
    <t>Lead</t>
  </si>
  <si>
    <t>Person 1</t>
  </si>
  <si>
    <t>Person 2</t>
  </si>
  <si>
    <t>Person 3</t>
  </si>
  <si>
    <t>Draftperson</t>
  </si>
  <si>
    <t>0082| OVER THE RAINBOW</t>
  </si>
  <si>
    <t>OTR-Ph01</t>
  </si>
  <si>
    <t>Package Release</t>
  </si>
  <si>
    <t>Ph 1</t>
  </si>
  <si>
    <t>Architecture</t>
  </si>
  <si>
    <t>Complete the project</t>
  </si>
  <si>
    <t xml:space="preserve">LoD 350 - Master Plan | Master Plan </t>
  </si>
  <si>
    <t>Cijey M</t>
  </si>
  <si>
    <t>Dinakar Venugopal</t>
  </si>
  <si>
    <t>Niashinlulu</t>
  </si>
  <si>
    <t>Akshara Rohit</t>
  </si>
  <si>
    <t>Saurabh Bothra</t>
  </si>
  <si>
    <t>Step 1</t>
  </si>
  <si>
    <t>Recieve  Service yard 02 foundation details from Structural team</t>
  </si>
  <si>
    <t>Mohammed Mazharuddin</t>
  </si>
  <si>
    <t xml:space="preserve">Villa 22 - Personalised customization unit </t>
  </si>
  <si>
    <t>Task description 1</t>
  </si>
  <si>
    <t>Step 2</t>
  </si>
  <si>
    <t>Task description 2</t>
  </si>
  <si>
    <t>Structure</t>
  </si>
  <si>
    <t>Structural</t>
  </si>
  <si>
    <t>LoD 350 - Master Plan | Site MEP</t>
  </si>
  <si>
    <t>Prakash C</t>
  </si>
  <si>
    <t>Satish H</t>
  </si>
  <si>
    <t>Mazhar</t>
  </si>
  <si>
    <t>Samyukta</t>
  </si>
  <si>
    <t>STP and PMD</t>
  </si>
  <si>
    <t>Electrical Panel room</t>
  </si>
  <si>
    <t>Step 3</t>
  </si>
  <si>
    <t>DG yard and Transformer Yard</t>
  </si>
  <si>
    <t>LoD 350 - LoD 350 - Amenities &amp; Facilities | Community spaces [Board Walk, Children play area]</t>
  </si>
  <si>
    <t>Details yet to be received from Arch/Landscape</t>
  </si>
  <si>
    <t>Sukathirtha Apoorva</t>
  </si>
  <si>
    <t>MEP</t>
  </si>
  <si>
    <t>Gagan</t>
  </si>
  <si>
    <t>Salomi</t>
  </si>
  <si>
    <t>Eranna
Praveen
Hareesha</t>
  </si>
  <si>
    <t>Avinash
Sandeep
Shreedhar</t>
  </si>
  <si>
    <t>Rain water Harwesting Tank ,Service yard-02 SWD drain layout shared with Architects</t>
  </si>
  <si>
    <t xml:space="preserve">Praveen /Rameshchandra </t>
  </si>
  <si>
    <t>Awaiting approval from Architects</t>
  </si>
  <si>
    <t>STP details</t>
  </si>
  <si>
    <t xml:space="preserve">Praveen </t>
  </si>
  <si>
    <t>Awaiting details from STP Vendor</t>
  </si>
  <si>
    <t>OTR-Ph02</t>
  </si>
  <si>
    <t>Ph 2</t>
  </si>
  <si>
    <t>LoD 200 - Schematic Concept &amp; Approvals</t>
  </si>
  <si>
    <t>LoD 100 - Contract + Design Brief</t>
  </si>
  <si>
    <t xml:space="preserve">Hudbust survey closure by Site operations team
</t>
  </si>
  <si>
    <t>Sunil Biswal</t>
  </si>
  <si>
    <t xml:space="preserve">V60 layout and area statement closure by FKH team
</t>
  </si>
  <si>
    <t>FKH team</t>
  </si>
  <si>
    <t>LoD 200 - Schematic Concept</t>
  </si>
  <si>
    <t>LoD 200 - Schematic Concept - CH</t>
  </si>
  <si>
    <t>Om Prakash</t>
  </si>
  <si>
    <t>Complete Schematic concept</t>
  </si>
  <si>
    <t>Satish</t>
  </si>
  <si>
    <t>Mazhar ( If Villa concept is different new resource is required)</t>
  </si>
  <si>
    <t>Require product details from Arch.</t>
  </si>
  <si>
    <t>Need soil testing report</t>
  </si>
  <si>
    <t>Consultant not finalized</t>
  </si>
  <si>
    <t>Avinash
Deepu
Mahadev</t>
  </si>
  <si>
    <t>Awaiting the AR details</t>
  </si>
  <si>
    <t>Landscape</t>
  </si>
  <si>
    <t>Lajja</t>
  </si>
  <si>
    <t>Apoorva</t>
  </si>
  <si>
    <t>Master plan</t>
  </si>
  <si>
    <t>Nihareeka</t>
  </si>
  <si>
    <t>OTR Museum</t>
  </si>
  <si>
    <t>OTR Mus</t>
  </si>
  <si>
    <t>LoD 100 - Design Brief</t>
  </si>
  <si>
    <t>39G Kharab regularisation approval from Liasoning team</t>
  </si>
  <si>
    <t>Chandan KR</t>
  </si>
  <si>
    <t>Batches to be removed - Can be taken up once the architectural details are received.</t>
  </si>
  <si>
    <t>Anisha</t>
  </si>
  <si>
    <t>OTR Oota</t>
  </si>
  <si>
    <t>Manik</t>
  </si>
  <si>
    <t>0082| Over the rainbow  -Phase1 | Residential</t>
  </si>
  <si>
    <t>AR</t>
  </si>
  <si>
    <t>ST</t>
  </si>
  <si>
    <t>LS</t>
  </si>
  <si>
    <t>Completed</t>
  </si>
  <si>
    <t>Scope</t>
  </si>
  <si>
    <t>Pending</t>
  </si>
  <si>
    <t>Actuals</t>
  </si>
  <si>
    <t>NA</t>
  </si>
  <si>
    <t>PHASE 1</t>
  </si>
  <si>
    <t>DESIGN CONCEPT</t>
  </si>
  <si>
    <t>Contract + Design Brief</t>
  </si>
  <si>
    <t>Schematic Concept</t>
  </si>
  <si>
    <t>Pre Construction Set</t>
  </si>
  <si>
    <t>Approvals</t>
  </si>
  <si>
    <t>Marketing and Sales</t>
  </si>
  <si>
    <t>CONSTRUCTION DOCUMENTS</t>
  </si>
  <si>
    <t>GFC | Villa—Block</t>
  </si>
  <si>
    <t>Foundations &amp; Sub-Grade</t>
  </si>
  <si>
    <t>All levels</t>
  </si>
  <si>
    <t>Building Envelope and Common Areas</t>
  </si>
  <si>
    <t>GFC | Individual Homes</t>
  </si>
  <si>
    <t>V25 Default and variants</t>
  </si>
  <si>
    <t>GFC | Master Plan</t>
  </si>
  <si>
    <t>Master Plan</t>
  </si>
  <si>
    <t>Site Development</t>
  </si>
  <si>
    <t>Site MEP</t>
  </si>
  <si>
    <t>Landscaping</t>
  </si>
  <si>
    <t>GFC | Amenities &amp; Facilities</t>
  </si>
  <si>
    <t>Children's play area</t>
  </si>
  <si>
    <t>POST-CONSTRUCTION</t>
  </si>
  <si>
    <t>Archives</t>
  </si>
  <si>
    <t xml:space="preserve">Complete set of "As-Built" drawings, final BoQ and project costs, </t>
  </si>
  <si>
    <t>MAJOR REWORKS</t>
  </si>
  <si>
    <t>0082| Over the rainbow  -Phase2 | Residential</t>
  </si>
  <si>
    <t>PHASE 2b</t>
  </si>
  <si>
    <t xml:space="preserve">V25 Default </t>
  </si>
  <si>
    <t xml:space="preserve">V60 Default </t>
  </si>
  <si>
    <t>AR-MP-1</t>
  </si>
  <si>
    <t>AR-MP-2</t>
  </si>
  <si>
    <t>AR-MP-3</t>
  </si>
  <si>
    <t>AR-MP-4</t>
  </si>
  <si>
    <t>AMN-00</t>
  </si>
  <si>
    <t>Clubhouse—Structure and Envelope</t>
  </si>
  <si>
    <t>AMN-1.1</t>
  </si>
  <si>
    <t>Clubhouse—Interiors and Facilities</t>
  </si>
  <si>
    <t>AMN-1.2</t>
  </si>
  <si>
    <t>Clubhouse—Outdoor Spaces and Pool</t>
  </si>
  <si>
    <t>AMN-1.3</t>
  </si>
  <si>
    <t>Community spaces [Board Walk, Children play area]</t>
  </si>
  <si>
    <t>AMN-1.4</t>
  </si>
  <si>
    <t>Sporting Facilities</t>
  </si>
  <si>
    <t>0082| Over the rainbow - Museum</t>
  </si>
  <si>
    <t>Theatre and Museum</t>
  </si>
  <si>
    <t>GFC | Block 1</t>
  </si>
  <si>
    <t>Foundations &amp; Structure</t>
  </si>
  <si>
    <t>Building Envelope and Plot development</t>
  </si>
  <si>
    <t>Interiors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</si>
</sst>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%;\-0%;\-;@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Helvetica Neue Light"/>
      <family val="2"/>
    </font>
    <font>
      <sz val="14"/>
      <color theme="0"/>
      <name val="Helvetica Neue Condensed Black"/>
      <family val="2"/>
    </font>
    <font>
      <sz val="10"/>
      <color theme="1"/>
      <name val="Meta-Normal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2"/>
      <color theme="1"/>
      <name val="Helvetica Neue Medium"/>
      <family val="2"/>
    </font>
    <font>
      <sz val="10"/>
      <color theme="1"/>
      <name val="Meta-Normal"/>
    </font>
    <font>
      <sz val="11"/>
      <color theme="1"/>
      <name val="Meta-Normal"/>
    </font>
    <font>
      <b/>
      <sz val="10"/>
      <color theme="1"/>
      <name val="Helvetica Neue Light"/>
      <family val="2"/>
    </font>
    <font>
      <b/>
      <sz val="10"/>
      <color theme="1"/>
      <name val="Meta-Normal"/>
    </font>
    <font>
      <sz val="10"/>
      <color theme="1"/>
      <name val="MetaNormal"/>
    </font>
    <font>
      <sz val="9"/>
      <color theme="4" tint="0.39997558519241921"/>
      <name val="Helvetica Neue Light"/>
      <family val="2"/>
    </font>
    <font>
      <sz val="10"/>
      <name val="Helvetica Neue Light"/>
      <family val="2"/>
    </font>
    <font>
      <sz val="14"/>
      <color theme="0"/>
      <name val="Helvetica Neue Light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14"/>
      <color theme="0"/>
      <name val="Neo Sans Pro"/>
      <family val="2"/>
    </font>
    <font>
      <sz val="14"/>
      <color theme="0"/>
      <name val="Impact"/>
      <family val="2"/>
    </font>
    <font>
      <b/>
      <sz val="10"/>
      <color theme="1"/>
      <name val="Meta-Normal"/>
      <family val="3"/>
    </font>
    <font>
      <b/>
      <sz val="12"/>
      <color theme="1"/>
      <name val="Helvetica Neue Light"/>
      <family val="2"/>
    </font>
    <font>
      <b/>
      <sz val="12"/>
      <color theme="1"/>
      <name val="Meta-Normal"/>
      <family val="3"/>
    </font>
    <font>
      <sz val="10"/>
      <color theme="1"/>
      <name val="Meta-Normal"/>
      <family val="3"/>
    </font>
    <font>
      <b/>
      <sz val="11"/>
      <color theme="1"/>
      <name val="Meta-Normal"/>
      <family val="3"/>
    </font>
    <font>
      <b/>
      <sz val="11"/>
      <color theme="0"/>
      <name val="Meta-Normal"/>
      <family val="3"/>
    </font>
    <font>
      <sz val="14"/>
      <color theme="0"/>
      <name val="Meta-Normal"/>
      <family val="3"/>
    </font>
    <font>
      <sz val="11"/>
      <color theme="1"/>
      <name val="Meta-Normal"/>
      <family val="3"/>
    </font>
    <font>
      <sz val="10"/>
      <name val="Meta-Normal"/>
    </font>
    <font>
      <sz val="9"/>
      <color theme="1"/>
      <name val="Meta-Normal"/>
      <family val="3"/>
    </font>
    <font>
      <sz val="10"/>
      <name val="Neo Sans Pro"/>
      <family val="2"/>
    </font>
    <font>
      <sz val="9"/>
      <name val="Meta-Normal"/>
      <family val="3"/>
    </font>
    <font>
      <sz val="10"/>
      <color theme="1"/>
      <name val="Helvetica Neue Light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4" fillId="0" borderId="0"/>
    <xf numFmtId="43" fontId="4" fillId="0" borderId="0" applyFont="0" applyFill="0" applyBorder="0" applyAlignment="0" applyProtection="0"/>
  </cellStyleXfs>
  <cellXfs count="129">
    <xf numFmtId="0" fontId="0" fillId="0" borderId="0" xfId="0"/>
    <xf numFmtId="0" fontId="2" fillId="0" borderId="1" xfId="3" applyFont="1" applyBorder="1" applyAlignment="1">
      <alignment vertical="center"/>
    </xf>
    <xf numFmtId="0" fontId="3" fillId="2" borderId="1" xfId="3" applyFont="1" applyFill="1" applyBorder="1" applyAlignment="1">
      <alignment vertical="center"/>
    </xf>
    <xf numFmtId="0" fontId="3" fillId="2" borderId="1" xfId="3" applyFont="1" applyFill="1" applyBorder="1" applyAlignment="1">
      <alignment vertical="center" wrapText="1"/>
    </xf>
    <xf numFmtId="165" fontId="5" fillId="2" borderId="1" xfId="1" applyNumberFormat="1" applyFont="1" applyFill="1" applyBorder="1" applyAlignment="1">
      <alignment horizontal="center" vertical="center"/>
    </xf>
    <xf numFmtId="0" fontId="2" fillId="3" borderId="0" xfId="3" applyFont="1" applyFill="1" applyAlignment="1">
      <alignment vertical="center"/>
    </xf>
    <xf numFmtId="166" fontId="6" fillId="2" borderId="1" xfId="1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right" vertical="center"/>
    </xf>
    <xf numFmtId="0" fontId="2" fillId="0" borderId="2" xfId="3" applyFont="1" applyBorder="1" applyAlignment="1">
      <alignment vertical="center"/>
    </xf>
    <xf numFmtId="0" fontId="2" fillId="0" borderId="0" xfId="3" applyFont="1" applyAlignment="1">
      <alignment vertical="center"/>
    </xf>
    <xf numFmtId="2" fontId="2" fillId="0" borderId="0" xfId="3" applyNumberFormat="1" applyFont="1" applyAlignment="1">
      <alignment vertical="center"/>
    </xf>
    <xf numFmtId="0" fontId="2" fillId="0" borderId="1" xfId="3" applyFont="1" applyBorder="1" applyAlignment="1">
      <alignment vertical="center" wrapText="1"/>
    </xf>
    <xf numFmtId="0" fontId="2" fillId="0" borderId="1" xfId="3" applyFont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 wrapText="1"/>
    </xf>
    <xf numFmtId="0" fontId="2" fillId="3" borderId="0" xfId="3" applyFont="1" applyFill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9" fontId="2" fillId="0" borderId="0" xfId="2" applyFont="1" applyAlignment="1">
      <alignment vertical="center"/>
    </xf>
    <xf numFmtId="2" fontId="8" fillId="0" borderId="1" xfId="3" applyNumberFormat="1" applyFont="1" applyBorder="1" applyAlignment="1">
      <alignment horizontal="center" vertical="center"/>
    </xf>
    <xf numFmtId="2" fontId="8" fillId="0" borderId="1" xfId="3" applyNumberFormat="1" applyFont="1" applyBorder="1" applyAlignment="1">
      <alignment vertical="center"/>
    </xf>
    <xf numFmtId="1" fontId="8" fillId="0" borderId="1" xfId="3" applyNumberFormat="1" applyFont="1" applyBorder="1" applyAlignment="1">
      <alignment vertical="center"/>
    </xf>
    <xf numFmtId="0" fontId="7" fillId="5" borderId="1" xfId="3" applyFont="1" applyFill="1" applyBorder="1" applyAlignment="1">
      <alignment vertical="center"/>
    </xf>
    <xf numFmtId="0" fontId="7" fillId="5" borderId="1" xfId="3" applyFont="1" applyFill="1" applyBorder="1" applyAlignment="1">
      <alignment vertical="center" wrapText="1"/>
    </xf>
    <xf numFmtId="2" fontId="9" fillId="5" borderId="1" xfId="3" applyNumberFormat="1" applyFont="1" applyFill="1" applyBorder="1" applyAlignment="1">
      <alignment horizontal="center" vertical="center"/>
    </xf>
    <xf numFmtId="2" fontId="9" fillId="5" borderId="1" xfId="3" applyNumberFormat="1" applyFont="1" applyFill="1" applyBorder="1" applyAlignment="1">
      <alignment vertical="center"/>
    </xf>
    <xf numFmtId="166" fontId="9" fillId="5" borderId="1" xfId="1" applyNumberFormat="1" applyFont="1" applyFill="1" applyBorder="1" applyAlignment="1">
      <alignment vertical="center"/>
    </xf>
    <xf numFmtId="166" fontId="8" fillId="0" borderId="1" xfId="1" applyNumberFormat="1" applyFont="1" applyBorder="1" applyAlignment="1">
      <alignment vertical="center"/>
    </xf>
    <xf numFmtId="0" fontId="10" fillId="0" borderId="1" xfId="3" applyFont="1" applyBorder="1" applyAlignment="1">
      <alignment vertical="center"/>
    </xf>
    <xf numFmtId="0" fontId="10" fillId="4" borderId="1" xfId="3" applyFont="1" applyFill="1" applyBorder="1" applyAlignment="1">
      <alignment vertical="center"/>
    </xf>
    <xf numFmtId="0" fontId="10" fillId="4" borderId="1" xfId="3" applyFont="1" applyFill="1" applyBorder="1" applyAlignment="1">
      <alignment vertical="center" wrapText="1"/>
    </xf>
    <xf numFmtId="0" fontId="10" fillId="3" borderId="0" xfId="3" applyFont="1" applyFill="1" applyAlignment="1">
      <alignment vertical="center"/>
    </xf>
    <xf numFmtId="2" fontId="11" fillId="4" borderId="1" xfId="3" applyNumberFormat="1" applyFont="1" applyFill="1" applyBorder="1" applyAlignment="1">
      <alignment vertical="center"/>
    </xf>
    <xf numFmtId="166" fontId="11" fillId="4" borderId="1" xfId="1" applyNumberFormat="1" applyFont="1" applyFill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10" fillId="6" borderId="1" xfId="3" applyFont="1" applyFill="1" applyBorder="1" applyAlignment="1">
      <alignment vertical="center"/>
    </xf>
    <xf numFmtId="0" fontId="10" fillId="6" borderId="1" xfId="3" applyFont="1" applyFill="1" applyBorder="1" applyAlignment="1">
      <alignment vertical="center" wrapText="1"/>
    </xf>
    <xf numFmtId="2" fontId="11" fillId="6" borderId="1" xfId="3" applyNumberFormat="1" applyFont="1" applyFill="1" applyBorder="1" applyAlignment="1">
      <alignment vertical="center"/>
    </xf>
    <xf numFmtId="166" fontId="11" fillId="6" borderId="1" xfId="1" applyNumberFormat="1" applyFont="1" applyFill="1" applyBorder="1" applyAlignment="1">
      <alignment vertical="center"/>
    </xf>
    <xf numFmtId="15" fontId="12" fillId="0" borderId="1" xfId="3" applyNumberFormat="1" applyFont="1" applyBorder="1" applyAlignment="1">
      <alignment horizontal="center" vertical="center"/>
    </xf>
    <xf numFmtId="2" fontId="0" fillId="0" borderId="1" xfId="3" applyNumberFormat="1" applyFont="1" applyBorder="1" applyAlignment="1">
      <alignment vertical="center"/>
    </xf>
    <xf numFmtId="166" fontId="0" fillId="0" borderId="1" xfId="1" applyNumberFormat="1" applyFont="1" applyBorder="1" applyAlignment="1">
      <alignment vertical="center"/>
    </xf>
    <xf numFmtId="0" fontId="13" fillId="0" borderId="1" xfId="3" applyFont="1" applyBorder="1" applyAlignment="1">
      <alignment vertical="center"/>
    </xf>
    <xf numFmtId="0" fontId="13" fillId="0" borderId="1" xfId="3" applyFont="1" applyBorder="1" applyAlignment="1">
      <alignment vertical="center" wrapText="1"/>
    </xf>
    <xf numFmtId="0" fontId="2" fillId="0" borderId="0" xfId="3" applyFont="1" applyAlignment="1">
      <alignment vertical="center" wrapText="1"/>
    </xf>
    <xf numFmtId="0" fontId="16" fillId="0" borderId="3" xfId="4" applyFont="1" applyBorder="1" applyAlignment="1">
      <alignment vertical="center"/>
    </xf>
    <xf numFmtId="0" fontId="10" fillId="0" borderId="3" xfId="4" applyFont="1" applyBorder="1" applyAlignment="1">
      <alignment horizontal="right" vertical="center"/>
    </xf>
    <xf numFmtId="0" fontId="17" fillId="0" borderId="3" xfId="4" applyFont="1" applyBorder="1" applyAlignment="1">
      <alignment horizontal="right" vertical="center"/>
    </xf>
    <xf numFmtId="0" fontId="16" fillId="0" borderId="3" xfId="4" applyFont="1" applyBorder="1" applyAlignment="1">
      <alignment vertical="center" wrapText="1"/>
    </xf>
    <xf numFmtId="167" fontId="16" fillId="0" borderId="3" xfId="4" applyNumberFormat="1" applyFont="1" applyBorder="1" applyAlignment="1">
      <alignment horizontal="center" vertical="center"/>
    </xf>
    <xf numFmtId="167" fontId="16" fillId="0" borderId="3" xfId="4" applyNumberFormat="1" applyFont="1" applyBorder="1" applyAlignment="1">
      <alignment vertical="center"/>
    </xf>
    <xf numFmtId="0" fontId="16" fillId="0" borderId="0" xfId="4" applyFont="1" applyAlignment="1">
      <alignment vertical="center"/>
    </xf>
    <xf numFmtId="0" fontId="16" fillId="0" borderId="3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18" fillId="0" borderId="3" xfId="4" applyFont="1" applyBorder="1" applyAlignment="1">
      <alignment horizontal="center" vertical="center"/>
    </xf>
    <xf numFmtId="167" fontId="19" fillId="2" borderId="3" xfId="4" applyNumberFormat="1" applyFont="1" applyFill="1" applyBorder="1" applyAlignment="1">
      <alignment horizontal="center" vertical="center"/>
    </xf>
    <xf numFmtId="167" fontId="18" fillId="0" borderId="3" xfId="4" applyNumberFormat="1" applyFont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166" fontId="2" fillId="0" borderId="3" xfId="5" applyNumberFormat="1" applyFont="1" applyFill="1" applyBorder="1" applyAlignment="1">
      <alignment horizontal="center" vertical="center"/>
    </xf>
    <xf numFmtId="0" fontId="20" fillId="0" borderId="3" xfId="4" applyFont="1" applyBorder="1" applyAlignment="1">
      <alignment horizontal="center" vertical="center"/>
    </xf>
    <xf numFmtId="0" fontId="21" fillId="0" borderId="3" xfId="4" applyFont="1" applyBorder="1" applyAlignment="1">
      <alignment horizontal="center" vertical="center"/>
    </xf>
    <xf numFmtId="0" fontId="22" fillId="0" borderId="3" xfId="4" applyFont="1" applyBorder="1" applyAlignment="1">
      <alignment horizontal="center" vertical="center"/>
    </xf>
    <xf numFmtId="0" fontId="21" fillId="0" borderId="3" xfId="4" applyFont="1" applyBorder="1" applyAlignment="1">
      <alignment horizontal="right" wrapText="1"/>
    </xf>
    <xf numFmtId="0" fontId="20" fillId="0" borderId="0" xfId="4" applyFont="1" applyAlignment="1">
      <alignment horizontal="center" vertical="center"/>
    </xf>
    <xf numFmtId="0" fontId="18" fillId="0" borderId="3" xfId="4" applyFont="1" applyBorder="1" applyAlignment="1">
      <alignment vertical="center" wrapText="1"/>
    </xf>
    <xf numFmtId="0" fontId="18" fillId="0" borderId="3" xfId="4" applyFont="1" applyBorder="1" applyAlignment="1">
      <alignment vertical="center"/>
    </xf>
    <xf numFmtId="167" fontId="18" fillId="0" borderId="3" xfId="4" applyNumberFormat="1" applyFont="1" applyBorder="1" applyAlignment="1">
      <alignment vertical="center"/>
    </xf>
    <xf numFmtId="0" fontId="10" fillId="7" borderId="3" xfId="4" applyFont="1" applyFill="1" applyBorder="1" applyAlignment="1">
      <alignment horizontal="right" vertical="center"/>
    </xf>
    <xf numFmtId="0" fontId="17" fillId="7" borderId="3" xfId="4" applyFont="1" applyFill="1" applyBorder="1" applyAlignment="1">
      <alignment horizontal="right" vertical="center"/>
    </xf>
    <xf numFmtId="0" fontId="18" fillId="7" borderId="3" xfId="4" applyFont="1" applyFill="1" applyBorder="1" applyAlignment="1">
      <alignment vertical="center" wrapText="1"/>
    </xf>
    <xf numFmtId="0" fontId="18" fillId="7" borderId="3" xfId="4" applyFont="1" applyFill="1" applyBorder="1" applyAlignment="1">
      <alignment vertical="center"/>
    </xf>
    <xf numFmtId="167" fontId="16" fillId="7" borderId="3" xfId="4" applyNumberFormat="1" applyFont="1" applyFill="1" applyBorder="1" applyAlignment="1">
      <alignment horizontal="center" vertical="center"/>
    </xf>
    <xf numFmtId="167" fontId="23" fillId="0" borderId="3" xfId="4" applyNumberFormat="1" applyFont="1" applyBorder="1" applyAlignment="1">
      <alignment horizontal="center" vertical="center"/>
    </xf>
    <xf numFmtId="0" fontId="7" fillId="5" borderId="4" xfId="3" applyFont="1" applyFill="1" applyBorder="1" applyAlignment="1">
      <alignment horizontal="left" vertical="center" wrapText="1"/>
    </xf>
    <xf numFmtId="0" fontId="2" fillId="0" borderId="3" xfId="4" applyFont="1" applyBorder="1" applyAlignment="1">
      <alignment vertical="center"/>
    </xf>
    <xf numFmtId="167" fontId="24" fillId="0" borderId="3" xfId="4" applyNumberFormat="1" applyFont="1" applyBorder="1" applyAlignment="1">
      <alignment horizontal="center" vertical="center"/>
    </xf>
    <xf numFmtId="167" fontId="25" fillId="0" borderId="3" xfId="4" applyNumberFormat="1" applyFont="1" applyBorder="1" applyAlignment="1">
      <alignment vertical="center"/>
    </xf>
    <xf numFmtId="0" fontId="15" fillId="0" borderId="3" xfId="4" applyFont="1" applyBorder="1" applyAlignment="1">
      <alignment vertical="center"/>
    </xf>
    <xf numFmtId="167" fontId="26" fillId="0" borderId="3" xfId="4" applyNumberFormat="1" applyFont="1" applyBorder="1" applyAlignment="1">
      <alignment vertical="center"/>
    </xf>
    <xf numFmtId="0" fontId="10" fillId="0" borderId="3" xfId="4" applyFont="1" applyBorder="1" applyAlignment="1">
      <alignment horizontal="center" vertical="center"/>
    </xf>
    <xf numFmtId="0" fontId="10" fillId="4" borderId="3" xfId="4" applyFont="1" applyFill="1" applyBorder="1" applyAlignment="1">
      <alignment horizontal="center" vertical="center"/>
    </xf>
    <xf numFmtId="0" fontId="2" fillId="4" borderId="3" xfId="4" applyFont="1" applyFill="1" applyBorder="1" applyAlignment="1">
      <alignment vertical="center"/>
    </xf>
    <xf numFmtId="0" fontId="16" fillId="4" borderId="3" xfId="4" applyFont="1" applyFill="1" applyBorder="1" applyAlignment="1">
      <alignment vertical="center"/>
    </xf>
    <xf numFmtId="166" fontId="20" fillId="0" borderId="3" xfId="5" applyNumberFormat="1" applyFont="1" applyFill="1" applyBorder="1" applyAlignment="1">
      <alignment horizontal="center" vertical="center"/>
    </xf>
    <xf numFmtId="167" fontId="20" fillId="0" borderId="3" xfId="4" applyNumberFormat="1" applyFont="1" applyBorder="1" applyAlignment="1">
      <alignment horizontal="center" vertical="center"/>
    </xf>
    <xf numFmtId="167" fontId="20" fillId="4" borderId="3" xfId="4" applyNumberFormat="1" applyFont="1" applyFill="1" applyBorder="1" applyAlignment="1">
      <alignment horizontal="center" vertical="center"/>
    </xf>
    <xf numFmtId="167" fontId="27" fillId="0" borderId="3" xfId="4" applyNumberFormat="1" applyFont="1" applyBorder="1" applyAlignment="1">
      <alignment horizontal="center" vertical="center"/>
    </xf>
    <xf numFmtId="167" fontId="27" fillId="4" borderId="3" xfId="4" applyNumberFormat="1" applyFont="1" applyFill="1" applyBorder="1" applyAlignment="1">
      <alignment horizontal="center" vertical="center"/>
    </xf>
    <xf numFmtId="1" fontId="28" fillId="0" borderId="1" xfId="4" applyNumberFormat="1" applyFont="1" applyBorder="1" applyAlignment="1">
      <alignment horizontal="right" vertical="center"/>
    </xf>
    <xf numFmtId="1" fontId="2" fillId="0" borderId="3" xfId="4" applyNumberFormat="1" applyFont="1" applyBorder="1" applyAlignment="1">
      <alignment horizontal="right" vertical="center"/>
    </xf>
    <xf numFmtId="167" fontId="16" fillId="0" borderId="0" xfId="4" applyNumberFormat="1" applyFont="1" applyAlignment="1">
      <alignment vertical="center"/>
    </xf>
    <xf numFmtId="167" fontId="16" fillId="0" borderId="0" xfId="4" applyNumberFormat="1" applyFont="1" applyAlignment="1">
      <alignment horizontal="center" vertical="center"/>
    </xf>
    <xf numFmtId="2" fontId="10" fillId="0" borderId="3" xfId="4" applyNumberFormat="1" applyFont="1" applyBorder="1" applyAlignment="1">
      <alignment horizontal="right" vertical="center"/>
    </xf>
    <xf numFmtId="167" fontId="29" fillId="0" borderId="3" xfId="4" applyNumberFormat="1" applyFont="1" applyBorder="1" applyAlignment="1">
      <alignment horizontal="center" vertical="center"/>
    </xf>
    <xf numFmtId="167" fontId="29" fillId="0" borderId="3" xfId="4" applyNumberFormat="1" applyFont="1" applyBorder="1" applyAlignment="1">
      <alignment vertical="center"/>
    </xf>
    <xf numFmtId="0" fontId="14" fillId="0" borderId="3" xfId="4" applyFont="1" applyBorder="1" applyAlignment="1">
      <alignment vertical="center"/>
    </xf>
    <xf numFmtId="0" fontId="30" fillId="0" borderId="3" xfId="4" applyFont="1" applyBorder="1" applyAlignment="1">
      <alignment vertical="center"/>
    </xf>
    <xf numFmtId="167" fontId="31" fillId="0" borderId="3" xfId="4" applyNumberFormat="1" applyFont="1" applyBorder="1" applyAlignment="1">
      <alignment vertical="center"/>
    </xf>
    <xf numFmtId="0" fontId="30" fillId="0" borderId="0" xfId="4" applyFont="1" applyAlignment="1">
      <alignment vertical="center"/>
    </xf>
    <xf numFmtId="0" fontId="15" fillId="0" borderId="3" xfId="4" applyFont="1" applyBorder="1" applyAlignment="1">
      <alignment vertical="center" wrapText="1"/>
    </xf>
    <xf numFmtId="0" fontId="2" fillId="0" borderId="3" xfId="4" applyFont="1" applyBorder="1" applyAlignment="1">
      <alignment vertical="center" wrapText="1"/>
    </xf>
    <xf numFmtId="167" fontId="29" fillId="0" borderId="3" xfId="4" applyNumberFormat="1" applyFont="1" applyBorder="1" applyAlignment="1">
      <alignment vertical="center" wrapText="1"/>
    </xf>
    <xf numFmtId="0" fontId="10" fillId="0" borderId="0" xfId="4" applyFont="1" applyAlignment="1">
      <alignment horizontal="right" vertical="center"/>
    </xf>
    <xf numFmtId="0" fontId="17" fillId="0" borderId="0" xfId="4" applyFont="1" applyAlignment="1">
      <alignment horizontal="right" vertical="center"/>
    </xf>
    <xf numFmtId="0" fontId="16" fillId="0" borderId="0" xfId="4" applyFont="1" applyAlignment="1">
      <alignment vertical="center" wrapText="1"/>
    </xf>
    <xf numFmtId="0" fontId="32" fillId="0" borderId="0" xfId="3" applyFont="1" applyAlignment="1">
      <alignment vertical="center"/>
    </xf>
    <xf numFmtId="167" fontId="29" fillId="0" borderId="3" xfId="0" applyNumberFormat="1" applyFont="1" applyBorder="1" applyAlignment="1">
      <alignment vertical="center"/>
    </xf>
    <xf numFmtId="167" fontId="29" fillId="0" borderId="3" xfId="0" applyNumberFormat="1" applyFont="1" applyBorder="1" applyAlignment="1">
      <alignment horizontal="center" vertical="center"/>
    </xf>
    <xf numFmtId="167" fontId="31" fillId="0" borderId="3" xfId="0" applyNumberFormat="1" applyFont="1" applyBorder="1" applyAlignment="1">
      <alignment vertical="center"/>
    </xf>
    <xf numFmtId="167" fontId="31" fillId="0" borderId="3" xfId="0" applyNumberFormat="1" applyFont="1" applyBorder="1" applyAlignment="1">
      <alignment horizontal="center" vertical="center"/>
    </xf>
    <xf numFmtId="0" fontId="13" fillId="0" borderId="1" xfId="3" applyFont="1" applyBorder="1" applyAlignment="1">
      <alignment vertical="top" wrapText="1"/>
    </xf>
    <xf numFmtId="0" fontId="2" fillId="0" borderId="1" xfId="3" applyFont="1" applyBorder="1" applyAlignment="1">
      <alignment vertical="top"/>
    </xf>
    <xf numFmtId="0" fontId="13" fillId="0" borderId="1" xfId="3" applyFont="1" applyBorder="1" applyAlignment="1">
      <alignment vertical="top"/>
    </xf>
    <xf numFmtId="15" fontId="12" fillId="0" borderId="1" xfId="3" applyNumberFormat="1" applyFont="1" applyBorder="1" applyAlignment="1">
      <alignment horizontal="center" vertical="top"/>
    </xf>
    <xf numFmtId="0" fontId="2" fillId="0" borderId="1" xfId="3" applyFont="1" applyBorder="1" applyAlignment="1">
      <alignment vertical="top" wrapText="1"/>
    </xf>
    <xf numFmtId="0" fontId="2" fillId="3" borderId="0" xfId="3" applyFont="1" applyFill="1" applyAlignment="1">
      <alignment vertical="top"/>
    </xf>
    <xf numFmtId="2" fontId="8" fillId="0" borderId="1" xfId="3" applyNumberFormat="1" applyFont="1" applyBorder="1" applyAlignment="1">
      <alignment vertical="top"/>
    </xf>
    <xf numFmtId="166" fontId="8" fillId="0" borderId="1" xfId="1" applyNumberFormat="1" applyFont="1" applyBorder="1" applyAlignment="1">
      <alignment vertical="top"/>
    </xf>
    <xf numFmtId="2" fontId="0" fillId="0" borderId="1" xfId="3" applyNumberFormat="1" applyFont="1" applyBorder="1" applyAlignment="1">
      <alignment vertical="top"/>
    </xf>
    <xf numFmtId="166" fontId="0" fillId="0" borderId="1" xfId="1" applyNumberFormat="1" applyFont="1" applyBorder="1" applyAlignment="1">
      <alignment vertical="top"/>
    </xf>
    <xf numFmtId="0" fontId="2" fillId="0" borderId="2" xfId="3" applyFont="1" applyBorder="1" applyAlignment="1">
      <alignment vertical="top"/>
    </xf>
    <xf numFmtId="0" fontId="2" fillId="0" borderId="0" xfId="3" applyFont="1" applyAlignment="1">
      <alignment vertical="top"/>
    </xf>
    <xf numFmtId="0" fontId="32" fillId="0" borderId="1" xfId="3" applyFont="1" applyBorder="1" applyAlignment="1">
      <alignment vertical="center" wrapText="1"/>
    </xf>
    <xf numFmtId="0" fontId="7" fillId="5" borderId="4" xfId="3" applyFont="1" applyFill="1" applyBorder="1" applyAlignment="1">
      <alignment horizontal="left" vertical="center" wrapText="1"/>
    </xf>
    <xf numFmtId="0" fontId="7" fillId="5" borderId="5" xfId="3" applyFont="1" applyFill="1" applyBorder="1" applyAlignment="1">
      <alignment horizontal="left" vertical="center" wrapText="1"/>
    </xf>
    <xf numFmtId="0" fontId="15" fillId="8" borderId="3" xfId="4" applyFont="1" applyFill="1" applyBorder="1" applyAlignment="1">
      <alignment horizontal="left" vertical="center"/>
    </xf>
    <xf numFmtId="0" fontId="15" fillId="8" borderId="3" xfId="4" applyFont="1" applyFill="1" applyBorder="1" applyAlignment="1">
      <alignment horizontal="left" vertical="center" wrapText="1"/>
    </xf>
    <xf numFmtId="0" fontId="15" fillId="2" borderId="3" xfId="4" applyFont="1" applyFill="1" applyBorder="1" applyAlignment="1">
      <alignment horizontal="left" vertical="center" wrapText="1"/>
    </xf>
  </cellXfs>
  <cellStyles count="6">
    <cellStyle name="Comma" xfId="1" builtinId="3"/>
    <cellStyle name="Comma 9" xfId="5" xr:uid="{C69B264F-4369-4434-88EC-EB86EDD672CA}"/>
    <cellStyle name="Normal" xfId="0" builtinId="0"/>
    <cellStyle name="Normal 2" xfId="4" xr:uid="{0BA4922D-E9A7-4422-A058-A8598CCFC831}"/>
    <cellStyle name="Normal 4" xfId="3" xr:uid="{2321555E-3477-4A8D-AE79-33F059C26A7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7D40FD3-A612-49FC-942C-49A6444CF23F}"/>
  <namedSheetView name="View2" id="{4C28E3F0-A701-4D9E-95FE-15D774125F5F}"/>
</namedSheetView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15C1-4916-4D04-877C-F296AFDFF047}">
  <sheetPr>
    <outlinePr summaryBelow="0"/>
    <pageSetUpPr fitToPage="1"/>
  </sheetPr>
  <dimension ref="A2:AF77"/>
  <sheetViews>
    <sheetView tabSelected="1" zoomScaleNormal="100" workbookViewId="0">
      <pane xSplit="2" ySplit="4" topLeftCell="C13" activePane="bottomRight" state="frozen"/>
      <selection pane="bottomRight" activeCell="D18" sqref="D18"/>
      <selection pane="bottomLeft" activeCell="A8" sqref="A8"/>
      <selection pane="topRight"/>
    </sheetView>
  </sheetViews>
  <sheetFormatPr defaultColWidth="9.42578125" defaultRowHeight="12.95" outlineLevelRow="4" outlineLevelCol="1"/>
  <cols>
    <col min="1" max="1" width="0.5703125" style="9" customWidth="1"/>
    <col min="2" max="2" width="28.5703125" style="9" customWidth="1"/>
    <col min="3" max="3" width="53.42578125" style="45" customWidth="1"/>
    <col min="4" max="4" width="16.140625" style="17" customWidth="1"/>
    <col min="5" max="5" width="20.5703125" style="9" customWidth="1"/>
    <col min="6" max="6" width="19.7109375" style="9" customWidth="1"/>
    <col min="7" max="7" width="0.5703125" style="9" customWidth="1"/>
    <col min="8" max="8" width="13.42578125" style="9" hidden="1" customWidth="1" outlineLevel="1"/>
    <col min="9" max="9" width="11.42578125" style="9" hidden="1" customWidth="1" outlineLevel="1"/>
    <col min="10" max="10" width="18.85546875" style="9" hidden="1" customWidth="1" outlineLevel="1"/>
    <col min="11" max="11" width="14.42578125" style="9" hidden="1" customWidth="1" outlineLevel="1"/>
    <col min="12" max="12" width="17.5703125" style="9" hidden="1" customWidth="1" outlineLevel="1"/>
    <col min="13" max="13" width="16.42578125" style="9" hidden="1" customWidth="1" outlineLevel="1"/>
    <col min="14" max="14" width="14.85546875" style="9" hidden="1" customWidth="1" outlineLevel="1"/>
    <col min="15" max="17" width="0.5703125" style="9" hidden="1" customWidth="1" outlineLevel="1"/>
    <col min="18" max="24" width="14.42578125" style="9" hidden="1" customWidth="1" outlineLevel="1"/>
    <col min="25" max="26" width="0.5703125" style="9" hidden="1" customWidth="1" outlineLevel="1"/>
    <col min="27" max="27" width="0.5703125" style="9" customWidth="1" collapsed="1"/>
    <col min="28" max="29" width="0" style="9" hidden="1" customWidth="1"/>
    <col min="30" max="30" width="9.42578125" style="9"/>
    <col min="31" max="31" width="9.42578125" style="9" bestFit="1" customWidth="1"/>
    <col min="32" max="16384" width="9.42578125" style="9"/>
  </cols>
  <sheetData>
    <row r="2" spans="1:32" ht="18.600000000000001">
      <c r="A2" s="1"/>
      <c r="B2" s="2" t="s">
        <v>0</v>
      </c>
      <c r="C2" s="3"/>
      <c r="D2" s="4"/>
      <c r="E2" s="4"/>
      <c r="F2" s="2"/>
      <c r="G2" s="5"/>
      <c r="H2" s="4">
        <f>SUBTOTAL(9,H6:H48)</f>
        <v>1.6889000000000003</v>
      </c>
      <c r="I2" s="6">
        <f>SUBTOTAL(9,I6:I48)</f>
        <v>11</v>
      </c>
      <c r="J2" s="4">
        <f>SUBTOTAL(9,J6:J48)</f>
        <v>0</v>
      </c>
      <c r="K2" s="7">
        <f>SUBTOTAL(9,K6:K48)</f>
        <v>0</v>
      </c>
      <c r="L2" s="2"/>
      <c r="M2" s="2"/>
      <c r="N2" s="2"/>
      <c r="O2" s="8"/>
      <c r="P2" s="5"/>
      <c r="R2" s="2"/>
      <c r="S2" s="2"/>
      <c r="T2" s="2"/>
      <c r="U2" s="2"/>
      <c r="V2" s="2"/>
      <c r="W2" s="2"/>
      <c r="X2" s="2"/>
      <c r="Z2" s="5"/>
      <c r="AB2" s="10">
        <f>H2-J2</f>
        <v>1.6889000000000003</v>
      </c>
      <c r="AC2" s="10">
        <f>I2-K2</f>
        <v>11</v>
      </c>
    </row>
    <row r="3" spans="1:32" ht="3" customHeight="1">
      <c r="A3" s="1"/>
      <c r="B3" s="1"/>
      <c r="C3" s="11"/>
      <c r="D3" s="12"/>
      <c r="E3" s="1"/>
      <c r="F3" s="1"/>
      <c r="G3" s="5"/>
      <c r="H3" s="1"/>
      <c r="I3" s="1"/>
      <c r="J3" s="1"/>
      <c r="K3" s="1"/>
      <c r="L3" s="1"/>
      <c r="M3" s="1"/>
      <c r="N3" s="1"/>
      <c r="O3" s="8"/>
      <c r="P3" s="5"/>
      <c r="R3" s="1"/>
      <c r="S3" s="1"/>
      <c r="T3" s="1"/>
      <c r="U3" s="1"/>
      <c r="V3" s="1"/>
      <c r="W3" s="1"/>
      <c r="X3" s="1"/>
      <c r="Z3" s="5"/>
    </row>
    <row r="4" spans="1:32" s="17" customFormat="1" ht="30">
      <c r="A4" s="12"/>
      <c r="B4" s="13" t="s">
        <v>1</v>
      </c>
      <c r="C4" s="14" t="s">
        <v>2</v>
      </c>
      <c r="D4" s="13" t="s">
        <v>3</v>
      </c>
      <c r="E4" s="13" t="s">
        <v>4</v>
      </c>
      <c r="F4" s="13" t="s">
        <v>5</v>
      </c>
      <c r="G4" s="15"/>
      <c r="H4" s="14" t="s">
        <v>6</v>
      </c>
      <c r="I4" s="14" t="s">
        <v>7</v>
      </c>
      <c r="J4" s="14" t="s">
        <v>8</v>
      </c>
      <c r="K4" s="14" t="s">
        <v>9</v>
      </c>
      <c r="L4" s="13" t="s">
        <v>10</v>
      </c>
      <c r="M4" s="13" t="s">
        <v>11</v>
      </c>
      <c r="N4" s="13" t="s">
        <v>12</v>
      </c>
      <c r="O4" s="16"/>
      <c r="P4" s="15"/>
      <c r="R4" s="13" t="s">
        <v>12</v>
      </c>
      <c r="S4" s="13" t="s">
        <v>13</v>
      </c>
      <c r="T4" s="13" t="s">
        <v>14</v>
      </c>
      <c r="U4" s="13" t="s">
        <v>15</v>
      </c>
      <c r="V4" s="13" t="s">
        <v>16</v>
      </c>
      <c r="W4" s="13" t="s">
        <v>17</v>
      </c>
      <c r="X4" s="13" t="s">
        <v>5</v>
      </c>
      <c r="Z4" s="15"/>
      <c r="AB4" s="18">
        <f>J2/H2</f>
        <v>0</v>
      </c>
      <c r="AC4" s="18">
        <f>K2/I2</f>
        <v>0</v>
      </c>
      <c r="AD4" s="9"/>
      <c r="AF4" s="106"/>
    </row>
    <row r="5" spans="1:32" ht="3" customHeight="1">
      <c r="A5" s="1"/>
      <c r="B5" s="1"/>
      <c r="C5" s="11"/>
      <c r="D5" s="19"/>
      <c r="E5" s="20"/>
      <c r="F5" s="1"/>
      <c r="G5" s="5"/>
      <c r="H5" s="20"/>
      <c r="I5" s="21"/>
      <c r="J5" s="20"/>
      <c r="K5" s="21"/>
      <c r="L5" s="1"/>
      <c r="M5" s="1"/>
      <c r="N5" s="1"/>
      <c r="O5" s="8"/>
      <c r="P5" s="5"/>
      <c r="R5" s="1"/>
      <c r="S5" s="1"/>
      <c r="T5" s="1"/>
      <c r="U5" s="1"/>
      <c r="V5" s="1"/>
      <c r="W5" s="1"/>
      <c r="X5" s="1"/>
      <c r="Z5" s="5"/>
      <c r="AB5" s="10"/>
      <c r="AC5" s="10"/>
      <c r="AD5" s="10"/>
      <c r="AE5" s="10"/>
    </row>
    <row r="6" spans="1:32" ht="17.45" customHeight="1">
      <c r="A6" s="1"/>
      <c r="B6" s="22" t="s">
        <v>18</v>
      </c>
      <c r="C6" s="23"/>
      <c r="D6" s="24"/>
      <c r="E6" s="25"/>
      <c r="F6" s="22"/>
      <c r="G6" s="5"/>
      <c r="H6" s="25">
        <f>SUBTOTAL(9,H7:H66)</f>
        <v>2.2507918020799997</v>
      </c>
      <c r="I6" s="26">
        <f>SUBTOTAL(9,I7:I66)</f>
        <v>16</v>
      </c>
      <c r="J6" s="25">
        <f>SUBTOTAL(9,J7:J66)</f>
        <v>0</v>
      </c>
      <c r="K6" s="26">
        <f>SUBTOTAL(9,K7:K66)</f>
        <v>0</v>
      </c>
      <c r="L6" s="22"/>
      <c r="M6" s="22"/>
      <c r="N6" s="22"/>
      <c r="O6" s="8"/>
      <c r="P6" s="5"/>
      <c r="R6" s="22"/>
      <c r="S6" s="22"/>
      <c r="T6" s="22"/>
      <c r="U6" s="22"/>
      <c r="V6" s="22"/>
      <c r="W6" s="22"/>
      <c r="X6" s="22"/>
      <c r="Z6" s="5"/>
      <c r="AB6" s="10"/>
      <c r="AC6" s="10"/>
      <c r="AD6" s="10"/>
      <c r="AE6" s="10"/>
    </row>
    <row r="7" spans="1:32" s="35" customFormat="1" outlineLevel="1">
      <c r="A7" s="28"/>
      <c r="B7" s="29" t="s">
        <v>19</v>
      </c>
      <c r="C7" s="30" t="s">
        <v>20</v>
      </c>
      <c r="D7" s="29"/>
      <c r="E7" s="29"/>
      <c r="F7" s="29"/>
      <c r="G7" s="31"/>
      <c r="H7" s="32">
        <f>SUBTOTAL(9,H8:H24)</f>
        <v>0.32</v>
      </c>
      <c r="I7" s="33">
        <f>SUBTOTAL(9,I8:I24)</f>
        <v>5</v>
      </c>
      <c r="J7" s="32">
        <f>SUBTOTAL(9,J8:J24)</f>
        <v>0</v>
      </c>
      <c r="K7" s="33">
        <f>SUBTOTAL(9,K8:K24)</f>
        <v>0</v>
      </c>
      <c r="L7" s="29" t="s">
        <v>21</v>
      </c>
      <c r="M7" s="29"/>
      <c r="N7" s="29"/>
      <c r="O7" s="34"/>
      <c r="P7" s="31"/>
      <c r="R7" s="29"/>
      <c r="S7" s="29"/>
      <c r="T7" s="29"/>
      <c r="U7" s="29"/>
      <c r="V7" s="29"/>
      <c r="W7" s="29"/>
      <c r="X7" s="29"/>
      <c r="Z7" s="31"/>
    </row>
    <row r="8" spans="1:32" outlineLevel="2">
      <c r="A8" s="1"/>
      <c r="B8" s="36" t="s">
        <v>22</v>
      </c>
      <c r="C8" s="37" t="s">
        <v>23</v>
      </c>
      <c r="D8" s="36"/>
      <c r="E8" s="36"/>
      <c r="F8" s="36"/>
      <c r="G8" s="5"/>
      <c r="H8" s="38">
        <f>SUBTOTAL(9,H9:H9)</f>
        <v>0.09</v>
      </c>
      <c r="I8" s="39">
        <f>SUBTOTAL(9,I9:I9)</f>
        <v>1</v>
      </c>
      <c r="J8" s="38">
        <f>SUBTOTAL(9,J9:J9)</f>
        <v>0</v>
      </c>
      <c r="K8" s="39">
        <f>SUBTOTAL(9,K9:K9)</f>
        <v>0</v>
      </c>
      <c r="L8" s="36" t="s">
        <v>21</v>
      </c>
      <c r="M8" s="36" t="s">
        <v>22</v>
      </c>
      <c r="N8" s="36"/>
      <c r="O8" s="8"/>
      <c r="P8" s="5"/>
      <c r="R8" s="36"/>
      <c r="S8" s="36"/>
      <c r="T8" s="36"/>
      <c r="U8" s="36"/>
      <c r="V8" s="36"/>
      <c r="W8" s="36"/>
      <c r="X8" s="36"/>
      <c r="Z8" s="5"/>
    </row>
    <row r="9" spans="1:32" ht="14.45" outlineLevel="3">
      <c r="A9" s="1"/>
      <c r="B9" s="1" t="s">
        <v>19</v>
      </c>
      <c r="C9" s="11" t="s">
        <v>24</v>
      </c>
      <c r="D9" s="40">
        <v>46311</v>
      </c>
      <c r="E9" s="1" t="s">
        <v>25</v>
      </c>
      <c r="F9" s="1"/>
      <c r="G9" s="5"/>
      <c r="H9" s="20">
        <v>0.09</v>
      </c>
      <c r="I9" s="27">
        <v>1</v>
      </c>
      <c r="J9" s="41">
        <f>IF(K9=1,H9,0)</f>
        <v>0</v>
      </c>
      <c r="K9" s="42"/>
      <c r="L9" s="1" t="s">
        <v>21</v>
      </c>
      <c r="M9" s="1" t="s">
        <v>22</v>
      </c>
      <c r="N9" s="1" t="s">
        <v>25</v>
      </c>
      <c r="O9" s="8"/>
      <c r="P9" s="5"/>
      <c r="R9" s="1" t="s">
        <v>25</v>
      </c>
      <c r="S9" s="1" t="s">
        <v>26</v>
      </c>
      <c r="T9" s="1" t="s">
        <v>27</v>
      </c>
      <c r="U9" s="1" t="s">
        <v>28</v>
      </c>
      <c r="V9" s="1" t="s">
        <v>29</v>
      </c>
      <c r="W9" s="1"/>
      <c r="X9" s="1"/>
      <c r="Z9" s="5"/>
    </row>
    <row r="10" spans="1:32" s="122" customFormat="1" ht="26.1" outlineLevel="4">
      <c r="A10" s="112"/>
      <c r="B10" s="113" t="s">
        <v>30</v>
      </c>
      <c r="C10" s="111" t="s">
        <v>31</v>
      </c>
      <c r="D10" s="114">
        <v>46303</v>
      </c>
      <c r="E10" s="115" t="s">
        <v>32</v>
      </c>
      <c r="F10" s="112"/>
      <c r="G10" s="116"/>
      <c r="H10" s="117"/>
      <c r="I10" s="118"/>
      <c r="J10" s="119"/>
      <c r="K10" s="120"/>
      <c r="L10" s="112"/>
      <c r="M10" s="112"/>
      <c r="N10" s="112"/>
      <c r="O10" s="121"/>
      <c r="P10" s="116"/>
      <c r="R10" s="112"/>
      <c r="S10" s="112"/>
      <c r="T10" s="112"/>
      <c r="U10" s="112"/>
      <c r="V10" s="112"/>
      <c r="W10" s="112"/>
      <c r="X10" s="112"/>
      <c r="Z10" s="116"/>
    </row>
    <row r="11" spans="1:32" ht="14.45" outlineLevel="4">
      <c r="A11" s="1"/>
      <c r="B11" s="43"/>
      <c r="C11" s="44"/>
      <c r="D11" s="40"/>
      <c r="E11" s="1"/>
      <c r="F11" s="1"/>
      <c r="G11" s="5"/>
      <c r="H11" s="20"/>
      <c r="I11" s="27"/>
      <c r="J11" s="41"/>
      <c r="K11" s="42"/>
      <c r="L11" s="1"/>
      <c r="M11" s="1"/>
      <c r="N11" s="1"/>
      <c r="O11" s="8"/>
      <c r="P11" s="5"/>
      <c r="R11" s="1"/>
      <c r="S11" s="1"/>
      <c r="T11" s="1"/>
      <c r="U11" s="1"/>
      <c r="V11" s="1"/>
      <c r="W11" s="1"/>
      <c r="X11" s="1"/>
      <c r="Z11" s="5"/>
    </row>
    <row r="12" spans="1:32" ht="14.45" outlineLevel="3">
      <c r="A12" s="1"/>
      <c r="B12" s="1" t="s">
        <v>19</v>
      </c>
      <c r="C12" s="11" t="s">
        <v>33</v>
      </c>
      <c r="D12" s="40">
        <v>46296</v>
      </c>
      <c r="E12" s="1" t="s">
        <v>25</v>
      </c>
      <c r="F12" s="1"/>
      <c r="G12" s="5"/>
      <c r="H12" s="20">
        <v>0.09</v>
      </c>
      <c r="I12" s="27">
        <v>1</v>
      </c>
      <c r="J12" s="41">
        <f>IF(K12=1,H12,0)</f>
        <v>0</v>
      </c>
      <c r="K12" s="42"/>
      <c r="L12" s="1" t="s">
        <v>21</v>
      </c>
      <c r="M12" s="1" t="s">
        <v>22</v>
      </c>
      <c r="N12" s="1" t="s">
        <v>25</v>
      </c>
      <c r="O12" s="8"/>
      <c r="P12" s="5"/>
      <c r="R12" s="1" t="s">
        <v>25</v>
      </c>
      <c r="S12" s="1" t="s">
        <v>26</v>
      </c>
      <c r="T12" s="1" t="s">
        <v>27</v>
      </c>
      <c r="U12" s="1" t="s">
        <v>28</v>
      </c>
      <c r="V12" s="1" t="s">
        <v>29</v>
      </c>
      <c r="W12" s="1"/>
      <c r="X12" s="1"/>
      <c r="Z12" s="5"/>
    </row>
    <row r="13" spans="1:32" ht="14.45" outlineLevel="4">
      <c r="A13" s="1"/>
      <c r="B13" s="43" t="s">
        <v>30</v>
      </c>
      <c r="C13" s="44" t="s">
        <v>34</v>
      </c>
      <c r="D13" s="40"/>
      <c r="E13" s="1"/>
      <c r="F13" s="1"/>
      <c r="G13" s="5"/>
      <c r="H13" s="20"/>
      <c r="I13" s="27"/>
      <c r="J13" s="41"/>
      <c r="K13" s="42"/>
      <c r="L13" s="1"/>
      <c r="M13" s="1"/>
      <c r="N13" s="1"/>
      <c r="O13" s="8"/>
      <c r="P13" s="5"/>
      <c r="R13" s="1"/>
      <c r="S13" s="1"/>
      <c r="T13" s="1"/>
      <c r="U13" s="1"/>
      <c r="V13" s="1"/>
      <c r="W13" s="1"/>
      <c r="X13" s="1"/>
      <c r="Z13" s="5"/>
    </row>
    <row r="14" spans="1:32" ht="14.45" outlineLevel="4">
      <c r="A14" s="1"/>
      <c r="B14" s="43" t="s">
        <v>35</v>
      </c>
      <c r="C14" s="44" t="s">
        <v>36</v>
      </c>
      <c r="D14" s="40"/>
      <c r="E14" s="1"/>
      <c r="F14" s="1"/>
      <c r="G14" s="5"/>
      <c r="H14" s="20"/>
      <c r="I14" s="27"/>
      <c r="J14" s="41"/>
      <c r="K14" s="42"/>
      <c r="L14" s="1"/>
      <c r="M14" s="1"/>
      <c r="N14" s="1"/>
      <c r="O14" s="8"/>
      <c r="P14" s="5"/>
      <c r="R14" s="1"/>
      <c r="S14" s="1"/>
      <c r="T14" s="1"/>
      <c r="U14" s="1"/>
      <c r="V14" s="1"/>
      <c r="W14" s="1"/>
      <c r="X14" s="1"/>
      <c r="Z14" s="5"/>
    </row>
    <row r="15" spans="1:32" outlineLevel="2">
      <c r="A15" s="1"/>
      <c r="B15" s="36" t="s">
        <v>37</v>
      </c>
      <c r="C15" s="37" t="s">
        <v>23</v>
      </c>
      <c r="D15" s="36"/>
      <c r="E15" s="36"/>
      <c r="F15" s="36"/>
      <c r="G15" s="5"/>
      <c r="H15" s="38">
        <f>SUBTOTAL(9,H16:H20)</f>
        <v>0.1</v>
      </c>
      <c r="I15" s="39">
        <f>SUBTOTAL(9,I16:I20)</f>
        <v>2</v>
      </c>
      <c r="J15" s="38">
        <f>SUBTOTAL(9,J16:J20)</f>
        <v>0</v>
      </c>
      <c r="K15" s="39">
        <f>SUBTOTAL(9,K16:K20)</f>
        <v>0</v>
      </c>
      <c r="L15" s="36" t="s">
        <v>21</v>
      </c>
      <c r="M15" s="36" t="s">
        <v>38</v>
      </c>
      <c r="N15" s="36"/>
      <c r="O15" s="8"/>
      <c r="P15" s="5"/>
      <c r="R15" s="36"/>
      <c r="S15" s="36"/>
      <c r="T15" s="36"/>
      <c r="U15" s="36"/>
      <c r="V15" s="36"/>
      <c r="W15" s="36"/>
      <c r="X15" s="36"/>
      <c r="Z15" s="5"/>
    </row>
    <row r="16" spans="1:32" ht="14.45" outlineLevel="3">
      <c r="A16" s="1"/>
      <c r="B16" s="1" t="s">
        <v>19</v>
      </c>
      <c r="C16" s="11" t="s">
        <v>39</v>
      </c>
      <c r="D16" s="40">
        <v>46387</v>
      </c>
      <c r="E16" s="1" t="s">
        <v>40</v>
      </c>
      <c r="F16" s="1"/>
      <c r="G16" s="5"/>
      <c r="H16" s="20">
        <v>0.03</v>
      </c>
      <c r="I16" s="27">
        <v>1</v>
      </c>
      <c r="J16" s="41">
        <f>IF(K16=1,H16,0)</f>
        <v>0</v>
      </c>
      <c r="K16" s="42"/>
      <c r="L16" s="1" t="s">
        <v>21</v>
      </c>
      <c r="M16" s="1" t="s">
        <v>38</v>
      </c>
      <c r="N16" s="1" t="s">
        <v>40</v>
      </c>
      <c r="O16" s="8"/>
      <c r="P16" s="5"/>
      <c r="R16" s="1" t="s">
        <v>40</v>
      </c>
      <c r="S16" s="1" t="s">
        <v>41</v>
      </c>
      <c r="T16" s="1" t="s">
        <v>42</v>
      </c>
      <c r="U16" s="1"/>
      <c r="V16" s="1" t="s">
        <v>43</v>
      </c>
      <c r="W16" s="1"/>
      <c r="X16" s="1">
        <v>0</v>
      </c>
      <c r="Z16" s="5"/>
    </row>
    <row r="17" spans="1:26" ht="15" outlineLevel="4">
      <c r="A17" s="1"/>
      <c r="B17" s="43" t="s">
        <v>30</v>
      </c>
      <c r="C17" s="44" t="s">
        <v>44</v>
      </c>
      <c r="D17" s="40">
        <v>46356</v>
      </c>
      <c r="E17" s="1"/>
      <c r="F17" s="1"/>
      <c r="G17" s="5"/>
      <c r="H17" s="20"/>
      <c r="I17" s="27"/>
      <c r="J17" s="41"/>
      <c r="K17" s="42"/>
      <c r="L17" s="1"/>
      <c r="M17" s="1"/>
      <c r="N17" s="1"/>
      <c r="O17" s="8"/>
      <c r="P17" s="5"/>
      <c r="R17" s="1"/>
      <c r="S17" s="1"/>
      <c r="T17" s="1"/>
      <c r="U17" s="1"/>
      <c r="V17" s="1"/>
      <c r="W17" s="1"/>
      <c r="X17" s="1"/>
      <c r="Z17" s="5"/>
    </row>
    <row r="18" spans="1:26" ht="15" outlineLevel="4">
      <c r="A18" s="1"/>
      <c r="B18" s="43" t="s">
        <v>35</v>
      </c>
      <c r="C18" s="44" t="s">
        <v>45</v>
      </c>
      <c r="D18" s="40"/>
      <c r="E18" s="1"/>
      <c r="F18" s="1"/>
      <c r="G18" s="5"/>
      <c r="H18" s="20"/>
      <c r="I18" s="27"/>
      <c r="J18" s="41"/>
      <c r="K18" s="42"/>
      <c r="L18" s="1"/>
      <c r="M18" s="1"/>
      <c r="N18" s="1"/>
      <c r="O18" s="8"/>
      <c r="P18" s="5"/>
      <c r="R18" s="1"/>
      <c r="S18" s="1"/>
      <c r="T18" s="1"/>
      <c r="U18" s="1"/>
      <c r="V18" s="1"/>
      <c r="W18" s="1"/>
      <c r="X18" s="1"/>
      <c r="Z18" s="5"/>
    </row>
    <row r="19" spans="1:26" ht="15" outlineLevel="4">
      <c r="A19" s="1"/>
      <c r="B19" s="43" t="s">
        <v>46</v>
      </c>
      <c r="C19" s="44" t="s">
        <v>47</v>
      </c>
      <c r="D19" s="40"/>
      <c r="E19" s="1"/>
      <c r="F19" s="1"/>
      <c r="G19" s="5"/>
      <c r="H19" s="20"/>
      <c r="I19" s="27"/>
      <c r="J19" s="41"/>
      <c r="K19" s="42"/>
      <c r="L19" s="1"/>
      <c r="M19" s="1"/>
      <c r="N19" s="1"/>
      <c r="O19" s="8"/>
      <c r="P19" s="5"/>
      <c r="R19" s="1"/>
      <c r="S19" s="1"/>
      <c r="T19" s="1"/>
      <c r="U19" s="1"/>
      <c r="V19" s="1"/>
      <c r="W19" s="1"/>
      <c r="X19" s="1"/>
      <c r="Z19" s="5"/>
    </row>
    <row r="20" spans="1:26" ht="26.1" outlineLevel="3">
      <c r="A20" s="1"/>
      <c r="B20" s="1" t="s">
        <v>19</v>
      </c>
      <c r="C20" s="11" t="s">
        <v>48</v>
      </c>
      <c r="D20" s="40">
        <v>46331</v>
      </c>
      <c r="E20" s="1" t="s">
        <v>40</v>
      </c>
      <c r="F20" s="1"/>
      <c r="G20" s="5"/>
      <c r="H20" s="20">
        <v>7.0000000000000007E-2</v>
      </c>
      <c r="I20" s="27">
        <v>1</v>
      </c>
      <c r="J20" s="41">
        <f>IF(K20=1,H20,0)</f>
        <v>0</v>
      </c>
      <c r="K20" s="42"/>
      <c r="L20" s="1" t="s">
        <v>21</v>
      </c>
      <c r="M20" s="1" t="s">
        <v>38</v>
      </c>
      <c r="N20" s="1" t="s">
        <v>40</v>
      </c>
      <c r="O20" s="8"/>
      <c r="P20" s="5"/>
      <c r="R20" s="1" t="s">
        <v>40</v>
      </c>
      <c r="S20" s="1" t="s">
        <v>41</v>
      </c>
      <c r="T20" s="1" t="s">
        <v>42</v>
      </c>
      <c r="U20" s="1"/>
      <c r="V20" s="1" t="s">
        <v>43</v>
      </c>
      <c r="W20" s="1"/>
      <c r="X20" s="1">
        <v>0</v>
      </c>
      <c r="Z20" s="5"/>
    </row>
    <row r="21" spans="1:26" ht="14.45" outlineLevel="4">
      <c r="A21" s="1"/>
      <c r="B21" s="43" t="s">
        <v>30</v>
      </c>
      <c r="C21" s="44" t="s">
        <v>49</v>
      </c>
      <c r="D21" s="40">
        <v>46314</v>
      </c>
      <c r="E21" s="1" t="s">
        <v>50</v>
      </c>
      <c r="F21" s="1"/>
      <c r="G21" s="5"/>
      <c r="H21" s="20"/>
      <c r="I21" s="27"/>
      <c r="J21" s="41"/>
      <c r="K21" s="42"/>
      <c r="L21" s="1"/>
      <c r="M21" s="1"/>
      <c r="N21" s="1"/>
      <c r="O21" s="8"/>
      <c r="P21" s="5"/>
      <c r="R21" s="1"/>
      <c r="S21" s="1"/>
      <c r="T21" s="1"/>
      <c r="U21" s="1"/>
      <c r="V21" s="1"/>
      <c r="W21" s="1"/>
      <c r="X21" s="1"/>
      <c r="Z21" s="5"/>
    </row>
    <row r="22" spans="1:26" ht="14.45" outlineLevel="4">
      <c r="A22" s="1"/>
      <c r="B22" s="43" t="s">
        <v>35</v>
      </c>
      <c r="C22" s="44"/>
      <c r="D22" s="40"/>
      <c r="E22" s="1"/>
      <c r="F22" s="1"/>
      <c r="G22" s="5"/>
      <c r="H22" s="20"/>
      <c r="I22" s="27"/>
      <c r="J22" s="41"/>
      <c r="K22" s="42"/>
      <c r="L22" s="1"/>
      <c r="M22" s="1"/>
      <c r="N22" s="1"/>
      <c r="O22" s="8"/>
      <c r="P22" s="5"/>
      <c r="R22" s="1"/>
      <c r="S22" s="1"/>
      <c r="T22" s="1"/>
      <c r="U22" s="1"/>
      <c r="V22" s="1"/>
      <c r="W22" s="1"/>
      <c r="X22" s="1"/>
      <c r="Z22" s="5"/>
    </row>
    <row r="23" spans="1:26" outlineLevel="2">
      <c r="A23" s="1"/>
      <c r="B23" s="36" t="s">
        <v>51</v>
      </c>
      <c r="C23" s="37" t="s">
        <v>23</v>
      </c>
      <c r="D23" s="36"/>
      <c r="E23" s="36"/>
      <c r="F23" s="36"/>
      <c r="G23" s="5"/>
      <c r="H23" s="38">
        <f>SUBTOTAL(9,H24)</f>
        <v>0.04</v>
      </c>
      <c r="I23" s="39">
        <f>SUBTOTAL(9,I24)</f>
        <v>1</v>
      </c>
      <c r="J23" s="38">
        <f>SUBTOTAL(9,J24)</f>
        <v>0</v>
      </c>
      <c r="K23" s="39">
        <f>SUBTOTAL(9,K24)</f>
        <v>0</v>
      </c>
      <c r="L23" s="36" t="s">
        <v>21</v>
      </c>
      <c r="M23" s="36" t="s">
        <v>51</v>
      </c>
      <c r="N23" s="36"/>
      <c r="O23" s="8"/>
      <c r="P23" s="5"/>
      <c r="R23" s="36"/>
      <c r="S23" s="36"/>
      <c r="T23" s="36"/>
      <c r="U23" s="36"/>
      <c r="V23" s="36"/>
      <c r="W23" s="36"/>
      <c r="X23" s="36"/>
      <c r="Z23" s="5"/>
    </row>
    <row r="24" spans="1:26" ht="15" outlineLevel="3">
      <c r="A24" s="1"/>
      <c r="B24" s="1" t="s">
        <v>19</v>
      </c>
      <c r="C24" s="11" t="s">
        <v>39</v>
      </c>
      <c r="D24" s="40">
        <v>46345</v>
      </c>
      <c r="E24" s="1" t="s">
        <v>52</v>
      </c>
      <c r="F24" s="123"/>
      <c r="G24" s="5"/>
      <c r="H24" s="20">
        <v>0.04</v>
      </c>
      <c r="I24" s="27">
        <v>1</v>
      </c>
      <c r="J24" s="41">
        <f>IF(K24=1,H24,0)</f>
        <v>0</v>
      </c>
      <c r="K24" s="27"/>
      <c r="L24" s="1" t="s">
        <v>21</v>
      </c>
      <c r="M24" s="1" t="s">
        <v>51</v>
      </c>
      <c r="N24" s="1" t="s">
        <v>52</v>
      </c>
      <c r="O24" s="8"/>
      <c r="P24" s="5"/>
      <c r="R24" s="1" t="s">
        <v>52</v>
      </c>
      <c r="S24" s="1" t="s">
        <v>53</v>
      </c>
      <c r="T24" s="1" t="s">
        <v>54</v>
      </c>
      <c r="U24" s="1" t="s">
        <v>55</v>
      </c>
      <c r="V24" s="1"/>
      <c r="W24" s="1"/>
      <c r="X24" s="1"/>
      <c r="Z24" s="5"/>
    </row>
    <row r="25" spans="1:26" ht="26.1" outlineLevel="4">
      <c r="A25" s="1"/>
      <c r="B25" s="43" t="s">
        <v>30</v>
      </c>
      <c r="C25" s="44" t="s">
        <v>56</v>
      </c>
      <c r="D25" s="40">
        <v>46314</v>
      </c>
      <c r="E25" s="1" t="s">
        <v>57</v>
      </c>
      <c r="F25" s="123" t="s">
        <v>58</v>
      </c>
      <c r="G25" s="5"/>
      <c r="H25" s="20"/>
      <c r="I25" s="27"/>
      <c r="J25" s="41"/>
      <c r="K25" s="42"/>
      <c r="L25" s="1"/>
      <c r="M25" s="1"/>
      <c r="N25" s="1"/>
      <c r="O25" s="8"/>
      <c r="P25" s="5"/>
      <c r="R25" s="1"/>
      <c r="S25" s="1"/>
      <c r="T25" s="1"/>
      <c r="U25" s="1"/>
      <c r="V25" s="1"/>
      <c r="W25" s="1"/>
      <c r="X25" s="1"/>
      <c r="Z25" s="5"/>
    </row>
    <row r="26" spans="1:26" ht="26.1" outlineLevel="4">
      <c r="A26" s="1"/>
      <c r="B26" s="43" t="s">
        <v>35</v>
      </c>
      <c r="C26" s="44" t="s">
        <v>59</v>
      </c>
      <c r="D26" s="40">
        <v>46356</v>
      </c>
      <c r="E26" s="1" t="s">
        <v>60</v>
      </c>
      <c r="F26" s="11" t="s">
        <v>61</v>
      </c>
      <c r="G26" s="5"/>
      <c r="H26" s="20"/>
      <c r="I26" s="27"/>
      <c r="J26" s="41"/>
      <c r="K26" s="42"/>
      <c r="L26" s="1"/>
      <c r="M26" s="1"/>
      <c r="N26" s="1"/>
      <c r="O26" s="8"/>
      <c r="P26" s="5"/>
      <c r="R26" s="1"/>
      <c r="S26" s="1"/>
      <c r="T26" s="1"/>
      <c r="U26" s="1"/>
      <c r="V26" s="1"/>
      <c r="W26" s="1"/>
      <c r="X26" s="1"/>
      <c r="Z26" s="5"/>
    </row>
    <row r="27" spans="1:26" s="35" customFormat="1" outlineLevel="1">
      <c r="A27" s="28"/>
      <c r="B27" s="29" t="s">
        <v>62</v>
      </c>
      <c r="C27" s="30" t="s">
        <v>20</v>
      </c>
      <c r="D27" s="29"/>
      <c r="E27" s="29"/>
      <c r="F27" s="29"/>
      <c r="G27" s="31"/>
      <c r="H27" s="32">
        <f>SUBTOTAL(9,H28:H48)</f>
        <v>1.3689000000000002</v>
      </c>
      <c r="I27" s="33">
        <f>SUBTOTAL(9,I28:I48)</f>
        <v>6</v>
      </c>
      <c r="J27" s="32">
        <f>SUBTOTAL(9,J28:J48)</f>
        <v>0</v>
      </c>
      <c r="K27" s="33">
        <f>SUBTOTAL(9,K28:K48)</f>
        <v>0</v>
      </c>
      <c r="L27" s="29" t="s">
        <v>63</v>
      </c>
      <c r="M27" s="29"/>
      <c r="N27" s="29"/>
      <c r="O27" s="34"/>
      <c r="P27" s="31"/>
      <c r="R27" s="29"/>
      <c r="S27" s="29"/>
      <c r="T27" s="29"/>
      <c r="U27" s="29"/>
      <c r="V27" s="29"/>
      <c r="W27" s="29"/>
      <c r="X27" s="29"/>
      <c r="Z27" s="31"/>
    </row>
    <row r="28" spans="1:26" outlineLevel="2">
      <c r="A28" s="1"/>
      <c r="B28" s="36" t="s">
        <v>22</v>
      </c>
      <c r="C28" s="37" t="s">
        <v>64</v>
      </c>
      <c r="D28" s="36"/>
      <c r="E28" s="36"/>
      <c r="F28" s="36"/>
      <c r="G28" s="5"/>
      <c r="H28" s="38">
        <f>SUBTOTAL(9,H29:H37)</f>
        <v>1.08</v>
      </c>
      <c r="I28" s="39">
        <f>SUBTOTAL(9,I29:I37)</f>
        <v>3</v>
      </c>
      <c r="J28" s="38">
        <f>SUBTOTAL(9,J29:J37)</f>
        <v>0</v>
      </c>
      <c r="K28" s="39">
        <f>SUBTOTAL(9,K29:K37)</f>
        <v>0</v>
      </c>
      <c r="L28" s="36" t="s">
        <v>63</v>
      </c>
      <c r="M28" s="36" t="s">
        <v>22</v>
      </c>
      <c r="N28" s="36"/>
      <c r="O28" s="8"/>
      <c r="P28" s="5"/>
      <c r="R28" s="36"/>
      <c r="S28" s="36"/>
      <c r="T28" s="36"/>
      <c r="U28" s="36"/>
      <c r="V28" s="36"/>
      <c r="W28" s="36"/>
      <c r="X28" s="36"/>
      <c r="Z28" s="5"/>
    </row>
    <row r="29" spans="1:26" ht="14.45" outlineLevel="3">
      <c r="A29" s="1"/>
      <c r="B29" s="1" t="s">
        <v>62</v>
      </c>
      <c r="C29" s="11" t="s">
        <v>65</v>
      </c>
      <c r="D29" s="40">
        <v>46311</v>
      </c>
      <c r="E29" s="1" t="s">
        <v>25</v>
      </c>
      <c r="F29" s="1"/>
      <c r="G29" s="5"/>
      <c r="H29" s="41">
        <v>0.54</v>
      </c>
      <c r="I29" s="42">
        <v>1</v>
      </c>
      <c r="J29" s="41">
        <f>IF(K29=1,H29,0)</f>
        <v>0</v>
      </c>
      <c r="K29" s="42"/>
      <c r="L29" s="1" t="s">
        <v>63</v>
      </c>
      <c r="M29" s="1" t="s">
        <v>22</v>
      </c>
      <c r="N29" s="1" t="s">
        <v>25</v>
      </c>
      <c r="O29" s="8"/>
      <c r="P29" s="5"/>
      <c r="R29" s="1" t="s">
        <v>25</v>
      </c>
      <c r="S29" s="1" t="s">
        <v>26</v>
      </c>
      <c r="T29" s="1" t="s">
        <v>27</v>
      </c>
      <c r="U29" s="1" t="s">
        <v>29</v>
      </c>
      <c r="V29" s="1"/>
      <c r="W29" s="1"/>
      <c r="X29" s="1"/>
      <c r="Z29" s="5"/>
    </row>
    <row r="30" spans="1:26" ht="25.5" outlineLevel="4">
      <c r="A30" s="1"/>
      <c r="B30" s="43" t="s">
        <v>30</v>
      </c>
      <c r="C30" s="44" t="s">
        <v>66</v>
      </c>
      <c r="D30" s="40">
        <v>46295</v>
      </c>
      <c r="E30" s="1" t="s">
        <v>67</v>
      </c>
      <c r="F30" s="1"/>
      <c r="G30" s="5"/>
      <c r="H30" s="20"/>
      <c r="I30" s="27"/>
      <c r="J30" s="41"/>
      <c r="K30" s="42"/>
      <c r="L30" s="1"/>
      <c r="M30" s="1"/>
      <c r="N30" s="1"/>
      <c r="O30" s="8"/>
      <c r="P30" s="5"/>
      <c r="R30" s="1"/>
      <c r="S30" s="1"/>
      <c r="T30" s="1"/>
      <c r="U30" s="1"/>
      <c r="V30" s="1"/>
      <c r="W30" s="1"/>
      <c r="X30" s="1"/>
      <c r="Z30" s="5"/>
    </row>
    <row r="31" spans="1:26" ht="23.1" outlineLevel="4">
      <c r="A31" s="1"/>
      <c r="B31" s="43" t="s">
        <v>35</v>
      </c>
      <c r="C31" s="44" t="s">
        <v>68</v>
      </c>
      <c r="D31" s="40">
        <v>46295</v>
      </c>
      <c r="E31" s="1" t="s">
        <v>69</v>
      </c>
      <c r="F31" s="1"/>
      <c r="G31" s="5"/>
      <c r="H31" s="20"/>
      <c r="I31" s="27"/>
      <c r="J31" s="41"/>
      <c r="K31" s="42"/>
      <c r="L31" s="1"/>
      <c r="M31" s="1"/>
      <c r="N31" s="1"/>
      <c r="O31" s="8"/>
      <c r="P31" s="5"/>
      <c r="R31" s="1"/>
      <c r="S31" s="1"/>
      <c r="T31" s="1"/>
      <c r="U31" s="1"/>
      <c r="V31" s="1"/>
      <c r="W31" s="1"/>
      <c r="X31" s="1"/>
      <c r="Z31" s="5"/>
    </row>
    <row r="32" spans="1:26" ht="14.45" outlineLevel="3">
      <c r="A32" s="1"/>
      <c r="B32" s="1" t="s">
        <v>62</v>
      </c>
      <c r="C32" s="11" t="s">
        <v>70</v>
      </c>
      <c r="D32" s="40">
        <v>46335</v>
      </c>
      <c r="E32" s="1" t="s">
        <v>25</v>
      </c>
      <c r="F32" s="1"/>
      <c r="G32" s="5"/>
      <c r="H32" s="41">
        <v>0.43</v>
      </c>
      <c r="I32" s="42">
        <v>1</v>
      </c>
      <c r="J32" s="41">
        <f>IF(K32=1,H32,0)</f>
        <v>0</v>
      </c>
      <c r="K32" s="42"/>
      <c r="L32" s="1" t="s">
        <v>63</v>
      </c>
      <c r="M32" s="1" t="s">
        <v>22</v>
      </c>
      <c r="N32" s="1" t="s">
        <v>25</v>
      </c>
      <c r="O32" s="8"/>
      <c r="P32" s="5"/>
      <c r="R32" s="1" t="s">
        <v>25</v>
      </c>
      <c r="S32" s="1" t="s">
        <v>26</v>
      </c>
      <c r="T32" s="1" t="s">
        <v>27</v>
      </c>
      <c r="U32" s="1" t="s">
        <v>29</v>
      </c>
      <c r="V32" s="1"/>
      <c r="W32" s="1"/>
      <c r="X32" s="1"/>
      <c r="Z32" s="5"/>
    </row>
    <row r="33" spans="1:26" ht="23.1" outlineLevel="4">
      <c r="A33" s="1"/>
      <c r="B33" s="43" t="s">
        <v>30</v>
      </c>
      <c r="C33" s="44" t="s">
        <v>66</v>
      </c>
      <c r="D33" s="40">
        <v>46295</v>
      </c>
      <c r="E33" s="1" t="s">
        <v>67</v>
      </c>
      <c r="F33" s="1"/>
      <c r="G33" s="5"/>
      <c r="H33" s="20"/>
      <c r="I33" s="27"/>
      <c r="J33" s="41"/>
      <c r="K33" s="42"/>
      <c r="L33" s="1"/>
      <c r="M33" s="1"/>
      <c r="N33" s="1"/>
      <c r="O33" s="8"/>
      <c r="P33" s="5"/>
      <c r="R33" s="1"/>
      <c r="S33" s="1"/>
      <c r="T33" s="1"/>
      <c r="U33" s="1"/>
      <c r="V33" s="1"/>
      <c r="W33" s="1"/>
      <c r="X33" s="1"/>
      <c r="Z33" s="5"/>
    </row>
    <row r="34" spans="1:26" ht="23.1" outlineLevel="4">
      <c r="A34" s="1"/>
      <c r="B34" s="43" t="s">
        <v>35</v>
      </c>
      <c r="C34" s="44" t="s">
        <v>68</v>
      </c>
      <c r="D34" s="40">
        <v>46295</v>
      </c>
      <c r="E34" s="1" t="s">
        <v>69</v>
      </c>
      <c r="F34" s="1"/>
      <c r="G34" s="5"/>
      <c r="H34" s="20"/>
      <c r="I34" s="27"/>
      <c r="J34" s="41"/>
      <c r="K34" s="42"/>
      <c r="L34" s="1"/>
      <c r="M34" s="1"/>
      <c r="N34" s="1"/>
      <c r="O34" s="8"/>
      <c r="P34" s="5"/>
      <c r="R34" s="1"/>
      <c r="S34" s="1"/>
      <c r="T34" s="1"/>
      <c r="U34" s="1"/>
      <c r="V34" s="1"/>
      <c r="W34" s="1"/>
      <c r="X34" s="1"/>
      <c r="Z34" s="5"/>
    </row>
    <row r="35" spans="1:26" ht="14.45" outlineLevel="3">
      <c r="A35" s="1"/>
      <c r="B35" s="1" t="s">
        <v>62</v>
      </c>
      <c r="C35" s="11" t="s">
        <v>71</v>
      </c>
      <c r="D35" s="40">
        <v>46366</v>
      </c>
      <c r="E35" s="1" t="s">
        <v>72</v>
      </c>
      <c r="F35" s="1"/>
      <c r="G35" s="5"/>
      <c r="H35" s="41">
        <v>0.11</v>
      </c>
      <c r="I35" s="42">
        <v>1</v>
      </c>
      <c r="J35" s="41">
        <f>IF(K35=1,H35,0)</f>
        <v>0</v>
      </c>
      <c r="K35" s="42"/>
      <c r="L35" s="1" t="s">
        <v>63</v>
      </c>
      <c r="M35" s="1" t="s">
        <v>22</v>
      </c>
      <c r="N35" s="1" t="s">
        <v>72</v>
      </c>
      <c r="O35" s="8"/>
      <c r="P35" s="5"/>
      <c r="R35" s="1" t="s">
        <v>72</v>
      </c>
      <c r="S35" s="1" t="s">
        <v>26</v>
      </c>
      <c r="T35" s="1" t="s">
        <v>27</v>
      </c>
      <c r="U35" s="1" t="s">
        <v>29</v>
      </c>
      <c r="V35" s="1"/>
      <c r="W35" s="1"/>
      <c r="X35" s="1"/>
      <c r="Z35" s="5"/>
    </row>
    <row r="36" spans="1:26" ht="14.45" outlineLevel="4">
      <c r="A36" s="1"/>
      <c r="B36" s="43" t="s">
        <v>30</v>
      </c>
      <c r="C36" s="44" t="s">
        <v>34</v>
      </c>
      <c r="D36" s="40"/>
      <c r="E36" s="1"/>
      <c r="F36" s="1"/>
      <c r="G36" s="5"/>
      <c r="H36" s="20"/>
      <c r="I36" s="27"/>
      <c r="J36" s="41"/>
      <c r="K36" s="42"/>
      <c r="L36" s="1"/>
      <c r="M36" s="1"/>
      <c r="N36" s="1"/>
      <c r="O36" s="8"/>
      <c r="P36" s="5"/>
      <c r="R36" s="1"/>
      <c r="S36" s="1"/>
      <c r="T36" s="1"/>
      <c r="U36" s="1"/>
      <c r="V36" s="1"/>
      <c r="W36" s="1"/>
      <c r="X36" s="1"/>
      <c r="Z36" s="5"/>
    </row>
    <row r="37" spans="1:26" ht="14.45" outlineLevel="4">
      <c r="A37" s="1"/>
      <c r="B37" s="43" t="s">
        <v>35</v>
      </c>
      <c r="C37" s="44" t="s">
        <v>36</v>
      </c>
      <c r="D37" s="40"/>
      <c r="E37" s="1"/>
      <c r="F37" s="1"/>
      <c r="G37" s="5"/>
      <c r="H37" s="20"/>
      <c r="I37" s="27"/>
      <c r="J37" s="41"/>
      <c r="K37" s="42"/>
      <c r="L37" s="1"/>
      <c r="M37" s="1"/>
      <c r="N37" s="1"/>
      <c r="O37" s="8"/>
      <c r="P37" s="5"/>
      <c r="R37" s="1"/>
      <c r="S37" s="1"/>
      <c r="T37" s="1"/>
      <c r="U37" s="1"/>
      <c r="V37" s="1"/>
      <c r="W37" s="1"/>
      <c r="X37" s="1"/>
      <c r="Z37" s="5"/>
    </row>
    <row r="38" spans="1:26" outlineLevel="2">
      <c r="A38" s="1"/>
      <c r="B38" s="36" t="s">
        <v>37</v>
      </c>
      <c r="C38" s="37" t="s">
        <v>73</v>
      </c>
      <c r="D38" s="36"/>
      <c r="E38" s="36"/>
      <c r="F38" s="36"/>
      <c r="G38" s="5"/>
      <c r="H38" s="38">
        <f>SUBTOTAL(9,H39)</f>
        <v>0.17172000000000001</v>
      </c>
      <c r="I38" s="39">
        <f>SUBTOTAL(9,I39)</f>
        <v>1</v>
      </c>
      <c r="J38" s="38">
        <f>SUBTOTAL(9,J39)</f>
        <v>0</v>
      </c>
      <c r="K38" s="39">
        <f>SUBTOTAL(9,K39)</f>
        <v>0</v>
      </c>
      <c r="L38" s="36" t="s">
        <v>63</v>
      </c>
      <c r="M38" s="36" t="s">
        <v>38</v>
      </c>
      <c r="N38" s="36"/>
      <c r="O38" s="8"/>
      <c r="P38" s="5"/>
      <c r="R38" s="36"/>
      <c r="S38" s="36"/>
      <c r="T38" s="36"/>
      <c r="U38" s="36"/>
      <c r="V38" s="36"/>
      <c r="W38" s="36"/>
      <c r="X38" s="36"/>
      <c r="Z38" s="5"/>
    </row>
    <row r="39" spans="1:26" ht="14.45" outlineLevel="3">
      <c r="A39" s="1"/>
      <c r="B39" s="1" t="s">
        <v>62</v>
      </c>
      <c r="C39" s="11" t="s">
        <v>70</v>
      </c>
      <c r="D39" s="40">
        <v>46365</v>
      </c>
      <c r="E39" s="1" t="s">
        <v>40</v>
      </c>
      <c r="F39" s="1"/>
      <c r="G39" s="5"/>
      <c r="H39" s="41">
        <v>0.17172000000000001</v>
      </c>
      <c r="I39" s="42">
        <v>1</v>
      </c>
      <c r="J39" s="41">
        <f>IF(K39=1,H39,0)</f>
        <v>0</v>
      </c>
      <c r="K39" s="42"/>
      <c r="L39" s="1" t="s">
        <v>63</v>
      </c>
      <c r="M39" s="1" t="s">
        <v>38</v>
      </c>
      <c r="N39" s="1" t="s">
        <v>40</v>
      </c>
      <c r="O39" s="8"/>
      <c r="P39" s="5"/>
      <c r="R39" s="1" t="s">
        <v>40</v>
      </c>
      <c r="S39" s="1" t="s">
        <v>74</v>
      </c>
      <c r="T39" s="1" t="s">
        <v>75</v>
      </c>
      <c r="U39" s="1"/>
      <c r="V39" s="1" t="s">
        <v>43</v>
      </c>
      <c r="W39" s="1"/>
      <c r="X39" s="1">
        <v>0</v>
      </c>
      <c r="Z39" s="5"/>
    </row>
    <row r="40" spans="1:26" ht="14.45" outlineLevel="4">
      <c r="A40" s="1"/>
      <c r="B40" s="43" t="s">
        <v>30</v>
      </c>
      <c r="C40" s="44" t="s">
        <v>76</v>
      </c>
      <c r="D40" s="40"/>
      <c r="E40" s="1" t="s">
        <v>27</v>
      </c>
      <c r="F40" s="1"/>
      <c r="G40" s="5"/>
      <c r="H40" s="20"/>
      <c r="I40" s="27"/>
      <c r="J40" s="41"/>
      <c r="K40" s="42"/>
      <c r="L40" s="1"/>
      <c r="M40" s="1"/>
      <c r="N40" s="1"/>
      <c r="O40" s="8"/>
      <c r="P40" s="5"/>
      <c r="R40" s="1"/>
      <c r="S40" s="1"/>
      <c r="T40" s="1"/>
      <c r="U40" s="1"/>
      <c r="V40" s="1"/>
      <c r="W40" s="1"/>
      <c r="X40" s="1"/>
      <c r="Z40" s="5"/>
    </row>
    <row r="41" spans="1:26" ht="14.45" outlineLevel="4">
      <c r="A41" s="1"/>
      <c r="B41" s="43" t="s">
        <v>35</v>
      </c>
      <c r="C41" s="44" t="s">
        <v>77</v>
      </c>
      <c r="D41" s="40"/>
      <c r="E41" s="1"/>
      <c r="F41" s="1" t="s">
        <v>78</v>
      </c>
      <c r="G41" s="5"/>
      <c r="H41" s="20"/>
      <c r="I41" s="27"/>
      <c r="J41" s="41"/>
      <c r="K41" s="42"/>
      <c r="L41" s="1"/>
      <c r="M41" s="1"/>
      <c r="N41" s="1"/>
      <c r="O41" s="8"/>
      <c r="P41" s="5"/>
      <c r="R41" s="1"/>
      <c r="S41" s="1"/>
      <c r="T41" s="1"/>
      <c r="U41" s="1"/>
      <c r="V41" s="1"/>
      <c r="W41" s="1"/>
      <c r="X41" s="1"/>
      <c r="Z41" s="5"/>
    </row>
    <row r="42" spans="1:26" outlineLevel="2">
      <c r="A42" s="1"/>
      <c r="B42" s="36" t="s">
        <v>51</v>
      </c>
      <c r="C42" s="37" t="s">
        <v>64</v>
      </c>
      <c r="D42" s="36"/>
      <c r="E42" s="36"/>
      <c r="F42" s="36"/>
      <c r="G42" s="5"/>
      <c r="H42" s="38">
        <f>SUBTOTAL(9,H43:H45)</f>
        <v>6.3719999999999999E-2</v>
      </c>
      <c r="I42" s="39">
        <f>SUBTOTAL(9,I43:I45)</f>
        <v>1</v>
      </c>
      <c r="J42" s="38">
        <f>SUBTOTAL(9,J43:J45)</f>
        <v>0</v>
      </c>
      <c r="K42" s="39">
        <f>SUBTOTAL(9,K43:K45)</f>
        <v>0</v>
      </c>
      <c r="L42" s="36" t="s">
        <v>63</v>
      </c>
      <c r="M42" s="36" t="s">
        <v>51</v>
      </c>
      <c r="N42" s="36"/>
      <c r="O42" s="8"/>
      <c r="P42" s="5"/>
      <c r="R42" s="36"/>
      <c r="S42" s="36"/>
      <c r="T42" s="36"/>
      <c r="U42" s="36"/>
      <c r="V42" s="36"/>
      <c r="W42" s="36"/>
      <c r="X42" s="36"/>
      <c r="Z42" s="5"/>
    </row>
    <row r="43" spans="1:26" ht="15" outlineLevel="3">
      <c r="A43" s="1"/>
      <c r="B43" s="1" t="s">
        <v>62</v>
      </c>
      <c r="C43" s="11" t="s">
        <v>70</v>
      </c>
      <c r="D43" s="9"/>
      <c r="E43" s="1" t="s">
        <v>52</v>
      </c>
      <c r="G43" s="5"/>
      <c r="H43" s="41">
        <v>6.3719999999999999E-2</v>
      </c>
      <c r="I43" s="42">
        <v>1</v>
      </c>
      <c r="J43" s="41">
        <f>IF(K43=1,H43,0)</f>
        <v>0</v>
      </c>
      <c r="K43" s="42"/>
      <c r="L43" s="1" t="s">
        <v>63</v>
      </c>
      <c r="M43" s="1" t="s">
        <v>51</v>
      </c>
      <c r="N43" s="1" t="s">
        <v>52</v>
      </c>
      <c r="O43" s="8"/>
      <c r="P43" s="5"/>
      <c r="R43" s="1" t="s">
        <v>52</v>
      </c>
      <c r="S43" s="1" t="s">
        <v>53</v>
      </c>
      <c r="T43" s="1" t="s">
        <v>54</v>
      </c>
      <c r="U43" s="1" t="s">
        <v>79</v>
      </c>
      <c r="V43" s="1"/>
      <c r="W43" s="1"/>
      <c r="X43" s="1"/>
      <c r="Z43" s="5"/>
    </row>
    <row r="44" spans="1:26" ht="15" outlineLevel="4">
      <c r="A44" s="1"/>
      <c r="B44" s="43" t="s">
        <v>30</v>
      </c>
      <c r="C44" s="44" t="s">
        <v>34</v>
      </c>
      <c r="D44" s="40">
        <v>46374</v>
      </c>
      <c r="E44" s="1"/>
      <c r="F44" s="1" t="s">
        <v>80</v>
      </c>
      <c r="G44" s="5"/>
      <c r="H44" s="20"/>
      <c r="I44" s="27"/>
      <c r="J44" s="41"/>
      <c r="K44" s="42"/>
      <c r="L44" s="1"/>
      <c r="M44" s="1"/>
      <c r="N44" s="1"/>
      <c r="O44" s="8"/>
      <c r="P44" s="5"/>
      <c r="R44" s="1"/>
      <c r="S44" s="1"/>
      <c r="T44" s="1"/>
      <c r="U44" s="1"/>
      <c r="V44" s="1"/>
      <c r="W44" s="1"/>
      <c r="X44" s="1"/>
      <c r="Z44" s="5"/>
    </row>
    <row r="45" spans="1:26" ht="14.45" outlineLevel="4">
      <c r="A45" s="1"/>
      <c r="B45" s="43" t="s">
        <v>35</v>
      </c>
      <c r="C45" s="44" t="s">
        <v>36</v>
      </c>
      <c r="D45" s="40">
        <v>46374</v>
      </c>
      <c r="E45" s="1"/>
      <c r="F45" s="1" t="s">
        <v>80</v>
      </c>
      <c r="G45" s="5"/>
      <c r="H45" s="20"/>
      <c r="I45" s="27"/>
      <c r="J45" s="41"/>
      <c r="K45" s="42"/>
      <c r="L45" s="1"/>
      <c r="M45" s="1"/>
      <c r="N45" s="1"/>
      <c r="O45" s="8"/>
      <c r="P45" s="5"/>
      <c r="R45" s="1"/>
      <c r="S45" s="1"/>
      <c r="T45" s="1"/>
      <c r="U45" s="1"/>
      <c r="V45" s="1"/>
      <c r="W45" s="1"/>
      <c r="X45" s="1"/>
      <c r="Z45" s="5"/>
    </row>
    <row r="46" spans="1:26" outlineLevel="2">
      <c r="A46" s="1"/>
      <c r="B46" s="36" t="s">
        <v>81</v>
      </c>
      <c r="C46" s="37" t="s">
        <v>64</v>
      </c>
      <c r="D46" s="36"/>
      <c r="E46" s="36"/>
      <c r="F46" s="36"/>
      <c r="G46" s="5"/>
      <c r="H46" s="38">
        <f>SUBTOTAL(9,H47:H48)</f>
        <v>5.3460000000000001E-2</v>
      </c>
      <c r="I46" s="39">
        <f>SUBTOTAL(9,I47:I48)</f>
        <v>1</v>
      </c>
      <c r="J46" s="38">
        <f>SUBTOTAL(9,J47:J48)</f>
        <v>0</v>
      </c>
      <c r="K46" s="39">
        <f>SUBTOTAL(9,K47:K48)</f>
        <v>0</v>
      </c>
      <c r="L46" s="36" t="s">
        <v>63</v>
      </c>
      <c r="M46" s="36" t="s">
        <v>81</v>
      </c>
      <c r="N46" s="36"/>
      <c r="O46" s="8"/>
      <c r="P46" s="5"/>
      <c r="R46" s="36"/>
      <c r="S46" s="36"/>
      <c r="T46" s="36"/>
      <c r="U46" s="36"/>
      <c r="V46" s="36"/>
      <c r="W46" s="36"/>
      <c r="X46" s="36"/>
      <c r="Z46" s="5"/>
    </row>
    <row r="47" spans="1:26" ht="14.45" outlineLevel="3">
      <c r="A47" s="1"/>
      <c r="B47" s="1" t="s">
        <v>62</v>
      </c>
      <c r="C47" s="11" t="s">
        <v>70</v>
      </c>
      <c r="D47" s="40">
        <v>46365</v>
      </c>
      <c r="E47" s="1" t="s">
        <v>52</v>
      </c>
      <c r="F47" s="1"/>
      <c r="G47" s="5"/>
      <c r="H47" s="41">
        <v>5.3460000000000001E-2</v>
      </c>
      <c r="I47" s="42">
        <v>1</v>
      </c>
      <c r="J47" s="41">
        <f>IF(K47=1,H47,0)</f>
        <v>0</v>
      </c>
      <c r="K47" s="42"/>
      <c r="L47" s="1" t="s">
        <v>63</v>
      </c>
      <c r="M47" s="1" t="s">
        <v>81</v>
      </c>
      <c r="N47" s="1" t="s">
        <v>52</v>
      </c>
      <c r="O47" s="8"/>
      <c r="P47" s="5"/>
      <c r="R47" s="1" t="s">
        <v>52</v>
      </c>
      <c r="S47" s="1" t="s">
        <v>82</v>
      </c>
      <c r="T47" s="1" t="s">
        <v>83</v>
      </c>
      <c r="U47" s="1"/>
      <c r="V47" s="1"/>
      <c r="W47" s="1"/>
      <c r="X47" s="1"/>
      <c r="Z47" s="5"/>
    </row>
    <row r="48" spans="1:26" ht="14.45" outlineLevel="4">
      <c r="A48" s="1"/>
      <c r="B48" s="43" t="s">
        <v>30</v>
      </c>
      <c r="C48" s="44" t="s">
        <v>84</v>
      </c>
      <c r="D48" s="40"/>
      <c r="E48" s="1" t="s">
        <v>85</v>
      </c>
      <c r="F48" s="1" t="s">
        <v>80</v>
      </c>
      <c r="G48" s="5"/>
      <c r="H48" s="20"/>
      <c r="I48" s="27"/>
      <c r="J48" s="41"/>
      <c r="K48" s="42"/>
      <c r="L48" s="1"/>
      <c r="M48" s="1"/>
      <c r="N48" s="1"/>
      <c r="O48" s="8"/>
      <c r="P48" s="5"/>
      <c r="R48" s="1"/>
      <c r="S48" s="1"/>
      <c r="T48" s="1"/>
      <c r="U48" s="1"/>
      <c r="V48" s="1"/>
      <c r="W48" s="1"/>
      <c r="X48" s="1"/>
      <c r="Z48" s="5"/>
    </row>
    <row r="49" spans="1:26" s="35" customFormat="1" outlineLevel="1">
      <c r="A49" s="28"/>
      <c r="B49" s="29" t="s">
        <v>86</v>
      </c>
      <c r="C49" s="30" t="s">
        <v>20</v>
      </c>
      <c r="D49" s="29"/>
      <c r="E49" s="29"/>
      <c r="F49" s="29"/>
      <c r="G49" s="31"/>
      <c r="H49" s="32">
        <f>SUBTOTAL(9,H50:H66)</f>
        <v>0.56189180207999989</v>
      </c>
      <c r="I49" s="33">
        <f>SUBTOTAL(9,I50:I66)</f>
        <v>5</v>
      </c>
      <c r="J49" s="32">
        <f>SUBTOTAL(9,J50:J66)</f>
        <v>0</v>
      </c>
      <c r="K49" s="33">
        <f>SUBTOTAL(9,K50:K66)</f>
        <v>0</v>
      </c>
      <c r="L49" s="29" t="s">
        <v>87</v>
      </c>
      <c r="M49" s="29"/>
      <c r="N49" s="29"/>
      <c r="O49" s="34"/>
      <c r="P49" s="31"/>
      <c r="R49" s="29"/>
      <c r="S49" s="29"/>
      <c r="T49" s="29"/>
      <c r="U49" s="29"/>
      <c r="V49" s="29"/>
      <c r="W49" s="29"/>
      <c r="X49" s="29"/>
      <c r="Z49" s="31"/>
    </row>
    <row r="50" spans="1:26" outlineLevel="2">
      <c r="A50" s="1"/>
      <c r="B50" s="36" t="s">
        <v>22</v>
      </c>
      <c r="C50" s="37" t="s">
        <v>73</v>
      </c>
      <c r="D50" s="36"/>
      <c r="E50" s="36"/>
      <c r="F50" s="36"/>
      <c r="G50" s="5"/>
      <c r="H50" s="38">
        <f>SUBTOTAL(9,H51:H54)</f>
        <v>0.43996002400000001</v>
      </c>
      <c r="I50" s="39">
        <f>SUBTOTAL(9,I51:I54)</f>
        <v>2</v>
      </c>
      <c r="J50" s="38">
        <f>SUBTOTAL(9,J51:J54)</f>
        <v>0</v>
      </c>
      <c r="K50" s="39">
        <f>SUBTOTAL(9,K51:K54)</f>
        <v>0</v>
      </c>
      <c r="L50" s="36" t="s">
        <v>87</v>
      </c>
      <c r="M50" s="36" t="s">
        <v>22</v>
      </c>
      <c r="N50" s="36"/>
      <c r="O50" s="8"/>
      <c r="P50" s="5"/>
      <c r="R50" s="36"/>
      <c r="S50" s="36"/>
      <c r="T50" s="36"/>
      <c r="U50" s="36"/>
      <c r="V50" s="36"/>
      <c r="W50" s="36"/>
      <c r="X50" s="36"/>
      <c r="Z50" s="5"/>
    </row>
    <row r="51" spans="1:26" ht="14.45" outlineLevel="3">
      <c r="A51" s="1"/>
      <c r="B51" s="1" t="s">
        <v>86</v>
      </c>
      <c r="C51" s="11" t="s">
        <v>88</v>
      </c>
      <c r="D51" s="40">
        <v>46303</v>
      </c>
      <c r="E51" s="1" t="s">
        <v>25</v>
      </c>
      <c r="F51" s="1"/>
      <c r="G51" s="5"/>
      <c r="H51" s="41">
        <v>0.17598400959999999</v>
      </c>
      <c r="I51" s="42">
        <v>1</v>
      </c>
      <c r="J51" s="41">
        <f>IF(K51=1,H51,0)</f>
        <v>0</v>
      </c>
      <c r="K51" s="42"/>
      <c r="L51" s="1" t="s">
        <v>87</v>
      </c>
      <c r="M51" s="1" t="s">
        <v>22</v>
      </c>
      <c r="N51" s="1" t="s">
        <v>25</v>
      </c>
      <c r="O51" s="8"/>
      <c r="P51" s="5"/>
      <c r="R51" s="1" t="s">
        <v>25</v>
      </c>
      <c r="S51" s="1" t="s">
        <v>26</v>
      </c>
      <c r="T51" s="1" t="s">
        <v>27</v>
      </c>
      <c r="U51" s="1" t="s">
        <v>29</v>
      </c>
      <c r="V51" s="1"/>
      <c r="W51" s="1"/>
      <c r="X51" s="1"/>
      <c r="Z51" s="5"/>
    </row>
    <row r="52" spans="1:26" ht="14.45" outlineLevel="4">
      <c r="A52" s="1"/>
      <c r="B52" s="43" t="s">
        <v>30</v>
      </c>
      <c r="C52" s="44" t="s">
        <v>89</v>
      </c>
      <c r="D52" s="40">
        <v>46290</v>
      </c>
      <c r="E52" s="1" t="s">
        <v>90</v>
      </c>
      <c r="F52" s="1"/>
      <c r="G52" s="5"/>
      <c r="H52" s="20"/>
      <c r="I52" s="27"/>
      <c r="J52" s="41"/>
      <c r="K52" s="42"/>
      <c r="L52" s="1"/>
      <c r="M52" s="1"/>
      <c r="N52" s="1"/>
      <c r="O52" s="8"/>
      <c r="P52" s="5"/>
      <c r="R52" s="1"/>
      <c r="S52" s="1"/>
      <c r="T52" s="1"/>
      <c r="U52" s="1"/>
      <c r="V52" s="1"/>
      <c r="W52" s="1"/>
      <c r="X52" s="1"/>
      <c r="Z52" s="5"/>
    </row>
    <row r="53" spans="1:26" ht="14.45" outlineLevel="4">
      <c r="A53" s="1"/>
      <c r="B53" s="43"/>
      <c r="C53" s="44"/>
      <c r="D53" s="40"/>
      <c r="E53" s="1"/>
      <c r="F53" s="1"/>
      <c r="G53" s="5"/>
      <c r="H53" s="20"/>
      <c r="I53" s="27"/>
      <c r="J53" s="41"/>
      <c r="K53" s="42"/>
      <c r="L53" s="1"/>
      <c r="M53" s="1"/>
      <c r="N53" s="1"/>
      <c r="O53" s="8"/>
      <c r="P53" s="5"/>
      <c r="R53" s="1"/>
      <c r="S53" s="1"/>
      <c r="T53" s="1"/>
      <c r="U53" s="1"/>
      <c r="V53" s="1"/>
      <c r="W53" s="1"/>
      <c r="X53" s="1"/>
      <c r="Z53" s="5"/>
    </row>
    <row r="54" spans="1:26" ht="14.45" outlineLevel="3">
      <c r="A54" s="1"/>
      <c r="B54" s="1" t="s">
        <v>86</v>
      </c>
      <c r="C54" s="11" t="s">
        <v>70</v>
      </c>
      <c r="D54" s="40">
        <v>46343</v>
      </c>
      <c r="E54" s="1" t="s">
        <v>25</v>
      </c>
      <c r="F54" s="1"/>
      <c r="G54" s="5"/>
      <c r="H54" s="41">
        <v>0.26397601440000001</v>
      </c>
      <c r="I54" s="42">
        <v>1</v>
      </c>
      <c r="J54" s="41">
        <f>IF(K54=1,H54,0)</f>
        <v>0</v>
      </c>
      <c r="K54" s="42"/>
      <c r="L54" s="1" t="s">
        <v>87</v>
      </c>
      <c r="M54" s="1" t="s">
        <v>22</v>
      </c>
      <c r="N54" s="1" t="s">
        <v>25</v>
      </c>
      <c r="O54" s="8"/>
      <c r="P54" s="5"/>
      <c r="R54" s="1" t="s">
        <v>25</v>
      </c>
      <c r="S54" s="1" t="s">
        <v>26</v>
      </c>
      <c r="T54" s="1" t="s">
        <v>27</v>
      </c>
      <c r="U54" s="1" t="s">
        <v>29</v>
      </c>
      <c r="V54" s="1"/>
      <c r="W54" s="1"/>
      <c r="X54" s="1"/>
      <c r="Z54" s="5"/>
    </row>
    <row r="55" spans="1:26" ht="14.45" outlineLevel="4">
      <c r="A55" s="1"/>
      <c r="B55" s="43" t="s">
        <v>30</v>
      </c>
      <c r="C55" s="44" t="s">
        <v>89</v>
      </c>
      <c r="D55" s="40">
        <v>46295</v>
      </c>
      <c r="E55" s="1" t="s">
        <v>90</v>
      </c>
      <c r="F55" s="1"/>
      <c r="G55" s="5"/>
      <c r="H55" s="20"/>
      <c r="I55" s="27"/>
      <c r="J55" s="41"/>
      <c r="K55" s="42"/>
      <c r="L55" s="1"/>
      <c r="M55" s="1"/>
      <c r="N55" s="1"/>
      <c r="O55" s="8"/>
      <c r="P55" s="5"/>
      <c r="R55" s="1"/>
      <c r="S55" s="1"/>
      <c r="T55" s="1"/>
      <c r="U55" s="1"/>
      <c r="V55" s="1"/>
      <c r="W55" s="1"/>
      <c r="X55" s="1"/>
      <c r="Z55" s="5"/>
    </row>
    <row r="56" spans="1:26" ht="14.45" outlineLevel="4">
      <c r="A56" s="1"/>
      <c r="B56" s="43"/>
      <c r="C56" s="44"/>
      <c r="D56" s="40"/>
      <c r="E56" s="1"/>
      <c r="F56" s="1"/>
      <c r="G56" s="5"/>
      <c r="H56" s="20"/>
      <c r="I56" s="27"/>
      <c r="J56" s="41"/>
      <c r="K56" s="42"/>
      <c r="L56" s="1"/>
      <c r="M56" s="1"/>
      <c r="N56" s="1"/>
      <c r="O56" s="8"/>
      <c r="P56" s="5"/>
      <c r="R56" s="1"/>
      <c r="S56" s="1"/>
      <c r="T56" s="1"/>
      <c r="U56" s="1"/>
      <c r="V56" s="1"/>
      <c r="W56" s="1"/>
      <c r="X56" s="1"/>
      <c r="Z56" s="5"/>
    </row>
    <row r="57" spans="1:26" outlineLevel="2">
      <c r="A57" s="1"/>
      <c r="B57" s="36" t="s">
        <v>37</v>
      </c>
      <c r="C57" s="37" t="s">
        <v>73</v>
      </c>
      <c r="D57" s="36"/>
      <c r="E57" s="36"/>
      <c r="F57" s="36"/>
      <c r="G57" s="5"/>
      <c r="H57" s="38">
        <f>SUBTOTAL(9,H58)</f>
        <v>8.0449832960000009E-2</v>
      </c>
      <c r="I57" s="39">
        <f>SUBTOTAL(9,I58)</f>
        <v>1</v>
      </c>
      <c r="J57" s="38">
        <f>SUBTOTAL(9,J58)</f>
        <v>0</v>
      </c>
      <c r="K57" s="39">
        <f>SUBTOTAL(9,K58)</f>
        <v>0</v>
      </c>
      <c r="L57" s="36" t="s">
        <v>87</v>
      </c>
      <c r="M57" s="36" t="s">
        <v>38</v>
      </c>
      <c r="N57" s="36"/>
      <c r="O57" s="8"/>
      <c r="P57" s="5"/>
      <c r="R57" s="36"/>
      <c r="S57" s="36"/>
      <c r="T57" s="36"/>
      <c r="U57" s="36"/>
      <c r="V57" s="36"/>
      <c r="W57" s="36"/>
      <c r="X57" s="36"/>
      <c r="Z57" s="5"/>
    </row>
    <row r="58" spans="1:26" ht="14.45" outlineLevel="3">
      <c r="A58" s="1"/>
      <c r="B58" s="1" t="s">
        <v>86</v>
      </c>
      <c r="C58" s="11" t="s">
        <v>70</v>
      </c>
      <c r="D58" s="40">
        <v>46358</v>
      </c>
      <c r="E58" s="1" t="s">
        <v>40</v>
      </c>
      <c r="F58" s="1"/>
      <c r="G58" s="5"/>
      <c r="H58" s="41">
        <v>8.0449832960000009E-2</v>
      </c>
      <c r="I58" s="42">
        <v>1</v>
      </c>
      <c r="J58" s="41">
        <f>IF(K58=1,H58,0)</f>
        <v>0</v>
      </c>
      <c r="K58" s="42"/>
      <c r="L58" s="1" t="s">
        <v>87</v>
      </c>
      <c r="M58" s="1" t="s">
        <v>38</v>
      </c>
      <c r="N58" s="1" t="s">
        <v>40</v>
      </c>
      <c r="O58" s="8"/>
      <c r="P58" s="5"/>
      <c r="R58" s="1" t="s">
        <v>40</v>
      </c>
      <c r="S58" s="1" t="s">
        <v>41</v>
      </c>
      <c r="T58" s="1" t="s">
        <v>42</v>
      </c>
      <c r="U58" s="1"/>
      <c r="V58" s="1"/>
      <c r="W58" s="1"/>
      <c r="X58" s="1"/>
      <c r="Z58" s="5"/>
    </row>
    <row r="59" spans="1:26" ht="14.45" outlineLevel="4">
      <c r="A59" s="1"/>
      <c r="B59" s="43" t="s">
        <v>30</v>
      </c>
      <c r="C59" s="44" t="s">
        <v>77</v>
      </c>
      <c r="D59" s="40"/>
      <c r="E59" s="1"/>
      <c r="F59" s="1" t="s">
        <v>78</v>
      </c>
      <c r="G59" s="5"/>
      <c r="H59" s="20"/>
      <c r="I59" s="27"/>
      <c r="J59" s="41"/>
      <c r="K59" s="42"/>
      <c r="L59" s="1"/>
      <c r="M59" s="1"/>
      <c r="N59" s="1"/>
      <c r="O59" s="8"/>
      <c r="P59" s="5"/>
      <c r="R59" s="1"/>
      <c r="S59" s="1"/>
      <c r="T59" s="1"/>
      <c r="U59" s="1"/>
      <c r="V59" s="1"/>
      <c r="W59" s="1"/>
      <c r="X59" s="1"/>
      <c r="Z59" s="5"/>
    </row>
    <row r="60" spans="1:26" ht="14.45" outlineLevel="4">
      <c r="A60" s="1"/>
      <c r="B60" s="43" t="s">
        <v>35</v>
      </c>
      <c r="C60" s="44"/>
      <c r="D60" s="40"/>
      <c r="E60" s="1"/>
      <c r="F60" s="1"/>
      <c r="G60" s="5"/>
      <c r="H60" s="20"/>
      <c r="I60" s="27"/>
      <c r="J60" s="41"/>
      <c r="K60" s="42"/>
      <c r="L60" s="1"/>
      <c r="M60" s="1"/>
      <c r="N60" s="1"/>
      <c r="O60" s="8"/>
      <c r="P60" s="5"/>
      <c r="R60" s="1"/>
      <c r="S60" s="1"/>
      <c r="T60" s="1"/>
      <c r="U60" s="1"/>
      <c r="V60" s="1"/>
      <c r="W60" s="1"/>
      <c r="X60" s="1"/>
      <c r="Z60" s="5"/>
    </row>
    <row r="61" spans="1:26" outlineLevel="2">
      <c r="A61" s="1"/>
      <c r="B61" s="36" t="s">
        <v>51</v>
      </c>
      <c r="C61" s="37" t="s">
        <v>73</v>
      </c>
      <c r="D61" s="36"/>
      <c r="E61" s="36"/>
      <c r="F61" s="36"/>
      <c r="G61" s="5"/>
      <c r="H61" s="38">
        <f>SUBTOTAL(9,H62)</f>
        <v>2.2626515519999998E-2</v>
      </c>
      <c r="I61" s="39">
        <f>SUBTOTAL(9,I62)</f>
        <v>1</v>
      </c>
      <c r="J61" s="38">
        <f>SUBTOTAL(9,J62)</f>
        <v>0</v>
      </c>
      <c r="K61" s="39">
        <f>SUBTOTAL(9,K62)</f>
        <v>0</v>
      </c>
      <c r="L61" s="36" t="s">
        <v>87</v>
      </c>
      <c r="M61" s="36" t="s">
        <v>51</v>
      </c>
      <c r="N61" s="36"/>
      <c r="O61" s="8"/>
      <c r="P61" s="5"/>
      <c r="R61" s="36"/>
      <c r="S61" s="36"/>
      <c r="T61" s="36"/>
      <c r="U61" s="36"/>
      <c r="V61" s="36"/>
      <c r="W61" s="36"/>
      <c r="X61" s="36"/>
      <c r="Z61" s="5"/>
    </row>
    <row r="62" spans="1:26" ht="15" outlineLevel="3">
      <c r="A62" s="1"/>
      <c r="B62" s="1" t="s">
        <v>86</v>
      </c>
      <c r="C62" s="11" t="s">
        <v>70</v>
      </c>
      <c r="D62" s="9"/>
      <c r="E62" s="1" t="s">
        <v>52</v>
      </c>
      <c r="G62" s="5"/>
      <c r="H62" s="41">
        <v>2.2626515519999998E-2</v>
      </c>
      <c r="I62" s="42">
        <v>1</v>
      </c>
      <c r="J62" s="41">
        <f>IF(K62=1,H62,0)</f>
        <v>0</v>
      </c>
      <c r="K62" s="42"/>
      <c r="L62" s="1" t="s">
        <v>87</v>
      </c>
      <c r="M62" s="1" t="s">
        <v>51</v>
      </c>
      <c r="N62" s="1" t="s">
        <v>52</v>
      </c>
      <c r="O62" s="8"/>
      <c r="P62" s="5"/>
      <c r="R62" s="1" t="s">
        <v>52</v>
      </c>
      <c r="S62" s="1" t="s">
        <v>91</v>
      </c>
      <c r="T62" s="1"/>
      <c r="U62" s="1"/>
      <c r="V62" s="1"/>
      <c r="W62" s="1"/>
      <c r="X62" s="1"/>
      <c r="Z62" s="5"/>
    </row>
    <row r="63" spans="1:26" ht="15" outlineLevel="4">
      <c r="A63" s="1"/>
      <c r="B63" s="43" t="s">
        <v>30</v>
      </c>
      <c r="C63" s="44" t="s">
        <v>34</v>
      </c>
      <c r="D63" s="40">
        <v>46374</v>
      </c>
      <c r="E63" s="1"/>
      <c r="F63" s="1" t="s">
        <v>80</v>
      </c>
      <c r="G63" s="5"/>
      <c r="H63" s="20"/>
      <c r="I63" s="27"/>
      <c r="J63" s="41"/>
      <c r="K63" s="42"/>
      <c r="L63" s="1"/>
      <c r="M63" s="1"/>
      <c r="N63" s="1"/>
      <c r="O63" s="8"/>
      <c r="P63" s="5"/>
      <c r="R63" s="1"/>
      <c r="S63" s="1"/>
      <c r="T63" s="1"/>
      <c r="U63" s="1"/>
      <c r="V63" s="1"/>
      <c r="W63" s="1"/>
      <c r="X63" s="1"/>
      <c r="Z63" s="5"/>
    </row>
    <row r="64" spans="1:26" ht="14.45" outlineLevel="4">
      <c r="A64" s="1"/>
      <c r="B64" s="43" t="s">
        <v>35</v>
      </c>
      <c r="C64" s="44" t="s">
        <v>36</v>
      </c>
      <c r="D64" s="40">
        <v>46374</v>
      </c>
      <c r="E64" s="1"/>
      <c r="F64" s="1" t="s">
        <v>80</v>
      </c>
      <c r="G64" s="5"/>
      <c r="H64" s="20"/>
      <c r="I64" s="27"/>
      <c r="J64" s="41"/>
      <c r="K64" s="42"/>
      <c r="L64" s="1"/>
      <c r="M64" s="1"/>
      <c r="N64" s="1"/>
      <c r="O64" s="8"/>
      <c r="P64" s="5"/>
      <c r="R64" s="1"/>
      <c r="S64" s="1"/>
      <c r="T64" s="1"/>
      <c r="U64" s="1"/>
      <c r="V64" s="1"/>
      <c r="W64" s="1"/>
      <c r="X64" s="1"/>
      <c r="Z64" s="5"/>
    </row>
    <row r="65" spans="1:26" outlineLevel="2">
      <c r="A65" s="1"/>
      <c r="B65" s="36" t="s">
        <v>81</v>
      </c>
      <c r="C65" s="37" t="s">
        <v>73</v>
      </c>
      <c r="D65" s="36"/>
      <c r="E65" s="36"/>
      <c r="F65" s="36"/>
      <c r="G65" s="5"/>
      <c r="H65" s="38">
        <f>SUBTOTAL(9,H66)</f>
        <v>1.8855429600000001E-2</v>
      </c>
      <c r="I65" s="39">
        <f>SUBTOTAL(9,I66)</f>
        <v>1</v>
      </c>
      <c r="J65" s="38">
        <f>SUBTOTAL(9,J66)</f>
        <v>0</v>
      </c>
      <c r="K65" s="39">
        <f>SUBTOTAL(9,K66)</f>
        <v>0</v>
      </c>
      <c r="L65" s="36" t="s">
        <v>87</v>
      </c>
      <c r="M65" s="36" t="s">
        <v>81</v>
      </c>
      <c r="N65" s="36"/>
      <c r="O65" s="8"/>
      <c r="P65" s="5"/>
      <c r="R65" s="36"/>
      <c r="S65" s="36"/>
      <c r="T65" s="36"/>
      <c r="U65" s="36"/>
      <c r="V65" s="36"/>
      <c r="W65" s="36"/>
      <c r="X65" s="36"/>
      <c r="Z65" s="5"/>
    </row>
    <row r="66" spans="1:26" ht="14.45" outlineLevel="3">
      <c r="A66" s="1"/>
      <c r="B66" s="1" t="s">
        <v>86</v>
      </c>
      <c r="C66" s="11" t="s">
        <v>70</v>
      </c>
      <c r="D66" s="40">
        <v>46356</v>
      </c>
      <c r="E66" s="1" t="s">
        <v>52</v>
      </c>
      <c r="F66" s="1"/>
      <c r="G66" s="5"/>
      <c r="H66" s="41">
        <v>1.8855429600000001E-2</v>
      </c>
      <c r="I66" s="42">
        <v>1</v>
      </c>
      <c r="J66" s="41">
        <f>IF(K66=1,H66,0)</f>
        <v>0</v>
      </c>
      <c r="K66" s="42"/>
      <c r="L66" s="1" t="s">
        <v>87</v>
      </c>
      <c r="M66" s="1" t="s">
        <v>81</v>
      </c>
      <c r="N66" s="1" t="s">
        <v>52</v>
      </c>
      <c r="O66" s="8"/>
      <c r="P66" s="5"/>
      <c r="R66" s="1" t="s">
        <v>52</v>
      </c>
      <c r="S66" s="1" t="s">
        <v>91</v>
      </c>
      <c r="T66" s="1"/>
      <c r="U66" s="1"/>
      <c r="V66" s="1"/>
      <c r="W66" s="1"/>
      <c r="X66" s="1"/>
      <c r="Z66" s="5"/>
    </row>
    <row r="67" spans="1:26" ht="14.45" outlineLevel="4">
      <c r="A67" s="1"/>
      <c r="B67" s="43" t="s">
        <v>30</v>
      </c>
      <c r="C67" s="44" t="s">
        <v>84</v>
      </c>
      <c r="D67" s="40"/>
      <c r="E67" s="1" t="s">
        <v>92</v>
      </c>
      <c r="F67" s="1" t="s">
        <v>80</v>
      </c>
      <c r="G67" s="5"/>
      <c r="H67" s="20"/>
      <c r="I67" s="27"/>
      <c r="J67" s="41"/>
      <c r="K67" s="42"/>
      <c r="L67" s="1"/>
      <c r="M67" s="1"/>
      <c r="N67" s="1"/>
      <c r="O67" s="8"/>
      <c r="P67" s="5"/>
      <c r="R67" s="1"/>
      <c r="S67" s="1"/>
      <c r="T67" s="1"/>
      <c r="U67" s="1"/>
      <c r="V67" s="1"/>
      <c r="W67" s="1"/>
      <c r="X67" s="1"/>
      <c r="Z67" s="5"/>
    </row>
    <row r="68" spans="1:26" s="35" customFormat="1" outlineLevel="1">
      <c r="A68" s="28"/>
      <c r="B68" s="29" t="s">
        <v>93</v>
      </c>
      <c r="C68" s="30" t="s">
        <v>20</v>
      </c>
      <c r="D68" s="29"/>
      <c r="E68" s="29"/>
      <c r="F68" s="29"/>
      <c r="G68" s="31"/>
      <c r="H68" s="32"/>
      <c r="I68" s="33"/>
      <c r="J68" s="32"/>
      <c r="K68" s="33"/>
      <c r="L68" s="29" t="s">
        <v>87</v>
      </c>
      <c r="M68" s="29"/>
      <c r="N68" s="29"/>
      <c r="O68" s="34"/>
      <c r="P68" s="31"/>
      <c r="R68" s="29"/>
      <c r="S68" s="29"/>
      <c r="T68" s="29"/>
      <c r="U68" s="29"/>
      <c r="V68" s="29"/>
      <c r="W68" s="29"/>
      <c r="X68" s="29"/>
      <c r="Z68" s="31"/>
    </row>
    <row r="69" spans="1:26" outlineLevel="2">
      <c r="A69" s="1"/>
      <c r="B69" s="36" t="s">
        <v>93</v>
      </c>
      <c r="C69" s="37" t="s">
        <v>73</v>
      </c>
      <c r="D69" s="36"/>
      <c r="E69" s="36"/>
      <c r="F69" s="36"/>
      <c r="G69" s="5"/>
      <c r="H69" s="38"/>
      <c r="I69" s="39"/>
      <c r="J69" s="38"/>
      <c r="K69" s="39"/>
      <c r="L69" s="36" t="s">
        <v>87</v>
      </c>
      <c r="M69" s="36" t="s">
        <v>22</v>
      </c>
      <c r="N69" s="36"/>
      <c r="O69" s="8"/>
      <c r="P69" s="5"/>
      <c r="R69" s="36"/>
      <c r="S69" s="36"/>
      <c r="T69" s="36"/>
      <c r="U69" s="36"/>
      <c r="V69" s="36"/>
      <c r="W69" s="36"/>
      <c r="X69" s="36"/>
      <c r="Z69" s="5"/>
    </row>
    <row r="70" spans="1:26" ht="14.45" outlineLevel="3">
      <c r="A70" s="1"/>
      <c r="B70" s="1" t="s">
        <v>86</v>
      </c>
      <c r="C70" s="11" t="s">
        <v>88</v>
      </c>
      <c r="D70" s="40"/>
      <c r="E70" s="1" t="s">
        <v>94</v>
      </c>
      <c r="F70" s="1"/>
      <c r="G70" s="5"/>
      <c r="H70" s="41"/>
      <c r="I70" s="42"/>
      <c r="J70" s="41"/>
      <c r="K70" s="42"/>
      <c r="L70" s="1" t="s">
        <v>87</v>
      </c>
      <c r="M70" s="1" t="s">
        <v>22</v>
      </c>
      <c r="N70" s="1" t="s">
        <v>25</v>
      </c>
      <c r="O70" s="8"/>
      <c r="P70" s="5"/>
      <c r="R70" s="1"/>
      <c r="S70" s="1"/>
      <c r="T70" s="1"/>
      <c r="U70" s="1"/>
      <c r="V70" s="1"/>
      <c r="W70" s="1"/>
      <c r="X70" s="1"/>
      <c r="Z70" s="5"/>
    </row>
    <row r="71" spans="1:26" ht="14.45" outlineLevel="4">
      <c r="A71" s="1"/>
      <c r="B71" s="43" t="s">
        <v>30</v>
      </c>
      <c r="C71" s="44" t="s">
        <v>34</v>
      </c>
      <c r="D71" s="40"/>
      <c r="E71" s="1"/>
      <c r="F71" s="1"/>
      <c r="G71" s="5"/>
      <c r="H71" s="20"/>
      <c r="I71" s="27"/>
      <c r="J71" s="41"/>
      <c r="K71" s="42"/>
      <c r="L71" s="1"/>
      <c r="M71" s="1"/>
      <c r="N71" s="1"/>
      <c r="O71" s="8"/>
      <c r="P71" s="5"/>
      <c r="R71" s="1"/>
      <c r="S71" s="1"/>
      <c r="T71" s="1"/>
      <c r="U71" s="1"/>
      <c r="V71" s="1"/>
      <c r="W71" s="1"/>
      <c r="X71" s="1"/>
      <c r="Z71" s="5"/>
    </row>
    <row r="72" spans="1:26" ht="14.45" outlineLevel="4">
      <c r="A72" s="1"/>
      <c r="B72" s="43" t="s">
        <v>35</v>
      </c>
      <c r="C72" s="44" t="s">
        <v>36</v>
      </c>
      <c r="D72" s="40"/>
      <c r="E72" s="1"/>
      <c r="F72" s="1"/>
      <c r="G72" s="5"/>
      <c r="H72" s="20"/>
      <c r="I72" s="27"/>
      <c r="J72" s="41"/>
      <c r="K72" s="42"/>
      <c r="L72" s="1"/>
      <c r="M72" s="1"/>
      <c r="N72" s="1"/>
      <c r="O72" s="8"/>
      <c r="P72" s="5"/>
      <c r="R72" s="1"/>
      <c r="S72" s="1"/>
      <c r="T72" s="1"/>
      <c r="U72" s="1"/>
      <c r="V72" s="1"/>
      <c r="W72" s="1"/>
      <c r="X72" s="1"/>
      <c r="Z72" s="5"/>
    </row>
    <row r="73" spans="1:26" ht="14.45" outlineLevel="3">
      <c r="A73" s="1"/>
      <c r="B73" s="1" t="s">
        <v>86</v>
      </c>
      <c r="C73" s="11" t="s">
        <v>70</v>
      </c>
      <c r="D73" s="40"/>
      <c r="E73" s="1" t="s">
        <v>94</v>
      </c>
      <c r="F73" s="1"/>
      <c r="G73" s="5"/>
      <c r="H73" s="41"/>
      <c r="I73" s="42"/>
      <c r="J73" s="41"/>
      <c r="K73" s="42"/>
      <c r="L73" s="1" t="s">
        <v>87</v>
      </c>
      <c r="M73" s="1" t="s">
        <v>22</v>
      </c>
      <c r="N73" s="1" t="s">
        <v>25</v>
      </c>
      <c r="O73" s="8"/>
      <c r="P73" s="5"/>
      <c r="R73" s="1"/>
      <c r="S73" s="1"/>
      <c r="T73" s="1"/>
      <c r="U73" s="1"/>
      <c r="V73" s="1"/>
      <c r="W73" s="1"/>
      <c r="X73" s="1"/>
      <c r="Z73" s="5"/>
    </row>
    <row r="74" spans="1:26" ht="14.45" outlineLevel="4">
      <c r="A74" s="1"/>
      <c r="B74" s="43" t="s">
        <v>30</v>
      </c>
      <c r="C74" s="44" t="s">
        <v>34</v>
      </c>
      <c r="D74" s="40"/>
      <c r="E74" s="1"/>
      <c r="F74" s="1"/>
      <c r="G74" s="5"/>
      <c r="H74" s="20"/>
      <c r="I74" s="27"/>
      <c r="J74" s="41"/>
      <c r="K74" s="42"/>
      <c r="L74" s="1"/>
      <c r="M74" s="1"/>
      <c r="N74" s="1"/>
      <c r="O74" s="8"/>
      <c r="P74" s="5"/>
      <c r="R74" s="1"/>
      <c r="S74" s="1"/>
      <c r="T74" s="1"/>
      <c r="U74" s="1"/>
      <c r="V74" s="1"/>
      <c r="W74" s="1"/>
      <c r="X74" s="1"/>
      <c r="Z74" s="5"/>
    </row>
    <row r="75" spans="1:26" ht="14.45" outlineLevel="4">
      <c r="A75" s="1"/>
      <c r="B75" s="43" t="s">
        <v>35</v>
      </c>
      <c r="C75" s="44" t="s">
        <v>36</v>
      </c>
      <c r="D75" s="40"/>
      <c r="E75" s="1"/>
      <c r="F75" s="1"/>
      <c r="G75" s="5"/>
      <c r="H75" s="20"/>
      <c r="I75" s="27"/>
      <c r="J75" s="41"/>
      <c r="K75" s="42"/>
      <c r="L75" s="1"/>
      <c r="M75" s="1"/>
      <c r="N75" s="1"/>
      <c r="O75" s="8"/>
      <c r="P75" s="5"/>
      <c r="R75" s="1"/>
      <c r="S75" s="1"/>
      <c r="T75" s="1"/>
      <c r="U75" s="1"/>
      <c r="V75" s="1"/>
      <c r="W75" s="1"/>
      <c r="X75" s="1"/>
      <c r="Z75" s="5"/>
    </row>
    <row r="77" spans="1:26" ht="12.75"/>
  </sheetData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BAE4-FC90-4080-AE60-1FE7E1375E59}">
  <sheetPr>
    <outlinePr summaryBelow="0" summaryRight="0"/>
    <pageSetUpPr fitToPage="1"/>
  </sheetPr>
  <dimension ref="A1:Z64"/>
  <sheetViews>
    <sheetView zoomScaleNormal="100" zoomScaleSheetLayoutView="35" workbookViewId="0">
      <pane xSplit="5" ySplit="7" topLeftCell="F8" activePane="bottomRight" state="frozen"/>
      <selection pane="bottomRight" activeCell="P15" sqref="P15"/>
      <selection pane="bottomLeft" activeCell="A7" sqref="A7"/>
      <selection pane="topRight" activeCell="F1" sqref="F1"/>
    </sheetView>
  </sheetViews>
  <sheetFormatPr defaultColWidth="11.42578125" defaultRowHeight="11.85" customHeight="1" outlineLevelRow="3"/>
  <cols>
    <col min="1" max="1" width="0.5703125" style="52" customWidth="1"/>
    <col min="2" max="2" width="7.85546875" style="103" bestFit="1" customWidth="1"/>
    <col min="3" max="3" width="5.42578125" style="104" bestFit="1" customWidth="1"/>
    <col min="4" max="4" width="69.42578125" style="105" bestFit="1" customWidth="1"/>
    <col min="5" max="5" width="0.42578125" style="52" customWidth="1"/>
    <col min="6" max="6" width="7.5703125" style="92" customWidth="1"/>
    <col min="7" max="7" width="0.42578125" style="91" customWidth="1"/>
    <col min="8" max="8" width="7.5703125" style="92" customWidth="1"/>
    <col min="9" max="9" width="0.42578125" style="91" customWidth="1"/>
    <col min="10" max="10" width="7.5703125" style="92" customWidth="1"/>
    <col min="11" max="11" width="0.42578125" style="91" customWidth="1"/>
    <col min="12" max="12" width="7.5703125" style="92" customWidth="1"/>
    <col min="13" max="13" width="0.42578125" style="91" customWidth="1"/>
    <col min="14" max="16384" width="11.42578125" style="52"/>
  </cols>
  <sheetData>
    <row r="1" spans="1:16" ht="3" customHeight="1">
      <c r="A1" s="46"/>
      <c r="B1" s="47"/>
      <c r="C1" s="48"/>
      <c r="D1" s="49"/>
      <c r="E1" s="46"/>
      <c r="F1" s="50"/>
      <c r="G1" s="51"/>
      <c r="H1" s="50"/>
      <c r="I1" s="51"/>
      <c r="J1" s="50"/>
      <c r="K1" s="51"/>
      <c r="L1" s="50"/>
      <c r="M1" s="51"/>
    </row>
    <row r="2" spans="1:16" s="58" customFormat="1" ht="18.600000000000001">
      <c r="A2" s="53"/>
      <c r="B2" s="54"/>
      <c r="C2" s="128" t="s">
        <v>95</v>
      </c>
      <c r="D2" s="128"/>
      <c r="E2" s="55"/>
      <c r="F2" s="56" t="s">
        <v>96</v>
      </c>
      <c r="G2" s="57"/>
      <c r="H2" s="56" t="s">
        <v>97</v>
      </c>
      <c r="I2" s="57"/>
      <c r="J2" s="56" t="s">
        <v>51</v>
      </c>
      <c r="K2" s="57"/>
      <c r="L2" s="56" t="s">
        <v>98</v>
      </c>
      <c r="M2" s="57"/>
      <c r="O2" s="59">
        <v>1</v>
      </c>
      <c r="P2" s="54" t="s">
        <v>99</v>
      </c>
    </row>
    <row r="3" spans="1:16" s="64" customFormat="1" ht="15">
      <c r="A3" s="60"/>
      <c r="B3" s="61"/>
      <c r="C3" s="62"/>
      <c r="D3" s="63" t="s">
        <v>100</v>
      </c>
      <c r="E3" s="60"/>
      <c r="F3" s="60">
        <f>COUNTA(F$9:F$39)</f>
        <v>14</v>
      </c>
      <c r="G3" s="60"/>
      <c r="H3" s="60">
        <f>COUNTA(H$9:H$39)</f>
        <v>8</v>
      </c>
      <c r="I3" s="60"/>
      <c r="J3" s="60">
        <f>COUNTA(J$9:J$39)</f>
        <v>10</v>
      </c>
      <c r="K3" s="60"/>
      <c r="L3" s="60">
        <f>COUNTA(L$9:L$39)</f>
        <v>10</v>
      </c>
      <c r="M3" s="60"/>
      <c r="O3" s="59">
        <v>-1</v>
      </c>
      <c r="P3" s="54" t="s">
        <v>101</v>
      </c>
    </row>
    <row r="4" spans="1:16" s="64" customFormat="1" ht="15">
      <c r="A4" s="60"/>
      <c r="B4" s="61"/>
      <c r="C4" s="62"/>
      <c r="D4" s="63" t="s">
        <v>102</v>
      </c>
      <c r="E4" s="60"/>
      <c r="F4" s="60">
        <f>COUNTIF(F$9:F$39,1)</f>
        <v>12</v>
      </c>
      <c r="G4" s="60"/>
      <c r="H4" s="60">
        <f>COUNTIF(H$9:H$39,1)</f>
        <v>4</v>
      </c>
      <c r="I4" s="60"/>
      <c r="J4" s="60">
        <f>COUNTIF(J$9:J$39,1)</f>
        <v>8</v>
      </c>
      <c r="K4" s="60"/>
      <c r="L4" s="60">
        <f>COUNTIF(L$9:L$39,1)</f>
        <v>9</v>
      </c>
      <c r="M4" s="60"/>
      <c r="O4" s="54"/>
      <c r="P4" s="54" t="s">
        <v>103</v>
      </c>
    </row>
    <row r="5" spans="1:16" ht="3" customHeight="1">
      <c r="A5" s="46"/>
      <c r="B5" s="47"/>
      <c r="C5" s="48"/>
      <c r="D5" s="65"/>
      <c r="E5" s="66"/>
      <c r="F5" s="50"/>
      <c r="G5" s="67"/>
      <c r="H5" s="50"/>
      <c r="I5" s="67"/>
      <c r="J5" s="50"/>
      <c r="K5" s="67"/>
      <c r="L5" s="50"/>
      <c r="M5" s="67"/>
    </row>
    <row r="6" spans="1:16" ht="3" customHeight="1">
      <c r="A6" s="46"/>
      <c r="B6" s="68"/>
      <c r="C6" s="69"/>
      <c r="D6" s="70"/>
      <c r="E6" s="71"/>
      <c r="F6" s="72"/>
      <c r="G6" s="72"/>
      <c r="H6" s="72"/>
      <c r="I6" s="72"/>
      <c r="J6" s="72"/>
      <c r="K6" s="72"/>
      <c r="L6" s="72"/>
      <c r="M6" s="72"/>
    </row>
    <row r="7" spans="1:16" ht="3.6" customHeight="1">
      <c r="A7" s="46"/>
      <c r="B7" s="47"/>
      <c r="C7" s="48"/>
      <c r="D7" s="65"/>
      <c r="E7" s="66"/>
      <c r="F7" s="73"/>
      <c r="G7" s="67"/>
      <c r="H7" s="73"/>
      <c r="I7" s="67"/>
      <c r="J7" s="73"/>
      <c r="K7" s="67"/>
      <c r="L7" s="73"/>
      <c r="M7" s="67"/>
    </row>
    <row r="8" spans="1:16" ht="24" customHeight="1">
      <c r="A8" s="46"/>
      <c r="B8" s="23"/>
      <c r="C8" s="124" t="s">
        <v>104</v>
      </c>
      <c r="D8" s="125"/>
      <c r="E8" s="66"/>
      <c r="F8" s="124"/>
      <c r="G8" s="125"/>
      <c r="H8" s="124"/>
      <c r="I8" s="125"/>
      <c r="J8" s="124"/>
      <c r="K8" s="125"/>
      <c r="L8" s="74"/>
      <c r="M8" s="67"/>
    </row>
    <row r="9" spans="1:16" ht="17.45" outlineLevel="1">
      <c r="A9" s="46"/>
      <c r="B9" s="75"/>
      <c r="C9" s="126" t="s">
        <v>105</v>
      </c>
      <c r="D9" s="126"/>
      <c r="E9" s="66"/>
      <c r="F9" s="76"/>
      <c r="G9" s="77"/>
      <c r="H9" s="76"/>
      <c r="I9" s="77"/>
      <c r="J9" s="76"/>
      <c r="K9" s="77"/>
      <c r="L9" s="76"/>
      <c r="M9" s="77"/>
    </row>
    <row r="10" spans="1:16" ht="3" customHeight="1" outlineLevel="2">
      <c r="A10" s="46"/>
      <c r="B10" s="47"/>
      <c r="C10" s="47"/>
      <c r="D10" s="78"/>
      <c r="E10" s="66"/>
      <c r="F10" s="73"/>
      <c r="G10" s="79"/>
      <c r="H10" s="73"/>
      <c r="I10" s="79"/>
      <c r="J10" s="73"/>
      <c r="K10" s="79"/>
      <c r="L10" s="73"/>
      <c r="M10" s="79"/>
    </row>
    <row r="11" spans="1:16" ht="12.95" outlineLevel="2">
      <c r="A11" s="46"/>
      <c r="B11" s="80"/>
      <c r="C11" s="81">
        <v>1</v>
      </c>
      <c r="D11" s="82" t="s">
        <v>106</v>
      </c>
      <c r="E11" s="83"/>
      <c r="F11" s="84">
        <v>1</v>
      </c>
      <c r="G11" s="85"/>
      <c r="H11" s="84"/>
      <c r="I11" s="85"/>
      <c r="J11" s="84"/>
      <c r="K11" s="85"/>
      <c r="L11" s="84"/>
      <c r="M11" s="86"/>
    </row>
    <row r="12" spans="1:16" ht="12.95" outlineLevel="2">
      <c r="A12" s="46"/>
      <c r="B12" s="80"/>
      <c r="C12" s="81">
        <v>2</v>
      </c>
      <c r="D12" s="82" t="s">
        <v>107</v>
      </c>
      <c r="E12" s="83"/>
      <c r="F12" s="84">
        <v>1</v>
      </c>
      <c r="G12" s="85"/>
      <c r="H12" s="84">
        <v>1</v>
      </c>
      <c r="I12" s="85"/>
      <c r="J12" s="84">
        <v>1</v>
      </c>
      <c r="K12" s="85"/>
      <c r="L12" s="84">
        <v>1</v>
      </c>
      <c r="M12" s="86"/>
    </row>
    <row r="13" spans="1:16" ht="14.1" outlineLevel="2">
      <c r="B13" s="80"/>
      <c r="C13" s="81">
        <v>3</v>
      </c>
      <c r="D13" s="82" t="s">
        <v>108</v>
      </c>
      <c r="E13" s="83"/>
      <c r="F13" s="84">
        <v>1</v>
      </c>
      <c r="G13" s="87"/>
      <c r="H13" s="84">
        <v>1</v>
      </c>
      <c r="I13" s="87"/>
      <c r="J13" s="84">
        <v>1</v>
      </c>
      <c r="K13" s="87"/>
      <c r="L13" s="84">
        <v>1</v>
      </c>
      <c r="M13" s="88"/>
    </row>
    <row r="14" spans="1:16" ht="14.1" outlineLevel="2">
      <c r="B14" s="80"/>
      <c r="C14" s="81">
        <v>4</v>
      </c>
      <c r="D14" s="82" t="s">
        <v>109</v>
      </c>
      <c r="E14" s="83"/>
      <c r="F14" s="84">
        <v>1</v>
      </c>
      <c r="G14" s="87"/>
      <c r="H14" s="84"/>
      <c r="I14" s="87"/>
      <c r="J14" s="84">
        <v>1</v>
      </c>
      <c r="K14" s="87"/>
      <c r="L14" s="84">
        <v>1</v>
      </c>
      <c r="M14" s="88"/>
    </row>
    <row r="15" spans="1:16" ht="14.1" outlineLevel="2">
      <c r="B15" s="80"/>
      <c r="C15" s="81">
        <v>5</v>
      </c>
      <c r="D15" s="82" t="s">
        <v>110</v>
      </c>
      <c r="E15" s="83"/>
      <c r="F15" s="84">
        <v>1</v>
      </c>
      <c r="G15" s="87"/>
      <c r="H15" s="84"/>
      <c r="I15" s="87"/>
      <c r="J15" s="84"/>
      <c r="K15" s="87"/>
      <c r="L15" s="84">
        <v>1</v>
      </c>
      <c r="M15" s="88"/>
    </row>
    <row r="16" spans="1:16" ht="20.45" customHeight="1" outlineLevel="1">
      <c r="B16" s="75"/>
      <c r="C16" s="126" t="s">
        <v>111</v>
      </c>
      <c r="D16" s="126"/>
      <c r="E16" s="66"/>
      <c r="F16" s="76"/>
      <c r="G16" s="77"/>
      <c r="H16" s="76"/>
      <c r="I16" s="77"/>
      <c r="J16" s="76"/>
      <c r="K16" s="77"/>
      <c r="L16" s="76"/>
      <c r="M16" s="77"/>
    </row>
    <row r="17" spans="1:16" ht="12.95" outlineLevel="2">
      <c r="B17" s="81"/>
      <c r="C17" s="81"/>
      <c r="D17" s="82" t="s">
        <v>112</v>
      </c>
      <c r="E17" s="83"/>
      <c r="F17" s="86"/>
      <c r="G17" s="86"/>
      <c r="H17" s="86"/>
      <c r="I17" s="86"/>
      <c r="J17" s="86"/>
      <c r="K17" s="86"/>
      <c r="L17" s="86"/>
      <c r="M17" s="86"/>
    </row>
    <row r="18" spans="1:16" ht="15" customHeight="1" outlineLevel="3">
      <c r="B18" s="89"/>
      <c r="C18" s="90">
        <v>1</v>
      </c>
      <c r="D18" s="75" t="s">
        <v>113</v>
      </c>
      <c r="F18" s="84">
        <v>1</v>
      </c>
      <c r="H18" s="84">
        <v>1</v>
      </c>
      <c r="J18" s="84">
        <v>1</v>
      </c>
    </row>
    <row r="19" spans="1:16" ht="15" customHeight="1" outlineLevel="3">
      <c r="B19" s="89"/>
      <c r="C19" s="90">
        <v>2</v>
      </c>
      <c r="D19" s="75" t="s">
        <v>114</v>
      </c>
      <c r="F19" s="84">
        <v>1</v>
      </c>
      <c r="H19" s="84">
        <v>1</v>
      </c>
      <c r="J19" s="84">
        <v>1</v>
      </c>
    </row>
    <row r="20" spans="1:16" ht="15" customHeight="1" outlineLevel="3">
      <c r="B20" s="89"/>
      <c r="C20" s="90">
        <v>3</v>
      </c>
      <c r="D20" s="75" t="s">
        <v>115</v>
      </c>
      <c r="F20" s="84">
        <v>1</v>
      </c>
      <c r="J20" s="84">
        <v>1</v>
      </c>
      <c r="L20" s="84">
        <v>1</v>
      </c>
    </row>
    <row r="21" spans="1:16" ht="3" customHeight="1" outlineLevel="2">
      <c r="B21" s="93"/>
      <c r="C21" s="93"/>
      <c r="D21" s="75"/>
      <c r="E21" s="46"/>
      <c r="F21" s="94"/>
      <c r="G21" s="95"/>
      <c r="H21" s="94"/>
      <c r="I21" s="95"/>
      <c r="J21" s="94"/>
      <c r="K21" s="95"/>
      <c r="L21" s="94"/>
      <c r="M21" s="95"/>
    </row>
    <row r="22" spans="1:16" ht="12.95" outlineLevel="2">
      <c r="B22" s="81"/>
      <c r="C22" s="81"/>
      <c r="D22" s="82" t="s">
        <v>116</v>
      </c>
      <c r="E22" s="83"/>
      <c r="F22" s="86"/>
      <c r="G22" s="86"/>
      <c r="H22" s="86"/>
      <c r="I22" s="86"/>
      <c r="J22" s="86"/>
      <c r="K22" s="86"/>
      <c r="L22" s="86"/>
      <c r="M22" s="86"/>
    </row>
    <row r="23" spans="1:16" ht="12.95" outlineLevel="3">
      <c r="B23" s="89"/>
      <c r="C23" s="89">
        <v>1</v>
      </c>
      <c r="D23" s="75" t="s">
        <v>117</v>
      </c>
      <c r="E23" s="46"/>
      <c r="F23" s="84">
        <v>1</v>
      </c>
      <c r="G23" s="95"/>
      <c r="H23" s="94"/>
      <c r="I23" s="95"/>
      <c r="J23" s="84">
        <v>1</v>
      </c>
      <c r="K23" s="84"/>
      <c r="L23" s="84">
        <v>1</v>
      </c>
      <c r="M23" s="95"/>
    </row>
    <row r="24" spans="1:16" ht="3" customHeight="1" outlineLevel="2">
      <c r="A24" s="46"/>
      <c r="B24" s="47"/>
      <c r="C24" s="47"/>
      <c r="D24" s="75"/>
      <c r="E24" s="46"/>
      <c r="F24" s="94"/>
      <c r="G24" s="95"/>
      <c r="H24" s="94"/>
      <c r="I24" s="95"/>
      <c r="J24" s="94"/>
      <c r="K24" s="95"/>
      <c r="L24" s="94"/>
      <c r="M24" s="95"/>
    </row>
    <row r="25" spans="1:16" ht="12.95" outlineLevel="2">
      <c r="A25" s="46"/>
      <c r="B25" s="81"/>
      <c r="C25" s="81"/>
      <c r="D25" s="82" t="s">
        <v>118</v>
      </c>
      <c r="E25" s="83"/>
      <c r="F25" s="86"/>
      <c r="G25" s="86"/>
      <c r="H25" s="86"/>
      <c r="I25" s="86"/>
      <c r="J25" s="86"/>
      <c r="K25" s="86"/>
      <c r="L25" s="86"/>
      <c r="M25" s="86"/>
    </row>
    <row r="26" spans="1:16" ht="12.95" outlineLevel="3">
      <c r="A26" s="46"/>
      <c r="B26" s="89"/>
      <c r="C26" s="90">
        <v>1</v>
      </c>
      <c r="D26" s="75" t="s">
        <v>119</v>
      </c>
      <c r="E26" s="46"/>
      <c r="F26" s="59">
        <v>-1</v>
      </c>
      <c r="G26" s="95"/>
      <c r="H26" s="94"/>
      <c r="I26" s="95"/>
      <c r="J26" s="84">
        <v>1</v>
      </c>
      <c r="K26" s="95"/>
      <c r="L26" s="84">
        <v>1</v>
      </c>
      <c r="M26" s="95"/>
      <c r="P26" s="89"/>
    </row>
    <row r="27" spans="1:16" ht="12.95" outlineLevel="3">
      <c r="A27" s="46"/>
      <c r="B27" s="89"/>
      <c r="C27" s="90">
        <v>2</v>
      </c>
      <c r="D27" s="75" t="s">
        <v>120</v>
      </c>
      <c r="E27" s="46"/>
      <c r="F27" s="84">
        <v>1</v>
      </c>
      <c r="G27" s="95"/>
      <c r="H27" s="59">
        <v>-1</v>
      </c>
      <c r="I27" s="95"/>
      <c r="J27" s="84"/>
      <c r="K27" s="95"/>
      <c r="L27" s="94"/>
      <c r="M27" s="95"/>
    </row>
    <row r="28" spans="1:16" ht="12.95" outlineLevel="3">
      <c r="A28" s="46"/>
      <c r="B28" s="89"/>
      <c r="C28" s="90">
        <v>3</v>
      </c>
      <c r="D28" s="75" t="s">
        <v>121</v>
      </c>
      <c r="E28" s="46"/>
      <c r="F28" s="84">
        <v>1</v>
      </c>
      <c r="G28" s="95"/>
      <c r="H28" s="59">
        <v>-1</v>
      </c>
      <c r="I28" s="95"/>
      <c r="J28" s="59">
        <v>-1</v>
      </c>
      <c r="K28" s="95"/>
      <c r="L28" s="94"/>
      <c r="M28" s="95"/>
    </row>
    <row r="29" spans="1:16" ht="12.95" outlineLevel="3">
      <c r="A29" s="46"/>
      <c r="B29" s="89"/>
      <c r="C29" s="90">
        <v>4</v>
      </c>
      <c r="D29" s="75" t="s">
        <v>122</v>
      </c>
      <c r="E29" s="46"/>
      <c r="F29" s="84">
        <v>1</v>
      </c>
      <c r="G29" s="95"/>
      <c r="H29" s="94"/>
      <c r="I29" s="95"/>
      <c r="J29" s="94"/>
      <c r="K29" s="95"/>
      <c r="L29" s="84">
        <v>1</v>
      </c>
      <c r="M29" s="95"/>
    </row>
    <row r="30" spans="1:16" ht="3" customHeight="1" outlineLevel="2">
      <c r="A30" s="46"/>
      <c r="B30" s="47"/>
      <c r="C30" s="47"/>
      <c r="D30" s="75"/>
      <c r="E30" s="46"/>
      <c r="F30" s="94"/>
      <c r="G30" s="95"/>
      <c r="H30" s="94"/>
      <c r="I30" s="95"/>
      <c r="J30" s="94"/>
      <c r="K30" s="95"/>
      <c r="L30" s="94"/>
      <c r="M30" s="95"/>
    </row>
    <row r="31" spans="1:16" ht="12.95" outlineLevel="2">
      <c r="A31" s="46"/>
      <c r="B31" s="81"/>
      <c r="C31" s="81"/>
      <c r="D31" s="82" t="s">
        <v>123</v>
      </c>
      <c r="E31" s="83"/>
      <c r="F31" s="86"/>
      <c r="G31" s="86"/>
      <c r="H31" s="86"/>
      <c r="I31" s="86"/>
      <c r="J31" s="86"/>
      <c r="K31" s="86"/>
      <c r="L31" s="86"/>
      <c r="M31" s="86"/>
    </row>
    <row r="32" spans="1:16" ht="12.95" outlineLevel="3">
      <c r="A32" s="46" t="str">
        <f t="shared" ref="A32" si="0">"Amenities &amp; Facilities - "&amp;D32</f>
        <v>Amenities &amp; Facilities - Children's play area</v>
      </c>
      <c r="B32" s="89"/>
      <c r="C32" s="90">
        <v>1</v>
      </c>
      <c r="D32" s="96" t="s">
        <v>124</v>
      </c>
      <c r="E32" s="46"/>
      <c r="F32" s="84"/>
      <c r="G32" s="95"/>
      <c r="H32" s="59">
        <v>-1</v>
      </c>
      <c r="I32" s="95"/>
      <c r="J32" s="94"/>
      <c r="K32" s="95"/>
      <c r="L32" s="84">
        <v>1</v>
      </c>
      <c r="M32" s="95"/>
    </row>
    <row r="33" spans="1:13" ht="3" customHeight="1" outlineLevel="2">
      <c r="A33" s="46"/>
      <c r="B33" s="47"/>
      <c r="C33" s="47"/>
      <c r="D33" s="75"/>
      <c r="E33" s="46"/>
      <c r="F33" s="94"/>
      <c r="G33" s="95"/>
      <c r="H33" s="94"/>
      <c r="I33" s="95"/>
      <c r="J33" s="94"/>
      <c r="K33" s="95"/>
      <c r="L33" s="94"/>
      <c r="M33" s="95"/>
    </row>
    <row r="34" spans="1:13" ht="17.45" outlineLevel="1">
      <c r="A34" s="46"/>
      <c r="B34" s="75"/>
      <c r="C34" s="127" t="s">
        <v>125</v>
      </c>
      <c r="D34" s="127"/>
      <c r="E34" s="66"/>
      <c r="F34" s="76"/>
      <c r="G34" s="77"/>
      <c r="H34" s="76"/>
      <c r="I34" s="77"/>
      <c r="J34" s="76"/>
      <c r="K34" s="77"/>
      <c r="L34" s="76"/>
      <c r="M34" s="77"/>
    </row>
    <row r="35" spans="1:13" ht="3" customHeight="1" outlineLevel="2">
      <c r="A35" s="46"/>
      <c r="B35" s="47"/>
      <c r="C35" s="47"/>
      <c r="D35" s="100"/>
      <c r="E35" s="66"/>
      <c r="F35" s="73"/>
      <c r="G35" s="79"/>
      <c r="H35" s="73"/>
      <c r="I35" s="79"/>
      <c r="J35" s="73"/>
      <c r="K35" s="79"/>
      <c r="L35" s="73"/>
      <c r="M35" s="79"/>
    </row>
    <row r="36" spans="1:13" ht="12.95" outlineLevel="2">
      <c r="A36" s="46"/>
      <c r="B36" s="81">
        <v>1</v>
      </c>
      <c r="C36" s="81">
        <v>1</v>
      </c>
      <c r="D36" s="82" t="s">
        <v>126</v>
      </c>
      <c r="E36" s="83"/>
      <c r="F36" s="86"/>
      <c r="G36" s="86"/>
      <c r="H36" s="86"/>
      <c r="I36" s="86"/>
      <c r="J36" s="86"/>
      <c r="K36" s="86"/>
      <c r="L36" s="86"/>
      <c r="M36" s="86"/>
    </row>
    <row r="37" spans="1:13" ht="12.95" outlineLevel="3">
      <c r="A37" s="46"/>
      <c r="B37" s="90">
        <v>1</v>
      </c>
      <c r="C37" s="90">
        <v>1</v>
      </c>
      <c r="D37" s="101" t="s">
        <v>127</v>
      </c>
      <c r="E37" s="49"/>
      <c r="F37" s="59">
        <v>-1</v>
      </c>
      <c r="G37" s="59"/>
      <c r="H37" s="59">
        <v>-1</v>
      </c>
      <c r="I37" s="59"/>
      <c r="J37" s="59">
        <v>-1</v>
      </c>
      <c r="K37" s="59"/>
      <c r="L37" s="59">
        <v>-1</v>
      </c>
      <c r="M37" s="102"/>
    </row>
    <row r="38" spans="1:13" ht="3" customHeight="1">
      <c r="A38" s="46"/>
      <c r="B38" s="90"/>
      <c r="C38" s="90"/>
      <c r="D38" s="101"/>
      <c r="E38" s="49"/>
      <c r="F38" s="94"/>
      <c r="G38" s="102"/>
      <c r="H38" s="94"/>
      <c r="I38" s="102"/>
      <c r="J38" s="94"/>
      <c r="K38" s="102"/>
      <c r="L38" s="94"/>
      <c r="M38" s="102"/>
    </row>
    <row r="39" spans="1:13" ht="17.45" hidden="1">
      <c r="A39" s="46"/>
      <c r="B39" s="75"/>
      <c r="C39" s="127" t="s">
        <v>128</v>
      </c>
      <c r="D39" s="127"/>
      <c r="E39" s="66"/>
      <c r="F39" s="76"/>
      <c r="G39" s="77"/>
      <c r="H39" s="76"/>
      <c r="I39" s="77"/>
      <c r="J39" s="76"/>
      <c r="K39" s="77"/>
      <c r="L39" s="76"/>
      <c r="M39" s="77"/>
    </row>
    <row r="40" spans="1:13" ht="3" customHeight="1"/>
    <row r="61" spans="1:26" s="92" customFormat="1" ht="11.85" customHeight="1">
      <c r="A61" s="52"/>
      <c r="B61" s="52"/>
      <c r="C61" s="52"/>
      <c r="D61" s="52"/>
      <c r="E61" s="52"/>
      <c r="F61" s="52"/>
      <c r="G61" s="52"/>
      <c r="H61" s="52"/>
      <c r="I61" s="52"/>
      <c r="K61" s="91"/>
      <c r="M61" s="91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s="92" customFormat="1" ht="11.85" customHeight="1">
      <c r="A62" s="52"/>
      <c r="B62" s="52"/>
      <c r="C62" s="52"/>
      <c r="D62" s="52"/>
      <c r="E62" s="52"/>
      <c r="F62" s="52"/>
      <c r="G62" s="52"/>
      <c r="H62" s="52"/>
      <c r="I62" s="52"/>
      <c r="K62" s="91"/>
      <c r="M62" s="91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4" spans="1:26" s="92" customFormat="1" ht="11.85" customHeight="1">
      <c r="A64" s="52"/>
      <c r="B64" s="52"/>
      <c r="C64" s="52"/>
      <c r="D64" s="52"/>
      <c r="E64" s="52"/>
      <c r="F64" s="52"/>
      <c r="G64" s="52"/>
      <c r="H64" s="52"/>
      <c r="I64" s="52"/>
      <c r="K64" s="91"/>
      <c r="M64" s="91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</sheetData>
  <mergeCells count="9">
    <mergeCell ref="C39:D39"/>
    <mergeCell ref="C2:D2"/>
    <mergeCell ref="C8:D8"/>
    <mergeCell ref="F8:G8"/>
    <mergeCell ref="H8:I8"/>
    <mergeCell ref="J8:K8"/>
    <mergeCell ref="C9:D9"/>
    <mergeCell ref="C16:D16"/>
    <mergeCell ref="C34:D34"/>
  </mergeCells>
  <conditionalFormatting sqref="F11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F12:F13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F14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F15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F18:F20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F26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F37:L37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H13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H14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H15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H18:H19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H27:H28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H32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J12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J13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J14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J15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J18:J20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J28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L12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L13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L14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L15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L20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15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9" id="{A5417C72-9E3A-4FA6-BFEA-4FDF1C0491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F23</xm:sqref>
        </x14:conditionalFormatting>
        <x14:conditionalFormatting xmlns:xm="http://schemas.microsoft.com/office/excel/2006/main">
          <x14:cfRule type="iconSet" priority="6" id="{F10B43B2-8682-446D-8CDA-0C2293115C7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F27:F28</xm:sqref>
        </x14:conditionalFormatting>
        <x14:conditionalFormatting xmlns:xm="http://schemas.microsoft.com/office/excel/2006/main">
          <x14:cfRule type="iconSet" priority="14" id="{9BCD6A0C-6E88-4967-8A21-841150B577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F29</xm:sqref>
        </x14:conditionalFormatting>
        <x14:conditionalFormatting xmlns:xm="http://schemas.microsoft.com/office/excel/2006/main">
          <x14:cfRule type="iconSet" priority="64" id="{DEBD917B-ED7D-43F2-8E9D-7EB966F695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F32</xm:sqref>
        </x14:conditionalFormatting>
        <x14:conditionalFormatting xmlns:xm="http://schemas.microsoft.com/office/excel/2006/main">
          <x14:cfRule type="iconSet" priority="13" id="{8C502895-F13A-4CB8-BE16-D11A5F6398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J26:J27</xm:sqref>
        </x14:conditionalFormatting>
        <x14:conditionalFormatting xmlns:xm="http://schemas.microsoft.com/office/excel/2006/main">
          <x14:cfRule type="iconSet" priority="40" id="{E17080D8-1289-4FBC-8B46-25D92E2384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J23:L23</xm:sqref>
        </x14:conditionalFormatting>
        <x14:conditionalFormatting xmlns:xm="http://schemas.microsoft.com/office/excel/2006/main">
          <x14:cfRule type="iconSet" priority="12" id="{34543139-58FD-455F-8621-1BAC4503570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L29 L26</xm:sqref>
        </x14:conditionalFormatting>
        <x14:conditionalFormatting xmlns:xm="http://schemas.microsoft.com/office/excel/2006/main">
          <x14:cfRule type="iconSet" priority="63" id="{CC9ACD90-0A36-4A00-BAA5-2A6625906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4A1B-981C-4638-88D1-0CFC9EDEE3A7}">
  <sheetPr>
    <outlinePr summaryBelow="0" summaryRight="0"/>
    <pageSetUpPr fitToPage="1"/>
  </sheetPr>
  <dimension ref="A1:Z69"/>
  <sheetViews>
    <sheetView zoomScaleNormal="100" zoomScaleSheetLayoutView="35" workbookViewId="0">
      <pane xSplit="5" ySplit="7" topLeftCell="F8" activePane="bottomRight" state="frozen"/>
      <selection pane="bottomRight" activeCell="O14" sqref="O14"/>
      <selection pane="bottomLeft" activeCell="A7" sqref="A7"/>
      <selection pane="topRight" activeCell="F1" sqref="F1"/>
    </sheetView>
  </sheetViews>
  <sheetFormatPr defaultColWidth="11.42578125" defaultRowHeight="11.85" customHeight="1" outlineLevelRow="3"/>
  <cols>
    <col min="1" max="1" width="0.5703125" style="52" customWidth="1"/>
    <col min="2" max="2" width="7.85546875" style="103" bestFit="1" customWidth="1"/>
    <col min="3" max="3" width="5.42578125" style="104" bestFit="1" customWidth="1"/>
    <col min="4" max="4" width="69.42578125" style="105" bestFit="1" customWidth="1"/>
    <col min="5" max="5" width="0.42578125" style="52" customWidth="1"/>
    <col min="6" max="6" width="7.5703125" style="92" customWidth="1"/>
    <col min="7" max="7" width="0.42578125" style="91" customWidth="1"/>
    <col min="8" max="8" width="7.5703125" style="92" customWidth="1"/>
    <col min="9" max="9" width="0.42578125" style="91" customWidth="1"/>
    <col min="10" max="10" width="7.5703125" style="92" customWidth="1"/>
    <col min="11" max="11" width="0.42578125" style="91" customWidth="1"/>
    <col min="12" max="12" width="7.5703125" style="92" customWidth="1"/>
    <col min="13" max="13" width="0.42578125" style="91" customWidth="1"/>
    <col min="14" max="16384" width="11.42578125" style="52"/>
  </cols>
  <sheetData>
    <row r="1" spans="1:16" ht="3" customHeight="1">
      <c r="A1" s="46"/>
      <c r="B1" s="47"/>
      <c r="C1" s="48"/>
      <c r="D1" s="49"/>
      <c r="E1" s="46"/>
      <c r="F1" s="50"/>
      <c r="G1" s="51"/>
      <c r="H1" s="50"/>
      <c r="I1" s="51"/>
      <c r="J1" s="50"/>
      <c r="K1" s="51"/>
      <c r="L1" s="50"/>
      <c r="M1" s="51"/>
    </row>
    <row r="2" spans="1:16" s="58" customFormat="1" ht="18.600000000000001">
      <c r="A2" s="53"/>
      <c r="B2" s="54"/>
      <c r="C2" s="128" t="s">
        <v>129</v>
      </c>
      <c r="D2" s="128"/>
      <c r="E2" s="55"/>
      <c r="F2" s="56" t="s">
        <v>96</v>
      </c>
      <c r="G2" s="57"/>
      <c r="H2" s="56" t="s">
        <v>97</v>
      </c>
      <c r="I2" s="57"/>
      <c r="J2" s="56" t="s">
        <v>51</v>
      </c>
      <c r="K2" s="57"/>
      <c r="L2" s="56" t="s">
        <v>98</v>
      </c>
      <c r="M2" s="57"/>
      <c r="O2" s="59">
        <v>1</v>
      </c>
      <c r="P2" s="54" t="s">
        <v>99</v>
      </c>
    </row>
    <row r="3" spans="1:16" s="64" customFormat="1" ht="15">
      <c r="A3" s="60"/>
      <c r="B3" s="61"/>
      <c r="C3" s="62"/>
      <c r="D3" s="63" t="s">
        <v>100</v>
      </c>
      <c r="E3" s="60"/>
      <c r="F3" s="60">
        <f>COUNTA(F$9:F$44)</f>
        <v>18</v>
      </c>
      <c r="G3" s="60"/>
      <c r="H3" s="60">
        <f>COUNTA(H$9:H$44)</f>
        <v>9</v>
      </c>
      <c r="I3" s="60"/>
      <c r="J3" s="60">
        <f>COUNTA(J$9:J$44)</f>
        <v>13</v>
      </c>
      <c r="K3" s="60"/>
      <c r="L3" s="60">
        <f>COUNTA(L$9:L$44)</f>
        <v>12</v>
      </c>
      <c r="M3" s="60"/>
      <c r="O3" s="59">
        <v>-1</v>
      </c>
      <c r="P3" s="54" t="s">
        <v>101</v>
      </c>
    </row>
    <row r="4" spans="1:16" s="64" customFormat="1" ht="15">
      <c r="A4" s="60"/>
      <c r="B4" s="61"/>
      <c r="C4" s="62"/>
      <c r="D4" s="63" t="s">
        <v>102</v>
      </c>
      <c r="E4" s="60"/>
      <c r="F4" s="60">
        <f>COUNTIF(F$9:F$44,1)</f>
        <v>0</v>
      </c>
      <c r="G4" s="60"/>
      <c r="H4" s="60">
        <f>COUNTIF(H$9:H$44,1)</f>
        <v>0</v>
      </c>
      <c r="I4" s="60"/>
      <c r="J4" s="60">
        <f>COUNTIF(J$9:J$44,1)</f>
        <v>0</v>
      </c>
      <c r="K4" s="60"/>
      <c r="L4" s="60">
        <f>COUNTIF(L$9:L$44,1)</f>
        <v>0</v>
      </c>
      <c r="M4" s="60"/>
      <c r="O4" s="54"/>
      <c r="P4" s="54" t="s">
        <v>103</v>
      </c>
    </row>
    <row r="5" spans="1:16" ht="3" customHeight="1">
      <c r="A5" s="46"/>
      <c r="B5" s="47"/>
      <c r="C5" s="48"/>
      <c r="D5" s="65"/>
      <c r="E5" s="66"/>
      <c r="F5" s="50"/>
      <c r="G5" s="67"/>
      <c r="H5" s="50"/>
      <c r="I5" s="67"/>
      <c r="J5" s="50"/>
      <c r="K5" s="67"/>
      <c r="L5" s="50"/>
      <c r="M5" s="67"/>
    </row>
    <row r="6" spans="1:16" ht="3" customHeight="1">
      <c r="A6" s="46"/>
      <c r="B6" s="68"/>
      <c r="C6" s="69"/>
      <c r="D6" s="70"/>
      <c r="E6" s="71"/>
      <c r="F6" s="72"/>
      <c r="G6" s="72"/>
      <c r="H6" s="72"/>
      <c r="I6" s="72"/>
      <c r="J6" s="72"/>
      <c r="K6" s="72"/>
      <c r="L6" s="72"/>
      <c r="M6" s="72"/>
    </row>
    <row r="7" spans="1:16" ht="3.6" customHeight="1">
      <c r="A7" s="46"/>
      <c r="B7" s="47"/>
      <c r="C7" s="48"/>
      <c r="D7" s="65"/>
      <c r="E7" s="66"/>
      <c r="F7" s="73"/>
      <c r="G7" s="67"/>
      <c r="H7" s="73"/>
      <c r="I7" s="67"/>
      <c r="J7" s="73"/>
      <c r="K7" s="67"/>
      <c r="L7" s="73"/>
      <c r="M7" s="67"/>
    </row>
    <row r="8" spans="1:16" ht="24" customHeight="1">
      <c r="A8" s="46"/>
      <c r="B8" s="23"/>
      <c r="C8" s="124" t="s">
        <v>130</v>
      </c>
      <c r="D8" s="125"/>
      <c r="E8" s="66"/>
      <c r="F8" s="124"/>
      <c r="G8" s="125"/>
      <c r="H8" s="124"/>
      <c r="I8" s="125"/>
      <c r="J8" s="124"/>
      <c r="K8" s="125"/>
      <c r="L8" s="74"/>
      <c r="M8" s="67"/>
    </row>
    <row r="9" spans="1:16" ht="17.45" outlineLevel="1">
      <c r="A9" s="46"/>
      <c r="B9" s="75"/>
      <c r="C9" s="126" t="s">
        <v>105</v>
      </c>
      <c r="D9" s="126"/>
      <c r="E9" s="66"/>
      <c r="F9" s="76"/>
      <c r="G9" s="77"/>
      <c r="H9" s="76"/>
      <c r="I9" s="77"/>
      <c r="J9" s="76"/>
      <c r="K9" s="77"/>
      <c r="L9" s="76"/>
      <c r="M9" s="77"/>
    </row>
    <row r="10" spans="1:16" ht="3" customHeight="1" outlineLevel="2">
      <c r="A10" s="46"/>
      <c r="B10" s="47"/>
      <c r="C10" s="47"/>
      <c r="D10" s="78"/>
      <c r="E10" s="66"/>
      <c r="F10" s="73"/>
      <c r="G10" s="79"/>
      <c r="H10" s="73"/>
      <c r="I10" s="79"/>
      <c r="J10" s="73"/>
      <c r="K10" s="79"/>
      <c r="L10" s="73"/>
      <c r="M10" s="79"/>
    </row>
    <row r="11" spans="1:16" ht="12.95" outlineLevel="2">
      <c r="A11" s="46"/>
      <c r="B11" s="80">
        <v>1</v>
      </c>
      <c r="C11" s="81">
        <v>1</v>
      </c>
      <c r="D11" s="82" t="s">
        <v>106</v>
      </c>
      <c r="E11" s="83"/>
      <c r="F11" s="59">
        <v>-1</v>
      </c>
      <c r="G11" s="85"/>
      <c r="H11" s="84"/>
      <c r="I11" s="85"/>
      <c r="J11" s="84"/>
      <c r="K11" s="85"/>
      <c r="L11" s="84"/>
      <c r="M11" s="86"/>
    </row>
    <row r="12" spans="1:16" ht="12.95" outlineLevel="2">
      <c r="A12" s="46"/>
      <c r="B12" s="80">
        <v>2</v>
      </c>
      <c r="C12" s="81">
        <v>2</v>
      </c>
      <c r="D12" s="82" t="s">
        <v>107</v>
      </c>
      <c r="E12" s="83"/>
      <c r="F12" s="59">
        <v>-1</v>
      </c>
      <c r="G12" s="85"/>
      <c r="H12" s="59">
        <v>-1</v>
      </c>
      <c r="I12" s="85"/>
      <c r="J12" s="59">
        <v>-1</v>
      </c>
      <c r="K12" s="85"/>
      <c r="L12" s="59">
        <v>-1</v>
      </c>
      <c r="M12" s="86"/>
    </row>
    <row r="13" spans="1:16" ht="14.1" outlineLevel="2">
      <c r="B13" s="80">
        <v>3</v>
      </c>
      <c r="C13" s="81">
        <v>3</v>
      </c>
      <c r="D13" s="82" t="s">
        <v>108</v>
      </c>
      <c r="E13" s="83"/>
      <c r="F13" s="59">
        <v>-1</v>
      </c>
      <c r="G13" s="87"/>
      <c r="H13" s="59">
        <v>-1</v>
      </c>
      <c r="I13" s="87"/>
      <c r="J13" s="59">
        <v>-1</v>
      </c>
      <c r="K13" s="87"/>
      <c r="L13" s="59">
        <v>-1</v>
      </c>
      <c r="M13" s="88"/>
    </row>
    <row r="14" spans="1:16" ht="14.1" outlineLevel="2">
      <c r="B14" s="80">
        <v>4</v>
      </c>
      <c r="C14" s="81">
        <v>4</v>
      </c>
      <c r="D14" s="82" t="s">
        <v>109</v>
      </c>
      <c r="E14" s="83"/>
      <c r="F14" s="59">
        <v>-1</v>
      </c>
      <c r="G14" s="87"/>
      <c r="H14" s="84"/>
      <c r="I14" s="87"/>
      <c r="J14" s="59">
        <v>-1</v>
      </c>
      <c r="K14" s="87"/>
      <c r="L14" s="59">
        <v>-1</v>
      </c>
      <c r="M14" s="88"/>
    </row>
    <row r="15" spans="1:16" ht="14.1" outlineLevel="2">
      <c r="B15" s="80">
        <v>5</v>
      </c>
      <c r="C15" s="81">
        <v>5</v>
      </c>
      <c r="D15" s="82" t="s">
        <v>110</v>
      </c>
      <c r="E15" s="83"/>
      <c r="F15" s="59">
        <v>-1</v>
      </c>
      <c r="G15" s="87"/>
      <c r="H15" s="84"/>
      <c r="I15" s="87"/>
      <c r="J15" s="84"/>
      <c r="K15" s="87"/>
      <c r="L15" s="59">
        <v>-1</v>
      </c>
      <c r="M15" s="88"/>
    </row>
    <row r="16" spans="1:16" ht="20.45" customHeight="1" outlineLevel="1">
      <c r="B16" s="75"/>
      <c r="C16" s="126" t="s">
        <v>111</v>
      </c>
      <c r="D16" s="126"/>
      <c r="E16" s="66"/>
      <c r="F16" s="76"/>
      <c r="G16" s="77"/>
      <c r="H16" s="76"/>
      <c r="I16" s="77"/>
      <c r="J16" s="76"/>
      <c r="K16" s="77"/>
      <c r="L16" s="76"/>
      <c r="M16" s="77"/>
    </row>
    <row r="17" spans="1:16" ht="12.95" outlineLevel="2">
      <c r="B17" s="81"/>
      <c r="C17" s="81"/>
      <c r="D17" s="82" t="s">
        <v>112</v>
      </c>
      <c r="E17" s="83"/>
      <c r="F17" s="86"/>
      <c r="G17" s="86"/>
      <c r="H17" s="86"/>
      <c r="I17" s="86"/>
      <c r="J17" s="86"/>
      <c r="K17" s="86"/>
      <c r="L17" s="86"/>
      <c r="M17" s="86"/>
    </row>
    <row r="18" spans="1:16" ht="15" customHeight="1" outlineLevel="3">
      <c r="B18" s="89"/>
      <c r="C18" s="90">
        <v>1</v>
      </c>
      <c r="D18" s="75" t="s">
        <v>113</v>
      </c>
      <c r="F18" s="59">
        <v>-1</v>
      </c>
      <c r="H18" s="59">
        <v>-1</v>
      </c>
      <c r="J18" s="59">
        <v>-1</v>
      </c>
    </row>
    <row r="19" spans="1:16" ht="15" customHeight="1" outlineLevel="3">
      <c r="B19" s="89"/>
      <c r="C19" s="90">
        <v>2</v>
      </c>
      <c r="D19" s="75" t="s">
        <v>114</v>
      </c>
      <c r="F19" s="59">
        <v>-1</v>
      </c>
      <c r="H19" s="59">
        <v>-1</v>
      </c>
      <c r="J19" s="59">
        <v>-1</v>
      </c>
    </row>
    <row r="20" spans="1:16" ht="15" customHeight="1" outlineLevel="3">
      <c r="B20" s="89"/>
      <c r="C20" s="90">
        <v>3</v>
      </c>
      <c r="D20" s="75" t="s">
        <v>115</v>
      </c>
      <c r="F20" s="59">
        <v>-1</v>
      </c>
      <c r="J20" s="59">
        <v>-1</v>
      </c>
      <c r="L20" s="59">
        <v>-1</v>
      </c>
    </row>
    <row r="21" spans="1:16" ht="3" customHeight="1" outlineLevel="2">
      <c r="B21" s="93"/>
      <c r="C21" s="93"/>
      <c r="D21" s="75"/>
      <c r="E21" s="46"/>
      <c r="F21" s="94"/>
      <c r="G21" s="95"/>
      <c r="H21" s="94"/>
      <c r="I21" s="95"/>
      <c r="J21" s="94"/>
      <c r="K21" s="95"/>
      <c r="L21" s="94"/>
      <c r="M21" s="95"/>
    </row>
    <row r="22" spans="1:16" ht="12.95" outlineLevel="2">
      <c r="B22" s="81"/>
      <c r="C22" s="81"/>
      <c r="D22" s="82" t="s">
        <v>116</v>
      </c>
      <c r="E22" s="83"/>
      <c r="F22" s="86"/>
      <c r="G22" s="86"/>
      <c r="H22" s="86"/>
      <c r="I22" s="86"/>
      <c r="J22" s="86"/>
      <c r="K22" s="86"/>
      <c r="L22" s="86"/>
      <c r="M22" s="86"/>
    </row>
    <row r="23" spans="1:16" ht="12.95" outlineLevel="3">
      <c r="B23" s="89"/>
      <c r="C23" s="89">
        <v>1</v>
      </c>
      <c r="D23" s="75" t="s">
        <v>131</v>
      </c>
      <c r="E23" s="46"/>
      <c r="F23" s="59">
        <v>-1</v>
      </c>
      <c r="G23" s="95"/>
      <c r="H23" s="94"/>
      <c r="I23" s="95"/>
      <c r="J23" s="59">
        <v>-1</v>
      </c>
      <c r="K23" s="84"/>
      <c r="L23" s="59">
        <v>-1</v>
      </c>
      <c r="M23" s="95"/>
    </row>
    <row r="24" spans="1:16" ht="12.95" outlineLevel="3">
      <c r="B24" s="89"/>
      <c r="C24" s="89">
        <v>2</v>
      </c>
      <c r="D24" s="75" t="s">
        <v>132</v>
      </c>
      <c r="E24" s="46"/>
      <c r="F24" s="59">
        <v>-1</v>
      </c>
      <c r="G24" s="95"/>
      <c r="H24" s="94"/>
      <c r="I24" s="95"/>
      <c r="J24" s="59">
        <v>-1</v>
      </c>
      <c r="K24" s="84"/>
      <c r="L24" s="59">
        <v>-1</v>
      </c>
      <c r="M24" s="95"/>
    </row>
    <row r="25" spans="1:16" ht="3" customHeight="1" outlineLevel="2">
      <c r="A25" s="46"/>
      <c r="B25" s="47"/>
      <c r="C25" s="47"/>
      <c r="D25" s="75"/>
      <c r="E25" s="46"/>
      <c r="F25" s="94"/>
      <c r="G25" s="95"/>
      <c r="H25" s="94"/>
      <c r="I25" s="95"/>
      <c r="J25" s="94"/>
      <c r="K25" s="95"/>
      <c r="L25" s="94"/>
      <c r="M25" s="95"/>
    </row>
    <row r="26" spans="1:16" ht="12.95" outlineLevel="2">
      <c r="A26" s="46"/>
      <c r="B26" s="81"/>
      <c r="C26" s="81"/>
      <c r="D26" s="82" t="s">
        <v>118</v>
      </c>
      <c r="E26" s="83"/>
      <c r="F26" s="86"/>
      <c r="G26" s="86"/>
      <c r="H26" s="86"/>
      <c r="I26" s="86"/>
      <c r="J26" s="86"/>
      <c r="K26" s="86"/>
      <c r="L26" s="86"/>
      <c r="M26" s="86"/>
    </row>
    <row r="27" spans="1:16" ht="12.95" outlineLevel="3">
      <c r="A27" s="46"/>
      <c r="B27" s="89" t="s">
        <v>133</v>
      </c>
      <c r="C27" s="90">
        <v>1</v>
      </c>
      <c r="D27" s="75" t="s">
        <v>119</v>
      </c>
      <c r="E27" s="46"/>
      <c r="F27" s="59">
        <v>-1</v>
      </c>
      <c r="G27" s="95"/>
      <c r="H27" s="94"/>
      <c r="I27" s="95"/>
      <c r="J27" s="59">
        <v>-1</v>
      </c>
      <c r="K27" s="95"/>
      <c r="L27" s="59">
        <v>-1</v>
      </c>
      <c r="M27" s="95"/>
      <c r="P27" s="89"/>
    </row>
    <row r="28" spans="1:16" ht="12.95" outlineLevel="3">
      <c r="A28" s="46"/>
      <c r="B28" s="89" t="s">
        <v>134</v>
      </c>
      <c r="C28" s="90">
        <v>2</v>
      </c>
      <c r="D28" s="75" t="s">
        <v>120</v>
      </c>
      <c r="E28" s="46"/>
      <c r="F28" s="59">
        <v>-1</v>
      </c>
      <c r="G28" s="95"/>
      <c r="H28" s="59">
        <v>-1</v>
      </c>
      <c r="I28" s="95"/>
      <c r="J28" s="84"/>
      <c r="K28" s="95"/>
      <c r="L28" s="94"/>
      <c r="M28" s="95"/>
    </row>
    <row r="29" spans="1:16" ht="12.95" outlineLevel="3">
      <c r="A29" s="46"/>
      <c r="B29" s="89" t="s">
        <v>135</v>
      </c>
      <c r="C29" s="90">
        <v>3</v>
      </c>
      <c r="D29" s="75" t="s">
        <v>121</v>
      </c>
      <c r="E29" s="46"/>
      <c r="F29" s="59">
        <v>-1</v>
      </c>
      <c r="G29" s="95"/>
      <c r="H29" s="59">
        <v>-1</v>
      </c>
      <c r="I29" s="95"/>
      <c r="J29" s="59">
        <v>-1</v>
      </c>
      <c r="K29" s="95"/>
      <c r="L29" s="94"/>
      <c r="M29" s="95"/>
    </row>
    <row r="30" spans="1:16" ht="12.95" outlineLevel="3">
      <c r="A30" s="46"/>
      <c r="B30" s="89" t="s">
        <v>136</v>
      </c>
      <c r="C30" s="90">
        <v>4</v>
      </c>
      <c r="D30" s="75" t="s">
        <v>122</v>
      </c>
      <c r="E30" s="46"/>
      <c r="F30" s="59">
        <v>-1</v>
      </c>
      <c r="G30" s="95"/>
      <c r="H30" s="94"/>
      <c r="I30" s="95"/>
      <c r="J30" s="94"/>
      <c r="K30" s="95"/>
      <c r="L30" s="59">
        <v>-1</v>
      </c>
      <c r="M30" s="95"/>
    </row>
    <row r="31" spans="1:16" ht="3" customHeight="1" outlineLevel="2">
      <c r="A31" s="46"/>
      <c r="B31" s="47"/>
      <c r="C31" s="47"/>
      <c r="D31" s="75"/>
      <c r="E31" s="46"/>
      <c r="F31" s="94"/>
      <c r="G31" s="95"/>
      <c r="H31" s="94"/>
      <c r="I31" s="95"/>
      <c r="J31" s="94"/>
      <c r="K31" s="95"/>
      <c r="L31" s="94"/>
      <c r="M31" s="95"/>
    </row>
    <row r="32" spans="1:16" ht="12.95" outlineLevel="2">
      <c r="A32" s="46"/>
      <c r="B32" s="81"/>
      <c r="C32" s="81">
        <v>16</v>
      </c>
      <c r="D32" s="82" t="s">
        <v>123</v>
      </c>
      <c r="E32" s="83"/>
      <c r="F32" s="86"/>
      <c r="G32" s="86"/>
      <c r="H32" s="86"/>
      <c r="I32" s="86"/>
      <c r="J32" s="86"/>
      <c r="K32" s="86"/>
      <c r="L32" s="86"/>
      <c r="M32" s="86"/>
    </row>
    <row r="33" spans="1:13" ht="12.95" outlineLevel="3">
      <c r="A33" s="46" t="str">
        <f>"Amenities &amp; Facilities - "&amp;D33</f>
        <v>Amenities &amp; Facilities - Clubhouse—Structure and Envelope</v>
      </c>
      <c r="B33" s="89" t="s">
        <v>137</v>
      </c>
      <c r="C33" s="90">
        <v>1</v>
      </c>
      <c r="D33" s="96" t="s">
        <v>138</v>
      </c>
      <c r="E33" s="46"/>
      <c r="F33" s="59">
        <v>-1</v>
      </c>
      <c r="G33" s="107"/>
      <c r="H33" s="59">
        <v>-1</v>
      </c>
      <c r="I33" s="107"/>
      <c r="J33" s="59">
        <v>-1</v>
      </c>
      <c r="K33" s="107"/>
      <c r="L33" s="108"/>
      <c r="M33" s="95"/>
    </row>
    <row r="34" spans="1:13" ht="12.95" outlineLevel="3">
      <c r="A34" s="46" t="str">
        <f t="shared" ref="A34:A37" si="0">"Amenities &amp; Facilities - "&amp;D34</f>
        <v>Amenities &amp; Facilities - Clubhouse—Interiors and Facilities</v>
      </c>
      <c r="B34" s="89" t="s">
        <v>139</v>
      </c>
      <c r="C34" s="90">
        <v>2</v>
      </c>
      <c r="D34" s="96" t="s">
        <v>140</v>
      </c>
      <c r="E34" s="46"/>
      <c r="F34" s="59">
        <v>-1</v>
      </c>
      <c r="G34" s="107"/>
      <c r="H34" s="84"/>
      <c r="I34" s="107"/>
      <c r="J34" s="59">
        <v>-1</v>
      </c>
      <c r="K34" s="107"/>
      <c r="L34" s="59">
        <v>-1</v>
      </c>
      <c r="M34" s="95"/>
    </row>
    <row r="35" spans="1:13" s="99" customFormat="1" ht="12.95" outlineLevel="3">
      <c r="A35" s="46" t="str">
        <f t="shared" si="0"/>
        <v>Amenities &amp; Facilities - Clubhouse—Outdoor Spaces and Pool</v>
      </c>
      <c r="B35" s="89" t="s">
        <v>141</v>
      </c>
      <c r="C35" s="90">
        <v>3</v>
      </c>
      <c r="D35" s="96" t="s">
        <v>142</v>
      </c>
      <c r="E35" s="97"/>
      <c r="F35" s="59">
        <v>-1</v>
      </c>
      <c r="G35" s="109"/>
      <c r="H35" s="59">
        <v>-1</v>
      </c>
      <c r="I35" s="109"/>
      <c r="J35" s="110"/>
      <c r="K35" s="109"/>
      <c r="L35" s="59">
        <v>-1</v>
      </c>
      <c r="M35" s="98"/>
    </row>
    <row r="36" spans="1:13" ht="12.95" outlineLevel="3">
      <c r="A36" s="46" t="str">
        <f t="shared" si="0"/>
        <v>Amenities &amp; Facilities - Community spaces [Board Walk, Children play area]</v>
      </c>
      <c r="B36" s="89" t="s">
        <v>143</v>
      </c>
      <c r="C36" s="90">
        <v>4</v>
      </c>
      <c r="D36" s="96" t="s">
        <v>144</v>
      </c>
      <c r="E36" s="46"/>
      <c r="F36" s="59"/>
      <c r="G36" s="107"/>
      <c r="H36" s="59"/>
      <c r="I36" s="107"/>
      <c r="J36" s="108"/>
      <c r="K36" s="107"/>
      <c r="L36" s="59"/>
      <c r="M36" s="95"/>
    </row>
    <row r="37" spans="1:13" ht="12.95" outlineLevel="3">
      <c r="A37" s="46" t="str">
        <f t="shared" si="0"/>
        <v>Amenities &amp; Facilities - Sporting Facilities</v>
      </c>
      <c r="B37" s="89" t="s">
        <v>145</v>
      </c>
      <c r="C37" s="90">
        <v>5</v>
      </c>
      <c r="D37" s="96" t="s">
        <v>146</v>
      </c>
      <c r="E37" s="46"/>
      <c r="F37" s="59"/>
      <c r="G37" s="107"/>
      <c r="H37" s="59"/>
      <c r="I37" s="107"/>
      <c r="J37" s="59"/>
      <c r="K37" s="107"/>
      <c r="L37" s="108"/>
      <c r="M37" s="95"/>
    </row>
    <row r="38" spans="1:13" ht="3" customHeight="1" outlineLevel="2">
      <c r="A38" s="46"/>
      <c r="B38" s="47"/>
      <c r="C38" s="47"/>
      <c r="D38" s="75"/>
      <c r="E38" s="46"/>
      <c r="F38" s="94"/>
      <c r="G38" s="95"/>
      <c r="H38" s="94"/>
      <c r="I38" s="95"/>
      <c r="J38" s="94"/>
      <c r="K38" s="95"/>
      <c r="L38" s="94"/>
      <c r="M38" s="95"/>
    </row>
    <row r="39" spans="1:13" ht="17.45" outlineLevel="1">
      <c r="A39" s="46"/>
      <c r="B39" s="75"/>
      <c r="C39" s="127" t="s">
        <v>125</v>
      </c>
      <c r="D39" s="127"/>
      <c r="E39" s="66"/>
      <c r="F39" s="76"/>
      <c r="G39" s="77"/>
      <c r="H39" s="76"/>
      <c r="I39" s="77"/>
      <c r="J39" s="76"/>
      <c r="K39" s="77"/>
      <c r="L39" s="76"/>
      <c r="M39" s="77"/>
    </row>
    <row r="40" spans="1:13" ht="3" customHeight="1" outlineLevel="2">
      <c r="A40" s="46"/>
      <c r="B40" s="47"/>
      <c r="C40" s="47"/>
      <c r="D40" s="100"/>
      <c r="E40" s="66"/>
      <c r="F40" s="73"/>
      <c r="G40" s="79"/>
      <c r="H40" s="73"/>
      <c r="I40" s="79"/>
      <c r="J40" s="73"/>
      <c r="K40" s="79"/>
      <c r="L40" s="73"/>
      <c r="M40" s="79"/>
    </row>
    <row r="41" spans="1:13" ht="12.95" outlineLevel="2">
      <c r="A41" s="46"/>
      <c r="B41" s="81">
        <v>1</v>
      </c>
      <c r="C41" s="81">
        <v>1</v>
      </c>
      <c r="D41" s="82" t="s">
        <v>126</v>
      </c>
      <c r="E41" s="83"/>
      <c r="F41" s="86"/>
      <c r="G41" s="86"/>
      <c r="H41" s="86"/>
      <c r="I41" s="86"/>
      <c r="J41" s="86"/>
      <c r="K41" s="86"/>
      <c r="L41" s="86"/>
      <c r="M41" s="86"/>
    </row>
    <row r="42" spans="1:13" ht="12.95" outlineLevel="3">
      <c r="A42" s="46"/>
      <c r="B42" s="90">
        <v>1</v>
      </c>
      <c r="C42" s="90">
        <v>1</v>
      </c>
      <c r="D42" s="101" t="s">
        <v>127</v>
      </c>
      <c r="E42" s="49"/>
      <c r="F42" s="59">
        <v>-1</v>
      </c>
      <c r="G42" s="59"/>
      <c r="H42" s="59">
        <v>-1</v>
      </c>
      <c r="I42" s="59"/>
      <c r="J42" s="59">
        <v>-1</v>
      </c>
      <c r="K42" s="59"/>
      <c r="L42" s="59">
        <v>-1</v>
      </c>
      <c r="M42" s="102"/>
    </row>
    <row r="43" spans="1:13" ht="3" customHeight="1">
      <c r="A43" s="46"/>
      <c r="B43" s="90"/>
      <c r="C43" s="90"/>
      <c r="D43" s="101"/>
      <c r="E43" s="49"/>
      <c r="F43" s="94"/>
      <c r="G43" s="102"/>
      <c r="H43" s="94"/>
      <c r="I43" s="102"/>
      <c r="J43" s="94"/>
      <c r="K43" s="102"/>
      <c r="L43" s="94"/>
      <c r="M43" s="102"/>
    </row>
    <row r="44" spans="1:13" ht="17.45" hidden="1">
      <c r="A44" s="46"/>
      <c r="B44" s="75"/>
      <c r="C44" s="127" t="s">
        <v>128</v>
      </c>
      <c r="D44" s="127"/>
      <c r="E44" s="66"/>
      <c r="F44" s="76"/>
      <c r="G44" s="77"/>
      <c r="H44" s="76"/>
      <c r="I44" s="77"/>
      <c r="J44" s="76"/>
      <c r="K44" s="77"/>
      <c r="L44" s="76"/>
      <c r="M44" s="77"/>
    </row>
    <row r="45" spans="1:13" ht="3" customHeight="1"/>
    <row r="66" spans="1:26" s="92" customFormat="1" ht="11.85" customHeight="1">
      <c r="A66" s="52"/>
      <c r="B66" s="52"/>
      <c r="C66" s="52"/>
      <c r="D66" s="52"/>
      <c r="E66" s="52"/>
      <c r="F66" s="52"/>
      <c r="G66" s="52"/>
      <c r="H66" s="52"/>
      <c r="I66" s="52"/>
      <c r="K66" s="91"/>
      <c r="M66" s="91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s="92" customFormat="1" ht="11.85" customHeight="1">
      <c r="A67" s="52"/>
      <c r="B67" s="52"/>
      <c r="C67" s="52"/>
      <c r="D67" s="52"/>
      <c r="E67" s="52"/>
      <c r="F67" s="52"/>
      <c r="G67" s="52"/>
      <c r="H67" s="52"/>
      <c r="I67" s="52"/>
      <c r="K67" s="91"/>
      <c r="M67" s="91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9" spans="1:26" s="92" customFormat="1" ht="11.85" customHeight="1">
      <c r="A69" s="52"/>
      <c r="B69" s="52"/>
      <c r="C69" s="52"/>
      <c r="D69" s="52"/>
      <c r="E69" s="52"/>
      <c r="F69" s="52"/>
      <c r="G69" s="52"/>
      <c r="H69" s="52"/>
      <c r="I69" s="52"/>
      <c r="K69" s="91"/>
      <c r="M69" s="91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</sheetData>
  <mergeCells count="9">
    <mergeCell ref="C44:D44"/>
    <mergeCell ref="C2:D2"/>
    <mergeCell ref="C8:D8"/>
    <mergeCell ref="F8:G8"/>
    <mergeCell ref="H8:I8"/>
    <mergeCell ref="J8:K8"/>
    <mergeCell ref="C9:D9"/>
    <mergeCell ref="C16:D16"/>
    <mergeCell ref="C39:D39"/>
  </mergeCells>
  <conditionalFormatting sqref="F11:F15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F18:F20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F27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F33 F37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F34:F36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F42:L42">
    <cfRule type="iconSet" priority="48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71">
      <iconSet iconSet="3Symbols2" showValue="0">
        <cfvo type="percent" val="0"/>
        <cfvo type="num" val="0"/>
        <cfvo type="num" val="1"/>
      </iconSet>
    </cfRule>
  </conditionalFormatting>
  <conditionalFormatting sqref="H12:H13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H14">
    <cfRule type="iconSet" priority="68">
      <iconSet iconSet="3Symbols2" showValue="0">
        <cfvo type="percent" val="0"/>
        <cfvo type="num" val="0"/>
        <cfvo type="num" val="1"/>
      </iconSet>
    </cfRule>
  </conditionalFormatting>
  <conditionalFormatting sqref="H15">
    <cfRule type="iconSet" priority="67">
      <iconSet iconSet="3Symbols2" showValue="0">
        <cfvo type="percent" val="0"/>
        <cfvo type="num" val="0"/>
        <cfvo type="num" val="1"/>
      </iconSet>
    </cfRule>
  </conditionalFormatting>
  <conditionalFormatting sqref="H18:H19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H28:H29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H35:H37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66">
      <iconSet iconSet="3Symbols2" showValue="0">
        <cfvo type="percent" val="0"/>
        <cfvo type="num" val="0"/>
        <cfvo type="num" val="1"/>
      </iconSet>
    </cfRule>
  </conditionalFormatting>
  <conditionalFormatting sqref="J12:J14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J15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J29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J33:J34 L34:L36 J37 H33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L12:L15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L20 J18:J20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L30 L27 F28:F30 J27 L23:L24 J23:J24 F23:F24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56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55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" id="{03E1A776-E0D9-4D4F-BE3D-30626202F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H34</xm:sqref>
        </x14:conditionalFormatting>
        <x14:conditionalFormatting xmlns:xm="http://schemas.microsoft.com/office/excel/2006/main">
          <x14:cfRule type="iconSet" priority="53" id="{30F41C76-4717-42C4-A2F0-2FDC62B16A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J28</xm:sqref>
        </x14:conditionalFormatting>
        <x14:conditionalFormatting xmlns:xm="http://schemas.microsoft.com/office/excel/2006/main">
          <x14:cfRule type="iconSet" priority="80" id="{795C8C86-673B-4076-8AE7-4A57140CE9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K23:K24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0076-A43A-4F49-8C94-F23247232FBE}">
  <sheetPr>
    <outlinePr summaryBelow="0" summaryRight="0"/>
    <pageSetUpPr fitToPage="1"/>
  </sheetPr>
  <dimension ref="A1:Z58"/>
  <sheetViews>
    <sheetView zoomScaleNormal="100" zoomScaleSheetLayoutView="35" workbookViewId="0">
      <pane xSplit="5" ySplit="7" topLeftCell="F8" activePane="bottomRight" state="frozen"/>
      <selection pane="bottomRight" activeCell="O20" sqref="O20"/>
      <selection pane="bottomLeft" activeCell="A7" sqref="A7"/>
      <selection pane="topRight" activeCell="F1" sqref="F1"/>
    </sheetView>
  </sheetViews>
  <sheetFormatPr defaultColWidth="11.42578125" defaultRowHeight="11.85" customHeight="1" outlineLevelRow="3"/>
  <cols>
    <col min="1" max="1" width="0.5703125" style="52" customWidth="1"/>
    <col min="2" max="2" width="7.85546875" style="103" bestFit="1" customWidth="1"/>
    <col min="3" max="3" width="5.42578125" style="104" bestFit="1" customWidth="1"/>
    <col min="4" max="4" width="69.42578125" style="105" bestFit="1" customWidth="1"/>
    <col min="5" max="5" width="0.42578125" style="52" customWidth="1"/>
    <col min="6" max="6" width="7.5703125" style="92" customWidth="1"/>
    <col min="7" max="7" width="0.42578125" style="91" customWidth="1"/>
    <col min="8" max="8" width="7.5703125" style="92" customWidth="1"/>
    <col min="9" max="9" width="0.42578125" style="91" customWidth="1"/>
    <col min="10" max="10" width="7.5703125" style="92" customWidth="1"/>
    <col min="11" max="11" width="0.42578125" style="91" customWidth="1"/>
    <col min="12" max="12" width="7.5703125" style="92" customWidth="1"/>
    <col min="13" max="13" width="0.42578125" style="91" customWidth="1"/>
    <col min="14" max="16384" width="11.42578125" style="52"/>
  </cols>
  <sheetData>
    <row r="1" spans="1:16" ht="3" customHeight="1">
      <c r="A1" s="46"/>
      <c r="B1" s="47"/>
      <c r="C1" s="48"/>
      <c r="D1" s="49"/>
      <c r="E1" s="46"/>
      <c r="F1" s="50"/>
      <c r="G1" s="51"/>
      <c r="H1" s="50"/>
      <c r="I1" s="51"/>
      <c r="J1" s="50"/>
      <c r="K1" s="51"/>
      <c r="L1" s="50"/>
      <c r="M1" s="51"/>
    </row>
    <row r="2" spans="1:16" s="58" customFormat="1" ht="18.600000000000001">
      <c r="A2" s="53"/>
      <c r="B2" s="54"/>
      <c r="C2" s="128" t="s">
        <v>147</v>
      </c>
      <c r="D2" s="128"/>
      <c r="E2" s="55"/>
      <c r="F2" s="56" t="s">
        <v>96</v>
      </c>
      <c r="G2" s="57"/>
      <c r="H2" s="56" t="s">
        <v>97</v>
      </c>
      <c r="I2" s="57"/>
      <c r="J2" s="56" t="s">
        <v>51</v>
      </c>
      <c r="K2" s="57"/>
      <c r="L2" s="56" t="s">
        <v>98</v>
      </c>
      <c r="M2" s="57"/>
      <c r="O2" s="59">
        <v>1</v>
      </c>
      <c r="P2" s="54" t="s">
        <v>99</v>
      </c>
    </row>
    <row r="3" spans="1:16" s="64" customFormat="1" ht="15">
      <c r="A3" s="60"/>
      <c r="B3" s="61"/>
      <c r="C3" s="62"/>
      <c r="D3" s="63" t="s">
        <v>100</v>
      </c>
      <c r="E3" s="60"/>
      <c r="F3" s="60">
        <f>COUNTA(F$9:F$34)</f>
        <v>13</v>
      </c>
      <c r="G3" s="60"/>
      <c r="H3" s="60">
        <f>COUNTA(H$9:H$34)</f>
        <v>7</v>
      </c>
      <c r="I3" s="60"/>
      <c r="J3" s="60">
        <f>COUNTA(J$9:J$34)</f>
        <v>9</v>
      </c>
      <c r="K3" s="60"/>
      <c r="L3" s="60">
        <f>COUNTA(L$9:L$34)</f>
        <v>8</v>
      </c>
      <c r="M3" s="60"/>
      <c r="O3" s="59">
        <v>-1</v>
      </c>
      <c r="P3" s="54" t="s">
        <v>101</v>
      </c>
    </row>
    <row r="4" spans="1:16" s="64" customFormat="1" ht="15">
      <c r="A4" s="60"/>
      <c r="B4" s="61"/>
      <c r="C4" s="62"/>
      <c r="D4" s="63" t="s">
        <v>102</v>
      </c>
      <c r="E4" s="60"/>
      <c r="F4" s="60">
        <f>COUNTIF(F$9:F$34,1)</f>
        <v>0</v>
      </c>
      <c r="G4" s="60"/>
      <c r="H4" s="60">
        <f>COUNTIF(H$9:H$34,1)</f>
        <v>0</v>
      </c>
      <c r="I4" s="60"/>
      <c r="J4" s="60">
        <f>COUNTIF(J$9:J$34,1)</f>
        <v>0</v>
      </c>
      <c r="K4" s="60"/>
      <c r="L4" s="60">
        <f>COUNTIF(L$9:L$34,1)</f>
        <v>0</v>
      </c>
      <c r="M4" s="60"/>
      <c r="O4" s="54"/>
      <c r="P4" s="54" t="s">
        <v>103</v>
      </c>
    </row>
    <row r="5" spans="1:16" ht="3" customHeight="1">
      <c r="A5" s="46"/>
      <c r="B5" s="47"/>
      <c r="C5" s="48"/>
      <c r="D5" s="65"/>
      <c r="E5" s="66"/>
      <c r="F5" s="50"/>
      <c r="G5" s="67"/>
      <c r="H5" s="50"/>
      <c r="I5" s="67"/>
      <c r="J5" s="50"/>
      <c r="K5" s="67"/>
      <c r="L5" s="50"/>
      <c r="M5" s="67"/>
    </row>
    <row r="6" spans="1:16" ht="3" customHeight="1">
      <c r="A6" s="46"/>
      <c r="B6" s="68"/>
      <c r="C6" s="69"/>
      <c r="D6" s="70"/>
      <c r="E6" s="71"/>
      <c r="F6" s="72"/>
      <c r="G6" s="72"/>
      <c r="H6" s="72"/>
      <c r="I6" s="72"/>
      <c r="J6" s="72"/>
      <c r="K6" s="72"/>
      <c r="L6" s="72"/>
      <c r="M6" s="72"/>
    </row>
    <row r="7" spans="1:16" ht="3.6" customHeight="1">
      <c r="A7" s="46"/>
      <c r="B7" s="47"/>
      <c r="C7" s="48"/>
      <c r="D7" s="65"/>
      <c r="E7" s="66"/>
      <c r="F7" s="73"/>
      <c r="G7" s="67"/>
      <c r="H7" s="73"/>
      <c r="I7" s="67"/>
      <c r="J7" s="73"/>
      <c r="K7" s="67"/>
      <c r="L7" s="73"/>
      <c r="M7" s="67"/>
    </row>
    <row r="8" spans="1:16" ht="24" customHeight="1">
      <c r="A8" s="46"/>
      <c r="B8" s="23"/>
      <c r="C8" s="124" t="s">
        <v>148</v>
      </c>
      <c r="D8" s="125"/>
      <c r="E8" s="66"/>
      <c r="F8" s="124"/>
      <c r="G8" s="125"/>
      <c r="H8" s="124"/>
      <c r="I8" s="125"/>
      <c r="J8" s="124"/>
      <c r="K8" s="125"/>
      <c r="L8" s="74"/>
      <c r="M8" s="67"/>
    </row>
    <row r="9" spans="1:16" ht="17.45" outlineLevel="1">
      <c r="A9" s="46"/>
      <c r="B9" s="75"/>
      <c r="C9" s="126" t="s">
        <v>105</v>
      </c>
      <c r="D9" s="126"/>
      <c r="E9" s="66"/>
      <c r="F9" s="76"/>
      <c r="G9" s="77"/>
      <c r="H9" s="76"/>
      <c r="I9" s="77"/>
      <c r="J9" s="76"/>
      <c r="K9" s="77"/>
      <c r="L9" s="76"/>
      <c r="M9" s="77"/>
    </row>
    <row r="10" spans="1:16" ht="3" customHeight="1" outlineLevel="2">
      <c r="A10" s="46"/>
      <c r="B10" s="47"/>
      <c r="C10" s="47"/>
      <c r="D10" s="78"/>
      <c r="E10" s="66"/>
      <c r="F10" s="73"/>
      <c r="G10" s="79"/>
      <c r="H10" s="73"/>
      <c r="I10" s="79"/>
      <c r="J10" s="73"/>
      <c r="K10" s="79"/>
      <c r="L10" s="73"/>
      <c r="M10" s="79"/>
    </row>
    <row r="11" spans="1:16" ht="12.95" outlineLevel="2">
      <c r="A11" s="46"/>
      <c r="B11" s="80">
        <v>1</v>
      </c>
      <c r="C11" s="81">
        <v>1</v>
      </c>
      <c r="D11" s="82" t="s">
        <v>106</v>
      </c>
      <c r="E11" s="83"/>
      <c r="F11" s="59">
        <v>-1</v>
      </c>
      <c r="G11" s="85"/>
      <c r="H11" s="84"/>
      <c r="I11" s="85"/>
      <c r="J11" s="84"/>
      <c r="K11" s="85"/>
      <c r="L11" s="84"/>
      <c r="M11" s="86"/>
    </row>
    <row r="12" spans="1:16" ht="12.95" outlineLevel="2">
      <c r="A12" s="46"/>
      <c r="B12" s="80">
        <v>2</v>
      </c>
      <c r="C12" s="81">
        <v>2</v>
      </c>
      <c r="D12" s="82" t="s">
        <v>107</v>
      </c>
      <c r="E12" s="83"/>
      <c r="F12" s="59">
        <v>-1</v>
      </c>
      <c r="G12" s="85"/>
      <c r="H12" s="59">
        <v>-1</v>
      </c>
      <c r="I12" s="85"/>
      <c r="J12" s="59">
        <v>-1</v>
      </c>
      <c r="K12" s="85"/>
      <c r="L12" s="59">
        <v>-1</v>
      </c>
      <c r="M12" s="86"/>
    </row>
    <row r="13" spans="1:16" ht="14.1" outlineLevel="2">
      <c r="B13" s="80">
        <v>3</v>
      </c>
      <c r="C13" s="81">
        <v>3</v>
      </c>
      <c r="D13" s="82" t="s">
        <v>108</v>
      </c>
      <c r="E13" s="83"/>
      <c r="F13" s="59">
        <v>-1</v>
      </c>
      <c r="G13" s="87"/>
      <c r="H13" s="59">
        <v>-1</v>
      </c>
      <c r="I13" s="87"/>
      <c r="J13" s="59">
        <v>-1</v>
      </c>
      <c r="K13" s="87"/>
      <c r="L13" s="59">
        <v>-1</v>
      </c>
      <c r="M13" s="88"/>
    </row>
    <row r="14" spans="1:16" ht="14.1" outlineLevel="2">
      <c r="B14" s="80">
        <v>4</v>
      </c>
      <c r="C14" s="81">
        <v>4</v>
      </c>
      <c r="D14" s="82" t="s">
        <v>109</v>
      </c>
      <c r="E14" s="83"/>
      <c r="F14" s="59">
        <v>-1</v>
      </c>
      <c r="G14" s="87"/>
      <c r="H14" s="84"/>
      <c r="I14" s="87"/>
      <c r="J14" s="59">
        <v>-1</v>
      </c>
      <c r="K14" s="87"/>
      <c r="L14" s="59">
        <v>-1</v>
      </c>
      <c r="M14" s="88"/>
    </row>
    <row r="15" spans="1:16" ht="14.1" outlineLevel="2">
      <c r="B15" s="80">
        <v>5</v>
      </c>
      <c r="C15" s="81">
        <v>5</v>
      </c>
      <c r="D15" s="82" t="s">
        <v>110</v>
      </c>
      <c r="E15" s="83"/>
      <c r="F15" s="59">
        <v>-1</v>
      </c>
      <c r="G15" s="87"/>
      <c r="H15" s="84"/>
      <c r="I15" s="87"/>
      <c r="J15" s="84"/>
      <c r="K15" s="87"/>
      <c r="L15" s="59">
        <v>-1</v>
      </c>
      <c r="M15" s="88"/>
    </row>
    <row r="16" spans="1:16" ht="20.45" customHeight="1" outlineLevel="1">
      <c r="B16" s="75"/>
      <c r="C16" s="126" t="s">
        <v>111</v>
      </c>
      <c r="D16" s="126"/>
      <c r="E16" s="66"/>
      <c r="F16" s="76"/>
      <c r="G16" s="77"/>
      <c r="H16" s="76"/>
      <c r="I16" s="77"/>
      <c r="J16" s="76"/>
      <c r="K16" s="77"/>
      <c r="L16" s="76"/>
      <c r="M16" s="77"/>
    </row>
    <row r="17" spans="1:16" ht="12.95" outlineLevel="2">
      <c r="B17" s="81"/>
      <c r="C17" s="81"/>
      <c r="D17" s="82" t="s">
        <v>149</v>
      </c>
      <c r="E17" s="83"/>
      <c r="F17" s="86"/>
      <c r="G17" s="86"/>
      <c r="H17" s="86"/>
      <c r="I17" s="86"/>
      <c r="J17" s="86"/>
      <c r="K17" s="86"/>
      <c r="L17" s="86"/>
      <c r="M17" s="86"/>
    </row>
    <row r="18" spans="1:16" ht="15" customHeight="1" outlineLevel="3">
      <c r="B18" s="89"/>
      <c r="C18" s="90">
        <v>1</v>
      </c>
      <c r="D18" s="75" t="s">
        <v>150</v>
      </c>
      <c r="F18" s="59">
        <v>-1</v>
      </c>
      <c r="H18" s="59">
        <v>-1</v>
      </c>
      <c r="J18" s="59">
        <v>-1</v>
      </c>
    </row>
    <row r="19" spans="1:16" ht="15" customHeight="1" outlineLevel="3">
      <c r="B19" s="89"/>
      <c r="C19" s="90">
        <v>2</v>
      </c>
      <c r="D19" s="75" t="s">
        <v>151</v>
      </c>
      <c r="F19" s="59">
        <v>-1</v>
      </c>
      <c r="H19" s="59">
        <v>-1</v>
      </c>
      <c r="J19" s="59">
        <v>-1</v>
      </c>
    </row>
    <row r="20" spans="1:16" ht="15" customHeight="1" outlineLevel="3">
      <c r="B20" s="89"/>
      <c r="C20" s="90">
        <v>3</v>
      </c>
      <c r="D20" s="75" t="s">
        <v>152</v>
      </c>
      <c r="F20" s="59">
        <v>-1</v>
      </c>
      <c r="J20" s="59">
        <v>-1</v>
      </c>
      <c r="L20" s="59">
        <v>-1</v>
      </c>
    </row>
    <row r="21" spans="1:16" ht="3" customHeight="1" outlineLevel="2">
      <c r="B21" s="93"/>
      <c r="C21" s="93"/>
      <c r="D21" s="75"/>
      <c r="E21" s="46"/>
      <c r="F21" s="94"/>
      <c r="G21" s="95"/>
      <c r="H21" s="94"/>
      <c r="I21" s="95"/>
      <c r="J21" s="94"/>
      <c r="K21" s="95"/>
      <c r="L21" s="94"/>
      <c r="M21" s="95"/>
    </row>
    <row r="22" spans="1:16" ht="12.95" outlineLevel="2">
      <c r="A22" s="46"/>
      <c r="B22" s="81"/>
      <c r="C22" s="81"/>
      <c r="D22" s="82" t="s">
        <v>118</v>
      </c>
      <c r="E22" s="83"/>
      <c r="F22" s="86"/>
      <c r="G22" s="86"/>
      <c r="H22" s="86"/>
      <c r="I22" s="86"/>
      <c r="J22" s="86"/>
      <c r="K22" s="86"/>
      <c r="L22" s="86"/>
      <c r="M22" s="86"/>
    </row>
    <row r="23" spans="1:16" ht="12.95" outlineLevel="3">
      <c r="A23" s="46"/>
      <c r="B23" s="89" t="s">
        <v>133</v>
      </c>
      <c r="C23" s="90">
        <v>1</v>
      </c>
      <c r="D23" s="75" t="s">
        <v>119</v>
      </c>
      <c r="E23" s="46"/>
      <c r="F23" s="59">
        <v>-1</v>
      </c>
      <c r="G23" s="95"/>
      <c r="H23" s="94"/>
      <c r="I23" s="95"/>
      <c r="J23" s="59">
        <v>-1</v>
      </c>
      <c r="K23" s="95"/>
      <c r="L23" s="59">
        <v>-1</v>
      </c>
      <c r="M23" s="95"/>
      <c r="P23" s="89"/>
    </row>
    <row r="24" spans="1:16" ht="12.95" outlineLevel="3">
      <c r="A24" s="46"/>
      <c r="B24" s="89" t="s">
        <v>134</v>
      </c>
      <c r="C24" s="90">
        <v>2</v>
      </c>
      <c r="D24" s="75" t="s">
        <v>120</v>
      </c>
      <c r="E24" s="46"/>
      <c r="F24" s="59">
        <v>-1</v>
      </c>
      <c r="G24" s="95"/>
      <c r="H24" s="59">
        <v>-1</v>
      </c>
      <c r="I24" s="95"/>
      <c r="J24" s="84"/>
      <c r="K24" s="95"/>
      <c r="L24" s="94"/>
      <c r="M24" s="95"/>
    </row>
    <row r="25" spans="1:16" ht="12.95" outlineLevel="3">
      <c r="A25" s="46"/>
      <c r="B25" s="89" t="s">
        <v>135</v>
      </c>
      <c r="C25" s="90">
        <v>3</v>
      </c>
      <c r="D25" s="75" t="s">
        <v>121</v>
      </c>
      <c r="E25" s="46"/>
      <c r="F25" s="59">
        <v>-1</v>
      </c>
      <c r="G25" s="95"/>
      <c r="H25" s="59">
        <v>-1</v>
      </c>
      <c r="I25" s="95"/>
      <c r="J25" s="59">
        <v>-1</v>
      </c>
      <c r="K25" s="95"/>
      <c r="L25" s="94"/>
      <c r="M25" s="95"/>
    </row>
    <row r="26" spans="1:16" ht="12.95" outlineLevel="3">
      <c r="A26" s="46"/>
      <c r="B26" s="89" t="s">
        <v>136</v>
      </c>
      <c r="C26" s="90">
        <v>4</v>
      </c>
      <c r="D26" s="75" t="s">
        <v>122</v>
      </c>
      <c r="E26" s="46"/>
      <c r="F26" s="59">
        <v>-1</v>
      </c>
      <c r="G26" s="95"/>
      <c r="H26" s="94"/>
      <c r="I26" s="95"/>
      <c r="J26" s="94"/>
      <c r="K26" s="95"/>
      <c r="L26" s="59">
        <v>-1</v>
      </c>
      <c r="M26" s="95"/>
    </row>
    <row r="27" spans="1:16" ht="3" customHeight="1" outlineLevel="2">
      <c r="A27" s="46"/>
      <c r="B27" s="47"/>
      <c r="C27" s="47"/>
      <c r="D27" s="75"/>
      <c r="E27" s="46"/>
      <c r="F27" s="94"/>
      <c r="G27" s="95"/>
      <c r="H27" s="94"/>
      <c r="I27" s="95"/>
      <c r="J27" s="94"/>
      <c r="K27" s="95"/>
      <c r="L27" s="94"/>
      <c r="M27" s="95"/>
    </row>
    <row r="28" spans="1:16" ht="3" customHeight="1" outlineLevel="2">
      <c r="A28" s="46"/>
      <c r="B28" s="47"/>
      <c r="C28" s="47"/>
      <c r="D28" s="75"/>
      <c r="E28" s="46"/>
      <c r="F28" s="94"/>
      <c r="G28" s="95"/>
      <c r="H28" s="94"/>
      <c r="I28" s="95"/>
      <c r="J28" s="94"/>
      <c r="K28" s="95"/>
      <c r="L28" s="94"/>
      <c r="M28" s="95"/>
    </row>
    <row r="29" spans="1:16" ht="17.45" outlineLevel="1">
      <c r="A29" s="46"/>
      <c r="B29" s="75"/>
      <c r="C29" s="127" t="s">
        <v>125</v>
      </c>
      <c r="D29" s="127"/>
      <c r="E29" s="66"/>
      <c r="F29" s="76"/>
      <c r="G29" s="77"/>
      <c r="H29" s="76"/>
      <c r="I29" s="77"/>
      <c r="J29" s="76"/>
      <c r="K29" s="77"/>
      <c r="L29" s="76"/>
      <c r="M29" s="77"/>
    </row>
    <row r="30" spans="1:16" ht="3" customHeight="1" outlineLevel="2">
      <c r="A30" s="46"/>
      <c r="B30" s="47"/>
      <c r="C30" s="47"/>
      <c r="D30" s="100"/>
      <c r="E30" s="66"/>
      <c r="F30" s="73"/>
      <c r="G30" s="79"/>
      <c r="H30" s="73"/>
      <c r="I30" s="79"/>
      <c r="J30" s="73"/>
      <c r="K30" s="79"/>
      <c r="L30" s="73"/>
      <c r="M30" s="79"/>
    </row>
    <row r="31" spans="1:16" ht="12.95" outlineLevel="2">
      <c r="A31" s="46"/>
      <c r="B31" s="81">
        <v>1</v>
      </c>
      <c r="C31" s="81">
        <v>1</v>
      </c>
      <c r="D31" s="82" t="s">
        <v>126</v>
      </c>
      <c r="E31" s="83"/>
      <c r="F31" s="86"/>
      <c r="G31" s="86"/>
      <c r="H31" s="86"/>
      <c r="I31" s="86"/>
      <c r="J31" s="86"/>
      <c r="K31" s="86"/>
      <c r="L31" s="86"/>
      <c r="M31" s="86"/>
    </row>
    <row r="32" spans="1:16" ht="12.95" outlineLevel="3">
      <c r="A32" s="46"/>
      <c r="B32" s="90">
        <v>1</v>
      </c>
      <c r="C32" s="90">
        <v>1</v>
      </c>
      <c r="D32" s="101" t="s">
        <v>127</v>
      </c>
      <c r="E32" s="49"/>
      <c r="F32" s="59">
        <v>-1</v>
      </c>
      <c r="G32" s="59"/>
      <c r="H32" s="59">
        <v>-1</v>
      </c>
      <c r="I32" s="59"/>
      <c r="J32" s="59">
        <v>-1</v>
      </c>
      <c r="K32" s="59"/>
      <c r="L32" s="59">
        <v>-1</v>
      </c>
      <c r="M32" s="102"/>
    </row>
    <row r="33" spans="1:13" ht="3" customHeight="1">
      <c r="A33" s="46"/>
      <c r="B33" s="90"/>
      <c r="C33" s="90"/>
      <c r="D33" s="101"/>
      <c r="E33" s="49"/>
      <c r="F33" s="94"/>
      <c r="G33" s="102"/>
      <c r="H33" s="94"/>
      <c r="I33" s="102"/>
      <c r="J33" s="94"/>
      <c r="K33" s="102"/>
      <c r="L33" s="94"/>
      <c r="M33" s="102"/>
    </row>
    <row r="34" spans="1:13" ht="17.45" hidden="1">
      <c r="A34" s="46"/>
      <c r="B34" s="75"/>
      <c r="C34" s="127" t="s">
        <v>128</v>
      </c>
      <c r="D34" s="127"/>
      <c r="E34" s="66"/>
      <c r="F34" s="76"/>
      <c r="G34" s="77"/>
      <c r="H34" s="76"/>
      <c r="I34" s="77"/>
      <c r="J34" s="76"/>
      <c r="K34" s="77"/>
      <c r="L34" s="76"/>
      <c r="M34" s="77"/>
    </row>
    <row r="55" spans="1:26" s="92" customFormat="1" ht="11.85" customHeight="1">
      <c r="A55" s="52"/>
      <c r="B55" s="52"/>
      <c r="C55" s="52"/>
      <c r="D55" s="52"/>
      <c r="E55" s="52"/>
      <c r="F55" s="52"/>
      <c r="G55" s="52"/>
      <c r="H55" s="52"/>
      <c r="I55" s="52"/>
      <c r="K55" s="91"/>
      <c r="M55" s="91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s="92" customFormat="1" ht="11.85" customHeight="1">
      <c r="A56" s="52"/>
      <c r="B56" s="52"/>
      <c r="C56" s="52"/>
      <c r="D56" s="52"/>
      <c r="E56" s="52"/>
      <c r="F56" s="52"/>
      <c r="G56" s="52"/>
      <c r="H56" s="52"/>
      <c r="I56" s="52"/>
      <c r="K56" s="91"/>
      <c r="M56" s="91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8" spans="1:26" s="92" customFormat="1" ht="11.85" customHeight="1">
      <c r="A58" s="52"/>
      <c r="B58" s="52"/>
      <c r="C58" s="52"/>
      <c r="D58" s="52"/>
      <c r="E58" s="52"/>
      <c r="F58" s="52"/>
      <c r="G58" s="52"/>
      <c r="H58" s="52"/>
      <c r="I58" s="52"/>
      <c r="K58" s="91"/>
      <c r="M58" s="91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</sheetData>
  <mergeCells count="9">
    <mergeCell ref="C34:D34"/>
    <mergeCell ref="C2:D2"/>
    <mergeCell ref="C8:D8"/>
    <mergeCell ref="F8:G8"/>
    <mergeCell ref="H8:I8"/>
    <mergeCell ref="J8:K8"/>
    <mergeCell ref="C9:D9"/>
    <mergeCell ref="C16:D16"/>
    <mergeCell ref="C29:D29"/>
  </mergeCells>
  <conditionalFormatting sqref="F11:F15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F18:F20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F23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F32:L32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H12:H13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H14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H15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H18:H19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H24:H25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J12:J14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J15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J25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L12:L15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L20 J18:J20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L26 L23 F24:F26 J2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20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9" id="{B1127B38-1AA3-4DF4-9769-2D218276DE0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date0 xmlns="95d3a1aa-20e3-4db1-b4c2-8de2c15fe3d1" xsi:nil="true"/>
    <TaxCatchAll xmlns="1c3b6138-399c-48b0-9249-b80d30773e06" xsi:nil="true"/>
    <Date xmlns="95d3a1aa-20e3-4db1-b4c2-8de2c15fe3d1">2026-09-07T14:05:44+00:00</Date>
    <Createdby xmlns="95d3a1aa-20e3-4db1-b4c2-8de2c15fe3d1">
      <UserInfo>
        <DisplayName/>
        <AccountId xsi:nil="true"/>
        <AccountType/>
      </UserInfo>
    </Createdby>
  </documentManagement>
</p:properties>
</file>

<file path=customXml/itemProps1.xml><?xml version="1.0" encoding="utf-8"?>
<ds:datastoreItem xmlns:ds="http://schemas.openxmlformats.org/officeDocument/2006/customXml" ds:itemID="{DFB4BBAC-F428-4814-8273-2679BDFCA3C7}"/>
</file>

<file path=customXml/itemProps2.xml><?xml version="1.0" encoding="utf-8"?>
<ds:datastoreItem xmlns:ds="http://schemas.openxmlformats.org/officeDocument/2006/customXml" ds:itemID="{FCF8F8DF-089A-489A-A559-99034FDE31EE}"/>
</file>

<file path=customXml/itemProps3.xml><?xml version="1.0" encoding="utf-8"?>
<ds:datastoreItem xmlns:ds="http://schemas.openxmlformats.org/officeDocument/2006/customXml" ds:itemID="{2979C849-46AA-4C2F-B8D4-0DEF27703772}"/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Anish Harish Adapa</dc:creator>
  <cp:keywords/>
  <dc:description/>
  <cp:lastModifiedBy>Mohammed Mazharuddin</cp:lastModifiedBy>
  <cp:revision/>
  <dcterms:created xsi:type="dcterms:W3CDTF">2026-09-07T13:15:38Z</dcterms:created>
  <dcterms:modified xsi:type="dcterms:W3CDTF">2026-09-23T06:49:57Z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