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991" documentId="8_{9CC0317C-AB2F-49D0-BD72-75F971846930}" xr6:coauthVersionLast="47" xr6:coauthVersionMax="47" xr10:uidLastSave="{740104ED-435A-4932-8818-600CD573189E}"/>
  <bookViews>
    <workbookView xWindow="-108" yWindow="-108" windowWidth="23256" windowHeight="12456" tabRatio="749" activeTab="1" xr2:uid="{5EF5F934-3F74-4DA0-B71A-DE90FB105D78}"/>
  </bookViews>
  <sheets>
    <sheet name="0052 Imagine FY26-27Q3" sheetId="57" r:id="rId1"/>
    <sheet name="0052Imagine Pkgs Smmy (Status) " sheetId="58" r:id="rId2"/>
    <sheet name="Goals FY 26-27Q2" sheetId="60" state="hidden" r:id="rId3"/>
  </sheets>
  <definedNames>
    <definedName name="_" localSheetId="1" hidden="1">#REF!</definedName>
    <definedName name="_" hidden="1">#REF!</definedName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0">'0052 Imagine FY26-27Q3'!$B$4:$Z$5</definedName>
    <definedName name="_xlnm._FilterDatabase" localSheetId="1" hidden="1">'0052Imagine Pkgs Smmy (Status) '!#REF!</definedName>
    <definedName name="_xlnm._FilterDatabase" localSheetId="2">'Goals FY 26-27Q2'!$B$4:$Z$16</definedName>
    <definedName name="_xlnm._FilterDatabase" hidden="1">#REF!</definedName>
    <definedName name="_Goal_New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1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0" hidden="1">{"BSSCHA4",#N/A,FALSE,"sch bs"}</definedName>
    <definedName name="ALupro" localSheetId="1" hidden="1">{"BSSCHA4",#N/A,FALSE,"sch bs"}</definedName>
    <definedName name="ALupro" localSheetId="2" hidden="1">{"BSSCHA4",#N/A,FALSE,"sch bs"}</definedName>
    <definedName name="ALupro" hidden="1">{"BSSCHA4",#N/A,FALSE,"sch bs"}</definedName>
    <definedName name="ALupro0" localSheetId="0" hidden="1">{"BSSCHA4",#N/A,FALSE,"sch bs"}</definedName>
    <definedName name="ALupro0" localSheetId="2" hidden="1">{"BSSCHA4",#N/A,FALSE,"sch bs"}</definedName>
    <definedName name="ALupro0" hidden="1">{"BSSCHA4",#N/A,FALSE,"sch bs"}</definedName>
    <definedName name="annexure" localSheetId="0" hidden="1">{"BSSCHA4",#N/A,FALSE,"sch bs"}</definedName>
    <definedName name="annexure" localSheetId="1" hidden="1">{"BSSCHA4",#N/A,FALSE,"sch bs"}</definedName>
    <definedName name="annexure" localSheetId="2" hidden="1">{"BSSCHA4",#N/A,FALSE,"sch bs"}</definedName>
    <definedName name="annexure" hidden="1">{"BSSCHA4",#N/A,FALSE,"sch bs"}</definedName>
    <definedName name="annexure_1" localSheetId="0" hidden="1">{"BSSCHA4",#N/A,FALSE,"sch bs"}</definedName>
    <definedName name="annexure_1" localSheetId="2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0" hidden="1">{"A4BS",#N/A,FALSE,"bs"}</definedName>
    <definedName name="avneeep" localSheetId="2" hidden="1">{"A4BS",#N/A,FALSE,"bs"}</definedName>
    <definedName name="avneeep" hidden="1">{"A4BS",#N/A,FALSE,"bs"}</definedName>
    <definedName name="avneeep_1" localSheetId="0" hidden="1">{"A4BS",#N/A,FALSE,"bs"}</definedName>
    <definedName name="avneeep_1" localSheetId="2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0" hidden="1">{"A4depsch",#N/A,FALSE,"fa&amp;dep"}</definedName>
    <definedName name="egdywmk" localSheetId="2" hidden="1">{"A4depsch",#N/A,FALSE,"fa&amp;dep"}</definedName>
    <definedName name="egdywmk" hidden="1">{"A4depsch",#N/A,FALSE,"fa&amp;dep"}</definedName>
    <definedName name="egdywmk_1" localSheetId="0" hidden="1">{"A4depsch",#N/A,FALSE,"fa&amp;dep"}</definedName>
    <definedName name="egdywmk_1" localSheetId="2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1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0" hidden="1">{"a4p&amp;L",#N/A,FALSE,"tr &amp; pl"}</definedName>
    <definedName name="gallup" localSheetId="1" hidden="1">{"a4p&amp;L",#N/A,FALSE,"tr &amp; pl"}</definedName>
    <definedName name="gallup" localSheetId="2" hidden="1">{"a4p&amp;L",#N/A,FALSE,"tr &amp; pl"}</definedName>
    <definedName name="gallup" hidden="1">{"a4p&amp;L",#N/A,FALSE,"tr &amp; pl"}</definedName>
    <definedName name="gallup_1" localSheetId="0" hidden="1">{"a4p&amp;L",#N/A,FALSE,"tr &amp; pl"}</definedName>
    <definedName name="gallup_1" localSheetId="2" hidden="1">{"a4p&amp;L",#N/A,FALSE,"tr &amp; pl"}</definedName>
    <definedName name="gallup_1" hidden="1">{"a4p&amp;L",#N/A,FALSE,"tr &amp; pl"}</definedName>
    <definedName name="GDF" localSheetId="0" hidden="1">{#N/A,#N/A,FALSE,"COMP"}</definedName>
    <definedName name="GDF" localSheetId="2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0" hidden="1">{#N/A,#N/A,FALSE,"COMP"}</definedName>
    <definedName name="hgfhtr" localSheetId="2" hidden="1">{#N/A,#N/A,FALSE,"COMP"}</definedName>
    <definedName name="hgfhtr" hidden="1">{#N/A,#N/A,FALSE,"COMP"}</definedName>
    <definedName name="hgkh" localSheetId="0" hidden="1">{#N/A,#N/A,FALSE,"Aging Summary";#N/A,#N/A,FALSE,"Ratio Analysis";#N/A,#N/A,FALSE,"Test 120 Day Accts";#N/A,#N/A,FALSE,"Tickmarks"}</definedName>
    <definedName name="hgkh" localSheetId="1" hidden="1">{#N/A,#N/A,FALSE,"Aging Summary";#N/A,#N/A,FALSE,"Ratio Analysis";#N/A,#N/A,FALSE,"Test 120 Day Accts";#N/A,#N/A,FALSE,"Tickmarks"}</definedName>
    <definedName name="hgkh" localSheetId="2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0" hidden="1">{"'August 2000'!$A$1:$J$101"}</definedName>
    <definedName name="HTML_Control" localSheetId="2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1">'0052Imagine Pkgs Smmy (Status) '!#REF!</definedName>
    <definedName name="_xlnm.Print_Titles" localSheetId="0">'0052 Imagine FY26-27Q3'!$2:$4</definedName>
    <definedName name="_xlnm.Print_Titles" localSheetId="1">'0052Imagine Pkgs Smmy (Status) '!$1:$7</definedName>
    <definedName name="_xlnm.Print_Titles" localSheetId="2">'Goals FY 26-27Q2'!$2:$4</definedName>
    <definedName name="Prof" localSheetId="1" hidden="1">#REF!</definedName>
    <definedName name="Prof" hidden="1">#REF!</definedName>
    <definedName name="q" localSheetId="1" hidden="1">#REF!</definedName>
    <definedName name="q" hidden="1">#REF!</definedName>
    <definedName name="sales1" localSheetId="0" hidden="1">{#N/A,#N/A,FALSE,"OPSTATE";#N/A,#N/A,FALSE,"BSLIABILITY";#N/A,#N/A,FALSE,"BSASSETS";#N/A,#N/A,FALSE,"Sheet1"}</definedName>
    <definedName name="sales1" localSheetId="2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0" hidden="1">{"A4depsch",#N/A,FALSE,"fa&amp;dep"}</definedName>
    <definedName name="salws2" localSheetId="2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0" hidden="1">{#N/A,#N/A,FALSE,"COMP"}</definedName>
    <definedName name="sss" localSheetId="2" hidden="1">{#N/A,#N/A,FALSE,"COMP"}</definedName>
    <definedName name="sss" hidden="1">{#N/A,#N/A,FALSE,"COMP"}</definedName>
    <definedName name="the" localSheetId="0" hidden="1">{#N/A,#N/A,FALSE,"COMP"}</definedName>
    <definedName name="the" localSheetId="2" hidden="1">{#N/A,#N/A,FALSE,"COMP"}</definedName>
    <definedName name="the" hidden="1">{#N/A,#N/A,FALSE,"COMP"}</definedName>
    <definedName name="v" hidden="1">#REF!,#REF!</definedName>
    <definedName name="vivek1" localSheetId="1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0" hidden="1">{#N/A,#N/A,FALSE,"COMP"}</definedName>
    <definedName name="wr" localSheetId="2" hidden="1">{#N/A,#N/A,FALSE,"COMP"}</definedName>
    <definedName name="wr" hidden="1">{#N/A,#N/A,FALSE,"COMP"}</definedName>
    <definedName name="WRI" localSheetId="0" hidden="1">{#N/A,#N/A,FALSE,"COMP"}</definedName>
    <definedName name="WRI" localSheetId="2" hidden="1">{#N/A,#N/A,FALSE,"COMP"}</definedName>
    <definedName name="WRI" hidden="1">{#N/A,#N/A,FALSE,"COMP"}</definedName>
    <definedName name="wrn.A4BSSCH." localSheetId="0" hidden="1">{"BSSCHA4",#N/A,FALSE,"sch bs"}</definedName>
    <definedName name="wrn.A4BSSCH." localSheetId="1" hidden="1">{"BSSCHA4",#N/A,FALSE,"sch bs"}</definedName>
    <definedName name="wrn.A4BSSCH." localSheetId="2" hidden="1">{"BSSCHA4",#N/A,FALSE,"sch bs"}</definedName>
    <definedName name="wrn.A4BSSCH." hidden="1">{"BSSCHA4",#N/A,FALSE,"sch bs"}</definedName>
    <definedName name="wrn.A4BSSCH._1" localSheetId="0" hidden="1">{"BSSCHA4",#N/A,FALSE,"sch bs"}</definedName>
    <definedName name="wrn.A4BSSCH._1" localSheetId="2" hidden="1">{"BSSCHA4",#N/A,FALSE,"sch bs"}</definedName>
    <definedName name="wrn.A4BSSCH._1" hidden="1">{"BSSCHA4",#N/A,FALSE,"sch bs"}</definedName>
    <definedName name="wrn.A4PL." localSheetId="0" hidden="1">{"a4p&amp;L",#N/A,FALSE,"tr &amp; pl"}</definedName>
    <definedName name="wrn.A4PL." localSheetId="1" hidden="1">{"a4p&amp;L",#N/A,FALSE,"tr &amp; pl"}</definedName>
    <definedName name="wrn.A4PL." localSheetId="2" hidden="1">{"a4p&amp;L",#N/A,FALSE,"tr &amp; pl"}</definedName>
    <definedName name="wrn.A4PL." hidden="1">{"a4p&amp;L",#N/A,FALSE,"tr &amp; pl"}</definedName>
    <definedName name="wrn.A4PL._1" localSheetId="0" hidden="1">{"a4p&amp;L",#N/A,FALSE,"tr &amp; pl"}</definedName>
    <definedName name="wrn.A4PL._1" localSheetId="2" hidden="1">{"a4p&amp;L",#N/A,FALSE,"tr &amp; pl"}</definedName>
    <definedName name="wrn.A4PL._1" hidden="1">{"a4p&amp;L",#N/A,FALSE,"tr &amp; pl"}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0" hidden="1">{#N/A,#N/A,FALSE,"OPSTATE";#N/A,#N/A,FALSE,"BSLIABILITY";#N/A,#N/A,FALSE,"BSASSETS";#N/A,#N/A,FALSE,"Sheet1"}</definedName>
    <definedName name="wrn.AkrutiCMA." localSheetId="1" hidden="1">{#N/A,#N/A,FALSE,"OPSTATE";#N/A,#N/A,FALSE,"BSLIABILITY";#N/A,#N/A,FALSE,"BSASSETS";#N/A,#N/A,FALSE,"Sheet1"}</definedName>
    <definedName name="wrn.AkrutiCMA." localSheetId="2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0" hidden="1">{"A4BS",#N/A,FALSE,"bs"}</definedName>
    <definedName name="wrn.BSA4." localSheetId="1" hidden="1">{"A4BS",#N/A,FALSE,"bs"}</definedName>
    <definedName name="wrn.BSA4." localSheetId="2" hidden="1">{"A4BS",#N/A,FALSE,"bs"}</definedName>
    <definedName name="wrn.BSA4." hidden="1">{"A4BS",#N/A,FALSE,"bs"}</definedName>
    <definedName name="wrn.BSA4._1" localSheetId="0" hidden="1">{"A4BS",#N/A,FALSE,"bs"}</definedName>
    <definedName name="wrn.BSA4._1" localSheetId="2" hidden="1">{"A4BS",#N/A,FALSE,"bs"}</definedName>
    <definedName name="wrn.BSA4._1" hidden="1">{"A4BS",#N/A,FALSE,"bs"}</definedName>
    <definedName name="wrn.capA4." localSheetId="0" hidden="1">{"capA4",#N/A,FALSE,"capt"}</definedName>
    <definedName name="wrn.capA4." localSheetId="1" hidden="1">{"capA4",#N/A,FALSE,"capt"}</definedName>
    <definedName name="wrn.capA4." localSheetId="2" hidden="1">{"capA4",#N/A,FALSE,"capt"}</definedName>
    <definedName name="wrn.capA4." hidden="1">{"capA4",#N/A,FALSE,"capt"}</definedName>
    <definedName name="wrn.capA4._1" localSheetId="0" hidden="1">{"capA4",#N/A,FALSE,"capt"}</definedName>
    <definedName name="wrn.capA4._1" localSheetId="2" hidden="1">{"capA4",#N/A,FALSE,"capt"}</definedName>
    <definedName name="wrn.capA4._1" hidden="1">{"capA4",#N/A,FALSE,"capt"}</definedName>
    <definedName name="wrn.depschA4." localSheetId="0" hidden="1">{"A4depsch",#N/A,FALSE,"fa&amp;dep"}</definedName>
    <definedName name="wrn.depschA4." localSheetId="1" hidden="1">{"A4depsch",#N/A,FALSE,"fa&amp;dep"}</definedName>
    <definedName name="wrn.depschA4." localSheetId="2" hidden="1">{"A4depsch",#N/A,FALSE,"fa&amp;dep"}</definedName>
    <definedName name="wrn.depschA4." hidden="1">{"A4depsch",#N/A,FALSE,"fa&amp;dep"}</definedName>
    <definedName name="wrn.depschA4._1" localSheetId="0" hidden="1">{"A4depsch",#N/A,FALSE,"fa&amp;dep"}</definedName>
    <definedName name="wrn.depschA4._1" localSheetId="2" hidden="1">{"A4depsch",#N/A,FALSE,"fa&amp;dep"}</definedName>
    <definedName name="wrn.depschA4._1" hidden="1">{"A4depsch",#N/A,FALSE,"fa&amp;dep"}</definedName>
    <definedName name="wrn.EVEREST." localSheetId="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0" hidden="1">{#N/A,#N/A,FALSE,"COMP"}</definedName>
    <definedName name="wrn.FORM1." localSheetId="2" hidden="1">{#N/A,#N/A,FALSE,"COMP"}</definedName>
    <definedName name="wrn.FORM1." hidden="1">{#N/A,#N/A,FALSE,"COMP"}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0" hidden="1">{#N/A,#N/A,FALSE,"One Pager";#N/A,#N/A,FALSE,"Technical"}</definedName>
    <definedName name="wrn.One._.Pager._.plus._.Technicals." localSheetId="1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0" hidden="1">{"A4PLSCH",#N/A,FALSE,"sch pl"}</definedName>
    <definedName name="wrn.PLSCHA4." localSheetId="1" hidden="1">{"A4PLSCH",#N/A,FALSE,"sch pl"}</definedName>
    <definedName name="wrn.PLSCHA4." localSheetId="2" hidden="1">{"A4PLSCH",#N/A,FALSE,"sch pl"}</definedName>
    <definedName name="wrn.PLSCHA4." hidden="1">{"A4PLSCH",#N/A,FALSE,"sch pl"}</definedName>
    <definedName name="wrn.PLSCHA4._1" localSheetId="0" hidden="1">{"A4PLSCH",#N/A,FALSE,"sch pl"}</definedName>
    <definedName name="wrn.PLSCHA4._1" localSheetId="2" hidden="1">{"A4PLSCH",#N/A,FALSE,"sch pl"}</definedName>
    <definedName name="wrn.PLSCHA4._1" hidden="1">{"A4PLSCH",#N/A,FALSE,"sch pl"}</definedName>
    <definedName name="wrn.Print." localSheetId="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1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7" l="1"/>
  <c r="L2" i="57"/>
  <c r="K2" i="57"/>
  <c r="J2" i="57"/>
  <c r="L26" i="57"/>
  <c r="L25" i="57" s="1"/>
  <c r="M25" i="57"/>
  <c r="K25" i="57"/>
  <c r="J25" i="57"/>
  <c r="L22" i="57"/>
  <c r="L19" i="57"/>
  <c r="L18" i="57" s="1"/>
  <c r="M18" i="57"/>
  <c r="K18" i="57"/>
  <c r="J18" i="57"/>
  <c r="L15" i="57"/>
  <c r="L14" i="57" s="1"/>
  <c r="M14" i="57"/>
  <c r="K14" i="57"/>
  <c r="J14" i="57"/>
  <c r="L11" i="57"/>
  <c r="L8" i="57"/>
  <c r="M7" i="57"/>
  <c r="K7" i="57"/>
  <c r="J7" i="57"/>
  <c r="L16" i="60"/>
  <c r="L15" i="60" s="1"/>
  <c r="M15" i="60"/>
  <c r="K15" i="60"/>
  <c r="J15" i="60"/>
  <c r="L14" i="60"/>
  <c r="L13" i="60"/>
  <c r="M12" i="60"/>
  <c r="K12" i="60"/>
  <c r="J12" i="60"/>
  <c r="L11" i="60"/>
  <c r="L10" i="60" s="1"/>
  <c r="M10" i="60"/>
  <c r="K10" i="60"/>
  <c r="J10" i="60"/>
  <c r="L9" i="60"/>
  <c r="L8" i="60"/>
  <c r="M7" i="60"/>
  <c r="K7" i="60"/>
  <c r="J7" i="60"/>
  <c r="L4" i="58"/>
  <c r="J4" i="58"/>
  <c r="H4" i="58"/>
  <c r="F4" i="58"/>
  <c r="L3" i="58"/>
  <c r="J3" i="58"/>
  <c r="H3" i="58"/>
  <c r="F3" i="58"/>
  <c r="M6" i="57" l="1"/>
  <c r="L7" i="57"/>
  <c r="L6" i="57" s="1"/>
  <c r="J6" i="57"/>
  <c r="K6" i="57"/>
  <c r="L7" i="60"/>
  <c r="K6" i="60"/>
  <c r="J6" i="60"/>
  <c r="M6" i="60"/>
  <c r="L12" i="60"/>
  <c r="K2" i="60" l="1"/>
  <c r="L6" i="60"/>
  <c r="J2" i="60"/>
  <c r="L2" i="60" l="1"/>
  <c r="AA2" i="60" s="1"/>
  <c r="M2" i="60"/>
  <c r="AB2" i="60" s="1"/>
  <c r="AA4" i="60" l="1"/>
  <c r="AB4" i="60"/>
</calcChain>
</file>

<file path=xl/sharedStrings.xml><?xml version="1.0" encoding="utf-8"?>
<sst xmlns="http://schemas.openxmlformats.org/spreadsheetml/2006/main" count="197" uniqueCount="72">
  <si>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</si>
  <si>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</si>
  <si>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</si>
  <si>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</si>
  <si>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</si>
  <si>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</si>
  <si>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</si>
  <si>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</si>
  <si>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</si>
  <si>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Design Lead</t>
  </si>
  <si>
    <t>Lead</t>
  </si>
  <si>
    <t>Person 1</t>
  </si>
  <si>
    <t>Person 2</t>
  </si>
  <si>
    <t>Person 3</t>
  </si>
  <si>
    <t>Draftperson</t>
  </si>
  <si>
    <t>Package Release</t>
  </si>
  <si>
    <t>Architecture</t>
  </si>
  <si>
    <t>LoD 200 - Schematic Concept</t>
  </si>
  <si>
    <t>Step 1</t>
  </si>
  <si>
    <t>Task description 1</t>
  </si>
  <si>
    <t>User 1</t>
  </si>
  <si>
    <t>Step 2</t>
  </si>
  <si>
    <t>Task description 2</t>
  </si>
  <si>
    <t>User 2</t>
  </si>
  <si>
    <t>Structural</t>
  </si>
  <si>
    <t>Prakash C</t>
  </si>
  <si>
    <t>Lincy</t>
  </si>
  <si>
    <t>MEP</t>
  </si>
  <si>
    <t>Gagan</t>
  </si>
  <si>
    <t>Salomi</t>
  </si>
  <si>
    <t>Landscape</t>
  </si>
  <si>
    <t>Lajja</t>
  </si>
  <si>
    <t>Completed</t>
  </si>
  <si>
    <t>Imagine Campus</t>
  </si>
  <si>
    <t xml:space="preserve">Package Release [Complete LoD 100, 200] </t>
  </si>
  <si>
    <t>Naveen Y</t>
  </si>
  <si>
    <t>Akhila G</t>
  </si>
  <si>
    <t>Fathima S</t>
  </si>
  <si>
    <t>Approvals</t>
  </si>
  <si>
    <t xml:space="preserve">Package Release [Complete LoD 200] </t>
  </si>
  <si>
    <t>Charan</t>
  </si>
  <si>
    <t>-</t>
  </si>
  <si>
    <t>Karthik</t>
  </si>
  <si>
    <t>Hareesha
Bhavya</t>
  </si>
  <si>
    <t>Byahattimath
Shreedhar
Viresh</t>
  </si>
  <si>
    <t>Aproova</t>
  </si>
  <si>
    <t>AR</t>
  </si>
  <si>
    <t>ST</t>
  </si>
  <si>
    <t>LS</t>
  </si>
  <si>
    <t>Scope</t>
  </si>
  <si>
    <t>Pending</t>
  </si>
  <si>
    <t>Actuals</t>
  </si>
  <si>
    <t>NA</t>
  </si>
  <si>
    <t>DESIGN CONCEPT</t>
  </si>
  <si>
    <t>Contract + Design Brief</t>
  </si>
  <si>
    <t>Schematic Concept</t>
  </si>
  <si>
    <t>Pre Construction Set</t>
  </si>
  <si>
    <t>MEPF Approvals pending</t>
  </si>
  <si>
    <t>CONSTRUCTION DOCUMENTS</t>
  </si>
  <si>
    <r>
      <t>GFC | Tower—</t>
    </r>
    <r>
      <rPr>
        <b/>
        <sz val="10"/>
        <color theme="1"/>
        <rFont val="Helvetica Neue Light"/>
        <family val="2"/>
      </rPr>
      <t>01</t>
    </r>
  </si>
  <si>
    <t>T01-01</t>
  </si>
  <si>
    <t>Foundation and Grade Slab</t>
  </si>
  <si>
    <t>T01-02</t>
  </si>
  <si>
    <t>Building Envelope and Plot development</t>
  </si>
  <si>
    <t>T01-03</t>
  </si>
  <si>
    <t>Interiors</t>
  </si>
  <si>
    <t>POST-CONSTRUCTION</t>
  </si>
  <si>
    <t>Archives</t>
  </si>
  <si>
    <t xml:space="preserve">Complete set of "As-Built" drawings, final BoQ and project costs, </t>
  </si>
  <si>
    <t>FY 2026-27 Q2 | Design Goals + Billing</t>
  </si>
  <si>
    <t>0052 Imagine Campus | Design package release FY26-27 Q3</t>
  </si>
  <si>
    <t>0052 | Imagine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</si>
</sst>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%;\-0%;\-;@"/>
  </numFmts>
  <fonts count="39" x14ac:knownFonts="1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10"/>
      <name val="Arial"/>
      <family val="2"/>
    </font>
    <font>
      <sz val="14"/>
      <color theme="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sz val="10"/>
      <name val="Helvetica Neue Light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9"/>
      <color theme="1"/>
      <name val="Helvetica Neue Light"/>
      <family val="2"/>
    </font>
    <font>
      <sz val="9"/>
      <color theme="1"/>
      <name val="Meta-Normal"/>
      <family val="2"/>
    </font>
    <font>
      <sz val="9"/>
      <color theme="1"/>
      <name val="Meta-Normal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Meta-Normal"/>
      <family val="3"/>
    </font>
    <font>
      <sz val="14"/>
      <color theme="0"/>
      <name val="Impact"/>
      <family val="2"/>
    </font>
    <font>
      <sz val="14"/>
      <color theme="0"/>
      <name val="Neo Sans Pro"/>
      <family val="2"/>
    </font>
    <font>
      <b/>
      <sz val="10"/>
      <color theme="1"/>
      <name val="Meta-Normal"/>
      <family val="3"/>
    </font>
    <font>
      <b/>
      <sz val="12"/>
      <color theme="1"/>
      <name val="Meta-Normal"/>
      <family val="3"/>
    </font>
    <font>
      <b/>
      <sz val="11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0"/>
      <name val="Meta-Normal"/>
      <family val="3"/>
    </font>
    <font>
      <sz val="9"/>
      <color theme="1"/>
      <name val="Meta-Normal"/>
      <family val="3"/>
    </font>
    <font>
      <sz val="11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b/>
      <sz val="12"/>
      <color theme="1"/>
      <name val="Helvetica Neue Light"/>
      <family val="2"/>
    </font>
    <font>
      <b/>
      <sz val="10"/>
      <color theme="1"/>
      <name val="Meta-Normal"/>
    </font>
    <font>
      <b/>
      <sz val="10"/>
      <color theme="1"/>
      <name val="Meta-Norm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3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8">
    <xf numFmtId="0" fontId="0" fillId="0" borderId="0" xfId="0"/>
    <xf numFmtId="0" fontId="8" fillId="0" borderId="2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14" fillId="3" borderId="2" xfId="2" applyFont="1" applyFill="1" applyBorder="1" applyAlignment="1">
      <alignment vertical="center"/>
    </xf>
    <xf numFmtId="0" fontId="14" fillId="3" borderId="2" xfId="2" applyFont="1" applyFill="1" applyBorder="1" applyAlignment="1">
      <alignment vertical="center" wrapText="1"/>
    </xf>
    <xf numFmtId="0" fontId="13" fillId="4" borderId="2" xfId="2" applyFont="1" applyFill="1" applyBorder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2" fontId="0" fillId="0" borderId="2" xfId="2" applyNumberFormat="1" applyFont="1" applyBorder="1" applyAlignment="1">
      <alignment vertical="center"/>
    </xf>
    <xf numFmtId="2" fontId="8" fillId="0" borderId="0" xfId="2" applyNumberFormat="1" applyFont="1" applyAlignment="1">
      <alignment vertical="center"/>
    </xf>
    <xf numFmtId="0" fontId="13" fillId="2" borderId="2" xfId="2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/>
    </xf>
    <xf numFmtId="0" fontId="9" fillId="2" borderId="2" xfId="2" applyFont="1" applyFill="1" applyBorder="1" applyAlignment="1">
      <alignment vertical="center" wrapText="1"/>
    </xf>
    <xf numFmtId="166" fontId="15" fillId="3" borderId="2" xfId="1" applyNumberFormat="1" applyFont="1" applyFill="1" applyBorder="1" applyAlignment="1">
      <alignment horizontal="center" vertical="center"/>
    </xf>
    <xf numFmtId="165" fontId="16" fillId="3" borderId="2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0" fontId="13" fillId="2" borderId="2" xfId="2" applyFont="1" applyFill="1" applyBorder="1" applyAlignment="1">
      <alignment horizontal="center" vertical="center" wrapText="1"/>
    </xf>
    <xf numFmtId="2" fontId="10" fillId="0" borderId="2" xfId="2" applyNumberFormat="1" applyFont="1" applyBorder="1" applyAlignment="1">
      <alignment vertical="center"/>
    </xf>
    <xf numFmtId="1" fontId="10" fillId="0" borderId="2" xfId="2" applyNumberFormat="1" applyFont="1" applyBorder="1" applyAlignment="1">
      <alignment vertical="center"/>
    </xf>
    <xf numFmtId="0" fontId="13" fillId="4" borderId="2" xfId="2" applyFont="1" applyFill="1" applyBorder="1" applyAlignment="1">
      <alignment vertical="center" wrapText="1"/>
    </xf>
    <xf numFmtId="2" fontId="12" fillId="4" borderId="2" xfId="2" applyNumberFormat="1" applyFont="1" applyFill="1" applyBorder="1" applyAlignment="1">
      <alignment vertical="center"/>
    </xf>
    <xf numFmtId="165" fontId="12" fillId="4" borderId="2" xfId="1" applyNumberFormat="1" applyFont="1" applyFill="1" applyBorder="1" applyAlignment="1">
      <alignment vertical="center"/>
    </xf>
    <xf numFmtId="0" fontId="8" fillId="0" borderId="0" xfId="2" applyFont="1" applyAlignment="1">
      <alignment vertical="center" wrapText="1"/>
    </xf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9" fontId="8" fillId="0" borderId="0" xfId="26" applyFont="1" applyAlignment="1">
      <alignment vertical="center"/>
    </xf>
    <xf numFmtId="165" fontId="16" fillId="3" borderId="2" xfId="1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7" fillId="0" borderId="2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7" fillId="5" borderId="0" xfId="2" applyFont="1" applyFill="1" applyAlignment="1">
      <alignment vertical="center"/>
    </xf>
    <xf numFmtId="2" fontId="19" fillId="0" borderId="2" xfId="2" applyNumberFormat="1" applyFont="1" applyBorder="1" applyAlignment="1">
      <alignment vertical="center"/>
    </xf>
    <xf numFmtId="165" fontId="19" fillId="0" borderId="2" xfId="1" applyNumberFormat="1" applyFont="1" applyBorder="1" applyAlignment="1">
      <alignment vertical="center"/>
    </xf>
    <xf numFmtId="2" fontId="18" fillId="0" borderId="2" xfId="2" applyNumberFormat="1" applyFont="1" applyBorder="1" applyAlignment="1">
      <alignment vertical="center"/>
    </xf>
    <xf numFmtId="0" fontId="17" fillId="0" borderId="3" xfId="2" applyFont="1" applyBorder="1" applyAlignment="1">
      <alignment vertical="center"/>
    </xf>
    <xf numFmtId="14" fontId="17" fillId="0" borderId="0" xfId="2" applyNumberFormat="1" applyFont="1" applyAlignment="1">
      <alignment vertical="center"/>
    </xf>
    <xf numFmtId="0" fontId="20" fillId="0" borderId="2" xfId="2" applyFont="1" applyBorder="1" applyAlignment="1">
      <alignment vertical="center"/>
    </xf>
    <xf numFmtId="0" fontId="20" fillId="0" borderId="2" xfId="2" applyFont="1" applyBorder="1" applyAlignment="1">
      <alignment vertical="center" wrapText="1"/>
    </xf>
    <xf numFmtId="15" fontId="21" fillId="0" borderId="2" xfId="2" applyNumberFormat="1" applyFont="1" applyBorder="1" applyAlignment="1">
      <alignment vertical="center"/>
    </xf>
    <xf numFmtId="2" fontId="20" fillId="0" borderId="2" xfId="2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horizontal="right" vertical="center"/>
    </xf>
    <xf numFmtId="0" fontId="22" fillId="0" borderId="1" xfId="0" applyFont="1" applyBorder="1" applyAlignment="1">
      <alignment vertical="center" wrapText="1"/>
    </xf>
    <xf numFmtId="167" fontId="22" fillId="0" borderId="1" xfId="0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167" fontId="26" fillId="0" borderId="1" xfId="0" applyNumberFormat="1" applyFont="1" applyBorder="1" applyAlignment="1">
      <alignment vertical="center"/>
    </xf>
    <xf numFmtId="0" fontId="23" fillId="6" borderId="1" xfId="0" applyFont="1" applyFill="1" applyBorder="1" applyAlignment="1">
      <alignment horizontal="right" vertical="center"/>
    </xf>
    <xf numFmtId="0" fontId="26" fillId="6" borderId="1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vertical="center"/>
    </xf>
    <xf numFmtId="167" fontId="22" fillId="6" borderId="1" xfId="0" applyNumberFormat="1" applyFont="1" applyFill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167" fontId="31" fillId="0" borderId="1" xfId="0" applyNumberFormat="1" applyFont="1" applyBorder="1" applyAlignment="1">
      <alignment vertical="center"/>
    </xf>
    <xf numFmtId="167" fontId="24" fillId="0" borderId="1" xfId="0" applyNumberFormat="1" applyFont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167" fontId="27" fillId="2" borderId="1" xfId="0" applyNumberFormat="1" applyFont="1" applyFill="1" applyBorder="1" applyAlignment="1">
      <alignment horizontal="center" vertical="center"/>
    </xf>
    <xf numFmtId="167" fontId="32" fillId="0" borderId="1" xfId="0" applyNumberFormat="1" applyFont="1" applyBorder="1" applyAlignment="1">
      <alignment horizontal="center" vertical="center"/>
    </xf>
    <xf numFmtId="167" fontId="32" fillId="0" borderId="1" xfId="0" applyNumberFormat="1" applyFont="1" applyBorder="1" applyAlignment="1">
      <alignment vertical="center"/>
    </xf>
    <xf numFmtId="167" fontId="33" fillId="2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vertical="center" wrapText="1"/>
    </xf>
    <xf numFmtId="167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vertical="center"/>
    </xf>
    <xf numFmtId="0" fontId="34" fillId="0" borderId="1" xfId="0" applyFont="1" applyBorder="1" applyAlignment="1">
      <alignment vertical="center"/>
    </xf>
    <xf numFmtId="167" fontId="35" fillId="0" borderId="1" xfId="0" applyNumberFormat="1" applyFont="1" applyBorder="1" applyAlignment="1">
      <alignment horizontal="center" vertical="center"/>
    </xf>
    <xf numFmtId="167" fontId="35" fillId="0" borderId="1" xfId="0" applyNumberFormat="1" applyFont="1" applyBorder="1" applyAlignment="1">
      <alignment vertical="center"/>
    </xf>
    <xf numFmtId="0" fontId="34" fillId="0" borderId="0" xfId="0" applyFont="1" applyAlignment="1">
      <alignment vertical="center"/>
    </xf>
    <xf numFmtId="167" fontId="27" fillId="0" borderId="1" xfId="0" applyNumberFormat="1" applyFont="1" applyBorder="1" applyAlignment="1">
      <alignment horizontal="center" vertical="center"/>
    </xf>
    <xf numFmtId="167" fontId="32" fillId="0" borderId="1" xfId="0" applyNumberFormat="1" applyFont="1" applyBorder="1" applyAlignment="1">
      <alignment vertical="center" wrapText="1"/>
    </xf>
    <xf numFmtId="0" fontId="36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9" fillId="0" borderId="0" xfId="0" applyFont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1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5" fontId="27" fillId="0" borderId="1" xfId="30" applyNumberFormat="1" applyFont="1" applyFill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7" fontId="25" fillId="3" borderId="1" xfId="0" applyNumberFormat="1" applyFont="1" applyFill="1" applyBorder="1" applyAlignment="1">
      <alignment horizontal="center" vertical="center"/>
    </xf>
    <xf numFmtId="165" fontId="8" fillId="0" borderId="1" xfId="30" applyNumberFormat="1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0" fontId="8" fillId="5" borderId="0" xfId="2" applyFont="1" applyFill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9" fillId="2" borderId="2" xfId="2" applyFont="1" applyFill="1" applyBorder="1" applyAlignment="1">
      <alignment vertical="center"/>
    </xf>
    <xf numFmtId="2" fontId="37" fillId="2" borderId="2" xfId="2" applyNumberFormat="1" applyFont="1" applyFill="1" applyBorder="1" applyAlignment="1">
      <alignment vertical="center"/>
    </xf>
    <xf numFmtId="165" fontId="37" fillId="2" borderId="2" xfId="1" applyNumberFormat="1" applyFont="1" applyFill="1" applyBorder="1" applyAlignment="1">
      <alignment vertical="center"/>
    </xf>
    <xf numFmtId="0" fontId="9" fillId="8" borderId="2" xfId="2" applyFont="1" applyFill="1" applyBorder="1" applyAlignment="1">
      <alignment vertical="center"/>
    </xf>
    <xf numFmtId="0" fontId="9" fillId="8" borderId="2" xfId="2" applyFont="1" applyFill="1" applyBorder="1" applyAlignment="1">
      <alignment vertical="center" wrapText="1"/>
    </xf>
    <xf numFmtId="2" fontId="38" fillId="8" borderId="2" xfId="2" applyNumberFormat="1" applyFont="1" applyFill="1" applyBorder="1" applyAlignment="1">
      <alignment vertical="center"/>
    </xf>
    <xf numFmtId="165" fontId="38" fillId="8" borderId="2" xfId="1" applyNumberFormat="1" applyFont="1" applyFill="1" applyBorder="1" applyAlignment="1">
      <alignment vertical="center"/>
    </xf>
    <xf numFmtId="1" fontId="0" fillId="0" borderId="3" xfId="2" applyNumberFormat="1" applyFont="1" applyBorder="1" applyAlignment="1">
      <alignment vertical="center"/>
    </xf>
    <xf numFmtId="1" fontId="0" fillId="5" borderId="0" xfId="2" applyNumberFormat="1" applyFont="1" applyFill="1" applyAlignment="1">
      <alignment vertical="center"/>
    </xf>
    <xf numFmtId="1" fontId="0" fillId="0" borderId="0" xfId="2" applyNumberFormat="1" applyFont="1" applyAlignment="1">
      <alignment vertical="center"/>
    </xf>
    <xf numFmtId="0" fontId="8" fillId="0" borderId="3" xfId="2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15" fontId="10" fillId="0" borderId="2" xfId="2" applyNumberFormat="1" applyFont="1" applyBorder="1" applyAlignment="1">
      <alignment vertical="center" wrapText="1"/>
    </xf>
    <xf numFmtId="165" fontId="15" fillId="3" borderId="2" xfId="1" applyNumberFormat="1" applyFont="1" applyFill="1" applyBorder="1" applyAlignment="1">
      <alignment horizontal="center" vertical="center"/>
    </xf>
  </cellXfs>
  <cellStyles count="33">
    <cellStyle name="Comma" xfId="1" builtinId="3"/>
    <cellStyle name="Comma 10" xfId="22" xr:uid="{7DEE2C9A-C384-41B9-9C39-671BCA8A70B4}"/>
    <cellStyle name="Comma 2" xfId="6" xr:uid="{9974E87C-B3E8-4FCD-85D5-738EC5A00EBD}"/>
    <cellStyle name="Comma 2 10" xfId="31" xr:uid="{B2576190-C9C3-4ABE-8383-332BBFAA95D8}"/>
    <cellStyle name="Comma 2 2" xfId="15" xr:uid="{56E3BB82-B47C-4F8E-8C81-B7AE45EBD356}"/>
    <cellStyle name="Comma 2 2 2" xfId="18" xr:uid="{74D0584D-CE06-400C-9822-064532443BAD}"/>
    <cellStyle name="Comma 2 3" xfId="17" xr:uid="{75B5461C-6E48-455D-8A6A-467E583FFBE6}"/>
    <cellStyle name="Comma 2 4" xfId="20" xr:uid="{45C92782-944B-4D3C-A1F1-F1BF1422F133}"/>
    <cellStyle name="Comma 3" xfId="14" xr:uid="{60A7A182-7A5F-4172-B0D8-0297083A140B}"/>
    <cellStyle name="Comma 4" xfId="16" xr:uid="{A8AA4419-2BDF-487C-B3C3-91425DDFB4A2}"/>
    <cellStyle name="Comma 47" xfId="23" xr:uid="{5CB24E7C-3BED-4301-9BE7-D445FB20C459}"/>
    <cellStyle name="Comma 5" xfId="7" xr:uid="{552278EB-8DB7-4AB4-939D-74B16F96D747}"/>
    <cellStyle name="Comma 6" xfId="24" xr:uid="{8F64F0F1-AE23-4528-9461-18244EC3E3D6}"/>
    <cellStyle name="Comma 9" xfId="30" xr:uid="{5D6B080B-224D-4ABB-9746-7574687A0C34}"/>
    <cellStyle name="Normal" xfId="0" builtinId="0"/>
    <cellStyle name="Normal 170 2" xfId="4" xr:uid="{4B133F74-B308-4F27-AAC6-880253265B6A}"/>
    <cellStyle name="Normal 170 2 2" xfId="13" xr:uid="{C0FF7614-52E9-4BB9-90EE-9C2C4D0A634E}"/>
    <cellStyle name="Normal 170 2 2 2" xfId="11" xr:uid="{800CD04E-E8C2-4A36-8407-AB00702268E2}"/>
    <cellStyle name="Normal 170 2 2 3" xfId="21" xr:uid="{16651F48-3A16-4FE8-AB47-8D0E2375A284}"/>
    <cellStyle name="Normal 170 2 2 3 5" xfId="27" xr:uid="{E2E8F931-1A09-4522-81C6-EF9218A13C5A}"/>
    <cellStyle name="Normal 2" xfId="8" xr:uid="{9E5C3A08-B208-402D-8FFE-828530A336D4}"/>
    <cellStyle name="Normal 2 111" xfId="29" xr:uid="{BF3C3A79-D8AD-4AB5-9BE4-DE7FE84441CF}"/>
    <cellStyle name="Normal 3" xfId="9" xr:uid="{75325961-0C84-46B9-A78C-3AF447CB04F7}"/>
    <cellStyle name="Normal 3 3 2" xfId="19" xr:uid="{07C2A6DA-C14E-4B03-8B73-2E2F69B22545}"/>
    <cellStyle name="Normal 3 35" xfId="10" xr:uid="{6D4650CB-0A2A-4D5B-AB52-695BD12310F0}"/>
    <cellStyle name="Normal 4" xfId="2" xr:uid="{47204A2B-CF82-477F-8027-168EE23D2B09}"/>
    <cellStyle name="Normal 46" xfId="3" xr:uid="{4870A42E-E3CE-4C69-9ECF-500C8FF6AA76}"/>
    <cellStyle name="Normal 5" xfId="28" xr:uid="{9288BF0C-E91D-47EB-A104-7E112B2AD194}"/>
    <cellStyle name="Percent" xfId="26" builtinId="5"/>
    <cellStyle name="Percent 2" xfId="12" xr:uid="{4C66D492-1276-4F92-86CC-4C6C4E71D4EC}"/>
    <cellStyle name="Percent 2 60" xfId="32" xr:uid="{A153B080-052D-4C91-8F45-FEB5A2480A7C}"/>
    <cellStyle name="Percent 3" xfId="5" xr:uid="{D1DC7DAE-1327-4E4E-B6F1-65DACDB4E605}"/>
    <cellStyle name="Percent 4" xfId="25" xr:uid="{F8EC7DE0-350B-4187-B2C0-55F72F0B4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C6E2C94-CADF-4BC4-81A6-871CBFA05743}"/>
  <namedSheetView name="View2" id="{9C77D9B7-7E0F-4A4F-8CF1-B89EB8376DF1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5285F77-874F-4CA5-AE23-B51DFE6FC1CB}"/>
  <namedSheetView name="View2" id="{CDBF8298-4713-419B-886C-5C27E35557A4}"/>
</namedSheetView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0AD6-78F6-472A-B7BD-AF9B99D52BF9}">
  <sheetPr>
    <outlinePr summaryBelow="0" summaryRight="0"/>
    <pageSetUpPr fitToPage="1"/>
  </sheetPr>
  <dimension ref="A2:AD29"/>
  <sheetViews>
    <sheetView zoomScaleNormal="100" workbookViewId="0">
      <pane xSplit="2" ySplit="4" topLeftCell="C14" activePane="bottomRight" state="frozen"/>
      <selection pane="topRight"/>
      <selection pane="bottomLeft" activeCell="A8" sqref="A8"/>
      <selection pane="bottomRight" activeCell="AB13" sqref="AB13"/>
    </sheetView>
  </sheetViews>
  <sheetFormatPr defaultColWidth="9.44140625" defaultRowHeight="13.2" outlineLevelRow="3" outlineLevelCol="1" x14ac:dyDescent="0.25"/>
  <cols>
    <col min="1" max="1" width="0.5546875" style="2" customWidth="1"/>
    <col min="2" max="2" width="22.6640625" style="2" customWidth="1"/>
    <col min="3" max="3" width="53.6640625" style="23" customWidth="1"/>
    <col min="4" max="5" width="14.44140625" style="2" customWidth="1"/>
    <col min="6" max="6" width="14.44140625" style="2" customWidth="1" collapsed="1"/>
    <col min="7" max="9" width="0.5546875" style="2" hidden="1" customWidth="1" outlineLevel="1"/>
    <col min="10" max="10" width="13.33203125" style="2" hidden="1" customWidth="1" outlineLevel="1"/>
    <col min="11" max="11" width="9.5546875" style="2" hidden="1" customWidth="1" outlineLevel="1"/>
    <col min="12" max="12" width="16.33203125" style="2" hidden="1" customWidth="1" outlineLevel="1"/>
    <col min="13" max="13" width="14.33203125" style="2" hidden="1" customWidth="1" outlineLevel="1"/>
    <col min="14" max="16" width="0.5546875" style="2" hidden="1" customWidth="1" outlineLevel="1"/>
    <col min="17" max="23" width="14.44140625" style="2" hidden="1" customWidth="1" outlineLevel="1"/>
    <col min="24" max="26" width="0.5546875" style="2" customWidth="1"/>
    <col min="27" max="27" width="10.33203125" style="2" bestFit="1" customWidth="1"/>
    <col min="28" max="29" width="9.44140625" style="2"/>
    <col min="30" max="30" width="9.44140625" style="2" bestFit="1" customWidth="1"/>
    <col min="31" max="16384" width="9.44140625" style="2"/>
  </cols>
  <sheetData>
    <row r="2" spans="1:30" ht="17.399999999999999" x14ac:dyDescent="0.25">
      <c r="A2" s="1"/>
      <c r="B2" s="3" t="s">
        <v>70</v>
      </c>
      <c r="C2" s="4"/>
      <c r="D2" s="3"/>
      <c r="E2" s="3"/>
      <c r="F2" s="3"/>
      <c r="G2" s="12"/>
      <c r="H2" s="24"/>
      <c r="J2" s="14">
        <f>SUBTOTAL(9,J6:J28)</f>
        <v>1.49</v>
      </c>
      <c r="K2" s="117">
        <f t="shared" ref="K2:M2" si="0">SUBTOTAL(9,K6:K28)</f>
        <v>6</v>
      </c>
      <c r="L2" s="14">
        <f t="shared" si="0"/>
        <v>0</v>
      </c>
      <c r="M2" s="117">
        <f t="shared" si="0"/>
        <v>0</v>
      </c>
      <c r="N2" s="12"/>
      <c r="O2" s="24"/>
      <c r="Q2" s="3"/>
      <c r="R2" s="3"/>
      <c r="S2" s="3"/>
      <c r="T2" s="3"/>
      <c r="U2" s="3"/>
      <c r="V2" s="3"/>
      <c r="W2" s="3"/>
      <c r="Y2" s="24"/>
      <c r="AA2" s="10"/>
      <c r="AB2" s="10"/>
    </row>
    <row r="3" spans="1:30" ht="3" customHeight="1" x14ac:dyDescent="0.25">
      <c r="A3" s="1"/>
      <c r="B3" s="1"/>
      <c r="C3" s="8"/>
      <c r="D3" s="1"/>
      <c r="E3" s="1"/>
      <c r="F3" s="1"/>
      <c r="G3" s="12"/>
      <c r="H3" s="24"/>
      <c r="J3" s="1"/>
      <c r="K3" s="1"/>
      <c r="L3" s="1"/>
      <c r="M3" s="1"/>
      <c r="N3" s="12"/>
      <c r="O3" s="24"/>
      <c r="Q3" s="1"/>
      <c r="R3" s="1"/>
      <c r="S3" s="1"/>
      <c r="T3" s="1"/>
      <c r="U3" s="1"/>
      <c r="V3" s="1"/>
      <c r="W3" s="1"/>
      <c r="Y3" s="24"/>
    </row>
    <row r="4" spans="1:30" s="6" customFormat="1" ht="30" x14ac:dyDescent="0.25">
      <c r="A4" s="7"/>
      <c r="B4" s="11" t="s">
        <v>0</v>
      </c>
      <c r="C4" s="17" t="s">
        <v>1</v>
      </c>
      <c r="D4" s="11" t="s">
        <v>2</v>
      </c>
      <c r="E4" s="11" t="s">
        <v>3</v>
      </c>
      <c r="F4" s="11" t="s">
        <v>4</v>
      </c>
      <c r="G4" s="99"/>
      <c r="H4" s="100"/>
      <c r="I4" s="101"/>
      <c r="J4" s="17" t="s">
        <v>5</v>
      </c>
      <c r="K4" s="17" t="s">
        <v>6</v>
      </c>
      <c r="L4" s="17" t="s">
        <v>7</v>
      </c>
      <c r="M4" s="17" t="s">
        <v>8</v>
      </c>
      <c r="N4" s="99"/>
      <c r="O4" s="100"/>
      <c r="P4" s="101"/>
      <c r="Q4" s="11" t="s">
        <v>9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14</v>
      </c>
      <c r="W4" s="11" t="s">
        <v>4</v>
      </c>
      <c r="Y4" s="25"/>
      <c r="AA4" s="26"/>
      <c r="AB4" s="26"/>
      <c r="AC4" s="2"/>
    </row>
    <row r="5" spans="1:30" ht="3" customHeight="1" x14ac:dyDescent="0.25">
      <c r="A5" s="1"/>
      <c r="B5" s="1"/>
      <c r="C5" s="8"/>
      <c r="D5" s="1"/>
      <c r="E5" s="1"/>
      <c r="F5" s="1"/>
      <c r="G5" s="12"/>
      <c r="H5" s="24"/>
      <c r="J5" s="18"/>
      <c r="K5" s="19"/>
      <c r="L5" s="18"/>
      <c r="M5" s="19"/>
      <c r="N5" s="12"/>
      <c r="O5" s="24"/>
      <c r="Q5" s="1"/>
      <c r="R5" s="1"/>
      <c r="S5" s="1"/>
      <c r="T5" s="1"/>
      <c r="U5" s="1"/>
      <c r="V5" s="1"/>
      <c r="W5" s="1"/>
      <c r="Y5" s="24"/>
      <c r="AA5" s="10"/>
      <c r="AB5" s="10"/>
      <c r="AC5" s="10"/>
      <c r="AD5" s="10"/>
    </row>
    <row r="6" spans="1:30" ht="15" x14ac:dyDescent="0.25">
      <c r="A6" s="1"/>
      <c r="B6" s="5" t="s">
        <v>33</v>
      </c>
      <c r="C6" s="20" t="s">
        <v>15</v>
      </c>
      <c r="D6" s="20"/>
      <c r="E6" s="5"/>
      <c r="F6" s="5"/>
      <c r="G6" s="12"/>
      <c r="H6" s="24"/>
      <c r="J6" s="21">
        <f>SUBTOTAL(9,J7:J26)</f>
        <v>1.49</v>
      </c>
      <c r="K6" s="22">
        <f>SUBTOTAL(9,K7:K26)</f>
        <v>6</v>
      </c>
      <c r="L6" s="21">
        <f>SUBTOTAL(9,L7:L26)</f>
        <v>0</v>
      </c>
      <c r="M6" s="22">
        <f>SUBTOTAL(9,M7:M26)</f>
        <v>0</v>
      </c>
      <c r="N6" s="12"/>
      <c r="O6" s="24"/>
      <c r="Q6" s="5"/>
      <c r="R6" s="5"/>
      <c r="S6" s="5"/>
      <c r="T6" s="5"/>
      <c r="U6" s="5"/>
      <c r="V6" s="5"/>
      <c r="W6" s="5"/>
      <c r="Y6" s="24"/>
      <c r="AA6" s="10"/>
      <c r="AB6" s="10"/>
      <c r="AC6" s="10"/>
      <c r="AD6" s="10"/>
    </row>
    <row r="7" spans="1:30" outlineLevel="1" x14ac:dyDescent="0.25">
      <c r="A7" s="1"/>
      <c r="B7" s="102" t="s">
        <v>16</v>
      </c>
      <c r="C7" s="13" t="s">
        <v>34</v>
      </c>
      <c r="D7" s="102"/>
      <c r="E7" s="102"/>
      <c r="F7" s="102"/>
      <c r="G7" s="12"/>
      <c r="H7" s="24"/>
      <c r="J7" s="103">
        <f>SUBTOTAL(9,J8:J11)</f>
        <v>1.1499999999999999</v>
      </c>
      <c r="K7" s="104">
        <f>SUBTOTAL(9,K8:K11)</f>
        <v>2</v>
      </c>
      <c r="L7" s="103">
        <f>SUBTOTAL(9,L8:L11)</f>
        <v>0</v>
      </c>
      <c r="M7" s="104">
        <f>SUBTOTAL(9,M8:M11)</f>
        <v>0</v>
      </c>
      <c r="N7" s="12"/>
      <c r="O7" s="24"/>
      <c r="Q7" s="102"/>
      <c r="R7" s="102"/>
      <c r="S7" s="102"/>
      <c r="T7" s="102"/>
      <c r="U7" s="102"/>
      <c r="V7" s="102"/>
      <c r="W7" s="102"/>
      <c r="Y7" s="24"/>
    </row>
    <row r="8" spans="1:30" outlineLevel="2" x14ac:dyDescent="0.25">
      <c r="A8" s="1"/>
      <c r="B8" s="1" t="s">
        <v>33</v>
      </c>
      <c r="C8" s="8" t="s">
        <v>17</v>
      </c>
      <c r="D8" s="116">
        <v>46370</v>
      </c>
      <c r="E8" s="1" t="s">
        <v>35</v>
      </c>
      <c r="F8" s="1"/>
      <c r="G8" s="12"/>
      <c r="H8" s="24"/>
      <c r="J8" s="9">
        <v>0.69</v>
      </c>
      <c r="K8" s="16">
        <v>1</v>
      </c>
      <c r="L8" s="9">
        <f>IF(M8=1,J8,0)</f>
        <v>0</v>
      </c>
      <c r="M8" s="16"/>
      <c r="N8" s="12"/>
      <c r="O8" s="24"/>
      <c r="Q8" s="1" t="s">
        <v>35</v>
      </c>
      <c r="R8" s="1" t="s">
        <v>36</v>
      </c>
      <c r="S8" s="1" t="s">
        <v>37</v>
      </c>
      <c r="T8" s="1"/>
      <c r="U8" s="1"/>
      <c r="V8" s="1"/>
      <c r="W8" s="1"/>
      <c r="Y8" s="24"/>
    </row>
    <row r="9" spans="1:30" s="31" customFormat="1" outlineLevel="3" x14ac:dyDescent="0.25">
      <c r="A9" s="30"/>
      <c r="B9" s="38" t="s">
        <v>18</v>
      </c>
      <c r="C9" s="39" t="s">
        <v>19</v>
      </c>
      <c r="D9" s="40">
        <v>46310</v>
      </c>
      <c r="E9" s="41" t="s">
        <v>20</v>
      </c>
      <c r="F9" s="30"/>
      <c r="H9" s="32"/>
      <c r="J9" s="33"/>
      <c r="K9" s="34"/>
      <c r="L9" s="35"/>
      <c r="M9" s="34"/>
      <c r="N9" s="36"/>
      <c r="O9" s="32"/>
      <c r="Q9" s="30"/>
      <c r="R9" s="30"/>
      <c r="S9" s="30"/>
      <c r="T9" s="30"/>
      <c r="U9" s="30"/>
      <c r="V9" s="30"/>
      <c r="W9" s="36"/>
      <c r="X9" s="2"/>
      <c r="Y9" s="24"/>
      <c r="Z9" s="2"/>
      <c r="AA9" s="37"/>
    </row>
    <row r="10" spans="1:30" s="31" customFormat="1" outlineLevel="3" x14ac:dyDescent="0.25">
      <c r="A10" s="30"/>
      <c r="B10" s="38" t="s">
        <v>21</v>
      </c>
      <c r="C10" s="39" t="s">
        <v>22</v>
      </c>
      <c r="D10" s="40">
        <v>46325</v>
      </c>
      <c r="E10" s="41" t="s">
        <v>23</v>
      </c>
      <c r="F10" s="30"/>
      <c r="H10" s="32"/>
      <c r="J10" s="33"/>
      <c r="K10" s="34"/>
      <c r="L10" s="35"/>
      <c r="M10" s="34"/>
      <c r="N10" s="36"/>
      <c r="O10" s="32"/>
      <c r="Q10" s="30"/>
      <c r="R10" s="30"/>
      <c r="S10" s="30"/>
      <c r="T10" s="30"/>
      <c r="U10" s="30"/>
      <c r="V10" s="30"/>
      <c r="W10" s="36"/>
      <c r="X10" s="2"/>
      <c r="Y10" s="24"/>
      <c r="Z10" s="2"/>
    </row>
    <row r="11" spans="1:30" outlineLevel="2" x14ac:dyDescent="0.25">
      <c r="A11" s="1"/>
      <c r="B11" s="1" t="s">
        <v>33</v>
      </c>
      <c r="C11" s="8" t="s">
        <v>38</v>
      </c>
      <c r="D11" s="116">
        <v>46373</v>
      </c>
      <c r="E11" s="1" t="s">
        <v>35</v>
      </c>
      <c r="F11" s="1"/>
      <c r="G11" s="12"/>
      <c r="H11" s="24"/>
      <c r="J11" s="9">
        <v>0.46</v>
      </c>
      <c r="K11" s="16">
        <v>1</v>
      </c>
      <c r="L11" s="9">
        <f>IF(M11=1,J11,0)</f>
        <v>0</v>
      </c>
      <c r="M11" s="16"/>
      <c r="N11" s="12"/>
      <c r="O11" s="24"/>
      <c r="Q11" s="1" t="s">
        <v>35</v>
      </c>
      <c r="R11" s="1" t="s">
        <v>36</v>
      </c>
      <c r="S11" s="1" t="s">
        <v>37</v>
      </c>
      <c r="T11" s="1"/>
      <c r="U11" s="1"/>
      <c r="V11" s="1"/>
      <c r="W11" s="1"/>
      <c r="Y11" s="24"/>
    </row>
    <row r="12" spans="1:30" s="31" customFormat="1" outlineLevel="3" x14ac:dyDescent="0.25">
      <c r="A12" s="30"/>
      <c r="B12" s="38" t="s">
        <v>18</v>
      </c>
      <c r="C12" s="39" t="s">
        <v>19</v>
      </c>
      <c r="D12" s="40">
        <v>46310</v>
      </c>
      <c r="E12" s="41" t="s">
        <v>20</v>
      </c>
      <c r="F12" s="30"/>
      <c r="H12" s="32"/>
      <c r="J12" s="33"/>
      <c r="K12" s="34"/>
      <c r="L12" s="35"/>
      <c r="M12" s="34"/>
      <c r="N12" s="36"/>
      <c r="O12" s="32"/>
      <c r="Q12" s="30"/>
      <c r="R12" s="30"/>
      <c r="S12" s="30"/>
      <c r="T12" s="30"/>
      <c r="U12" s="30"/>
      <c r="V12" s="30"/>
      <c r="W12" s="36"/>
      <c r="X12" s="2"/>
      <c r="Y12" s="24"/>
      <c r="Z12" s="2"/>
      <c r="AA12" s="37"/>
    </row>
    <row r="13" spans="1:30" s="31" customFormat="1" outlineLevel="3" x14ac:dyDescent="0.25">
      <c r="A13" s="30"/>
      <c r="B13" s="38" t="s">
        <v>21</v>
      </c>
      <c r="C13" s="39" t="s">
        <v>22</v>
      </c>
      <c r="D13" s="40">
        <v>46325</v>
      </c>
      <c r="E13" s="41" t="s">
        <v>23</v>
      </c>
      <c r="F13" s="30"/>
      <c r="H13" s="32"/>
      <c r="J13" s="33"/>
      <c r="K13" s="34"/>
      <c r="L13" s="35"/>
      <c r="M13" s="34"/>
      <c r="N13" s="36"/>
      <c r="O13" s="32"/>
      <c r="Q13" s="30"/>
      <c r="R13" s="30"/>
      <c r="S13" s="30"/>
      <c r="T13" s="30"/>
      <c r="U13" s="30"/>
      <c r="V13" s="30"/>
      <c r="W13" s="36"/>
      <c r="X13" s="2"/>
      <c r="Y13" s="24"/>
      <c r="Z13" s="2"/>
    </row>
    <row r="14" spans="1:30" outlineLevel="1" x14ac:dyDescent="0.25">
      <c r="A14" s="1"/>
      <c r="B14" s="102" t="s">
        <v>24</v>
      </c>
      <c r="C14" s="13" t="s">
        <v>39</v>
      </c>
      <c r="D14" s="102"/>
      <c r="E14" s="102"/>
      <c r="F14" s="102"/>
      <c r="G14" s="12"/>
      <c r="H14" s="24"/>
      <c r="J14" s="103">
        <f>SUBTOTAL(9,J15)</f>
        <v>0.19</v>
      </c>
      <c r="K14" s="104">
        <f>SUBTOTAL(9,K15)</f>
        <v>1</v>
      </c>
      <c r="L14" s="103">
        <f>SUBTOTAL(9,L15)</f>
        <v>0</v>
      </c>
      <c r="M14" s="104">
        <f>SUBTOTAL(9,M15)</f>
        <v>0</v>
      </c>
      <c r="N14" s="12"/>
      <c r="O14" s="24"/>
      <c r="Q14" s="102"/>
      <c r="R14" s="102"/>
      <c r="S14" s="102"/>
      <c r="T14" s="102"/>
      <c r="U14" s="102"/>
      <c r="V14" s="102"/>
      <c r="W14" s="102"/>
      <c r="Y14" s="24"/>
    </row>
    <row r="15" spans="1:30" outlineLevel="2" x14ac:dyDescent="0.25">
      <c r="A15" s="1"/>
      <c r="B15" s="1" t="s">
        <v>33</v>
      </c>
      <c r="C15" s="8" t="s">
        <v>17</v>
      </c>
      <c r="D15" s="116">
        <v>46370</v>
      </c>
      <c r="E15" s="1" t="s">
        <v>25</v>
      </c>
      <c r="F15" s="1"/>
      <c r="G15" s="12"/>
      <c r="H15" s="24"/>
      <c r="J15" s="9">
        <v>0.19</v>
      </c>
      <c r="K15" s="16">
        <v>1</v>
      </c>
      <c r="L15" s="9">
        <f>IF(M15=1,J15,0)</f>
        <v>0</v>
      </c>
      <c r="M15" s="16"/>
      <c r="N15" s="12"/>
      <c r="O15" s="24"/>
      <c r="Q15" s="1" t="s">
        <v>25</v>
      </c>
      <c r="R15" s="1" t="s">
        <v>26</v>
      </c>
      <c r="S15" s="1" t="s">
        <v>40</v>
      </c>
      <c r="T15" s="1" t="s">
        <v>41</v>
      </c>
      <c r="U15" s="1" t="s">
        <v>42</v>
      </c>
      <c r="V15" s="1"/>
      <c r="W15" s="1">
        <v>0</v>
      </c>
      <c r="Y15" s="24"/>
    </row>
    <row r="16" spans="1:30" s="31" customFormat="1" outlineLevel="3" x14ac:dyDescent="0.25">
      <c r="A16" s="30"/>
      <c r="B16" s="38" t="s">
        <v>18</v>
      </c>
      <c r="C16" s="39" t="s">
        <v>19</v>
      </c>
      <c r="D16" s="40">
        <v>46310</v>
      </c>
      <c r="E16" s="41" t="s">
        <v>20</v>
      </c>
      <c r="F16" s="30"/>
      <c r="H16" s="32"/>
      <c r="J16" s="33"/>
      <c r="K16" s="34"/>
      <c r="L16" s="35"/>
      <c r="M16" s="34"/>
      <c r="N16" s="36"/>
      <c r="O16" s="32"/>
      <c r="Q16" s="30"/>
      <c r="R16" s="30"/>
      <c r="S16" s="30"/>
      <c r="T16" s="30"/>
      <c r="U16" s="30"/>
      <c r="V16" s="30"/>
      <c r="W16" s="36"/>
      <c r="X16" s="2"/>
      <c r="Y16" s="24"/>
      <c r="Z16" s="2"/>
      <c r="AA16" s="37"/>
    </row>
    <row r="17" spans="1:27" s="31" customFormat="1" outlineLevel="3" x14ac:dyDescent="0.25">
      <c r="A17" s="30"/>
      <c r="B17" s="38" t="s">
        <v>21</v>
      </c>
      <c r="C17" s="39" t="s">
        <v>22</v>
      </c>
      <c r="D17" s="40">
        <v>46325</v>
      </c>
      <c r="E17" s="41" t="s">
        <v>23</v>
      </c>
      <c r="F17" s="30"/>
      <c r="H17" s="32"/>
      <c r="J17" s="33"/>
      <c r="K17" s="34"/>
      <c r="L17" s="35"/>
      <c r="M17" s="34"/>
      <c r="N17" s="36"/>
      <c r="O17" s="32"/>
      <c r="Q17" s="30"/>
      <c r="R17" s="30"/>
      <c r="S17" s="30"/>
      <c r="T17" s="30"/>
      <c r="U17" s="30"/>
      <c r="V17" s="30"/>
      <c r="W17" s="36"/>
      <c r="X17" s="2"/>
      <c r="Y17" s="24"/>
      <c r="Z17" s="2"/>
    </row>
    <row r="18" spans="1:27" outlineLevel="1" x14ac:dyDescent="0.25">
      <c r="A18" s="1"/>
      <c r="B18" s="102" t="s">
        <v>27</v>
      </c>
      <c r="C18" s="13" t="s">
        <v>39</v>
      </c>
      <c r="D18" s="102"/>
      <c r="E18" s="102"/>
      <c r="F18" s="102"/>
      <c r="G18" s="12"/>
      <c r="H18" s="24"/>
      <c r="J18" s="103">
        <f>SUBTOTAL(9,J19:J22)</f>
        <v>0.1</v>
      </c>
      <c r="K18" s="104">
        <f>SUBTOTAL(9,K19:K22)</f>
        <v>2</v>
      </c>
      <c r="L18" s="103">
        <f>SUBTOTAL(9,L19:L22)</f>
        <v>0</v>
      </c>
      <c r="M18" s="104">
        <f>SUBTOTAL(9,M19:M22)</f>
        <v>0</v>
      </c>
      <c r="N18" s="12"/>
      <c r="O18" s="24"/>
      <c r="Q18" s="102"/>
      <c r="R18" s="102"/>
      <c r="S18" s="102"/>
      <c r="T18" s="102"/>
      <c r="U18" s="102"/>
      <c r="V18" s="102"/>
      <c r="W18" s="102"/>
      <c r="Y18" s="24"/>
    </row>
    <row r="19" spans="1:27" outlineLevel="2" x14ac:dyDescent="0.25">
      <c r="A19" s="1"/>
      <c r="B19" s="1" t="s">
        <v>33</v>
      </c>
      <c r="C19" s="8" t="s">
        <v>17</v>
      </c>
      <c r="D19" s="116">
        <v>46370</v>
      </c>
      <c r="E19" s="1" t="s">
        <v>28</v>
      </c>
      <c r="F19" s="1"/>
      <c r="G19" s="12"/>
      <c r="H19" s="24"/>
      <c r="J19" s="9">
        <v>0.05</v>
      </c>
      <c r="K19" s="16">
        <v>1</v>
      </c>
      <c r="L19" s="9">
        <f>IF(M19=1,J19,0)</f>
        <v>0</v>
      </c>
      <c r="M19" s="16"/>
      <c r="N19" s="12"/>
      <c r="O19" s="24"/>
      <c r="Q19" s="1" t="s">
        <v>28</v>
      </c>
      <c r="R19" s="1" t="s">
        <v>29</v>
      </c>
      <c r="S19" s="1" t="s">
        <v>43</v>
      </c>
      <c r="T19" s="1" t="s">
        <v>44</v>
      </c>
      <c r="U19" s="1"/>
      <c r="V19" s="1"/>
      <c r="W19" s="1"/>
      <c r="Y19" s="24"/>
    </row>
    <row r="20" spans="1:27" s="31" customFormat="1" outlineLevel="3" x14ac:dyDescent="0.25">
      <c r="A20" s="30"/>
      <c r="B20" s="38" t="s">
        <v>18</v>
      </c>
      <c r="C20" s="39" t="s">
        <v>19</v>
      </c>
      <c r="D20" s="40">
        <v>46310</v>
      </c>
      <c r="E20" s="41" t="s">
        <v>20</v>
      </c>
      <c r="F20" s="30"/>
      <c r="H20" s="32"/>
      <c r="J20" s="33"/>
      <c r="K20" s="34"/>
      <c r="L20" s="35"/>
      <c r="M20" s="34"/>
      <c r="N20" s="36"/>
      <c r="O20" s="32"/>
      <c r="Q20" s="30"/>
      <c r="R20" s="30"/>
      <c r="S20" s="30"/>
      <c r="T20" s="30"/>
      <c r="U20" s="30"/>
      <c r="V20" s="30"/>
      <c r="W20" s="36"/>
      <c r="X20" s="2"/>
      <c r="Y20" s="24"/>
      <c r="Z20" s="2"/>
      <c r="AA20" s="37"/>
    </row>
    <row r="21" spans="1:27" s="31" customFormat="1" outlineLevel="3" x14ac:dyDescent="0.25">
      <c r="A21" s="30"/>
      <c r="B21" s="38" t="s">
        <v>21</v>
      </c>
      <c r="C21" s="39" t="s">
        <v>22</v>
      </c>
      <c r="D21" s="40">
        <v>46325</v>
      </c>
      <c r="E21" s="41" t="s">
        <v>23</v>
      </c>
      <c r="F21" s="30"/>
      <c r="H21" s="32"/>
      <c r="J21" s="33"/>
      <c r="K21" s="34"/>
      <c r="L21" s="35"/>
      <c r="M21" s="34"/>
      <c r="N21" s="36"/>
      <c r="O21" s="32"/>
      <c r="Q21" s="30"/>
      <c r="R21" s="30"/>
      <c r="S21" s="30"/>
      <c r="T21" s="30"/>
      <c r="U21" s="30"/>
      <c r="V21" s="30"/>
      <c r="W21" s="36"/>
      <c r="X21" s="2"/>
      <c r="Y21" s="24"/>
      <c r="Z21" s="2"/>
    </row>
    <row r="22" spans="1:27" outlineLevel="2" x14ac:dyDescent="0.25">
      <c r="A22" s="1"/>
      <c r="B22" s="1" t="s">
        <v>33</v>
      </c>
      <c r="C22" s="8" t="s">
        <v>38</v>
      </c>
      <c r="D22" s="8"/>
      <c r="E22" s="1" t="s">
        <v>28</v>
      </c>
      <c r="F22" s="1"/>
      <c r="G22" s="12"/>
      <c r="H22" s="24"/>
      <c r="J22" s="9">
        <v>0.05</v>
      </c>
      <c r="K22" s="16">
        <v>1</v>
      </c>
      <c r="L22" s="9">
        <f>IF(M22=1,J22,0)</f>
        <v>0</v>
      </c>
      <c r="M22" s="16"/>
      <c r="N22" s="12"/>
      <c r="O22" s="24"/>
      <c r="Q22" s="1" t="s">
        <v>28</v>
      </c>
      <c r="R22" s="1" t="s">
        <v>29</v>
      </c>
      <c r="S22" s="1" t="s">
        <v>43</v>
      </c>
      <c r="T22" s="1" t="s">
        <v>44</v>
      </c>
      <c r="U22" s="1"/>
      <c r="V22" s="1"/>
      <c r="W22" s="1"/>
      <c r="Y22" s="24"/>
    </row>
    <row r="23" spans="1:27" s="31" customFormat="1" outlineLevel="3" x14ac:dyDescent="0.25">
      <c r="A23" s="30"/>
      <c r="B23" s="38" t="s">
        <v>18</v>
      </c>
      <c r="C23" s="39" t="s">
        <v>19</v>
      </c>
      <c r="D23" s="40">
        <v>46310</v>
      </c>
      <c r="E23" s="41" t="s">
        <v>20</v>
      </c>
      <c r="F23" s="30"/>
      <c r="H23" s="32"/>
      <c r="J23" s="33"/>
      <c r="K23" s="34"/>
      <c r="L23" s="35"/>
      <c r="M23" s="34"/>
      <c r="N23" s="36"/>
      <c r="O23" s="32"/>
      <c r="Q23" s="30"/>
      <c r="R23" s="30"/>
      <c r="S23" s="30"/>
      <c r="T23" s="30"/>
      <c r="U23" s="30"/>
      <c r="V23" s="30"/>
      <c r="W23" s="36"/>
      <c r="X23" s="2"/>
      <c r="Y23" s="24"/>
      <c r="Z23" s="2"/>
      <c r="AA23" s="37"/>
    </row>
    <row r="24" spans="1:27" s="31" customFormat="1" outlineLevel="3" x14ac:dyDescent="0.25">
      <c r="A24" s="30"/>
      <c r="B24" s="38" t="s">
        <v>21</v>
      </c>
      <c r="C24" s="39" t="s">
        <v>22</v>
      </c>
      <c r="D24" s="40">
        <v>46325</v>
      </c>
      <c r="E24" s="41" t="s">
        <v>23</v>
      </c>
      <c r="F24" s="30"/>
      <c r="H24" s="32"/>
      <c r="J24" s="33"/>
      <c r="K24" s="34"/>
      <c r="L24" s="35"/>
      <c r="M24" s="34"/>
      <c r="N24" s="36"/>
      <c r="O24" s="32"/>
      <c r="Q24" s="30"/>
      <c r="R24" s="30"/>
      <c r="S24" s="30"/>
      <c r="T24" s="30"/>
      <c r="U24" s="30"/>
      <c r="V24" s="30"/>
      <c r="W24" s="36"/>
      <c r="X24" s="2"/>
      <c r="Y24" s="24"/>
      <c r="Z24" s="2"/>
    </row>
    <row r="25" spans="1:27" outlineLevel="1" x14ac:dyDescent="0.25">
      <c r="A25" s="1"/>
      <c r="B25" s="102" t="s">
        <v>30</v>
      </c>
      <c r="C25" s="13" t="s">
        <v>39</v>
      </c>
      <c r="D25" s="102"/>
      <c r="E25" s="102"/>
      <c r="F25" s="102"/>
      <c r="G25" s="12"/>
      <c r="H25" s="24"/>
      <c r="J25" s="103">
        <f>SUBTOTAL(9,J26)</f>
        <v>0.05</v>
      </c>
      <c r="K25" s="104">
        <f>SUBTOTAL(9,K26)</f>
        <v>1</v>
      </c>
      <c r="L25" s="103">
        <f>SUBTOTAL(9,L26)</f>
        <v>0</v>
      </c>
      <c r="M25" s="104">
        <f>SUBTOTAL(9,M26)</f>
        <v>0</v>
      </c>
      <c r="N25" s="12"/>
      <c r="O25" s="24"/>
      <c r="Q25" s="102"/>
      <c r="R25" s="102"/>
      <c r="S25" s="102"/>
      <c r="T25" s="102"/>
      <c r="U25" s="102"/>
      <c r="V25" s="102"/>
      <c r="W25" s="102"/>
      <c r="Y25" s="24"/>
    </row>
    <row r="26" spans="1:27" outlineLevel="2" x14ac:dyDescent="0.25">
      <c r="A26" s="1"/>
      <c r="B26" s="1" t="s">
        <v>33</v>
      </c>
      <c r="C26" s="8" t="s">
        <v>38</v>
      </c>
      <c r="D26" s="116">
        <v>46377</v>
      </c>
      <c r="E26" s="1" t="s">
        <v>28</v>
      </c>
      <c r="F26" s="1"/>
      <c r="G26" s="12"/>
      <c r="H26" s="24"/>
      <c r="J26" s="9">
        <v>0.05</v>
      </c>
      <c r="K26" s="16">
        <v>1</v>
      </c>
      <c r="L26" s="9">
        <f>IF(M26=1,J26,0)</f>
        <v>0</v>
      </c>
      <c r="M26" s="16"/>
      <c r="N26" s="12"/>
      <c r="O26" s="24"/>
      <c r="Q26" s="1" t="s">
        <v>28</v>
      </c>
      <c r="R26" s="1" t="s">
        <v>31</v>
      </c>
      <c r="S26" s="1" t="s">
        <v>45</v>
      </c>
      <c r="T26" s="1"/>
      <c r="U26" s="1"/>
      <c r="V26" s="1"/>
      <c r="W26" s="1"/>
      <c r="Y26" s="24"/>
    </row>
    <row r="27" spans="1:27" s="31" customFormat="1" outlineLevel="3" x14ac:dyDescent="0.25">
      <c r="A27" s="30"/>
      <c r="B27" s="38" t="s">
        <v>18</v>
      </c>
      <c r="C27" s="39" t="s">
        <v>19</v>
      </c>
      <c r="D27" s="40">
        <v>46310</v>
      </c>
      <c r="E27" s="41" t="s">
        <v>20</v>
      </c>
      <c r="F27" s="30"/>
      <c r="H27" s="32"/>
      <c r="J27" s="33"/>
      <c r="K27" s="34"/>
      <c r="L27" s="35"/>
      <c r="M27" s="34"/>
      <c r="N27" s="36"/>
      <c r="O27" s="32"/>
      <c r="Q27" s="30"/>
      <c r="R27" s="30"/>
      <c r="S27" s="30"/>
      <c r="T27" s="30"/>
      <c r="U27" s="30"/>
      <c r="V27" s="30"/>
      <c r="W27" s="36"/>
      <c r="X27" s="2"/>
      <c r="Y27" s="24"/>
      <c r="Z27" s="2"/>
      <c r="AA27" s="37"/>
    </row>
    <row r="28" spans="1:27" s="31" customFormat="1" outlineLevel="3" x14ac:dyDescent="0.25">
      <c r="A28" s="30"/>
      <c r="B28" s="38" t="s">
        <v>21</v>
      </c>
      <c r="C28" s="39" t="s">
        <v>22</v>
      </c>
      <c r="D28" s="40">
        <v>46325</v>
      </c>
      <c r="E28" s="41" t="s">
        <v>23</v>
      </c>
      <c r="F28" s="30"/>
      <c r="H28" s="32"/>
      <c r="J28" s="33"/>
      <c r="K28" s="34"/>
      <c r="L28" s="35"/>
      <c r="M28" s="34"/>
      <c r="N28" s="36"/>
      <c r="O28" s="32"/>
      <c r="Q28" s="30"/>
      <c r="R28" s="30"/>
      <c r="S28" s="30"/>
      <c r="T28" s="30"/>
      <c r="U28" s="30"/>
      <c r="V28" s="30"/>
      <c r="W28" s="36"/>
      <c r="X28" s="2"/>
      <c r="Y28" s="24"/>
      <c r="Z28" s="2"/>
    </row>
    <row r="29" spans="1:27" x14ac:dyDescent="0.25">
      <c r="D29" s="23"/>
    </row>
  </sheetData>
  <autoFilter ref="B4:Z5" xr:uid="{57F02A47-1D5F-458C-8847-CD7E7A6C8A72}"/>
  <printOptions horizontalCentered="1" gridLines="1"/>
  <pageMargins left="0.23622047244094491" right="0.23622047244094491" top="0.43307086614173229" bottom="0.35433070866141736" header="0.31496062992125984" footer="0.31496062992125984"/>
  <pageSetup paperSize="8" scale="6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D898-4A6A-4D6F-8CFB-BF9E58636A6D}">
  <sheetPr>
    <outlinePr summaryBelow="0" summaryRight="0"/>
    <pageSetUpPr fitToPage="1"/>
  </sheetPr>
  <dimension ref="A1:P49"/>
  <sheetViews>
    <sheetView tabSelected="1" zoomScaleNormal="100" zoomScaleSheetLayoutView="35" workbookViewId="0">
      <pane xSplit="5" ySplit="7" topLeftCell="F8" activePane="bottomRight" state="frozen"/>
      <selection pane="topRight" activeCell="F1" sqref="F1"/>
      <selection pane="bottomLeft" activeCell="A7" sqref="A7"/>
      <selection pane="bottomRight" activeCell="O17" sqref="O17"/>
    </sheetView>
  </sheetViews>
  <sheetFormatPr defaultColWidth="11.44140625" defaultRowHeight="11.85" customHeight="1" outlineLevelRow="2" x14ac:dyDescent="0.25"/>
  <cols>
    <col min="1" max="1" width="0.5546875" style="47" customWidth="1"/>
    <col min="2" max="2" width="6.6640625" style="86" bestFit="1" customWidth="1"/>
    <col min="3" max="3" width="5.44140625" style="71" bestFit="1" customWidth="1"/>
    <col min="4" max="4" width="69.44140625" style="72" bestFit="1" customWidth="1"/>
    <col min="5" max="5" width="0.44140625" style="47" customWidth="1"/>
    <col min="6" max="6" width="7.5546875" style="73" customWidth="1"/>
    <col min="7" max="7" width="0.44140625" style="74" customWidth="1"/>
    <col min="8" max="8" width="7.5546875" style="73" customWidth="1"/>
    <col min="9" max="9" width="0.44140625" style="74" customWidth="1"/>
    <col min="10" max="10" width="7.5546875" style="73" customWidth="1"/>
    <col min="11" max="11" width="0.44140625" style="74" customWidth="1"/>
    <col min="12" max="12" width="7.5546875" style="73" customWidth="1"/>
    <col min="13" max="13" width="0.44140625" style="74" customWidth="1"/>
    <col min="14" max="16384" width="11.44140625" style="47"/>
  </cols>
  <sheetData>
    <row r="1" spans="1:16" ht="3" customHeight="1" x14ac:dyDescent="0.25">
      <c r="A1" s="42"/>
      <c r="B1" s="82"/>
      <c r="C1" s="43"/>
      <c r="D1" s="44"/>
      <c r="E1" s="42"/>
      <c r="F1" s="45"/>
      <c r="G1" s="46"/>
      <c r="H1" s="45"/>
      <c r="I1" s="46"/>
      <c r="J1" s="45"/>
      <c r="K1" s="46"/>
      <c r="L1" s="45"/>
      <c r="M1" s="46"/>
      <c r="N1" s="42"/>
      <c r="O1" s="42"/>
      <c r="P1" s="42"/>
    </row>
    <row r="2" spans="1:16" s="51" customFormat="1" ht="17.399999999999999" x14ac:dyDescent="0.25">
      <c r="A2" s="48"/>
      <c r="B2" s="91"/>
      <c r="C2" s="113" t="s">
        <v>71</v>
      </c>
      <c r="D2" s="113"/>
      <c r="E2" s="49"/>
      <c r="F2" s="97" t="s">
        <v>46</v>
      </c>
      <c r="G2" s="50"/>
      <c r="H2" s="97" t="s">
        <v>47</v>
      </c>
      <c r="I2" s="50"/>
      <c r="J2" s="97" t="s">
        <v>27</v>
      </c>
      <c r="K2" s="50"/>
      <c r="L2" s="97" t="s">
        <v>48</v>
      </c>
      <c r="M2" s="50"/>
      <c r="N2" s="48"/>
      <c r="O2" s="98">
        <v>1</v>
      </c>
      <c r="P2" s="91" t="s">
        <v>32</v>
      </c>
    </row>
    <row r="3" spans="1:16" s="54" customFormat="1" ht="15.6" x14ac:dyDescent="0.3">
      <c r="A3" s="52"/>
      <c r="B3" s="92"/>
      <c r="C3" s="53"/>
      <c r="D3" s="81" t="s">
        <v>49</v>
      </c>
      <c r="E3" s="52"/>
      <c r="F3" s="52">
        <f>COUNTA(F$8:F$24)</f>
        <v>8</v>
      </c>
      <c r="G3" s="52"/>
      <c r="H3" s="52">
        <f>COUNTA(H$8:H$24)</f>
        <v>5</v>
      </c>
      <c r="I3" s="52"/>
      <c r="J3" s="52">
        <f>COUNTA(J$8:J$24)</f>
        <v>7</v>
      </c>
      <c r="K3" s="52"/>
      <c r="L3" s="52">
        <f>COUNTA(L$8:L$24)</f>
        <v>4</v>
      </c>
      <c r="M3" s="52"/>
      <c r="N3" s="52"/>
      <c r="O3" s="98">
        <v>-1</v>
      </c>
      <c r="P3" s="91" t="s">
        <v>50</v>
      </c>
    </row>
    <row r="4" spans="1:16" s="54" customFormat="1" ht="15.6" x14ac:dyDescent="0.3">
      <c r="A4" s="52"/>
      <c r="B4" s="92"/>
      <c r="C4" s="53"/>
      <c r="D4" s="81" t="s">
        <v>51</v>
      </c>
      <c r="E4" s="52"/>
      <c r="F4" s="52">
        <f>COUNTIF(F$8:F$24,1)</f>
        <v>2</v>
      </c>
      <c r="G4" s="52"/>
      <c r="H4" s="52">
        <f>COUNTIF(H$8:H$24,1)</f>
        <v>0</v>
      </c>
      <c r="I4" s="52"/>
      <c r="J4" s="52">
        <f>COUNTIF(J$8:J$24,1)</f>
        <v>0</v>
      </c>
      <c r="K4" s="52"/>
      <c r="L4" s="52">
        <f>COUNTIF(L$8:L$24,1)</f>
        <v>0</v>
      </c>
      <c r="M4" s="52"/>
      <c r="N4" s="52"/>
      <c r="O4" s="91"/>
      <c r="P4" s="91" t="s">
        <v>52</v>
      </c>
    </row>
    <row r="5" spans="1:16" ht="3" customHeight="1" x14ac:dyDescent="0.25">
      <c r="A5" s="42"/>
      <c r="B5" s="82"/>
      <c r="C5" s="43"/>
      <c r="D5" s="55"/>
      <c r="E5" s="56"/>
      <c r="F5" s="45"/>
      <c r="G5" s="57"/>
      <c r="H5" s="45"/>
      <c r="I5" s="57"/>
      <c r="J5" s="45"/>
      <c r="K5" s="57"/>
      <c r="L5" s="45"/>
      <c r="M5" s="57"/>
      <c r="N5" s="42"/>
      <c r="O5" s="42"/>
      <c r="P5" s="42"/>
    </row>
    <row r="6" spans="1:16" ht="3" customHeight="1" x14ac:dyDescent="0.25">
      <c r="A6" s="42"/>
      <c r="B6" s="93"/>
      <c r="C6" s="58"/>
      <c r="D6" s="59"/>
      <c r="E6" s="60"/>
      <c r="F6" s="61"/>
      <c r="G6" s="61"/>
      <c r="H6" s="61"/>
      <c r="I6" s="61"/>
      <c r="J6" s="61"/>
      <c r="K6" s="61"/>
      <c r="L6" s="61"/>
      <c r="M6" s="61"/>
      <c r="N6" s="42"/>
      <c r="O6" s="42"/>
      <c r="P6" s="42"/>
    </row>
    <row r="7" spans="1:16" ht="3.6" customHeight="1" x14ac:dyDescent="0.25">
      <c r="A7" s="42"/>
      <c r="B7" s="82"/>
      <c r="C7" s="43"/>
      <c r="D7" s="55"/>
      <c r="E7" s="56"/>
      <c r="F7" s="62"/>
      <c r="G7" s="57"/>
      <c r="H7" s="62"/>
      <c r="I7" s="57"/>
      <c r="J7" s="62"/>
      <c r="K7" s="57"/>
      <c r="L7" s="62"/>
      <c r="M7" s="57"/>
      <c r="N7" s="42"/>
      <c r="O7" s="42"/>
      <c r="P7" s="42"/>
    </row>
    <row r="8" spans="1:16" ht="17.399999999999999" x14ac:dyDescent="0.25">
      <c r="A8" s="42"/>
      <c r="B8" s="28"/>
      <c r="C8" s="114" t="s">
        <v>53</v>
      </c>
      <c r="D8" s="114"/>
      <c r="E8" s="56"/>
      <c r="F8" s="63"/>
      <c r="G8" s="64"/>
      <c r="H8" s="63"/>
      <c r="I8" s="64"/>
      <c r="J8" s="63"/>
      <c r="K8" s="64"/>
      <c r="L8" s="63"/>
      <c r="M8" s="64"/>
      <c r="N8" s="42"/>
      <c r="O8" s="42"/>
      <c r="P8" s="42"/>
    </row>
    <row r="9" spans="1:16" ht="3" customHeight="1" outlineLevel="1" x14ac:dyDescent="0.25">
      <c r="A9" s="42"/>
      <c r="B9" s="82"/>
      <c r="C9" s="82"/>
      <c r="D9" s="83"/>
      <c r="E9" s="56"/>
      <c r="F9" s="62"/>
      <c r="G9" s="65"/>
      <c r="H9" s="62"/>
      <c r="I9" s="65"/>
      <c r="J9" s="62"/>
      <c r="K9" s="65"/>
      <c r="L9" s="62"/>
      <c r="M9" s="65"/>
      <c r="N9" s="42"/>
      <c r="O9" s="42"/>
      <c r="P9" s="42"/>
    </row>
    <row r="10" spans="1:16" ht="13.2" outlineLevel="1" x14ac:dyDescent="0.25">
      <c r="A10" s="42"/>
      <c r="B10" s="94">
        <v>1</v>
      </c>
      <c r="C10" s="84">
        <v>1</v>
      </c>
      <c r="D10" s="85" t="s">
        <v>54</v>
      </c>
      <c r="E10" s="66"/>
      <c r="F10" s="95">
        <v>1</v>
      </c>
      <c r="G10" s="79"/>
      <c r="H10" s="95"/>
      <c r="I10" s="79"/>
      <c r="J10" s="95"/>
      <c r="K10" s="79"/>
      <c r="L10" s="95"/>
      <c r="M10" s="67"/>
      <c r="N10" s="42"/>
      <c r="O10" s="42"/>
      <c r="P10" s="42"/>
    </row>
    <row r="11" spans="1:16" ht="13.2" outlineLevel="1" x14ac:dyDescent="0.25">
      <c r="A11" s="42"/>
      <c r="B11" s="94">
        <v>2</v>
      </c>
      <c r="C11" s="84">
        <v>2</v>
      </c>
      <c r="D11" s="85" t="s">
        <v>55</v>
      </c>
      <c r="E11" s="66"/>
      <c r="F11" s="95">
        <v>-1</v>
      </c>
      <c r="G11" s="79"/>
      <c r="H11" s="95">
        <v>-1</v>
      </c>
      <c r="I11" s="79"/>
      <c r="J11" s="95">
        <v>-1</v>
      </c>
      <c r="K11" s="79"/>
      <c r="L11" s="95">
        <v>-1</v>
      </c>
      <c r="M11" s="67"/>
      <c r="N11" s="42"/>
      <c r="O11" s="42"/>
      <c r="P11" s="42"/>
    </row>
    <row r="12" spans="1:16" ht="13.8" outlineLevel="1" x14ac:dyDescent="0.25">
      <c r="A12" s="42"/>
      <c r="B12" s="94">
        <v>3</v>
      </c>
      <c r="C12" s="84">
        <v>3</v>
      </c>
      <c r="D12" s="85" t="s">
        <v>56</v>
      </c>
      <c r="E12" s="66"/>
      <c r="F12" s="95">
        <v>-1</v>
      </c>
      <c r="G12" s="79"/>
      <c r="H12" s="95">
        <v>-1</v>
      </c>
      <c r="I12" s="79"/>
      <c r="J12" s="95">
        <v>-1</v>
      </c>
      <c r="K12" s="79"/>
      <c r="L12" s="95">
        <v>-1</v>
      </c>
      <c r="M12" s="70"/>
      <c r="N12" s="28"/>
      <c r="O12" s="42"/>
      <c r="P12" s="42"/>
    </row>
    <row r="13" spans="1:16" ht="13.8" outlineLevel="1" x14ac:dyDescent="0.25">
      <c r="A13" s="42"/>
      <c r="B13" s="94">
        <v>4</v>
      </c>
      <c r="C13" s="84">
        <v>4</v>
      </c>
      <c r="D13" s="85" t="s">
        <v>38</v>
      </c>
      <c r="E13" s="66"/>
      <c r="F13" s="95">
        <v>1</v>
      </c>
      <c r="G13" s="96"/>
      <c r="H13" s="95"/>
      <c r="I13" s="96"/>
      <c r="J13" s="95">
        <v>-1</v>
      </c>
      <c r="K13" s="96"/>
      <c r="L13" s="95"/>
      <c r="M13" s="70"/>
      <c r="N13" s="28" t="s">
        <v>57</v>
      </c>
      <c r="O13" s="42"/>
      <c r="P13" s="42"/>
    </row>
    <row r="14" spans="1:16" ht="17.399999999999999" x14ac:dyDescent="0.25">
      <c r="A14" s="42"/>
      <c r="B14" s="28"/>
      <c r="C14" s="114" t="s">
        <v>58</v>
      </c>
      <c r="D14" s="114"/>
      <c r="E14" s="56"/>
      <c r="F14" s="63"/>
      <c r="G14" s="64"/>
      <c r="H14" s="63"/>
      <c r="I14" s="64"/>
      <c r="J14" s="63"/>
      <c r="K14" s="64"/>
      <c r="L14" s="63"/>
      <c r="M14" s="64"/>
      <c r="N14" s="42"/>
      <c r="O14" s="42"/>
      <c r="P14" s="42"/>
    </row>
    <row r="15" spans="1:16" ht="3" customHeight="1" outlineLevel="1" x14ac:dyDescent="0.25">
      <c r="A15" s="42"/>
      <c r="B15" s="82"/>
      <c r="C15" s="82"/>
      <c r="D15" s="29"/>
      <c r="E15" s="42"/>
      <c r="F15" s="45"/>
      <c r="G15" s="46"/>
      <c r="H15" s="45"/>
      <c r="I15" s="46"/>
      <c r="J15" s="45"/>
      <c r="K15" s="46"/>
      <c r="L15" s="45"/>
      <c r="M15" s="46"/>
      <c r="N15" s="42"/>
      <c r="O15" s="42"/>
      <c r="P15" s="42"/>
    </row>
    <row r="16" spans="1:16" ht="13.2" outlineLevel="1" x14ac:dyDescent="0.25">
      <c r="A16" s="42"/>
      <c r="B16" s="84">
        <v>4</v>
      </c>
      <c r="C16" s="84">
        <v>1</v>
      </c>
      <c r="D16" s="85" t="s">
        <v>59</v>
      </c>
      <c r="E16" s="66"/>
      <c r="F16" s="67"/>
      <c r="G16" s="67"/>
      <c r="H16" s="67"/>
      <c r="I16" s="67"/>
      <c r="J16" s="67"/>
      <c r="K16" s="67"/>
      <c r="L16" s="67"/>
      <c r="M16" s="67"/>
      <c r="N16" s="28"/>
      <c r="O16" s="42"/>
      <c r="P16" s="42"/>
    </row>
    <row r="17" spans="1:16" ht="13.2" outlineLevel="2" x14ac:dyDescent="0.25">
      <c r="A17" s="42"/>
      <c r="B17" s="87" t="s">
        <v>60</v>
      </c>
      <c r="C17" s="87">
        <v>1</v>
      </c>
      <c r="D17" s="28" t="s">
        <v>61</v>
      </c>
      <c r="E17" s="42"/>
      <c r="F17" s="95">
        <v>-1</v>
      </c>
      <c r="G17" s="69"/>
      <c r="H17" s="95">
        <v>-1</v>
      </c>
      <c r="I17" s="69"/>
      <c r="J17" s="95">
        <v>-1</v>
      </c>
      <c r="K17" s="69"/>
      <c r="L17" s="68"/>
      <c r="M17" s="69"/>
      <c r="N17" s="28"/>
      <c r="O17" s="42"/>
      <c r="P17" s="42"/>
    </row>
    <row r="18" spans="1:16" ht="13.2" outlineLevel="2" x14ac:dyDescent="0.25">
      <c r="A18" s="42"/>
      <c r="B18" s="87" t="s">
        <v>62</v>
      </c>
      <c r="C18" s="87">
        <v>2</v>
      </c>
      <c r="D18" s="28" t="s">
        <v>63</v>
      </c>
      <c r="E18" s="42"/>
      <c r="F18" s="95">
        <v>-1</v>
      </c>
      <c r="G18" s="79"/>
      <c r="H18" s="95">
        <v>-1</v>
      </c>
      <c r="I18" s="79"/>
      <c r="J18" s="95">
        <v>-1</v>
      </c>
      <c r="K18" s="79"/>
      <c r="L18" s="95">
        <v>-1</v>
      </c>
      <c r="M18" s="69"/>
      <c r="N18" s="28"/>
      <c r="O18" s="42"/>
      <c r="P18" s="42"/>
    </row>
    <row r="19" spans="1:16" s="78" customFormat="1" ht="13.2" outlineLevel="2" x14ac:dyDescent="0.25">
      <c r="A19" s="75"/>
      <c r="B19" s="87" t="s">
        <v>64</v>
      </c>
      <c r="C19" s="88">
        <v>3</v>
      </c>
      <c r="D19" s="89" t="s">
        <v>65</v>
      </c>
      <c r="E19" s="75"/>
      <c r="F19" s="95">
        <v>-1</v>
      </c>
      <c r="G19" s="77"/>
      <c r="H19" s="76"/>
      <c r="I19" s="77"/>
      <c r="J19" s="95">
        <v>-1</v>
      </c>
      <c r="K19" s="77"/>
      <c r="L19" s="76"/>
      <c r="M19" s="77"/>
      <c r="N19" s="28"/>
      <c r="O19" s="75"/>
      <c r="P19" s="75"/>
    </row>
    <row r="20" spans="1:16" ht="3" customHeight="1" x14ac:dyDescent="0.25">
      <c r="A20" s="42"/>
      <c r="B20" s="82"/>
      <c r="C20" s="82"/>
      <c r="D20" s="83"/>
      <c r="E20" s="56"/>
      <c r="F20" s="62"/>
      <c r="G20" s="65"/>
      <c r="H20" s="62"/>
      <c r="I20" s="65"/>
      <c r="J20" s="62"/>
      <c r="K20" s="65"/>
      <c r="L20" s="62"/>
      <c r="M20" s="65"/>
      <c r="N20" s="28"/>
      <c r="O20" s="42"/>
      <c r="P20" s="42"/>
    </row>
    <row r="21" spans="1:16" ht="17.399999999999999" x14ac:dyDescent="0.25">
      <c r="A21" s="42"/>
      <c r="B21" s="28"/>
      <c r="C21" s="115" t="s">
        <v>66</v>
      </c>
      <c r="D21" s="115"/>
      <c r="E21" s="56"/>
      <c r="F21" s="63"/>
      <c r="G21" s="64"/>
      <c r="H21" s="63"/>
      <c r="I21" s="64"/>
      <c r="J21" s="63"/>
      <c r="K21" s="64"/>
      <c r="L21" s="63"/>
      <c r="M21" s="64"/>
      <c r="N21" s="28"/>
      <c r="O21" s="42"/>
      <c r="P21" s="42"/>
    </row>
    <row r="22" spans="1:16" ht="3" customHeight="1" outlineLevel="1" x14ac:dyDescent="0.25">
      <c r="A22" s="42"/>
      <c r="B22" s="82"/>
      <c r="C22" s="82"/>
      <c r="D22" s="90"/>
      <c r="E22" s="56"/>
      <c r="F22" s="62"/>
      <c r="G22" s="65"/>
      <c r="H22" s="62"/>
      <c r="I22" s="65"/>
      <c r="J22" s="62"/>
      <c r="K22" s="65"/>
      <c r="L22" s="62"/>
      <c r="M22" s="65"/>
      <c r="N22" s="28"/>
      <c r="O22" s="42"/>
      <c r="P22" s="42"/>
    </row>
    <row r="23" spans="1:16" ht="13.2" outlineLevel="1" x14ac:dyDescent="0.25">
      <c r="A23" s="42"/>
      <c r="B23" s="84">
        <v>1</v>
      </c>
      <c r="C23" s="84">
        <v>1</v>
      </c>
      <c r="D23" s="85" t="s">
        <v>67</v>
      </c>
      <c r="E23" s="66"/>
      <c r="F23" s="67"/>
      <c r="G23" s="67"/>
      <c r="H23" s="67"/>
      <c r="I23" s="67"/>
      <c r="J23" s="67"/>
      <c r="K23" s="67"/>
      <c r="L23" s="67"/>
      <c r="M23" s="67"/>
      <c r="N23" s="28"/>
      <c r="O23" s="42"/>
      <c r="P23" s="42"/>
    </row>
    <row r="24" spans="1:16" ht="13.2" outlineLevel="2" x14ac:dyDescent="0.25">
      <c r="A24" s="42"/>
      <c r="B24" s="87">
        <v>1</v>
      </c>
      <c r="C24" s="87">
        <v>1</v>
      </c>
      <c r="D24" s="29" t="s">
        <v>68</v>
      </c>
      <c r="E24" s="44"/>
      <c r="F24" s="95">
        <v>-1</v>
      </c>
      <c r="G24" s="80"/>
      <c r="H24" s="95">
        <v>-1</v>
      </c>
      <c r="I24" s="80"/>
      <c r="J24" s="95">
        <v>-1</v>
      </c>
      <c r="K24" s="80"/>
      <c r="L24" s="95">
        <v>-1</v>
      </c>
      <c r="M24" s="80"/>
      <c r="N24" s="28"/>
      <c r="O24" s="42"/>
      <c r="P24" s="42"/>
    </row>
    <row r="25" spans="1:16" ht="3" customHeight="1" x14ac:dyDescent="0.25">
      <c r="A25" s="42"/>
      <c r="B25" s="82"/>
      <c r="C25" s="43"/>
      <c r="D25" s="44"/>
      <c r="E25" s="42"/>
      <c r="F25" s="45"/>
      <c r="G25" s="46"/>
      <c r="H25" s="45"/>
      <c r="I25" s="46"/>
      <c r="J25" s="45"/>
      <c r="K25" s="46"/>
      <c r="L25" s="45"/>
      <c r="M25" s="46"/>
      <c r="N25" s="42"/>
      <c r="O25" s="42"/>
      <c r="P25" s="42"/>
    </row>
    <row r="46" spans="2:9" ht="11.85" customHeight="1" x14ac:dyDescent="0.25">
      <c r="B46" s="47"/>
      <c r="C46" s="47"/>
      <c r="D46" s="47"/>
      <c r="F46" s="47"/>
      <c r="G46" s="47"/>
      <c r="H46" s="47"/>
      <c r="I46" s="47"/>
    </row>
    <row r="47" spans="2:9" ht="11.85" customHeight="1" x14ac:dyDescent="0.25">
      <c r="B47" s="47"/>
      <c r="C47" s="47"/>
      <c r="D47" s="47"/>
      <c r="F47" s="47"/>
      <c r="G47" s="47"/>
      <c r="H47" s="47"/>
      <c r="I47" s="47"/>
    </row>
    <row r="49" spans="2:9" ht="11.85" customHeight="1" x14ac:dyDescent="0.25">
      <c r="B49" s="47"/>
      <c r="C49" s="47"/>
      <c r="D49" s="47"/>
      <c r="F49" s="47"/>
      <c r="G49" s="47"/>
      <c r="H49" s="47"/>
      <c r="I49" s="47"/>
    </row>
  </sheetData>
  <mergeCells count="4">
    <mergeCell ref="C2:D2"/>
    <mergeCell ref="C8:D8"/>
    <mergeCell ref="C14:D14"/>
    <mergeCell ref="C21:D21"/>
  </mergeCells>
  <conditionalFormatting sqref="F10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F11:F12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H11:H12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J11:J12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J18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L11:L12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L18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7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4" id="{79B06DBD-75F0-447A-9577-110620BDEC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 F19</xm:sqref>
        </x14:conditionalFormatting>
        <x14:conditionalFormatting xmlns:xm="http://schemas.microsoft.com/office/excel/2006/main">
          <x14:cfRule type="iconSet" priority="10" id="{5EEAB355-06D1-46B7-9021-89ED915024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F24</xm:sqref>
        </x14:conditionalFormatting>
        <x14:conditionalFormatting xmlns:xm="http://schemas.microsoft.com/office/excel/2006/main">
          <x14:cfRule type="iconSet" priority="9" id="{2ABD931D-0DF2-4B6C-AB1E-1F439FFF4D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11" id="{43164E56-6E2A-47D7-8132-6C778D13B6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J17</xm:sqref>
        </x14:conditionalFormatting>
        <x14:conditionalFormatting xmlns:xm="http://schemas.microsoft.com/office/excel/2006/main">
          <x14:cfRule type="iconSet" priority="14" id="{A9F16A01-20AC-419B-8243-A0021BAA5A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J19</xm:sqref>
        </x14:conditionalFormatting>
        <x14:conditionalFormatting xmlns:xm="http://schemas.microsoft.com/office/excel/2006/main">
          <x14:cfRule type="iconSet" priority="8" id="{3997A553-C5C2-4D9B-86E0-759781E247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7" id="{DD11D45B-9851-4B37-AAF4-39745D797A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F3F3-0FDB-4F12-89E8-DE294F18840A}">
  <sheetPr>
    <outlinePr summaryBelow="0" summaryRight="0"/>
    <pageSetUpPr fitToPage="1"/>
  </sheetPr>
  <dimension ref="A2:AD16"/>
  <sheetViews>
    <sheetView zoomScale="90" zoomScaleNormal="90" workbookViewId="0">
      <pane xSplit="2" ySplit="4" topLeftCell="C5" activePane="bottomRight" state="frozen"/>
      <selection pane="topRight"/>
      <selection pane="bottomLeft" activeCell="A8" sqref="A8"/>
      <selection pane="bottomRight" activeCell="A6" sqref="A6"/>
    </sheetView>
  </sheetViews>
  <sheetFormatPr defaultColWidth="9.44140625" defaultRowHeight="13.2" outlineLevelRow="3" outlineLevelCol="1" x14ac:dyDescent="0.25"/>
  <cols>
    <col min="1" max="1" width="0.5546875" style="2" customWidth="1"/>
    <col min="2" max="2" width="22.6640625" style="2" customWidth="1"/>
    <col min="3" max="3" width="53.6640625" style="23" customWidth="1"/>
    <col min="4" max="4" width="19.44140625" style="23" bestFit="1" customWidth="1"/>
    <col min="5" max="6" width="14.44140625" style="2" customWidth="1"/>
    <col min="7" max="9" width="0.5546875" style="2" customWidth="1" outlineLevel="1"/>
    <col min="10" max="10" width="13.33203125" style="2" bestFit="1" customWidth="1" outlineLevel="1"/>
    <col min="11" max="11" width="9.5546875" style="2" customWidth="1" outlineLevel="1"/>
    <col min="12" max="12" width="16.33203125" style="2" customWidth="1" outlineLevel="1"/>
    <col min="13" max="13" width="14.33203125" style="2" customWidth="1" outlineLevel="1"/>
    <col min="14" max="16" width="0.5546875" style="2" customWidth="1" outlineLevel="1"/>
    <col min="17" max="17" width="14.44140625" style="2" customWidth="1" outlineLevel="1"/>
    <col min="18" max="18" width="14.44140625" style="2" customWidth="1" outlineLevel="1" collapsed="1"/>
    <col min="19" max="23" width="14.44140625" style="2" customWidth="1" outlineLevel="1"/>
    <col min="24" max="26" width="0.5546875" style="2" customWidth="1"/>
    <col min="27" max="29" width="9.44140625" style="2"/>
    <col min="30" max="30" width="9.44140625" style="2" bestFit="1" customWidth="1"/>
    <col min="31" max="16384" width="9.44140625" style="2"/>
  </cols>
  <sheetData>
    <row r="2" spans="1:30" ht="17.399999999999999" x14ac:dyDescent="0.25">
      <c r="A2" s="1"/>
      <c r="B2" s="3" t="s">
        <v>69</v>
      </c>
      <c r="C2" s="4"/>
      <c r="D2" s="4"/>
      <c r="E2" s="3"/>
      <c r="F2" s="3"/>
      <c r="G2" s="12"/>
      <c r="H2" s="24"/>
      <c r="J2" s="14">
        <f>SUBTOTAL(9,J6:J16)</f>
        <v>1.49</v>
      </c>
      <c r="K2" s="15">
        <f>SUBTOTAL(9,K6:K16)</f>
        <v>6</v>
      </c>
      <c r="L2" s="14">
        <f>SUBTOTAL(9,L6:L16)</f>
        <v>0</v>
      </c>
      <c r="M2" s="27">
        <f>SUBTOTAL(9,M6:M16)</f>
        <v>0</v>
      </c>
      <c r="N2" s="12"/>
      <c r="O2" s="24"/>
      <c r="Q2" s="3"/>
      <c r="R2" s="3"/>
      <c r="S2" s="3"/>
      <c r="T2" s="3"/>
      <c r="U2" s="3"/>
      <c r="V2" s="3"/>
      <c r="W2" s="3"/>
      <c r="Y2" s="24"/>
      <c r="AA2" s="10">
        <f>J2-L2</f>
        <v>1.49</v>
      </c>
      <c r="AB2" s="10">
        <f>K2-M2</f>
        <v>6</v>
      </c>
    </row>
    <row r="3" spans="1:30" ht="3" customHeight="1" x14ac:dyDescent="0.25">
      <c r="A3" s="1"/>
      <c r="B3" s="1"/>
      <c r="C3" s="8"/>
      <c r="D3" s="8"/>
      <c r="E3" s="1"/>
      <c r="F3" s="1"/>
      <c r="G3" s="12"/>
      <c r="H3" s="24"/>
      <c r="J3" s="1"/>
      <c r="K3" s="1"/>
      <c r="L3" s="1"/>
      <c r="M3" s="1"/>
      <c r="N3" s="12"/>
      <c r="O3" s="24"/>
      <c r="Q3" s="1"/>
      <c r="R3" s="1"/>
      <c r="S3" s="1"/>
      <c r="T3" s="1"/>
      <c r="U3" s="1"/>
      <c r="V3" s="1"/>
      <c r="W3" s="1"/>
      <c r="Y3" s="24"/>
    </row>
    <row r="4" spans="1:30" s="6" customFormat="1" ht="30" x14ac:dyDescent="0.25">
      <c r="A4" s="7"/>
      <c r="B4" s="11" t="s">
        <v>0</v>
      </c>
      <c r="C4" s="17" t="s">
        <v>1</v>
      </c>
      <c r="D4" s="17" t="s">
        <v>2</v>
      </c>
      <c r="E4" s="11" t="s">
        <v>3</v>
      </c>
      <c r="F4" s="11" t="s">
        <v>4</v>
      </c>
      <c r="G4" s="112"/>
      <c r="H4" s="25"/>
      <c r="J4" s="17" t="s">
        <v>5</v>
      </c>
      <c r="K4" s="17" t="s">
        <v>6</v>
      </c>
      <c r="L4" s="11" t="s">
        <v>7</v>
      </c>
      <c r="M4" s="17" t="s">
        <v>8</v>
      </c>
      <c r="N4" s="112"/>
      <c r="O4" s="25"/>
      <c r="Q4" s="11" t="s">
        <v>9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14</v>
      </c>
      <c r="W4" s="11" t="s">
        <v>4</v>
      </c>
      <c r="Y4" s="25"/>
      <c r="AA4" s="26">
        <f>L2/J2</f>
        <v>0</v>
      </c>
      <c r="AB4" s="26">
        <f>M2/K2</f>
        <v>0</v>
      </c>
      <c r="AC4" s="2"/>
    </row>
    <row r="5" spans="1:30" ht="3" customHeight="1" x14ac:dyDescent="0.25">
      <c r="A5" s="1"/>
      <c r="B5" s="1"/>
      <c r="C5" s="8"/>
      <c r="D5" s="8"/>
      <c r="E5" s="1"/>
      <c r="F5" s="1"/>
      <c r="G5" s="12"/>
      <c r="H5" s="24"/>
      <c r="J5" s="18"/>
      <c r="K5" s="19"/>
      <c r="L5" s="18"/>
      <c r="M5" s="19"/>
      <c r="N5" s="12"/>
      <c r="O5" s="24"/>
      <c r="Q5" s="1"/>
      <c r="R5" s="1"/>
      <c r="S5" s="1"/>
      <c r="T5" s="1"/>
      <c r="U5" s="1"/>
      <c r="V5" s="1"/>
      <c r="W5" s="1"/>
      <c r="Y5" s="24"/>
      <c r="AA5" s="10"/>
      <c r="AB5" s="10"/>
      <c r="AC5" s="10"/>
      <c r="AD5" s="10"/>
    </row>
    <row r="6" spans="1:30" ht="15" collapsed="1" x14ac:dyDescent="0.25">
      <c r="A6" s="1"/>
      <c r="B6" s="5" t="s">
        <v>33</v>
      </c>
      <c r="C6" s="20" t="s">
        <v>15</v>
      </c>
      <c r="D6" s="20"/>
      <c r="E6" s="5"/>
      <c r="F6" s="5"/>
      <c r="G6" s="12"/>
      <c r="H6" s="24"/>
      <c r="J6" s="21">
        <f>SUBTOTAL(9,J7:J16)</f>
        <v>1.49</v>
      </c>
      <c r="K6" s="22">
        <f>SUBTOTAL(9,K7:K16)</f>
        <v>6</v>
      </c>
      <c r="L6" s="21">
        <f>SUBTOTAL(9,L7:L16)</f>
        <v>0</v>
      </c>
      <c r="M6" s="22">
        <f>SUBTOTAL(9,M7:M16)</f>
        <v>0</v>
      </c>
      <c r="N6" s="12"/>
      <c r="O6" s="24"/>
      <c r="Q6" s="5"/>
      <c r="R6" s="5"/>
      <c r="S6" s="5"/>
      <c r="T6" s="5"/>
      <c r="U6" s="5"/>
      <c r="V6" s="5"/>
      <c r="W6" s="5"/>
      <c r="Y6" s="24"/>
      <c r="AA6" s="10"/>
      <c r="AB6" s="10"/>
      <c r="AC6" s="10"/>
      <c r="AD6" s="10"/>
    </row>
    <row r="7" spans="1:30" hidden="1" outlineLevel="2" x14ac:dyDescent="0.25">
      <c r="A7" s="1"/>
      <c r="B7" s="105" t="s">
        <v>16</v>
      </c>
      <c r="C7" s="106" t="s">
        <v>34</v>
      </c>
      <c r="D7" s="106"/>
      <c r="E7" s="105"/>
      <c r="F7" s="105"/>
      <c r="G7" s="12"/>
      <c r="H7" s="24"/>
      <c r="J7" s="107">
        <f>SUBTOTAL(9,J8:J9)</f>
        <v>1.1499999999999999</v>
      </c>
      <c r="K7" s="108">
        <f>SUBTOTAL(9,K8:K9)</f>
        <v>2</v>
      </c>
      <c r="L7" s="107">
        <f>SUBTOTAL(9,L8:L9)</f>
        <v>0</v>
      </c>
      <c r="M7" s="108">
        <f>SUBTOTAL(9,M8:M9)</f>
        <v>0</v>
      </c>
      <c r="N7" s="12"/>
      <c r="O7" s="24"/>
      <c r="Q7" s="105"/>
      <c r="R7" s="105"/>
      <c r="S7" s="105"/>
      <c r="T7" s="105"/>
      <c r="U7" s="105"/>
      <c r="V7" s="105"/>
      <c r="W7" s="105"/>
      <c r="Y7" s="24"/>
    </row>
    <row r="8" spans="1:30" hidden="1" outlineLevel="3" x14ac:dyDescent="0.25">
      <c r="A8" s="1"/>
      <c r="B8" s="1" t="s">
        <v>33</v>
      </c>
      <c r="C8" s="8" t="s">
        <v>17</v>
      </c>
      <c r="D8" s="8"/>
      <c r="E8" s="1" t="s">
        <v>35</v>
      </c>
      <c r="F8" s="1"/>
      <c r="G8" s="12"/>
      <c r="H8" s="24"/>
      <c r="J8" s="9">
        <v>0.69</v>
      </c>
      <c r="K8" s="16">
        <v>1</v>
      </c>
      <c r="L8" s="9">
        <f>IF(M8=1,J8,0)</f>
        <v>0</v>
      </c>
      <c r="M8" s="16"/>
      <c r="N8" s="12"/>
      <c r="O8" s="24"/>
      <c r="Q8" s="1" t="s">
        <v>35</v>
      </c>
      <c r="R8" s="1" t="s">
        <v>36</v>
      </c>
      <c r="S8" s="1" t="s">
        <v>37</v>
      </c>
      <c r="T8" s="1"/>
      <c r="U8" s="1"/>
      <c r="V8" s="1"/>
      <c r="W8" s="1"/>
      <c r="Y8" s="24"/>
    </row>
    <row r="9" spans="1:30" hidden="1" outlineLevel="3" x14ac:dyDescent="0.25">
      <c r="A9" s="1"/>
      <c r="B9" s="1" t="s">
        <v>33</v>
      </c>
      <c r="C9" s="8" t="s">
        <v>38</v>
      </c>
      <c r="D9" s="8"/>
      <c r="E9" s="1" t="s">
        <v>35</v>
      </c>
      <c r="F9" s="1"/>
      <c r="G9" s="12"/>
      <c r="H9" s="24"/>
      <c r="J9" s="9">
        <v>0.46</v>
      </c>
      <c r="K9" s="16">
        <v>1</v>
      </c>
      <c r="L9" s="9">
        <f>IF(M9=1,J9,0)</f>
        <v>0</v>
      </c>
      <c r="M9" s="16"/>
      <c r="N9" s="12"/>
      <c r="O9" s="24"/>
      <c r="Q9" s="1" t="s">
        <v>35</v>
      </c>
      <c r="R9" s="1" t="s">
        <v>36</v>
      </c>
      <c r="S9" s="1" t="s">
        <v>37</v>
      </c>
      <c r="T9" s="1"/>
      <c r="U9" s="1"/>
      <c r="V9" s="1"/>
      <c r="W9" s="1"/>
      <c r="Y9" s="24"/>
    </row>
    <row r="10" spans="1:30" hidden="1" outlineLevel="2" x14ac:dyDescent="0.25">
      <c r="A10" s="1"/>
      <c r="B10" s="105" t="s">
        <v>24</v>
      </c>
      <c r="C10" s="106" t="s">
        <v>39</v>
      </c>
      <c r="D10" s="106"/>
      <c r="E10" s="105"/>
      <c r="F10" s="105"/>
      <c r="G10" s="12"/>
      <c r="H10" s="24"/>
      <c r="J10" s="107">
        <f>SUBTOTAL(9,J11)</f>
        <v>0.19</v>
      </c>
      <c r="K10" s="108">
        <f>SUBTOTAL(9,K11)</f>
        <v>1</v>
      </c>
      <c r="L10" s="107">
        <f>SUBTOTAL(9,L11)</f>
        <v>0</v>
      </c>
      <c r="M10" s="108">
        <f>SUBTOTAL(9,M11)</f>
        <v>0</v>
      </c>
      <c r="N10" s="12"/>
      <c r="O10" s="24"/>
      <c r="Q10" s="105"/>
      <c r="R10" s="105"/>
      <c r="S10" s="105"/>
      <c r="T10" s="105"/>
      <c r="U10" s="105"/>
      <c r="V10" s="105"/>
      <c r="W10" s="105"/>
      <c r="Y10" s="24"/>
    </row>
    <row r="11" spans="1:30" hidden="1" outlineLevel="3" x14ac:dyDescent="0.25">
      <c r="A11" s="1"/>
      <c r="B11" s="1" t="s">
        <v>33</v>
      </c>
      <c r="C11" s="8" t="s">
        <v>17</v>
      </c>
      <c r="D11" s="8"/>
      <c r="E11" s="1" t="s">
        <v>25</v>
      </c>
      <c r="F11" s="1"/>
      <c r="G11" s="12"/>
      <c r="H11" s="24"/>
      <c r="J11" s="9">
        <v>0.19</v>
      </c>
      <c r="K11" s="16">
        <v>1</v>
      </c>
      <c r="L11" s="9">
        <f>IF(M11=1,J11,0)</f>
        <v>0</v>
      </c>
      <c r="M11" s="16"/>
      <c r="N11" s="12"/>
      <c r="O11" s="24"/>
      <c r="Q11" s="1" t="s">
        <v>25</v>
      </c>
      <c r="R11" s="1" t="s">
        <v>26</v>
      </c>
      <c r="S11" s="1" t="s">
        <v>40</v>
      </c>
      <c r="T11" s="1" t="s">
        <v>41</v>
      </c>
      <c r="U11" s="1" t="s">
        <v>42</v>
      </c>
      <c r="V11" s="1"/>
      <c r="W11" s="1">
        <v>0</v>
      </c>
      <c r="Y11" s="24"/>
    </row>
    <row r="12" spans="1:30" hidden="1" outlineLevel="2" x14ac:dyDescent="0.25">
      <c r="A12" s="1"/>
      <c r="B12" s="105" t="s">
        <v>27</v>
      </c>
      <c r="C12" s="106" t="s">
        <v>39</v>
      </c>
      <c r="D12" s="106"/>
      <c r="E12" s="105"/>
      <c r="F12" s="105"/>
      <c r="G12" s="109"/>
      <c r="H12" s="110"/>
      <c r="I12" s="111"/>
      <c r="J12" s="107">
        <f>SUBTOTAL(9,J13:J14)</f>
        <v>0.1</v>
      </c>
      <c r="K12" s="108">
        <f>SUBTOTAL(9,K13:K14)</f>
        <v>2</v>
      </c>
      <c r="L12" s="107">
        <f>SUBTOTAL(9,L13:L14)</f>
        <v>0</v>
      </c>
      <c r="M12" s="108">
        <f>SUBTOTAL(9,M13:M14)</f>
        <v>0</v>
      </c>
      <c r="N12" s="109"/>
      <c r="O12" s="110"/>
      <c r="P12" s="111"/>
      <c r="Q12" s="105"/>
      <c r="R12" s="105"/>
      <c r="S12" s="105"/>
      <c r="T12" s="105"/>
      <c r="U12" s="105"/>
      <c r="V12" s="105"/>
      <c r="W12" s="105"/>
      <c r="X12" s="111"/>
      <c r="Y12" s="110"/>
      <c r="Z12" s="111"/>
    </row>
    <row r="13" spans="1:30" hidden="1" outlineLevel="3" x14ac:dyDescent="0.25">
      <c r="A13" s="1"/>
      <c r="B13" s="1" t="s">
        <v>33</v>
      </c>
      <c r="C13" s="8" t="s">
        <v>17</v>
      </c>
      <c r="D13" s="8"/>
      <c r="E13" s="1" t="s">
        <v>28</v>
      </c>
      <c r="F13" s="1"/>
      <c r="G13" s="12"/>
      <c r="H13" s="24"/>
      <c r="J13" s="9">
        <v>0.05</v>
      </c>
      <c r="K13" s="16">
        <v>1</v>
      </c>
      <c r="L13" s="9">
        <f>IF(M13=1,J13,0)</f>
        <v>0</v>
      </c>
      <c r="M13" s="16"/>
      <c r="N13" s="12"/>
      <c r="O13" s="24"/>
      <c r="Q13" s="1" t="s">
        <v>28</v>
      </c>
      <c r="R13" s="1" t="s">
        <v>29</v>
      </c>
      <c r="S13" s="1" t="s">
        <v>43</v>
      </c>
      <c r="T13" s="1" t="s">
        <v>44</v>
      </c>
      <c r="U13" s="1"/>
      <c r="V13" s="1"/>
      <c r="W13" s="1"/>
      <c r="Y13" s="24"/>
    </row>
    <row r="14" spans="1:30" hidden="1" outlineLevel="3" x14ac:dyDescent="0.25">
      <c r="A14" s="1"/>
      <c r="B14" s="1" t="s">
        <v>33</v>
      </c>
      <c r="C14" s="8" t="s">
        <v>38</v>
      </c>
      <c r="D14" s="8"/>
      <c r="E14" s="1" t="s">
        <v>28</v>
      </c>
      <c r="F14" s="1"/>
      <c r="G14" s="12"/>
      <c r="H14" s="24"/>
      <c r="J14" s="9">
        <v>0.05</v>
      </c>
      <c r="K14" s="16">
        <v>1</v>
      </c>
      <c r="L14" s="9">
        <f>IF(M14=1,J14,0)</f>
        <v>0</v>
      </c>
      <c r="M14" s="16"/>
      <c r="N14" s="12"/>
      <c r="O14" s="24"/>
      <c r="Q14" s="1" t="s">
        <v>28</v>
      </c>
      <c r="R14" s="1" t="s">
        <v>29</v>
      </c>
      <c r="S14" s="1" t="s">
        <v>43</v>
      </c>
      <c r="T14" s="1" t="s">
        <v>44</v>
      </c>
      <c r="U14" s="1"/>
      <c r="V14" s="1"/>
      <c r="W14" s="1"/>
      <c r="Y14" s="24"/>
    </row>
    <row r="15" spans="1:30" hidden="1" outlineLevel="2" x14ac:dyDescent="0.25">
      <c r="A15" s="1"/>
      <c r="B15" s="105" t="s">
        <v>30</v>
      </c>
      <c r="C15" s="106" t="s">
        <v>39</v>
      </c>
      <c r="D15" s="106"/>
      <c r="E15" s="105"/>
      <c r="F15" s="105"/>
      <c r="G15" s="12"/>
      <c r="H15" s="24"/>
      <c r="J15" s="107">
        <f>SUBTOTAL(9,J16)</f>
        <v>0.05</v>
      </c>
      <c r="K15" s="108">
        <f>SUBTOTAL(9,K16)</f>
        <v>1</v>
      </c>
      <c r="L15" s="107">
        <f>SUBTOTAL(9,L16)</f>
        <v>0</v>
      </c>
      <c r="M15" s="108">
        <f>SUBTOTAL(9,M16)</f>
        <v>0</v>
      </c>
      <c r="N15" s="12"/>
      <c r="O15" s="24"/>
      <c r="Q15" s="105"/>
      <c r="R15" s="105"/>
      <c r="S15" s="105"/>
      <c r="T15" s="105"/>
      <c r="U15" s="105"/>
      <c r="V15" s="105"/>
      <c r="W15" s="105"/>
      <c r="Y15" s="24"/>
    </row>
    <row r="16" spans="1:30" hidden="1" outlineLevel="3" x14ac:dyDescent="0.25">
      <c r="A16" s="1"/>
      <c r="B16" s="1" t="s">
        <v>33</v>
      </c>
      <c r="C16" s="8" t="s">
        <v>38</v>
      </c>
      <c r="D16" s="8"/>
      <c r="E16" s="1" t="s">
        <v>28</v>
      </c>
      <c r="F16" s="1"/>
      <c r="G16" s="12"/>
      <c r="H16" s="24"/>
      <c r="J16" s="9">
        <v>0.05</v>
      </c>
      <c r="K16" s="16">
        <v>1</v>
      </c>
      <c r="L16" s="9">
        <f>IF(M16=1,J16,0)</f>
        <v>0</v>
      </c>
      <c r="M16" s="16"/>
      <c r="N16" s="12"/>
      <c r="O16" s="24"/>
      <c r="Q16" s="1" t="s">
        <v>28</v>
      </c>
      <c r="R16" s="1" t="s">
        <v>31</v>
      </c>
      <c r="S16" s="1" t="s">
        <v>45</v>
      </c>
      <c r="T16" s="1"/>
      <c r="U16" s="1"/>
      <c r="V16" s="1"/>
      <c r="W16" s="1"/>
      <c r="Y16" s="24"/>
    </row>
  </sheetData>
  <autoFilter ref="B4:Z1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customXml/itemProps2.xml><?xml version="1.0" encoding="utf-8"?>
<ds:datastoreItem xmlns:ds="http://schemas.openxmlformats.org/officeDocument/2006/customXml" ds:itemID="{37F01CEE-A6F8-409E-9FAD-BDD3DDDD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A9BDF9-F82C-46C3-858A-9396328B636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0052 Imagine FY26-27Q3</vt:lpstr>
      <vt:lpstr>0052Imagine Pkgs Smmy (Status) </vt:lpstr>
      <vt:lpstr>Goals FY 26-27Q2</vt:lpstr>
      <vt:lpstr>'0052 Imagine FY26-27Q3'!_FilterDatabase</vt:lpstr>
      <vt:lpstr>'Goals FY 26-27Q2'!_FilterDatabase</vt:lpstr>
      <vt:lpstr>'0052 Imagine FY26-27Q3'!Print_Titles</vt:lpstr>
      <vt:lpstr>'0052Imagine Pkgs Smmy (Status) '!Print_Titles</vt:lpstr>
      <vt:lpstr>'Goals FY 26-27Q2'!Print_Titles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Shiyam Shankar C</cp:lastModifiedBy>
  <cp:revision/>
  <dcterms:created xsi:type="dcterms:W3CDTF">2024-04-25T11:54:44Z</dcterms:created>
  <dcterms:modified xsi:type="dcterms:W3CDTF">2026-09-16T12:48:40Z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