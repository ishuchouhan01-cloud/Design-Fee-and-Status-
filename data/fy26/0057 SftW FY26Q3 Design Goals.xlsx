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2 Project-wise Goals/"/>
    </mc:Choice>
  </mc:AlternateContent>
  <xr:revisionPtr revIDLastSave="15224" documentId="120_S{F6307810-6C69-515E-BA61-843DFB608037}" xr6:coauthVersionLast="47" xr6:coauthVersionMax="47" xr10:uidLastSave="{457A0818-CB9B-4E71-9F7D-7F9716FE223E}"/>
  <bookViews>
    <workbookView xWindow="-108" yWindow="-108" windowWidth="23256" windowHeight="12456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2" sheetId="36" r:id="rId9"/>
    <sheet name="Pkgs Summary (Status)" sheetId="54" r:id="rId10"/>
    <sheet name="FY 26-27 Q2 Pivot" sheetId="37" state="hidden" r:id="rId11"/>
    <sheet name="Goals FY 26-27Q2 Cijey" sheetId="46" state="hidden" r:id="rId12"/>
    <sheet name="Goals FY 26-27Q2 Saji" sheetId="43" state="hidden" r:id="rId13"/>
    <sheet name="Goals FY 26-27Q2 OP" sheetId="44" state="hidden" r:id="rId14"/>
    <sheet name="Goals FY 26-27Q2 Naveen Y" sheetId="47" state="hidden" r:id="rId15"/>
    <sheet name="Goals FY 26-27Q2 Manik" sheetId="48" state="hidden" r:id="rId16"/>
    <sheet name="Goals FY 26-27Q2 Gagan" sheetId="45" state="hidden" r:id="rId17"/>
    <sheet name="Goals FY 26-27Q2 Navneet" sheetId="49" state="hidden" r:id="rId18"/>
    <sheet name="Goals FY 26-27Q2 Shweta V" sheetId="50" state="hidden" r:id="rId19"/>
    <sheet name="Goals FY 26-27Q2 Prakash C" sheetId="51" state="hidden" r:id="rId20"/>
    <sheet name="Goals FY 26-27Q2 Atul P" sheetId="52" state="hidden" r:id="rId21"/>
    <sheet name="Pivot" sheetId="31" state="hidden" r:id="rId22"/>
    <sheet name="One liner" sheetId="27" state="hidden" r:id="rId23"/>
    <sheet name="Notes" sheetId="29" state="hidden" r:id="rId24"/>
    <sheet name="Goals, Actuals 2026 Q1 (Remark)" sheetId="28" state="hidden" r:id="rId25"/>
    <sheet name="Goals FY 2026Q2 (Revised Plan)" sheetId="33" state="hidden" r:id="rId26"/>
    <sheet name="Revised Plan PIVOT" sheetId="34" state="hidden" r:id="rId27"/>
    <sheet name="Goals, Actuals 2026 Q1" sheetId="26" state="hidden" r:id="rId28"/>
    <sheet name="26Q1 Cijey M" sheetId="15" state="hidden" r:id="rId29"/>
    <sheet name="26Q1 Saji A" sheetId="16" state="hidden" r:id="rId30"/>
    <sheet name="26Q1 Naveen Y" sheetId="17" state="hidden" r:id="rId31"/>
    <sheet name="26Q1 Om Prakash" sheetId="18" state="hidden" r:id="rId32"/>
    <sheet name="26Q1 Manik G" sheetId="20" state="hidden" r:id="rId33"/>
    <sheet name="26Q1 Atul L" sheetId="21" state="hidden" r:id="rId34"/>
    <sheet name="26Q1 Prakash C" sheetId="19" state="hidden" r:id="rId35"/>
    <sheet name="26Q1 Gaganjit S" sheetId="22" state="hidden" r:id="rId36"/>
    <sheet name="26Q1 Navneet K" sheetId="24" state="hidden" r:id="rId37"/>
    <sheet name="26Q1 Leaderwise" sheetId="14" state="hidden" r:id="rId38"/>
  </sheets>
  <definedNames>
    <definedName name="_" localSheetId="9" hidden="1">#REF!</definedName>
    <definedName name="_" hidden="1">#REF!</definedName>
    <definedName name="__123Graph_A" localSheetId="9" hidden="1">#REF!</definedName>
    <definedName name="__123Graph_A" hidden="1">#REF!</definedName>
    <definedName name="__123Graph_B" localSheetId="9" hidden="1">#REF!</definedName>
    <definedName name="__123Graph_B" hidden="1">#REF!</definedName>
    <definedName name="__123Graph_C" localSheetId="9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3" hidden="1">'26Q1 Atul L'!$A$5:$AB$5</definedName>
    <definedName name="_xlnm._FilterDatabase" localSheetId="28" hidden="1">'26Q1 Cijey M'!$A$5:$AB$5</definedName>
    <definedName name="_xlnm._FilterDatabase" localSheetId="35" hidden="1">'26Q1 Gaganjit S'!$A$5:$Y$171</definedName>
    <definedName name="_xlnm._FilterDatabase" localSheetId="37" hidden="1">'26Q1 Leaderwise'!$A$5:$AB$5</definedName>
    <definedName name="_xlnm._FilterDatabase" localSheetId="32" hidden="1">'26Q1 Manik G'!$A$5:$AB$5</definedName>
    <definedName name="_xlnm._FilterDatabase" localSheetId="30" hidden="1">'26Q1 Naveen Y'!#REF!</definedName>
    <definedName name="_xlnm._FilterDatabase" localSheetId="36" hidden="1">'26Q1 Navneet K'!$A$5:$AC$5</definedName>
    <definedName name="_xlnm._FilterDatabase" localSheetId="31" hidden="1">'26Q1 Om Prakash'!#REF!</definedName>
    <definedName name="_xlnm._FilterDatabase" localSheetId="34" hidden="1">'26Q1 Prakash C'!$A$5:$AC$5</definedName>
    <definedName name="_xlnm._FilterDatabase" localSheetId="29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5" hidden="1">'Goals FY 2026Q2 (Revised Plan)'!$A$2:$AK$654</definedName>
    <definedName name="_xlnm._FilterDatabase" localSheetId="8">'Goals FY 26-27Q2'!$B$4:$Z$59</definedName>
    <definedName name="_xlnm._FilterDatabase" localSheetId="20" hidden="1">'Goals FY 26-27Q2 Atul P'!$B$4:$W$45</definedName>
    <definedName name="_xlnm._FilterDatabase" localSheetId="11" hidden="1">'Goals FY 26-27Q2 Cijey'!$B$4:$W$70</definedName>
    <definedName name="_xlnm._FilterDatabase" localSheetId="16" hidden="1">'Goals FY 26-27Q2 Gagan'!$B$4:$W$262</definedName>
    <definedName name="_xlnm._FilterDatabase" localSheetId="15" hidden="1">'Goals FY 26-27Q2 Manik'!$B$4:$W$39</definedName>
    <definedName name="_xlnm._FilterDatabase" localSheetId="14" hidden="1">'Goals FY 26-27Q2 Naveen Y'!$B$4:$W$57</definedName>
    <definedName name="_xlnm._FilterDatabase" localSheetId="17" hidden="1">'Goals FY 26-27Q2 Navneet'!$B$4:$W$5</definedName>
    <definedName name="_xlnm._FilterDatabase" localSheetId="13" hidden="1">'Goals FY 26-27Q2 OP'!$B$4:$W$90</definedName>
    <definedName name="_xlnm._FilterDatabase" localSheetId="19" hidden="1">'Goals FY 26-27Q2 Prakash C'!$B$4:$W$205</definedName>
    <definedName name="_xlnm._FilterDatabase" localSheetId="12" hidden="1">'Goals FY 26-27Q2 Saji'!$B$4:$W$66</definedName>
    <definedName name="_xlnm._FilterDatabase" localSheetId="18" hidden="1">'Goals FY 26-27Q2 Shweta V'!$B$4:$W$5</definedName>
    <definedName name="_xlnm._FilterDatabase" localSheetId="27" hidden="1">'Goals, Actuals 2026 Q1'!$A$5:$AG$611</definedName>
    <definedName name="_xlnm._FilterDatabase" localSheetId="24" hidden="1">'Goals, Actuals 2026 Q1 (Remark)'!$A$5:$AG$688</definedName>
    <definedName name="_xlnm._FilterDatabase" localSheetId="9" hidden="1">'Pkgs Summary (Status)'!#REF!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localSheetId="9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9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3" hidden="1">{"BSSCHA4",#N/A,FALSE,"sch bs"}</definedName>
    <definedName name="ALupro" localSheetId="28" hidden="1">{"BSSCHA4",#N/A,FALSE,"sch bs"}</definedName>
    <definedName name="ALupro" localSheetId="35" hidden="1">{"BSSCHA4",#N/A,FALSE,"sch bs"}</definedName>
    <definedName name="ALupro" localSheetId="37" hidden="1">{"BSSCHA4",#N/A,FALSE,"sch bs"}</definedName>
    <definedName name="ALupro" localSheetId="32" hidden="1">{"BSSCHA4",#N/A,FALSE,"sch bs"}</definedName>
    <definedName name="ALupro" localSheetId="30" hidden="1">{"BSSCHA4",#N/A,FALSE,"sch bs"}</definedName>
    <definedName name="ALupro" localSheetId="36" hidden="1">{"BSSCHA4",#N/A,FALSE,"sch bs"}</definedName>
    <definedName name="ALupro" localSheetId="31" hidden="1">{"BSSCHA4",#N/A,FALSE,"sch bs"}</definedName>
    <definedName name="ALupro" localSheetId="34" hidden="1">{"BSSCHA4",#N/A,FALSE,"sch bs"}</definedName>
    <definedName name="ALupro" localSheetId="29" hidden="1">{"BSSCHA4",#N/A,FALSE,"sch bs"}</definedName>
    <definedName name="ALupro" localSheetId="27" hidden="1">{"BSSCHA4",#N/A,FALSE,"sch bs"}</definedName>
    <definedName name="ALupro" localSheetId="24" hidden="1">{"BSSCHA4",#N/A,FALSE,"sch bs"}</definedName>
    <definedName name="ALupro" localSheetId="9" hidden="1">{"BSSCHA4",#N/A,FALSE,"sch bs"}</definedName>
    <definedName name="ALupro" hidden="1">{"BSSCHA4",#N/A,FALSE,"sch bs"}</definedName>
    <definedName name="ALupro0" localSheetId="33" hidden="1">{"BSSCHA4",#N/A,FALSE,"sch bs"}</definedName>
    <definedName name="ALupro0" localSheetId="28" hidden="1">{"BSSCHA4",#N/A,FALSE,"sch bs"}</definedName>
    <definedName name="ALupro0" localSheetId="35" hidden="1">{"BSSCHA4",#N/A,FALSE,"sch bs"}</definedName>
    <definedName name="ALupro0" localSheetId="37" hidden="1">{"BSSCHA4",#N/A,FALSE,"sch bs"}</definedName>
    <definedName name="ALupro0" localSheetId="32" hidden="1">{"BSSCHA4",#N/A,FALSE,"sch bs"}</definedName>
    <definedName name="ALupro0" localSheetId="30" hidden="1">{"BSSCHA4",#N/A,FALSE,"sch bs"}</definedName>
    <definedName name="ALupro0" localSheetId="36" hidden="1">{"BSSCHA4",#N/A,FALSE,"sch bs"}</definedName>
    <definedName name="ALupro0" localSheetId="31" hidden="1">{"BSSCHA4",#N/A,FALSE,"sch bs"}</definedName>
    <definedName name="ALupro0" localSheetId="34" hidden="1">{"BSSCHA4",#N/A,FALSE,"sch bs"}</definedName>
    <definedName name="ALupro0" localSheetId="29" hidden="1">{"BSSCHA4",#N/A,FALSE,"sch bs"}</definedName>
    <definedName name="ALupro0" localSheetId="27" hidden="1">{"BSSCHA4",#N/A,FALSE,"sch bs"}</definedName>
    <definedName name="ALupro0" localSheetId="24" hidden="1">{"BSSCHA4",#N/A,FALSE,"sch bs"}</definedName>
    <definedName name="ALupro0" localSheetId="9" hidden="1">{"BSSCHA4",#N/A,FALSE,"sch bs"}</definedName>
    <definedName name="ALupro0" hidden="1">{"BSSCHA4",#N/A,FALSE,"sch bs"}</definedName>
    <definedName name="annexure" localSheetId="33" hidden="1">{"BSSCHA4",#N/A,FALSE,"sch bs"}</definedName>
    <definedName name="annexure" localSheetId="28" hidden="1">{"BSSCHA4",#N/A,FALSE,"sch bs"}</definedName>
    <definedName name="annexure" localSheetId="35" hidden="1">{"BSSCHA4",#N/A,FALSE,"sch bs"}</definedName>
    <definedName name="annexure" localSheetId="37" hidden="1">{"BSSCHA4",#N/A,FALSE,"sch bs"}</definedName>
    <definedName name="annexure" localSheetId="32" hidden="1">{"BSSCHA4",#N/A,FALSE,"sch bs"}</definedName>
    <definedName name="annexure" localSheetId="30" hidden="1">{"BSSCHA4",#N/A,FALSE,"sch bs"}</definedName>
    <definedName name="annexure" localSheetId="36" hidden="1">{"BSSCHA4",#N/A,FALSE,"sch bs"}</definedName>
    <definedName name="annexure" localSheetId="31" hidden="1">{"BSSCHA4",#N/A,FALSE,"sch bs"}</definedName>
    <definedName name="annexure" localSheetId="34" hidden="1">{"BSSCHA4",#N/A,FALSE,"sch bs"}</definedName>
    <definedName name="annexure" localSheetId="29" hidden="1">{"BSSCHA4",#N/A,FALSE,"sch bs"}</definedName>
    <definedName name="annexure" localSheetId="27" hidden="1">{"BSSCHA4",#N/A,FALSE,"sch bs"}</definedName>
    <definedName name="annexure" localSheetId="24" hidden="1">{"BSSCHA4",#N/A,FALSE,"sch bs"}</definedName>
    <definedName name="annexure" localSheetId="9" hidden="1">{"BSSCHA4",#N/A,FALSE,"sch bs"}</definedName>
    <definedName name="annexure" hidden="1">{"BSSCHA4",#N/A,FALSE,"sch bs"}</definedName>
    <definedName name="annexure_1" localSheetId="33" hidden="1">{"BSSCHA4",#N/A,FALSE,"sch bs"}</definedName>
    <definedName name="annexure_1" localSheetId="28" hidden="1">{"BSSCHA4",#N/A,FALSE,"sch bs"}</definedName>
    <definedName name="annexure_1" localSheetId="35" hidden="1">{"BSSCHA4",#N/A,FALSE,"sch bs"}</definedName>
    <definedName name="annexure_1" localSheetId="37" hidden="1">{"BSSCHA4",#N/A,FALSE,"sch bs"}</definedName>
    <definedName name="annexure_1" localSheetId="32" hidden="1">{"BSSCHA4",#N/A,FALSE,"sch bs"}</definedName>
    <definedName name="annexure_1" localSheetId="30" hidden="1">{"BSSCHA4",#N/A,FALSE,"sch bs"}</definedName>
    <definedName name="annexure_1" localSheetId="36" hidden="1">{"BSSCHA4",#N/A,FALSE,"sch bs"}</definedName>
    <definedName name="annexure_1" localSheetId="31" hidden="1">{"BSSCHA4",#N/A,FALSE,"sch bs"}</definedName>
    <definedName name="annexure_1" localSheetId="34" hidden="1">{"BSSCHA4",#N/A,FALSE,"sch bs"}</definedName>
    <definedName name="annexure_1" localSheetId="29" hidden="1">{"BSSCHA4",#N/A,FALSE,"sch bs"}</definedName>
    <definedName name="annexure_1" localSheetId="27" hidden="1">{"BSSCHA4",#N/A,FALSE,"sch bs"}</definedName>
    <definedName name="annexure_1" localSheetId="24" hidden="1">{"BSSCHA4",#N/A,FALSE,"sch bs"}</definedName>
    <definedName name="annexure_1" localSheetId="9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3" hidden="1">{"A4BS",#N/A,FALSE,"bs"}</definedName>
    <definedName name="avneeep" localSheetId="28" hidden="1">{"A4BS",#N/A,FALSE,"bs"}</definedName>
    <definedName name="avneeep" localSheetId="35" hidden="1">{"A4BS",#N/A,FALSE,"bs"}</definedName>
    <definedName name="avneeep" localSheetId="37" hidden="1">{"A4BS",#N/A,FALSE,"bs"}</definedName>
    <definedName name="avneeep" localSheetId="32" hidden="1">{"A4BS",#N/A,FALSE,"bs"}</definedName>
    <definedName name="avneeep" localSheetId="30" hidden="1">{"A4BS",#N/A,FALSE,"bs"}</definedName>
    <definedName name="avneeep" localSheetId="36" hidden="1">{"A4BS",#N/A,FALSE,"bs"}</definedName>
    <definedName name="avneeep" localSheetId="31" hidden="1">{"A4BS",#N/A,FALSE,"bs"}</definedName>
    <definedName name="avneeep" localSheetId="34" hidden="1">{"A4BS",#N/A,FALSE,"bs"}</definedName>
    <definedName name="avneeep" localSheetId="29" hidden="1">{"A4BS",#N/A,FALSE,"bs"}</definedName>
    <definedName name="avneeep" localSheetId="27" hidden="1">{"A4BS",#N/A,FALSE,"bs"}</definedName>
    <definedName name="avneeep" localSheetId="24" hidden="1">{"A4BS",#N/A,FALSE,"bs"}</definedName>
    <definedName name="avneeep" localSheetId="9" hidden="1">{"A4BS",#N/A,FALSE,"bs"}</definedName>
    <definedName name="avneeep" hidden="1">{"A4BS",#N/A,FALSE,"bs"}</definedName>
    <definedName name="avneeep_1" localSheetId="33" hidden="1">{"A4BS",#N/A,FALSE,"bs"}</definedName>
    <definedName name="avneeep_1" localSheetId="28" hidden="1">{"A4BS",#N/A,FALSE,"bs"}</definedName>
    <definedName name="avneeep_1" localSheetId="35" hidden="1">{"A4BS",#N/A,FALSE,"bs"}</definedName>
    <definedName name="avneeep_1" localSheetId="37" hidden="1">{"A4BS",#N/A,FALSE,"bs"}</definedName>
    <definedName name="avneeep_1" localSheetId="32" hidden="1">{"A4BS",#N/A,FALSE,"bs"}</definedName>
    <definedName name="avneeep_1" localSheetId="30" hidden="1">{"A4BS",#N/A,FALSE,"bs"}</definedName>
    <definedName name="avneeep_1" localSheetId="36" hidden="1">{"A4BS",#N/A,FALSE,"bs"}</definedName>
    <definedName name="avneeep_1" localSheetId="31" hidden="1">{"A4BS",#N/A,FALSE,"bs"}</definedName>
    <definedName name="avneeep_1" localSheetId="34" hidden="1">{"A4BS",#N/A,FALSE,"bs"}</definedName>
    <definedName name="avneeep_1" localSheetId="29" hidden="1">{"A4BS",#N/A,FALSE,"bs"}</definedName>
    <definedName name="avneeep_1" localSheetId="27" hidden="1">{"A4BS",#N/A,FALSE,"bs"}</definedName>
    <definedName name="avneeep_1" localSheetId="24" hidden="1">{"A4BS",#N/A,FALSE,"bs"}</definedName>
    <definedName name="avneeep_1" localSheetId="9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3" hidden="1">{"A4depsch",#N/A,FALSE,"fa&amp;dep"}</definedName>
    <definedName name="egdywmk" localSheetId="28" hidden="1">{"A4depsch",#N/A,FALSE,"fa&amp;dep"}</definedName>
    <definedName name="egdywmk" localSheetId="35" hidden="1">{"A4depsch",#N/A,FALSE,"fa&amp;dep"}</definedName>
    <definedName name="egdywmk" localSheetId="37" hidden="1">{"A4depsch",#N/A,FALSE,"fa&amp;dep"}</definedName>
    <definedName name="egdywmk" localSheetId="32" hidden="1">{"A4depsch",#N/A,FALSE,"fa&amp;dep"}</definedName>
    <definedName name="egdywmk" localSheetId="30" hidden="1">{"A4depsch",#N/A,FALSE,"fa&amp;dep"}</definedName>
    <definedName name="egdywmk" localSheetId="36" hidden="1">{"A4depsch",#N/A,FALSE,"fa&amp;dep"}</definedName>
    <definedName name="egdywmk" localSheetId="31" hidden="1">{"A4depsch",#N/A,FALSE,"fa&amp;dep"}</definedName>
    <definedName name="egdywmk" localSheetId="34" hidden="1">{"A4depsch",#N/A,FALSE,"fa&amp;dep"}</definedName>
    <definedName name="egdywmk" localSheetId="29" hidden="1">{"A4depsch",#N/A,FALSE,"fa&amp;dep"}</definedName>
    <definedName name="egdywmk" localSheetId="27" hidden="1">{"A4depsch",#N/A,FALSE,"fa&amp;dep"}</definedName>
    <definedName name="egdywmk" localSheetId="24" hidden="1">{"A4depsch",#N/A,FALSE,"fa&amp;dep"}</definedName>
    <definedName name="egdywmk" localSheetId="9" hidden="1">{"A4depsch",#N/A,FALSE,"fa&amp;dep"}</definedName>
    <definedName name="egdywmk" hidden="1">{"A4depsch",#N/A,FALSE,"fa&amp;dep"}</definedName>
    <definedName name="egdywmk_1" localSheetId="33" hidden="1">{"A4depsch",#N/A,FALSE,"fa&amp;dep"}</definedName>
    <definedName name="egdywmk_1" localSheetId="28" hidden="1">{"A4depsch",#N/A,FALSE,"fa&amp;dep"}</definedName>
    <definedName name="egdywmk_1" localSheetId="35" hidden="1">{"A4depsch",#N/A,FALSE,"fa&amp;dep"}</definedName>
    <definedName name="egdywmk_1" localSheetId="37" hidden="1">{"A4depsch",#N/A,FALSE,"fa&amp;dep"}</definedName>
    <definedName name="egdywmk_1" localSheetId="32" hidden="1">{"A4depsch",#N/A,FALSE,"fa&amp;dep"}</definedName>
    <definedName name="egdywmk_1" localSheetId="30" hidden="1">{"A4depsch",#N/A,FALSE,"fa&amp;dep"}</definedName>
    <definedName name="egdywmk_1" localSheetId="36" hidden="1">{"A4depsch",#N/A,FALSE,"fa&amp;dep"}</definedName>
    <definedName name="egdywmk_1" localSheetId="31" hidden="1">{"A4depsch",#N/A,FALSE,"fa&amp;dep"}</definedName>
    <definedName name="egdywmk_1" localSheetId="34" hidden="1">{"A4depsch",#N/A,FALSE,"fa&amp;dep"}</definedName>
    <definedName name="egdywmk_1" localSheetId="29" hidden="1">{"A4depsch",#N/A,FALSE,"fa&amp;dep"}</definedName>
    <definedName name="egdywmk_1" localSheetId="27" hidden="1">{"A4depsch",#N/A,FALSE,"fa&amp;dep"}</definedName>
    <definedName name="egdywmk_1" localSheetId="24" hidden="1">{"A4depsch",#N/A,FALSE,"fa&amp;dep"}</definedName>
    <definedName name="egdywmk_1" localSheetId="9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9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3" hidden="1">{"a4p&amp;L",#N/A,FALSE,"tr &amp; pl"}</definedName>
    <definedName name="gallup" localSheetId="28" hidden="1">{"a4p&amp;L",#N/A,FALSE,"tr &amp; pl"}</definedName>
    <definedName name="gallup" localSheetId="35" hidden="1">{"a4p&amp;L",#N/A,FALSE,"tr &amp; pl"}</definedName>
    <definedName name="gallup" localSheetId="37" hidden="1">{"a4p&amp;L",#N/A,FALSE,"tr &amp; pl"}</definedName>
    <definedName name="gallup" localSheetId="32" hidden="1">{"a4p&amp;L",#N/A,FALSE,"tr &amp; pl"}</definedName>
    <definedName name="gallup" localSheetId="30" hidden="1">{"a4p&amp;L",#N/A,FALSE,"tr &amp; pl"}</definedName>
    <definedName name="gallup" localSheetId="36" hidden="1">{"a4p&amp;L",#N/A,FALSE,"tr &amp; pl"}</definedName>
    <definedName name="gallup" localSheetId="31" hidden="1">{"a4p&amp;L",#N/A,FALSE,"tr &amp; pl"}</definedName>
    <definedName name="gallup" localSheetId="34" hidden="1">{"a4p&amp;L",#N/A,FALSE,"tr &amp; pl"}</definedName>
    <definedName name="gallup" localSheetId="29" hidden="1">{"a4p&amp;L",#N/A,FALSE,"tr &amp; pl"}</definedName>
    <definedName name="gallup" localSheetId="27" hidden="1">{"a4p&amp;L",#N/A,FALSE,"tr &amp; pl"}</definedName>
    <definedName name="gallup" localSheetId="24" hidden="1">{"a4p&amp;L",#N/A,FALSE,"tr &amp; pl"}</definedName>
    <definedName name="gallup" localSheetId="9" hidden="1">{"a4p&amp;L",#N/A,FALSE,"tr &amp; pl"}</definedName>
    <definedName name="gallup" hidden="1">{"a4p&amp;L",#N/A,FALSE,"tr &amp; pl"}</definedName>
    <definedName name="gallup_1" localSheetId="33" hidden="1">{"a4p&amp;L",#N/A,FALSE,"tr &amp; pl"}</definedName>
    <definedName name="gallup_1" localSheetId="28" hidden="1">{"a4p&amp;L",#N/A,FALSE,"tr &amp; pl"}</definedName>
    <definedName name="gallup_1" localSheetId="35" hidden="1">{"a4p&amp;L",#N/A,FALSE,"tr &amp; pl"}</definedName>
    <definedName name="gallup_1" localSheetId="37" hidden="1">{"a4p&amp;L",#N/A,FALSE,"tr &amp; pl"}</definedName>
    <definedName name="gallup_1" localSheetId="32" hidden="1">{"a4p&amp;L",#N/A,FALSE,"tr &amp; pl"}</definedName>
    <definedName name="gallup_1" localSheetId="30" hidden="1">{"a4p&amp;L",#N/A,FALSE,"tr &amp; pl"}</definedName>
    <definedName name="gallup_1" localSheetId="36" hidden="1">{"a4p&amp;L",#N/A,FALSE,"tr &amp; pl"}</definedName>
    <definedName name="gallup_1" localSheetId="31" hidden="1">{"a4p&amp;L",#N/A,FALSE,"tr &amp; pl"}</definedName>
    <definedName name="gallup_1" localSheetId="34" hidden="1">{"a4p&amp;L",#N/A,FALSE,"tr &amp; pl"}</definedName>
    <definedName name="gallup_1" localSheetId="29" hidden="1">{"a4p&amp;L",#N/A,FALSE,"tr &amp; pl"}</definedName>
    <definedName name="gallup_1" localSheetId="27" hidden="1">{"a4p&amp;L",#N/A,FALSE,"tr &amp; pl"}</definedName>
    <definedName name="gallup_1" localSheetId="24" hidden="1">{"a4p&amp;L",#N/A,FALSE,"tr &amp; pl"}</definedName>
    <definedName name="gallup_1" localSheetId="9" hidden="1">{"a4p&amp;L",#N/A,FALSE,"tr &amp; pl"}</definedName>
    <definedName name="gallup_1" hidden="1">{"a4p&amp;L",#N/A,FALSE,"tr &amp; pl"}</definedName>
    <definedName name="GDF" localSheetId="33" hidden="1">{#N/A,#N/A,FALSE,"COMP"}</definedName>
    <definedName name="GDF" localSheetId="28" hidden="1">{#N/A,#N/A,FALSE,"COMP"}</definedName>
    <definedName name="GDF" localSheetId="35" hidden="1">{#N/A,#N/A,FALSE,"COMP"}</definedName>
    <definedName name="GDF" localSheetId="37" hidden="1">{#N/A,#N/A,FALSE,"COMP"}</definedName>
    <definedName name="GDF" localSheetId="32" hidden="1">{#N/A,#N/A,FALSE,"COMP"}</definedName>
    <definedName name="GDF" localSheetId="30" hidden="1">{#N/A,#N/A,FALSE,"COMP"}</definedName>
    <definedName name="GDF" localSheetId="36" hidden="1">{#N/A,#N/A,FALSE,"COMP"}</definedName>
    <definedName name="GDF" localSheetId="31" hidden="1">{#N/A,#N/A,FALSE,"COMP"}</definedName>
    <definedName name="GDF" localSheetId="34" hidden="1">{#N/A,#N/A,FALSE,"COMP"}</definedName>
    <definedName name="GDF" localSheetId="29" hidden="1">{#N/A,#N/A,FALSE,"COMP"}</definedName>
    <definedName name="GDF" localSheetId="27" hidden="1">{#N/A,#N/A,FALSE,"COMP"}</definedName>
    <definedName name="GDF" localSheetId="24" hidden="1">{#N/A,#N/A,FALSE,"COMP"}</definedName>
    <definedName name="GDF" localSheetId="9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3" hidden="1">{#N/A,#N/A,FALSE,"COMP"}</definedName>
    <definedName name="hgfhtr" localSheetId="28" hidden="1">{#N/A,#N/A,FALSE,"COMP"}</definedName>
    <definedName name="hgfhtr" localSheetId="35" hidden="1">{#N/A,#N/A,FALSE,"COMP"}</definedName>
    <definedName name="hgfhtr" localSheetId="37" hidden="1">{#N/A,#N/A,FALSE,"COMP"}</definedName>
    <definedName name="hgfhtr" localSheetId="32" hidden="1">{#N/A,#N/A,FALSE,"COMP"}</definedName>
    <definedName name="hgfhtr" localSheetId="30" hidden="1">{#N/A,#N/A,FALSE,"COMP"}</definedName>
    <definedName name="hgfhtr" localSheetId="36" hidden="1">{#N/A,#N/A,FALSE,"COMP"}</definedName>
    <definedName name="hgfhtr" localSheetId="31" hidden="1">{#N/A,#N/A,FALSE,"COMP"}</definedName>
    <definedName name="hgfhtr" localSheetId="34" hidden="1">{#N/A,#N/A,FALSE,"COMP"}</definedName>
    <definedName name="hgfhtr" localSheetId="29" hidden="1">{#N/A,#N/A,FALSE,"COMP"}</definedName>
    <definedName name="hgfhtr" localSheetId="27" hidden="1">{#N/A,#N/A,FALSE,"COMP"}</definedName>
    <definedName name="hgfhtr" localSheetId="24" hidden="1">{#N/A,#N/A,FALSE,"COMP"}</definedName>
    <definedName name="hgfhtr" localSheetId="9" hidden="1">{#N/A,#N/A,FALSE,"COMP"}</definedName>
    <definedName name="hgfhtr" hidden="1">{#N/A,#N/A,FALSE,"COMP"}</definedName>
    <definedName name="hgkh" localSheetId="33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27" hidden="1">{#N/A,#N/A,FALSE,"Aging Summary";#N/A,#N/A,FALSE,"Ratio Analysis";#N/A,#N/A,FALSE,"Test 120 Day Accts";#N/A,#N/A,FALSE,"Tickmarks"}</definedName>
    <definedName name="hgkh" localSheetId="24" hidden="1">{#N/A,#N/A,FALSE,"Aging Summary";#N/A,#N/A,FALSE,"Ratio Analysis";#N/A,#N/A,FALSE,"Test 120 Day Accts";#N/A,#N/A,FALSE,"Tickmarks"}</definedName>
    <definedName name="hgkh" localSheetId="9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3" hidden="1">{"'August 2000'!$A$1:$J$101"}</definedName>
    <definedName name="HTML_Control" localSheetId="28" hidden="1">{"'August 2000'!$A$1:$J$101"}</definedName>
    <definedName name="HTML_Control" localSheetId="35" hidden="1">{"'August 2000'!$A$1:$J$101"}</definedName>
    <definedName name="HTML_Control" localSheetId="37" hidden="1">{"'August 2000'!$A$1:$J$101"}</definedName>
    <definedName name="HTML_Control" localSheetId="32" hidden="1">{"'August 2000'!$A$1:$J$101"}</definedName>
    <definedName name="HTML_Control" localSheetId="30" hidden="1">{"'August 2000'!$A$1:$J$101"}</definedName>
    <definedName name="HTML_Control" localSheetId="36" hidden="1">{"'August 2000'!$A$1:$J$101"}</definedName>
    <definedName name="HTML_Control" localSheetId="31" hidden="1">{"'August 2000'!$A$1:$J$101"}</definedName>
    <definedName name="HTML_Control" localSheetId="34" hidden="1">{"'August 2000'!$A$1:$J$101"}</definedName>
    <definedName name="HTML_Control" localSheetId="29" hidden="1">{"'August 2000'!$A$1:$J$101"}</definedName>
    <definedName name="HTML_Control" localSheetId="27" hidden="1">{"'August 2000'!$A$1:$J$101"}</definedName>
    <definedName name="HTML_Control" localSheetId="24" hidden="1">{"'August 2000'!$A$1:$J$101"}</definedName>
    <definedName name="HTML_Control" localSheetId="9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32">'26Q1 Manik G'!$A$1:$I$62</definedName>
    <definedName name="_xlnm.Print_Area" localSheetId="9">'Pkgs Summary (Status)'!#REF!</definedName>
    <definedName name="_xlnm.Print_Titles" localSheetId="33">'26Q1 Atul L'!$2:$4</definedName>
    <definedName name="_xlnm.Print_Titles" localSheetId="28">'26Q1 Cijey M'!$2:$4</definedName>
    <definedName name="_xlnm.Print_Titles" localSheetId="35">'26Q1 Gaganjit S'!$2:$4</definedName>
    <definedName name="_xlnm.Print_Titles" localSheetId="37">'26Q1 Leaderwise'!$2:$4</definedName>
    <definedName name="_xlnm.Print_Titles" localSheetId="32">'26Q1 Manik G'!$2:$4</definedName>
    <definedName name="_xlnm.Print_Titles" localSheetId="30">'26Q1 Naveen Y'!$1:$3</definedName>
    <definedName name="_xlnm.Print_Titles" localSheetId="36">'26Q1 Navneet K'!$2:$4</definedName>
    <definedName name="_xlnm.Print_Titles" localSheetId="31">'26Q1 Om Prakash'!$2:$4</definedName>
    <definedName name="_xlnm.Print_Titles" localSheetId="34">'26Q1 Prakash C'!$2:$4</definedName>
    <definedName name="_xlnm.Print_Titles" localSheetId="29">'26Q1 Saji A'!$2:$4</definedName>
    <definedName name="_xlnm.Print_Titles" localSheetId="25">'Goals FY 2026Q2 (Revised Plan)'!$2:$4</definedName>
    <definedName name="_xlnm.Print_Titles" localSheetId="8">'Goals FY 26-27Q2'!$2:$4</definedName>
    <definedName name="_xlnm.Print_Titles" localSheetId="20">'Goals FY 26-27Q2 Atul P'!$2:$4</definedName>
    <definedName name="_xlnm.Print_Titles" localSheetId="11">'Goals FY 26-27Q2 Cijey'!$2:$4</definedName>
    <definedName name="_xlnm.Print_Titles" localSheetId="16">'Goals FY 26-27Q2 Gagan'!$2:$4</definedName>
    <definedName name="_xlnm.Print_Titles" localSheetId="15">'Goals FY 26-27Q2 Manik'!$2:$4</definedName>
    <definedName name="_xlnm.Print_Titles" localSheetId="14">'Goals FY 26-27Q2 Naveen Y'!$2:$4</definedName>
    <definedName name="_xlnm.Print_Titles" localSheetId="17">'Goals FY 26-27Q2 Navneet'!$2:$4</definedName>
    <definedName name="_xlnm.Print_Titles" localSheetId="13">'Goals FY 26-27Q2 OP'!$2:$4</definedName>
    <definedName name="_xlnm.Print_Titles" localSheetId="19">'Goals FY 26-27Q2 Prakash C'!$2:$4</definedName>
    <definedName name="_xlnm.Print_Titles" localSheetId="12">'Goals FY 26-27Q2 Saji'!$2:$4</definedName>
    <definedName name="_xlnm.Print_Titles" localSheetId="18">'Goals FY 26-27Q2 Shweta V'!$2:$4</definedName>
    <definedName name="_xlnm.Print_Titles" localSheetId="27">'Goals, Actuals 2026 Q1'!$2:$4</definedName>
    <definedName name="_xlnm.Print_Titles" localSheetId="24">'Goals, Actuals 2026 Q1 (Remark)'!$2:$4</definedName>
    <definedName name="_xlnm.Print_Titles" localSheetId="9">'Pkgs Summary (Status)'!$1:$7</definedName>
    <definedName name="Prof" localSheetId="9" hidden="1">#REF!</definedName>
    <definedName name="Prof" hidden="1">#REF!</definedName>
    <definedName name="q" localSheetId="9" hidden="1">#REF!</definedName>
    <definedName name="q" hidden="1">#REF!</definedName>
    <definedName name="sales1" localSheetId="33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27" hidden="1">{#N/A,#N/A,FALSE,"OPSTATE";#N/A,#N/A,FALSE,"BSLIABILITY";#N/A,#N/A,FALSE,"BSASSETS";#N/A,#N/A,FALSE,"Sheet1"}</definedName>
    <definedName name="sales1" localSheetId="24" hidden="1">{#N/A,#N/A,FALSE,"OPSTATE";#N/A,#N/A,FALSE,"BSLIABILITY";#N/A,#N/A,FALSE,"BSASSETS";#N/A,#N/A,FALSE,"Sheet1"}</definedName>
    <definedName name="sales1" localSheetId="9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3" hidden="1">{"A4depsch",#N/A,FALSE,"fa&amp;dep"}</definedName>
    <definedName name="salws2" localSheetId="28" hidden="1">{"A4depsch",#N/A,FALSE,"fa&amp;dep"}</definedName>
    <definedName name="salws2" localSheetId="35" hidden="1">{"A4depsch",#N/A,FALSE,"fa&amp;dep"}</definedName>
    <definedName name="salws2" localSheetId="37" hidden="1">{"A4depsch",#N/A,FALSE,"fa&amp;dep"}</definedName>
    <definedName name="salws2" localSheetId="32" hidden="1">{"A4depsch",#N/A,FALSE,"fa&amp;dep"}</definedName>
    <definedName name="salws2" localSheetId="30" hidden="1">{"A4depsch",#N/A,FALSE,"fa&amp;dep"}</definedName>
    <definedName name="salws2" localSheetId="36" hidden="1">{"A4depsch",#N/A,FALSE,"fa&amp;dep"}</definedName>
    <definedName name="salws2" localSheetId="31" hidden="1">{"A4depsch",#N/A,FALSE,"fa&amp;dep"}</definedName>
    <definedName name="salws2" localSheetId="34" hidden="1">{"A4depsch",#N/A,FALSE,"fa&amp;dep"}</definedName>
    <definedName name="salws2" localSheetId="29" hidden="1">{"A4depsch",#N/A,FALSE,"fa&amp;dep"}</definedName>
    <definedName name="salws2" localSheetId="27" hidden="1">{"A4depsch",#N/A,FALSE,"fa&amp;dep"}</definedName>
    <definedName name="salws2" localSheetId="24" hidden="1">{"A4depsch",#N/A,FALSE,"fa&amp;dep"}</definedName>
    <definedName name="salws2" localSheetId="9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3" hidden="1">{#N/A,#N/A,FALSE,"COMP"}</definedName>
    <definedName name="sss" localSheetId="28" hidden="1">{#N/A,#N/A,FALSE,"COMP"}</definedName>
    <definedName name="sss" localSheetId="35" hidden="1">{#N/A,#N/A,FALSE,"COMP"}</definedName>
    <definedName name="sss" localSheetId="37" hidden="1">{#N/A,#N/A,FALSE,"COMP"}</definedName>
    <definedName name="sss" localSheetId="32" hidden="1">{#N/A,#N/A,FALSE,"COMP"}</definedName>
    <definedName name="sss" localSheetId="30" hidden="1">{#N/A,#N/A,FALSE,"COMP"}</definedName>
    <definedName name="sss" localSheetId="36" hidden="1">{#N/A,#N/A,FALSE,"COMP"}</definedName>
    <definedName name="sss" localSheetId="31" hidden="1">{#N/A,#N/A,FALSE,"COMP"}</definedName>
    <definedName name="sss" localSheetId="34" hidden="1">{#N/A,#N/A,FALSE,"COMP"}</definedName>
    <definedName name="sss" localSheetId="29" hidden="1">{#N/A,#N/A,FALSE,"COMP"}</definedName>
    <definedName name="sss" localSheetId="27" hidden="1">{#N/A,#N/A,FALSE,"COMP"}</definedName>
    <definedName name="sss" localSheetId="24" hidden="1">{#N/A,#N/A,FALSE,"COMP"}</definedName>
    <definedName name="sss" localSheetId="9" hidden="1">{#N/A,#N/A,FALSE,"COMP"}</definedName>
    <definedName name="sss" hidden="1">{#N/A,#N/A,FALSE,"COMP"}</definedName>
    <definedName name="the" localSheetId="33" hidden="1">{#N/A,#N/A,FALSE,"COMP"}</definedName>
    <definedName name="the" localSheetId="28" hidden="1">{#N/A,#N/A,FALSE,"COMP"}</definedName>
    <definedName name="the" localSheetId="35" hidden="1">{#N/A,#N/A,FALSE,"COMP"}</definedName>
    <definedName name="the" localSheetId="37" hidden="1">{#N/A,#N/A,FALSE,"COMP"}</definedName>
    <definedName name="the" localSheetId="32" hidden="1">{#N/A,#N/A,FALSE,"COMP"}</definedName>
    <definedName name="the" localSheetId="30" hidden="1">{#N/A,#N/A,FALSE,"COMP"}</definedName>
    <definedName name="the" localSheetId="36" hidden="1">{#N/A,#N/A,FALSE,"COMP"}</definedName>
    <definedName name="the" localSheetId="31" hidden="1">{#N/A,#N/A,FALSE,"COMP"}</definedName>
    <definedName name="the" localSheetId="34" hidden="1">{#N/A,#N/A,FALSE,"COMP"}</definedName>
    <definedName name="the" localSheetId="29" hidden="1">{#N/A,#N/A,FALSE,"COMP"}</definedName>
    <definedName name="the" localSheetId="27" hidden="1">{#N/A,#N/A,FALSE,"COMP"}</definedName>
    <definedName name="the" localSheetId="24" hidden="1">{#N/A,#N/A,FALSE,"COMP"}</definedName>
    <definedName name="the" localSheetId="9" hidden="1">{#N/A,#N/A,FALSE,"COMP"}</definedName>
    <definedName name="the" hidden="1">{#N/A,#N/A,FALSE,"COMP"}</definedName>
    <definedName name="v" hidden="1">#REF!,#REF!</definedName>
    <definedName name="vivek1" localSheetId="9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3" hidden="1">{#N/A,#N/A,FALSE,"COMP"}</definedName>
    <definedName name="wr" localSheetId="28" hidden="1">{#N/A,#N/A,FALSE,"COMP"}</definedName>
    <definedName name="wr" localSheetId="35" hidden="1">{#N/A,#N/A,FALSE,"COMP"}</definedName>
    <definedName name="wr" localSheetId="37" hidden="1">{#N/A,#N/A,FALSE,"COMP"}</definedName>
    <definedName name="wr" localSheetId="32" hidden="1">{#N/A,#N/A,FALSE,"COMP"}</definedName>
    <definedName name="wr" localSheetId="30" hidden="1">{#N/A,#N/A,FALSE,"COMP"}</definedName>
    <definedName name="wr" localSheetId="36" hidden="1">{#N/A,#N/A,FALSE,"COMP"}</definedName>
    <definedName name="wr" localSheetId="31" hidden="1">{#N/A,#N/A,FALSE,"COMP"}</definedName>
    <definedName name="wr" localSheetId="34" hidden="1">{#N/A,#N/A,FALSE,"COMP"}</definedName>
    <definedName name="wr" localSheetId="29" hidden="1">{#N/A,#N/A,FALSE,"COMP"}</definedName>
    <definedName name="wr" localSheetId="27" hidden="1">{#N/A,#N/A,FALSE,"COMP"}</definedName>
    <definedName name="wr" localSheetId="24" hidden="1">{#N/A,#N/A,FALSE,"COMP"}</definedName>
    <definedName name="wr" localSheetId="9" hidden="1">{#N/A,#N/A,FALSE,"COMP"}</definedName>
    <definedName name="wr" hidden="1">{#N/A,#N/A,FALSE,"COMP"}</definedName>
    <definedName name="WRI" localSheetId="33" hidden="1">{#N/A,#N/A,FALSE,"COMP"}</definedName>
    <definedName name="WRI" localSheetId="28" hidden="1">{#N/A,#N/A,FALSE,"COMP"}</definedName>
    <definedName name="WRI" localSheetId="35" hidden="1">{#N/A,#N/A,FALSE,"COMP"}</definedName>
    <definedName name="WRI" localSheetId="37" hidden="1">{#N/A,#N/A,FALSE,"COMP"}</definedName>
    <definedName name="WRI" localSheetId="32" hidden="1">{#N/A,#N/A,FALSE,"COMP"}</definedName>
    <definedName name="WRI" localSheetId="30" hidden="1">{#N/A,#N/A,FALSE,"COMP"}</definedName>
    <definedName name="WRI" localSheetId="36" hidden="1">{#N/A,#N/A,FALSE,"COMP"}</definedName>
    <definedName name="WRI" localSheetId="31" hidden="1">{#N/A,#N/A,FALSE,"COMP"}</definedName>
    <definedName name="WRI" localSheetId="34" hidden="1">{#N/A,#N/A,FALSE,"COMP"}</definedName>
    <definedName name="WRI" localSheetId="29" hidden="1">{#N/A,#N/A,FALSE,"COMP"}</definedName>
    <definedName name="WRI" localSheetId="27" hidden="1">{#N/A,#N/A,FALSE,"COMP"}</definedName>
    <definedName name="WRI" localSheetId="24" hidden="1">{#N/A,#N/A,FALSE,"COMP"}</definedName>
    <definedName name="WRI" localSheetId="9" hidden="1">{#N/A,#N/A,FALSE,"COMP"}</definedName>
    <definedName name="WRI" hidden="1">{#N/A,#N/A,FALSE,"COMP"}</definedName>
    <definedName name="wrn.A4BSSCH." localSheetId="33" hidden="1">{"BSSCHA4",#N/A,FALSE,"sch bs"}</definedName>
    <definedName name="wrn.A4BSSCH." localSheetId="28" hidden="1">{"BSSCHA4",#N/A,FALSE,"sch bs"}</definedName>
    <definedName name="wrn.A4BSSCH." localSheetId="35" hidden="1">{"BSSCHA4",#N/A,FALSE,"sch bs"}</definedName>
    <definedName name="wrn.A4BSSCH." localSheetId="37" hidden="1">{"BSSCHA4",#N/A,FALSE,"sch bs"}</definedName>
    <definedName name="wrn.A4BSSCH." localSheetId="32" hidden="1">{"BSSCHA4",#N/A,FALSE,"sch bs"}</definedName>
    <definedName name="wrn.A4BSSCH." localSheetId="30" hidden="1">{"BSSCHA4",#N/A,FALSE,"sch bs"}</definedName>
    <definedName name="wrn.A4BSSCH." localSheetId="36" hidden="1">{"BSSCHA4",#N/A,FALSE,"sch bs"}</definedName>
    <definedName name="wrn.A4BSSCH." localSheetId="31" hidden="1">{"BSSCHA4",#N/A,FALSE,"sch bs"}</definedName>
    <definedName name="wrn.A4BSSCH." localSheetId="34" hidden="1">{"BSSCHA4",#N/A,FALSE,"sch bs"}</definedName>
    <definedName name="wrn.A4BSSCH." localSheetId="29" hidden="1">{"BSSCHA4",#N/A,FALSE,"sch bs"}</definedName>
    <definedName name="wrn.A4BSSCH." localSheetId="27" hidden="1">{"BSSCHA4",#N/A,FALSE,"sch bs"}</definedName>
    <definedName name="wrn.A4BSSCH." localSheetId="24" hidden="1">{"BSSCHA4",#N/A,FALSE,"sch bs"}</definedName>
    <definedName name="wrn.A4BSSCH." localSheetId="9" hidden="1">{"BSSCHA4",#N/A,FALSE,"sch bs"}</definedName>
    <definedName name="wrn.A4BSSCH." hidden="1">{"BSSCHA4",#N/A,FALSE,"sch bs"}</definedName>
    <definedName name="wrn.A4BSSCH._1" localSheetId="33" hidden="1">{"BSSCHA4",#N/A,FALSE,"sch bs"}</definedName>
    <definedName name="wrn.A4BSSCH._1" localSheetId="28" hidden="1">{"BSSCHA4",#N/A,FALSE,"sch bs"}</definedName>
    <definedName name="wrn.A4BSSCH._1" localSheetId="35" hidden="1">{"BSSCHA4",#N/A,FALSE,"sch bs"}</definedName>
    <definedName name="wrn.A4BSSCH._1" localSheetId="37" hidden="1">{"BSSCHA4",#N/A,FALSE,"sch bs"}</definedName>
    <definedName name="wrn.A4BSSCH._1" localSheetId="32" hidden="1">{"BSSCHA4",#N/A,FALSE,"sch bs"}</definedName>
    <definedName name="wrn.A4BSSCH._1" localSheetId="30" hidden="1">{"BSSCHA4",#N/A,FALSE,"sch bs"}</definedName>
    <definedName name="wrn.A4BSSCH._1" localSheetId="36" hidden="1">{"BSSCHA4",#N/A,FALSE,"sch bs"}</definedName>
    <definedName name="wrn.A4BSSCH._1" localSheetId="31" hidden="1">{"BSSCHA4",#N/A,FALSE,"sch bs"}</definedName>
    <definedName name="wrn.A4BSSCH._1" localSheetId="34" hidden="1">{"BSSCHA4",#N/A,FALSE,"sch bs"}</definedName>
    <definedName name="wrn.A4BSSCH._1" localSheetId="29" hidden="1">{"BSSCHA4",#N/A,FALSE,"sch bs"}</definedName>
    <definedName name="wrn.A4BSSCH._1" localSheetId="27" hidden="1">{"BSSCHA4",#N/A,FALSE,"sch bs"}</definedName>
    <definedName name="wrn.A4BSSCH._1" localSheetId="24" hidden="1">{"BSSCHA4",#N/A,FALSE,"sch bs"}</definedName>
    <definedName name="wrn.A4BSSCH._1" localSheetId="9" hidden="1">{"BSSCHA4",#N/A,FALSE,"sch bs"}</definedName>
    <definedName name="wrn.A4BSSCH._1" hidden="1">{"BSSCHA4",#N/A,FALSE,"sch bs"}</definedName>
    <definedName name="wrn.A4PL." localSheetId="33" hidden="1">{"a4p&amp;L",#N/A,FALSE,"tr &amp; pl"}</definedName>
    <definedName name="wrn.A4PL." localSheetId="28" hidden="1">{"a4p&amp;L",#N/A,FALSE,"tr &amp; pl"}</definedName>
    <definedName name="wrn.A4PL." localSheetId="35" hidden="1">{"a4p&amp;L",#N/A,FALSE,"tr &amp; pl"}</definedName>
    <definedName name="wrn.A4PL." localSheetId="37" hidden="1">{"a4p&amp;L",#N/A,FALSE,"tr &amp; pl"}</definedName>
    <definedName name="wrn.A4PL." localSheetId="32" hidden="1">{"a4p&amp;L",#N/A,FALSE,"tr &amp; pl"}</definedName>
    <definedName name="wrn.A4PL." localSheetId="30" hidden="1">{"a4p&amp;L",#N/A,FALSE,"tr &amp; pl"}</definedName>
    <definedName name="wrn.A4PL." localSheetId="36" hidden="1">{"a4p&amp;L",#N/A,FALSE,"tr &amp; pl"}</definedName>
    <definedName name="wrn.A4PL." localSheetId="31" hidden="1">{"a4p&amp;L",#N/A,FALSE,"tr &amp; pl"}</definedName>
    <definedName name="wrn.A4PL." localSheetId="34" hidden="1">{"a4p&amp;L",#N/A,FALSE,"tr &amp; pl"}</definedName>
    <definedName name="wrn.A4PL." localSheetId="29" hidden="1">{"a4p&amp;L",#N/A,FALSE,"tr &amp; pl"}</definedName>
    <definedName name="wrn.A4PL." localSheetId="27" hidden="1">{"a4p&amp;L",#N/A,FALSE,"tr &amp; pl"}</definedName>
    <definedName name="wrn.A4PL." localSheetId="24" hidden="1">{"a4p&amp;L",#N/A,FALSE,"tr &amp; pl"}</definedName>
    <definedName name="wrn.A4PL." localSheetId="9" hidden="1">{"a4p&amp;L",#N/A,FALSE,"tr &amp; pl"}</definedName>
    <definedName name="wrn.A4PL." hidden="1">{"a4p&amp;L",#N/A,FALSE,"tr &amp; pl"}</definedName>
    <definedName name="wrn.A4PL._1" localSheetId="33" hidden="1">{"a4p&amp;L",#N/A,FALSE,"tr &amp; pl"}</definedName>
    <definedName name="wrn.A4PL._1" localSheetId="28" hidden="1">{"a4p&amp;L",#N/A,FALSE,"tr &amp; pl"}</definedName>
    <definedName name="wrn.A4PL._1" localSheetId="35" hidden="1">{"a4p&amp;L",#N/A,FALSE,"tr &amp; pl"}</definedName>
    <definedName name="wrn.A4PL._1" localSheetId="37" hidden="1">{"a4p&amp;L",#N/A,FALSE,"tr &amp; pl"}</definedName>
    <definedName name="wrn.A4PL._1" localSheetId="32" hidden="1">{"a4p&amp;L",#N/A,FALSE,"tr &amp; pl"}</definedName>
    <definedName name="wrn.A4PL._1" localSheetId="30" hidden="1">{"a4p&amp;L",#N/A,FALSE,"tr &amp; pl"}</definedName>
    <definedName name="wrn.A4PL._1" localSheetId="36" hidden="1">{"a4p&amp;L",#N/A,FALSE,"tr &amp; pl"}</definedName>
    <definedName name="wrn.A4PL._1" localSheetId="31" hidden="1">{"a4p&amp;L",#N/A,FALSE,"tr &amp; pl"}</definedName>
    <definedName name="wrn.A4PL._1" localSheetId="34" hidden="1">{"a4p&amp;L",#N/A,FALSE,"tr &amp; pl"}</definedName>
    <definedName name="wrn.A4PL._1" localSheetId="29" hidden="1">{"a4p&amp;L",#N/A,FALSE,"tr &amp; pl"}</definedName>
    <definedName name="wrn.A4PL._1" localSheetId="27" hidden="1">{"a4p&amp;L",#N/A,FALSE,"tr &amp; pl"}</definedName>
    <definedName name="wrn.A4PL._1" localSheetId="24" hidden="1">{"a4p&amp;L",#N/A,FALSE,"tr &amp; pl"}</definedName>
    <definedName name="wrn.A4PL._1" localSheetId="9" hidden="1">{"a4p&amp;L",#N/A,FALSE,"tr &amp; pl"}</definedName>
    <definedName name="wrn.A4PL._1" hidden="1">{"a4p&amp;L",#N/A,FALSE,"tr &amp; pl"}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3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27" hidden="1">{#N/A,#N/A,FALSE,"OPSTATE";#N/A,#N/A,FALSE,"BSLIABILITY";#N/A,#N/A,FALSE,"BSASSETS";#N/A,#N/A,FALSE,"Sheet1"}</definedName>
    <definedName name="wrn.AkrutiCMA." localSheetId="24" hidden="1">{#N/A,#N/A,FALSE,"OPSTATE";#N/A,#N/A,FALSE,"BSLIABILITY";#N/A,#N/A,FALSE,"BSASSETS";#N/A,#N/A,FALSE,"Sheet1"}</definedName>
    <definedName name="wrn.AkrutiCMA." localSheetId="9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3" hidden="1">{"A4BS",#N/A,FALSE,"bs"}</definedName>
    <definedName name="wrn.BSA4." localSheetId="28" hidden="1">{"A4BS",#N/A,FALSE,"bs"}</definedName>
    <definedName name="wrn.BSA4." localSheetId="35" hidden="1">{"A4BS",#N/A,FALSE,"bs"}</definedName>
    <definedName name="wrn.BSA4." localSheetId="37" hidden="1">{"A4BS",#N/A,FALSE,"bs"}</definedName>
    <definedName name="wrn.BSA4." localSheetId="32" hidden="1">{"A4BS",#N/A,FALSE,"bs"}</definedName>
    <definedName name="wrn.BSA4." localSheetId="30" hidden="1">{"A4BS",#N/A,FALSE,"bs"}</definedName>
    <definedName name="wrn.BSA4." localSheetId="36" hidden="1">{"A4BS",#N/A,FALSE,"bs"}</definedName>
    <definedName name="wrn.BSA4." localSheetId="31" hidden="1">{"A4BS",#N/A,FALSE,"bs"}</definedName>
    <definedName name="wrn.BSA4." localSheetId="34" hidden="1">{"A4BS",#N/A,FALSE,"bs"}</definedName>
    <definedName name="wrn.BSA4." localSheetId="29" hidden="1">{"A4BS",#N/A,FALSE,"bs"}</definedName>
    <definedName name="wrn.BSA4." localSheetId="27" hidden="1">{"A4BS",#N/A,FALSE,"bs"}</definedName>
    <definedName name="wrn.BSA4." localSheetId="24" hidden="1">{"A4BS",#N/A,FALSE,"bs"}</definedName>
    <definedName name="wrn.BSA4." localSheetId="9" hidden="1">{"A4BS",#N/A,FALSE,"bs"}</definedName>
    <definedName name="wrn.BSA4." hidden="1">{"A4BS",#N/A,FALSE,"bs"}</definedName>
    <definedName name="wrn.BSA4._1" localSheetId="33" hidden="1">{"A4BS",#N/A,FALSE,"bs"}</definedName>
    <definedName name="wrn.BSA4._1" localSheetId="28" hidden="1">{"A4BS",#N/A,FALSE,"bs"}</definedName>
    <definedName name="wrn.BSA4._1" localSheetId="35" hidden="1">{"A4BS",#N/A,FALSE,"bs"}</definedName>
    <definedName name="wrn.BSA4._1" localSheetId="37" hidden="1">{"A4BS",#N/A,FALSE,"bs"}</definedName>
    <definedName name="wrn.BSA4._1" localSheetId="32" hidden="1">{"A4BS",#N/A,FALSE,"bs"}</definedName>
    <definedName name="wrn.BSA4._1" localSheetId="30" hidden="1">{"A4BS",#N/A,FALSE,"bs"}</definedName>
    <definedName name="wrn.BSA4._1" localSheetId="36" hidden="1">{"A4BS",#N/A,FALSE,"bs"}</definedName>
    <definedName name="wrn.BSA4._1" localSheetId="31" hidden="1">{"A4BS",#N/A,FALSE,"bs"}</definedName>
    <definedName name="wrn.BSA4._1" localSheetId="34" hidden="1">{"A4BS",#N/A,FALSE,"bs"}</definedName>
    <definedName name="wrn.BSA4._1" localSheetId="29" hidden="1">{"A4BS",#N/A,FALSE,"bs"}</definedName>
    <definedName name="wrn.BSA4._1" localSheetId="27" hidden="1">{"A4BS",#N/A,FALSE,"bs"}</definedName>
    <definedName name="wrn.BSA4._1" localSheetId="24" hidden="1">{"A4BS",#N/A,FALSE,"bs"}</definedName>
    <definedName name="wrn.BSA4._1" localSheetId="9" hidden="1">{"A4BS",#N/A,FALSE,"bs"}</definedName>
    <definedName name="wrn.BSA4._1" hidden="1">{"A4BS",#N/A,FALSE,"bs"}</definedName>
    <definedName name="wrn.capA4." localSheetId="33" hidden="1">{"capA4",#N/A,FALSE,"capt"}</definedName>
    <definedName name="wrn.capA4." localSheetId="28" hidden="1">{"capA4",#N/A,FALSE,"capt"}</definedName>
    <definedName name="wrn.capA4." localSheetId="35" hidden="1">{"capA4",#N/A,FALSE,"capt"}</definedName>
    <definedName name="wrn.capA4." localSheetId="37" hidden="1">{"capA4",#N/A,FALSE,"capt"}</definedName>
    <definedName name="wrn.capA4." localSheetId="32" hidden="1">{"capA4",#N/A,FALSE,"capt"}</definedName>
    <definedName name="wrn.capA4." localSheetId="30" hidden="1">{"capA4",#N/A,FALSE,"capt"}</definedName>
    <definedName name="wrn.capA4." localSheetId="36" hidden="1">{"capA4",#N/A,FALSE,"capt"}</definedName>
    <definedName name="wrn.capA4." localSheetId="31" hidden="1">{"capA4",#N/A,FALSE,"capt"}</definedName>
    <definedName name="wrn.capA4." localSheetId="34" hidden="1">{"capA4",#N/A,FALSE,"capt"}</definedName>
    <definedName name="wrn.capA4." localSheetId="29" hidden="1">{"capA4",#N/A,FALSE,"capt"}</definedName>
    <definedName name="wrn.capA4." localSheetId="27" hidden="1">{"capA4",#N/A,FALSE,"capt"}</definedName>
    <definedName name="wrn.capA4." localSheetId="24" hidden="1">{"capA4",#N/A,FALSE,"capt"}</definedName>
    <definedName name="wrn.capA4." localSheetId="9" hidden="1">{"capA4",#N/A,FALSE,"capt"}</definedName>
    <definedName name="wrn.capA4." hidden="1">{"capA4",#N/A,FALSE,"capt"}</definedName>
    <definedName name="wrn.capA4._1" localSheetId="33" hidden="1">{"capA4",#N/A,FALSE,"capt"}</definedName>
    <definedName name="wrn.capA4._1" localSheetId="28" hidden="1">{"capA4",#N/A,FALSE,"capt"}</definedName>
    <definedName name="wrn.capA4._1" localSheetId="35" hidden="1">{"capA4",#N/A,FALSE,"capt"}</definedName>
    <definedName name="wrn.capA4._1" localSheetId="37" hidden="1">{"capA4",#N/A,FALSE,"capt"}</definedName>
    <definedName name="wrn.capA4._1" localSheetId="32" hidden="1">{"capA4",#N/A,FALSE,"capt"}</definedName>
    <definedName name="wrn.capA4._1" localSheetId="30" hidden="1">{"capA4",#N/A,FALSE,"capt"}</definedName>
    <definedName name="wrn.capA4._1" localSheetId="36" hidden="1">{"capA4",#N/A,FALSE,"capt"}</definedName>
    <definedName name="wrn.capA4._1" localSheetId="31" hidden="1">{"capA4",#N/A,FALSE,"capt"}</definedName>
    <definedName name="wrn.capA4._1" localSheetId="34" hidden="1">{"capA4",#N/A,FALSE,"capt"}</definedName>
    <definedName name="wrn.capA4._1" localSheetId="29" hidden="1">{"capA4",#N/A,FALSE,"capt"}</definedName>
    <definedName name="wrn.capA4._1" localSheetId="27" hidden="1">{"capA4",#N/A,FALSE,"capt"}</definedName>
    <definedName name="wrn.capA4._1" localSheetId="24" hidden="1">{"capA4",#N/A,FALSE,"capt"}</definedName>
    <definedName name="wrn.capA4._1" localSheetId="9" hidden="1">{"capA4",#N/A,FALSE,"capt"}</definedName>
    <definedName name="wrn.capA4._1" hidden="1">{"capA4",#N/A,FALSE,"capt"}</definedName>
    <definedName name="wrn.depschA4." localSheetId="33" hidden="1">{"A4depsch",#N/A,FALSE,"fa&amp;dep"}</definedName>
    <definedName name="wrn.depschA4." localSheetId="28" hidden="1">{"A4depsch",#N/A,FALSE,"fa&amp;dep"}</definedName>
    <definedName name="wrn.depschA4." localSheetId="35" hidden="1">{"A4depsch",#N/A,FALSE,"fa&amp;dep"}</definedName>
    <definedName name="wrn.depschA4." localSheetId="37" hidden="1">{"A4depsch",#N/A,FALSE,"fa&amp;dep"}</definedName>
    <definedName name="wrn.depschA4." localSheetId="32" hidden="1">{"A4depsch",#N/A,FALSE,"fa&amp;dep"}</definedName>
    <definedName name="wrn.depschA4." localSheetId="30" hidden="1">{"A4depsch",#N/A,FALSE,"fa&amp;dep"}</definedName>
    <definedName name="wrn.depschA4." localSheetId="36" hidden="1">{"A4depsch",#N/A,FALSE,"fa&amp;dep"}</definedName>
    <definedName name="wrn.depschA4." localSheetId="31" hidden="1">{"A4depsch",#N/A,FALSE,"fa&amp;dep"}</definedName>
    <definedName name="wrn.depschA4." localSheetId="34" hidden="1">{"A4depsch",#N/A,FALSE,"fa&amp;dep"}</definedName>
    <definedName name="wrn.depschA4." localSheetId="29" hidden="1">{"A4depsch",#N/A,FALSE,"fa&amp;dep"}</definedName>
    <definedName name="wrn.depschA4." localSheetId="27" hidden="1">{"A4depsch",#N/A,FALSE,"fa&amp;dep"}</definedName>
    <definedName name="wrn.depschA4." localSheetId="24" hidden="1">{"A4depsch",#N/A,FALSE,"fa&amp;dep"}</definedName>
    <definedName name="wrn.depschA4." localSheetId="9" hidden="1">{"A4depsch",#N/A,FALSE,"fa&amp;dep"}</definedName>
    <definedName name="wrn.depschA4." hidden="1">{"A4depsch",#N/A,FALSE,"fa&amp;dep"}</definedName>
    <definedName name="wrn.depschA4._1" localSheetId="33" hidden="1">{"A4depsch",#N/A,FALSE,"fa&amp;dep"}</definedName>
    <definedName name="wrn.depschA4._1" localSheetId="28" hidden="1">{"A4depsch",#N/A,FALSE,"fa&amp;dep"}</definedName>
    <definedName name="wrn.depschA4._1" localSheetId="35" hidden="1">{"A4depsch",#N/A,FALSE,"fa&amp;dep"}</definedName>
    <definedName name="wrn.depschA4._1" localSheetId="37" hidden="1">{"A4depsch",#N/A,FALSE,"fa&amp;dep"}</definedName>
    <definedName name="wrn.depschA4._1" localSheetId="32" hidden="1">{"A4depsch",#N/A,FALSE,"fa&amp;dep"}</definedName>
    <definedName name="wrn.depschA4._1" localSheetId="30" hidden="1">{"A4depsch",#N/A,FALSE,"fa&amp;dep"}</definedName>
    <definedName name="wrn.depschA4._1" localSheetId="36" hidden="1">{"A4depsch",#N/A,FALSE,"fa&amp;dep"}</definedName>
    <definedName name="wrn.depschA4._1" localSheetId="31" hidden="1">{"A4depsch",#N/A,FALSE,"fa&amp;dep"}</definedName>
    <definedName name="wrn.depschA4._1" localSheetId="34" hidden="1">{"A4depsch",#N/A,FALSE,"fa&amp;dep"}</definedName>
    <definedName name="wrn.depschA4._1" localSheetId="29" hidden="1">{"A4depsch",#N/A,FALSE,"fa&amp;dep"}</definedName>
    <definedName name="wrn.depschA4._1" localSheetId="27" hidden="1">{"A4depsch",#N/A,FALSE,"fa&amp;dep"}</definedName>
    <definedName name="wrn.depschA4._1" localSheetId="24" hidden="1">{"A4depsch",#N/A,FALSE,"fa&amp;dep"}</definedName>
    <definedName name="wrn.depschA4._1" localSheetId="9" hidden="1">{"A4depsch",#N/A,FALSE,"fa&amp;dep"}</definedName>
    <definedName name="wrn.depschA4._1" hidden="1">{"A4depsch",#N/A,FALSE,"fa&amp;dep"}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3" hidden="1">{#N/A,#N/A,FALSE,"COMP"}</definedName>
    <definedName name="wrn.FORM1." localSheetId="28" hidden="1">{#N/A,#N/A,FALSE,"COMP"}</definedName>
    <definedName name="wrn.FORM1." localSheetId="35" hidden="1">{#N/A,#N/A,FALSE,"COMP"}</definedName>
    <definedName name="wrn.FORM1." localSheetId="37" hidden="1">{#N/A,#N/A,FALSE,"COMP"}</definedName>
    <definedName name="wrn.FORM1." localSheetId="32" hidden="1">{#N/A,#N/A,FALSE,"COMP"}</definedName>
    <definedName name="wrn.FORM1." localSheetId="30" hidden="1">{#N/A,#N/A,FALSE,"COMP"}</definedName>
    <definedName name="wrn.FORM1." localSheetId="36" hidden="1">{#N/A,#N/A,FALSE,"COMP"}</definedName>
    <definedName name="wrn.FORM1." localSheetId="31" hidden="1">{#N/A,#N/A,FALSE,"COMP"}</definedName>
    <definedName name="wrn.FORM1." localSheetId="34" hidden="1">{#N/A,#N/A,FALSE,"COMP"}</definedName>
    <definedName name="wrn.FORM1." localSheetId="29" hidden="1">{#N/A,#N/A,FALSE,"COMP"}</definedName>
    <definedName name="wrn.FORM1." localSheetId="27" hidden="1">{#N/A,#N/A,FALSE,"COMP"}</definedName>
    <definedName name="wrn.FORM1." localSheetId="24" hidden="1">{#N/A,#N/A,FALSE,"COMP"}</definedName>
    <definedName name="wrn.FORM1." localSheetId="9" hidden="1">{#N/A,#N/A,FALSE,"COMP"}</definedName>
    <definedName name="wrn.FORM1." hidden="1">{#N/A,#N/A,FALSE,"COMP"}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27" hidden="1">{#N/A,#N/A,TRUE,"Financials";#N/A,#N/A,TRUE,"Operating Statistics";#N/A,#N/A,TRUE,"Capex &amp; Depreciation";#N/A,#N/A,TRUE,"Debt"}</definedName>
    <definedName name="wrn.Full._.Financials." localSheetId="24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3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27" hidden="1">{#N/A,#N/A,FALSE,"One Pager";#N/A,#N/A,FALSE,"Technical"}</definedName>
    <definedName name="wrn.One._.Pager._.plus._.Technicals." localSheetId="24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3" hidden="1">{"A4PLSCH",#N/A,FALSE,"sch pl"}</definedName>
    <definedName name="wrn.PLSCHA4." localSheetId="28" hidden="1">{"A4PLSCH",#N/A,FALSE,"sch pl"}</definedName>
    <definedName name="wrn.PLSCHA4." localSheetId="35" hidden="1">{"A4PLSCH",#N/A,FALSE,"sch pl"}</definedName>
    <definedName name="wrn.PLSCHA4." localSheetId="37" hidden="1">{"A4PLSCH",#N/A,FALSE,"sch pl"}</definedName>
    <definedName name="wrn.PLSCHA4." localSheetId="32" hidden="1">{"A4PLSCH",#N/A,FALSE,"sch pl"}</definedName>
    <definedName name="wrn.PLSCHA4." localSheetId="30" hidden="1">{"A4PLSCH",#N/A,FALSE,"sch pl"}</definedName>
    <definedName name="wrn.PLSCHA4." localSheetId="36" hidden="1">{"A4PLSCH",#N/A,FALSE,"sch pl"}</definedName>
    <definedName name="wrn.PLSCHA4." localSheetId="31" hidden="1">{"A4PLSCH",#N/A,FALSE,"sch pl"}</definedName>
    <definedName name="wrn.PLSCHA4." localSheetId="34" hidden="1">{"A4PLSCH",#N/A,FALSE,"sch pl"}</definedName>
    <definedName name="wrn.PLSCHA4." localSheetId="29" hidden="1">{"A4PLSCH",#N/A,FALSE,"sch pl"}</definedName>
    <definedName name="wrn.PLSCHA4." localSheetId="27" hidden="1">{"A4PLSCH",#N/A,FALSE,"sch pl"}</definedName>
    <definedName name="wrn.PLSCHA4." localSheetId="24" hidden="1">{"A4PLSCH",#N/A,FALSE,"sch pl"}</definedName>
    <definedName name="wrn.PLSCHA4." localSheetId="9" hidden="1">{"A4PLSCH",#N/A,FALSE,"sch pl"}</definedName>
    <definedName name="wrn.PLSCHA4." hidden="1">{"A4PLSCH",#N/A,FALSE,"sch pl"}</definedName>
    <definedName name="wrn.PLSCHA4._1" localSheetId="33" hidden="1">{"A4PLSCH",#N/A,FALSE,"sch pl"}</definedName>
    <definedName name="wrn.PLSCHA4._1" localSheetId="28" hidden="1">{"A4PLSCH",#N/A,FALSE,"sch pl"}</definedName>
    <definedName name="wrn.PLSCHA4._1" localSheetId="35" hidden="1">{"A4PLSCH",#N/A,FALSE,"sch pl"}</definedName>
    <definedName name="wrn.PLSCHA4._1" localSheetId="37" hidden="1">{"A4PLSCH",#N/A,FALSE,"sch pl"}</definedName>
    <definedName name="wrn.PLSCHA4._1" localSheetId="32" hidden="1">{"A4PLSCH",#N/A,FALSE,"sch pl"}</definedName>
    <definedName name="wrn.PLSCHA4._1" localSheetId="30" hidden="1">{"A4PLSCH",#N/A,FALSE,"sch pl"}</definedName>
    <definedName name="wrn.PLSCHA4._1" localSheetId="36" hidden="1">{"A4PLSCH",#N/A,FALSE,"sch pl"}</definedName>
    <definedName name="wrn.PLSCHA4._1" localSheetId="31" hidden="1">{"A4PLSCH",#N/A,FALSE,"sch pl"}</definedName>
    <definedName name="wrn.PLSCHA4._1" localSheetId="34" hidden="1">{"A4PLSCH",#N/A,FALSE,"sch pl"}</definedName>
    <definedName name="wrn.PLSCHA4._1" localSheetId="29" hidden="1">{"A4PLSCH",#N/A,FALSE,"sch pl"}</definedName>
    <definedName name="wrn.PLSCHA4._1" localSheetId="27" hidden="1">{"A4PLSCH",#N/A,FALSE,"sch pl"}</definedName>
    <definedName name="wrn.PLSCHA4._1" localSheetId="24" hidden="1">{"A4PLSCH",#N/A,FALSE,"sch pl"}</definedName>
    <definedName name="wrn.PLSCHA4._1" localSheetId="9" hidden="1">{"A4PLSCH",#N/A,FALSE,"sch pl"}</definedName>
    <definedName name="wrn.PLSCHA4._1" hidden="1">{"A4PLSCH",#N/A,FALSE,"sch pl"}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9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992" r:id="rId39"/>
    <pivotCache cacheId="993" r:id="rId40"/>
    <pivotCache cacheId="994" r:id="rId4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54" l="1"/>
  <c r="A76" i="54"/>
  <c r="A75" i="54"/>
  <c r="A74" i="54"/>
  <c r="A73" i="54"/>
  <c r="L4" i="54"/>
  <c r="J4" i="54"/>
  <c r="H4" i="54"/>
  <c r="F4" i="54"/>
  <c r="L3" i="54"/>
  <c r="J3" i="54"/>
  <c r="H3" i="54"/>
  <c r="F3" i="54"/>
  <c r="L57" i="36"/>
  <c r="L54" i="36"/>
  <c r="M53" i="36"/>
  <c r="K53" i="36"/>
  <c r="J53" i="36"/>
  <c r="L35" i="36"/>
  <c r="L49" i="36"/>
  <c r="L31" i="36"/>
  <c r="L45" i="36"/>
  <c r="L40" i="36"/>
  <c r="M30" i="36"/>
  <c r="K30" i="36"/>
  <c r="J30" i="36"/>
  <c r="L12" i="36"/>
  <c r="L24" i="36"/>
  <c r="L15" i="36"/>
  <c r="L27" i="36"/>
  <c r="L9" i="36"/>
  <c r="L21" i="36"/>
  <c r="L18" i="36"/>
  <c r="M8" i="36"/>
  <c r="K8" i="36"/>
  <c r="J8" i="36"/>
  <c r="L53" i="36" l="1"/>
  <c r="L30" i="36"/>
  <c r="M6" i="36"/>
  <c r="K6" i="36"/>
  <c r="L8" i="36"/>
  <c r="J6" i="36"/>
  <c r="L6" i="36" l="1"/>
  <c r="K2" i="36"/>
  <c r="M2" i="36" l="1"/>
  <c r="J2" i="36"/>
  <c r="G48" i="52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L2" i="36" l="1"/>
  <c r="W46" i="52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K26" i="31" l="1"/>
  <c r="J26" i="31"/>
  <c r="K22" i="31"/>
  <c r="J22" i="31"/>
  <c r="K20" i="31"/>
  <c r="J20" i="31"/>
  <c r="K18" i="31"/>
  <c r="J18" i="31"/>
  <c r="K3" i="31"/>
  <c r="J3" i="31"/>
  <c r="V653" i="33" l="1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V423" i="33" l="1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V465" i="33" l="1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W2" i="33" l="1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Y2" i="33" l="1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X4" i="33" l="1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<sst xmlns="http://schemas.openxmlformats.org/spreadsheetml/2006/main" count="25957" uniqueCount="2058">
  <si>
    <t>Design Lead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</si>
  <si>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</si>
  <si>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</si>
  <si>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</si>
  <si>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</si>
  <si>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</si>
  <si>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</si>
  <si>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</si>
  <si>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</si>
  <si>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</si>
  <si>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</si>
  <si>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</si>
  <si>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</si>
  <si>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</si>
  <si>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</si>
  <si>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</si>
  <si>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</si>
  <si>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</si>
  <si>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</si>
  <si>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</si>
  <si>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</si>
  <si>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</si>
  <si>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</si>
  <si>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</si>
  <si>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</si>
  <si>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</si>
  <si>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</si>
  <si>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</si>
  <si>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</si>
  <si>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</si>
  <si>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</si>
  <si>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</si>
  <si>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</si>
  <si>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</si>
  <si>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</si>
  <si>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</si>
  <si>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LoD 200 - Schematic Concept</t>
  </si>
  <si>
    <t>OtF [Clubhouse LOD 200 and Approvals] [Pkgs 3]</t>
  </si>
  <si>
    <t>LoD 200 - Schematic Concept - CH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</si>
  <si>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</si>
  <si>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</si>
  <si>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</si>
  <si>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</si>
  <si>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</si>
  <si>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</si>
  <si>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</si>
  <si>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</si>
  <si>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Atul P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</si>
  <si>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</si>
  <si>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</si>
  <si>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</si>
  <si>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</si>
  <si>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</si>
  <si>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</si>
  <si>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</si>
  <si>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</si>
  <si>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Prakash C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</si>
  <si>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</si>
  <si>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</si>
  <si>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</si>
  <si>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</si>
  <si>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</si>
  <si>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</si>
  <si>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</si>
  <si>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</si>
  <si>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</si>
  <si>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</si>
  <si>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</si>
  <si>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</si>
  <si>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</si>
  <si>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</si>
  <si>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</si>
  <si>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</si>
  <si>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</si>
  <si>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</si>
  <si>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LoD 350 - Master Plan - Site Development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</si>
  <si>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</si>
  <si>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</si>
  <si>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</si>
  <si>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</si>
  <si>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</si>
  <si>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</si>
  <si>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</si>
  <si>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</si>
  <si>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</si>
  <si>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</si>
  <si>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</si>
  <si>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</si>
  <si>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</si>
  <si>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</si>
  <si>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</si>
  <si>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</si>
  <si>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</si>
  <si>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</si>
  <si>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</si>
  <si>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</si>
  <si>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</si>
  <si>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</si>
  <si>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</si>
  <si>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</si>
  <si>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</si>
  <si>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</si>
  <si>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</si>
  <si>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</si>
  <si>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LoD 350 - Site MEP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</si>
  <si>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</si>
  <si>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</si>
  <si>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</si>
  <si>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</si>
  <si>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</si>
  <si>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</si>
  <si>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</si>
  <si>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</si>
  <si>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</si>
  <si>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</si>
  <si>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</si>
  <si>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</si>
  <si>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</si>
  <si>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</si>
  <si>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</si>
  <si>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</si>
  <si>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</si>
  <si>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</si>
  <si>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</si>
  <si>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</si>
  <si>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</si>
  <si>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</si>
  <si>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</si>
  <si>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</si>
  <si>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</si>
  <si>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</si>
  <si>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</si>
  <si>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</si>
  <si>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</si>
  <si>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</si>
  <si>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</si>
  <si>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</si>
  <si>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</si>
  <si>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</si>
  <si>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</si>
  <si>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</si>
  <si>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</si>
  <si>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</si>
  <si>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</si>
  <si>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</si>
  <si>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</si>
  <si>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</si>
  <si>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</si>
  <si>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</si>
  <si>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</si>
  <si>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</si>
  <si>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</si>
  <si>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</si>
  <si>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Q1</t>
  </si>
  <si>
    <t>Q2</t>
  </si>
  <si>
    <t>Q3</t>
  </si>
  <si>
    <t>Q4</t>
  </si>
  <si>
    <t>Atul</t>
  </si>
  <si>
    <t>Design 
[FKH, Units]</t>
  </si>
  <si>
    <t>Architecture</t>
  </si>
  <si>
    <t>FKH</t>
  </si>
  <si>
    <t>[Experience Homes]</t>
  </si>
  <si>
    <t>TuiG</t>
  </si>
  <si>
    <t>Harohalli</t>
  </si>
  <si>
    <t>Violet Hill</t>
  </si>
  <si>
    <t>Shreegaon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</si>
  <si>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</si>
  <si>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</si>
  <si>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</si>
  <si>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</si>
  <si>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</si>
  <si>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</si>
  <si>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</si>
  <si>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</si>
  <si>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Master Plan | Site Development</t>
  </si>
  <si>
    <t>Experience Home + Project Experience [ V35 ]</t>
  </si>
  <si>
    <t>ITQE Ph 2b</t>
  </si>
  <si>
    <t>Tower—05 | Habitable Level 01</t>
  </si>
  <si>
    <t>Tower—06 | Habitable Level 01</t>
  </si>
  <si>
    <t>Tower—07 | Habitable Level 01</t>
  </si>
  <si>
    <t>Tower—05 | Terrace Level</t>
  </si>
  <si>
    <t>Tower—05 | Building Envelope and Common Areas [Penthouse Levels And Terrace Level]</t>
  </si>
  <si>
    <t>Tower—06 | Terrace Level</t>
  </si>
  <si>
    <t>Tower—06 | Building Envelope and Common Areas [Penthouse Levels And Terrace Level]</t>
  </si>
  <si>
    <t>Tower—07 | Terrace Level</t>
  </si>
  <si>
    <t>Tower—07 | Building Envelope and Common Areas [Penthouse Levels And Terrace Level]</t>
  </si>
  <si>
    <t>ISS 5&amp;6 | Foundations &amp; Sub-Grade</t>
  </si>
  <si>
    <t>ISS 7 | Foundations &amp; Sub-Grade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</si>
  <si>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</si>
  <si>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</si>
  <si>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</si>
  <si>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</si>
  <si>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</si>
  <si>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</si>
  <si>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</si>
  <si>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Master Plan | Site MEP</t>
  </si>
  <si>
    <t>Master Plan | Landscaping</t>
  </si>
  <si>
    <t>ITQE Ph 2c</t>
  </si>
  <si>
    <t>Marketing and Sales</t>
  </si>
  <si>
    <t>Pre Construction Set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</si>
  <si>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</si>
  <si>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</si>
  <si>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</si>
  <si>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</si>
  <si>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</si>
  <si>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Contract + Design Brief</t>
  </si>
  <si>
    <t>Schematic Concept</t>
  </si>
  <si>
    <t>Preconstruction Set</t>
  </si>
  <si>
    <t>Approvals</t>
  </si>
  <si>
    <t>Experience Home + Project Experience</t>
  </si>
  <si>
    <t>37a Nandi Hiils [V] Hoysala</t>
  </si>
  <si>
    <t>NH37a [V]</t>
  </si>
  <si>
    <t>36a Nandi Hills [V] Madukosanahalli</t>
  </si>
  <si>
    <t>NH36a [V]</t>
  </si>
  <si>
    <t>OtR</t>
  </si>
  <si>
    <t>OtR Ph1</t>
  </si>
  <si>
    <t>Individual Homes | V25 Default &amp; its Variant</t>
  </si>
  <si>
    <t>Villa Block | Super Structure</t>
  </si>
  <si>
    <t>Villa Block | Building Envelope + Plot Development</t>
  </si>
  <si>
    <t xml:space="preserve">Master Plan </t>
  </si>
  <si>
    <t xml:space="preserve">Site Development </t>
  </si>
  <si>
    <t>Site MEP</t>
  </si>
  <si>
    <t>Landscaping</t>
  </si>
  <si>
    <t>OtR Ph2</t>
  </si>
  <si>
    <t>Meena &amp; Krishnasai Residence</t>
  </si>
  <si>
    <t>MeenaSai Res</t>
  </si>
  <si>
    <t>Design Brief</t>
  </si>
  <si>
    <t>10a Nandi Hills [V] Sltnpt</t>
  </si>
  <si>
    <t>NH10a [V]</t>
  </si>
  <si>
    <t>NH Homestay</t>
  </si>
  <si>
    <t>Preconstruction</t>
  </si>
  <si>
    <t>Foundation + Subgrade</t>
  </si>
  <si>
    <t>Building envelope + Plot development</t>
  </si>
  <si>
    <t>Interiors</t>
  </si>
  <si>
    <t>OtR -Museum</t>
  </si>
  <si>
    <t xml:space="preserve">Vaderahalli </t>
  </si>
  <si>
    <t>Vaderahalli</t>
  </si>
  <si>
    <t>Units</t>
  </si>
  <si>
    <t>OtR | Villa -22- Personalised design</t>
  </si>
  <si>
    <t>Design 
[TMFT | SFTW | DBTW | TUIG]</t>
  </si>
  <si>
    <t>TMFT - Ph3</t>
  </si>
  <si>
    <t>SFTW</t>
  </si>
  <si>
    <t>ISS 01 - Podium Slab</t>
  </si>
  <si>
    <t>Clubhouse—Structure and Envelope</t>
  </si>
  <si>
    <t>Master Plan</t>
  </si>
  <si>
    <t>Clubhouse—Outdoor Spaces and Pool</t>
  </si>
  <si>
    <t>Master Plan - Site Development</t>
  </si>
  <si>
    <t>Master Plan - Site MEP</t>
  </si>
  <si>
    <t>Master Plan - Landscaping</t>
  </si>
  <si>
    <t>Clubhouse—Interiors and Facilities</t>
  </si>
  <si>
    <t>Clubhouse + Amenities - Community spaces [Board Walk, Children play area]</t>
  </si>
  <si>
    <t>Clubhouse + Amenities - Sporting Facilities</t>
  </si>
  <si>
    <t>DBTW</t>
  </si>
  <si>
    <t>Community spaces [Board Walk, Children play area,OAT]</t>
  </si>
  <si>
    <t>Sporting Facilities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</si>
  <si>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</si>
  <si>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</si>
  <si>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</si>
  <si>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</si>
  <si>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</si>
  <si>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</si>
  <si>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</si>
  <si>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</si>
  <si>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</si>
  <si>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</si>
  <si>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</si>
  <si>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</si>
  <si>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01 - Building Envelope and Common Areas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</si>
  <si>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</si>
  <si>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</si>
  <si>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</si>
  <si>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</si>
  <si>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</si>
  <si>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Terrace Level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</si>
  <si>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</si>
  <si>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</si>
  <si>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</si>
  <si>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</si>
  <si>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</si>
  <si>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</si>
  <si>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</si>
  <si>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</si>
  <si>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</si>
  <si>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Community spaces [Board Walk, Children play area]</t>
  </si>
  <si>
    <t>Poinciana</t>
  </si>
  <si>
    <t>Ambegaon</t>
  </si>
  <si>
    <t>Savakanhli</t>
  </si>
  <si>
    <t>Schematic concept - CH</t>
  </si>
  <si>
    <t>Project Experience - Entrance portal</t>
  </si>
  <si>
    <t>37a Nandi Hills [V] Hoysala</t>
  </si>
  <si>
    <t>Schematic Concept - CH</t>
  </si>
  <si>
    <t>Approvals-CH</t>
  </si>
  <si>
    <t>OTF [Suntikoppa]</t>
  </si>
  <si>
    <t>Vijayapura</t>
  </si>
  <si>
    <t>Project Experience - Entrance Portal</t>
  </si>
  <si>
    <t>10a Nandi Hiils [V] Sltnpt</t>
  </si>
  <si>
    <t>LGCE</t>
  </si>
  <si>
    <t>Contract + Design brief</t>
  </si>
  <si>
    <t>Schematic concept</t>
  </si>
  <si>
    <t>Pre-construction set</t>
  </si>
  <si>
    <t>Aundh 3a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</si>
  <si>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</si>
  <si>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</si>
  <si>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</si>
  <si>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</si>
  <si>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</si>
  <si>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</si>
  <si>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</si>
  <si>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</si>
  <si>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</si>
  <si>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</si>
  <si>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</si>
  <si>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</si>
  <si>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</si>
  <si>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</si>
  <si>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</si>
  <si>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</si>
  <si>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</si>
  <si>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</si>
  <si>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</si>
  <si>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</si>
  <si>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</si>
  <si>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</si>
  <si>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</si>
  <si>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</si>
  <si>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</si>
  <si>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</si>
  <si>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</si>
  <si>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</si>
  <si>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</si>
  <si>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</si>
  <si>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</si>
  <si>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</si>
  <si>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</si>
  <si>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Villa Cluster 3 - All Levels</t>
  </si>
  <si>
    <t>Villa Cluster 3 - Building Envelope and Common Areas</t>
  </si>
  <si>
    <t>V40 Default and it's variants</t>
  </si>
  <si>
    <t>Residential - Site Development</t>
  </si>
  <si>
    <t>Masterplan - Site MEP</t>
  </si>
  <si>
    <t>Masterplan - Landscaping</t>
  </si>
  <si>
    <t>Amenities &amp; Facilities - Sporting Facilities</t>
  </si>
  <si>
    <t>PoaRR T08</t>
  </si>
  <si>
    <t>T08 - ISS - Foundations &amp; Grade Slab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</si>
  <si>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</si>
  <si>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</si>
  <si>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</si>
  <si>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</si>
  <si>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</si>
  <si>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</si>
  <si>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L20 Default and it's variants</t>
  </si>
  <si>
    <t>D35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</si>
  <si>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</si>
  <si>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</si>
  <si>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</si>
  <si>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</si>
  <si>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</si>
  <si>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</si>
  <si>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</si>
  <si>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</si>
  <si>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</si>
  <si>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</si>
  <si>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</si>
  <si>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</si>
  <si>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</si>
  <si>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</si>
  <si>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</si>
  <si>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</si>
  <si>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</si>
  <si>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</si>
  <si>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DonaPaula</t>
  </si>
  <si>
    <t>Schematic Concept .v7 [Rework]</t>
  </si>
  <si>
    <t>Experience home</t>
  </si>
  <si>
    <t>Approvals | v7</t>
  </si>
  <si>
    <t>OtF [Suntikoppa]</t>
  </si>
  <si>
    <t>Contract + Design Brief [Commercial]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</si>
  <si>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</si>
  <si>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</si>
  <si>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</si>
  <si>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</si>
  <si>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</si>
  <si>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</si>
  <si>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</si>
  <si>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</si>
  <si>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</si>
  <si>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</si>
  <si>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</si>
  <si>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</si>
  <si>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</si>
  <si>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</si>
  <si>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</si>
  <si>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</si>
  <si>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</si>
  <si>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</si>
  <si>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</si>
  <si>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</si>
  <si>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</si>
  <si>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</si>
  <si>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</si>
  <si>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</si>
  <si>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</si>
  <si>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</si>
  <si>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</si>
  <si>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</si>
  <si>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</si>
  <si>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</si>
  <si>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</si>
  <si>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</si>
  <si>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</si>
  <si>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</si>
  <si>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</si>
  <si>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</si>
  <si>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</si>
  <si>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</si>
  <si>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</si>
  <si>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Ooty Res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</si>
  <si>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</si>
  <si>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</si>
  <si>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</si>
  <si>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</si>
  <si>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</si>
  <si>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</si>
  <si>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</si>
  <si>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</si>
  <si>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</si>
  <si>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</si>
  <si>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</si>
  <si>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</si>
  <si>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</si>
  <si>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</si>
  <si>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</si>
  <si>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</si>
  <si>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</si>
  <si>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</si>
  <si>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</si>
  <si>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</si>
  <si>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</si>
  <si>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</si>
  <si>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Gagan</t>
  </si>
  <si>
    <t>Design 
[MP+MEP+LS]</t>
  </si>
  <si>
    <t>[MP+MEP+LS]</t>
  </si>
  <si>
    <t>AtR Ph 1, 2a, 2b, 2c</t>
  </si>
  <si>
    <t>MEP</t>
  </si>
  <si>
    <t>MEP | Master Plan - Site MEP</t>
  </si>
  <si>
    <t>AtR-III</t>
  </si>
  <si>
    <t>Schematic Concept [V80]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</si>
  <si>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</si>
  <si>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</si>
  <si>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</si>
  <si>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</si>
  <si>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</si>
  <si>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</si>
  <si>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</si>
  <si>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</si>
  <si>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</si>
  <si>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</si>
  <si>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</si>
  <si>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</si>
  <si>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</si>
  <si>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</si>
  <si>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</si>
  <si>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</si>
  <si>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</si>
  <si>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</si>
  <si>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Clubhouse—Sporting Facilities</t>
  </si>
  <si>
    <t>MEP | Master Archives - Res</t>
  </si>
  <si>
    <t>T08 - ISS - Foundation and Gradeslab</t>
  </si>
  <si>
    <t>T08 - L20 Default and it's variants</t>
  </si>
  <si>
    <t>T08 - D35 Default and it's variants</t>
  </si>
  <si>
    <t>Amenities &amp; Facilities - Community spaces [Sporting Facilities]</t>
  </si>
  <si>
    <t>PoaRR-T08</t>
  </si>
  <si>
    <t>T08-Clubhouse—Interiors and Facilities</t>
  </si>
  <si>
    <t>T08 Pre Construction</t>
  </si>
  <si>
    <t>T08-Master Plan</t>
  </si>
  <si>
    <t>T08-Landscaping</t>
  </si>
  <si>
    <t>T08-Community spaces [Board Walk, Children play area]</t>
  </si>
  <si>
    <t>ISS -5 &amp; 6 | Structrural Slab 01 [Basement]</t>
  </si>
  <si>
    <t>ISS -7 | Structrural Slab 01 [Basement]</t>
  </si>
  <si>
    <t xml:space="preserve">Masterplan | Master Plan </t>
  </si>
  <si>
    <t>ISS -5 &amp; 6 | Podium Slab</t>
  </si>
  <si>
    <t>ISS -7 | Podium Slab</t>
  </si>
  <si>
    <t>Masterplan | Site MEP</t>
  </si>
  <si>
    <t>PreConstruction Set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</si>
  <si>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</si>
  <si>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</si>
  <si>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</si>
  <si>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</si>
  <si>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</si>
  <si>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</si>
  <si>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</si>
  <si>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</si>
  <si>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Master Plan 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</si>
  <si>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</si>
  <si>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</si>
  <si>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</si>
  <si>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</si>
  <si>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</si>
  <si>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</si>
  <si>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Imagine Campus</t>
  </si>
  <si>
    <t>OTR Museum</t>
  </si>
  <si>
    <t>NH-Homestay</t>
  </si>
  <si>
    <t>Constrcution GFC</t>
  </si>
  <si>
    <t>MT, Plano [Uma &amp; Kush]</t>
  </si>
  <si>
    <t>LGCE Campus</t>
  </si>
  <si>
    <t>Infra - Grading</t>
  </si>
  <si>
    <t>Infra - MEP</t>
  </si>
  <si>
    <t>Tumkur</t>
  </si>
  <si>
    <t>Yadgarpalle</t>
  </si>
  <si>
    <t>Varthur 52a</t>
  </si>
  <si>
    <t>Chamarajpet</t>
  </si>
  <si>
    <t>Lonavala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</si>
  <si>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</si>
  <si>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</si>
  <si>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</si>
  <si>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</si>
  <si>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</si>
  <si>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</si>
  <si>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</si>
  <si>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</si>
  <si>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Structural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</si>
  <si>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</si>
  <si>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</si>
  <si>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</si>
  <si>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</si>
  <si>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</si>
  <si>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</si>
  <si>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</si>
  <si>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</si>
  <si>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</si>
  <si>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</si>
  <si>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</si>
  <si>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</si>
  <si>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</si>
  <si>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</si>
  <si>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</si>
  <si>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</si>
  <si>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</si>
  <si>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</si>
  <si>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</si>
  <si>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</si>
  <si>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</si>
  <si>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</si>
  <si>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</si>
  <si>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</si>
  <si>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Site Development</t>
  </si>
  <si>
    <t>Penthouse Levels</t>
  </si>
  <si>
    <t>Terrace Level</t>
  </si>
  <si>
    <t>T08 - ISS - Podium Slab</t>
  </si>
  <si>
    <t>T08 - ISS - Parking Level Subgrade</t>
  </si>
  <si>
    <t>TMFT</t>
  </si>
  <si>
    <t>TMFT -2</t>
  </si>
  <si>
    <t>Clubhouse - Community spaces [Board Walk, Children play area,OAT]</t>
  </si>
  <si>
    <t>Clubhouse—Sporting Facilities</t>
  </si>
  <si>
    <t>Amenities &amp; Facilities |  Clubhouse—Outdoor Spaces and Pool</t>
  </si>
  <si>
    <t xml:space="preserve">Amenities &amp; Facilities |  Community spaces 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</si>
  <si>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</si>
  <si>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</si>
  <si>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</si>
  <si>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</si>
  <si>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</si>
  <si>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</si>
  <si>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</si>
  <si>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</si>
  <si>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</si>
  <si>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</si>
  <si>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</si>
  <si>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</si>
  <si>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</si>
  <si>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</si>
  <si>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</si>
  <si>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</si>
  <si>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</si>
  <si>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</si>
  <si>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</si>
  <si>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</si>
  <si>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</si>
  <si>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</si>
  <si>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</si>
  <si>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</si>
  <si>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</si>
  <si>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</si>
  <si>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</si>
  <si>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</si>
  <si>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</si>
  <si>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</si>
  <si>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</si>
  <si>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</si>
  <si>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</si>
  <si>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</si>
  <si>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</si>
  <si>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</si>
  <si>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</si>
  <si>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</si>
  <si>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</si>
  <si>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</si>
  <si>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</si>
  <si>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</si>
  <si>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</si>
  <si>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</si>
  <si>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</si>
  <si>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</si>
  <si>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</si>
  <si>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</si>
  <si>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</si>
  <si>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</si>
  <si>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</si>
  <si>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</si>
  <si>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</si>
  <si>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</si>
  <si>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Project Experience</t>
  </si>
  <si>
    <t>Violet hill</t>
  </si>
  <si>
    <t>Talashet</t>
  </si>
  <si>
    <t>OTR - Museum</t>
  </si>
  <si>
    <t>MT Plano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</si>
  <si>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</si>
  <si>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</si>
  <si>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</si>
  <si>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</si>
  <si>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</si>
  <si>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</si>
  <si>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</si>
  <si>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</si>
  <si>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</si>
  <si>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</si>
  <si>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</si>
  <si>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</si>
  <si>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</si>
  <si>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</si>
  <si>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</si>
  <si>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</si>
  <si>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</si>
  <si>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</si>
  <si>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</si>
  <si>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</si>
  <si>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</si>
  <si>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</si>
  <si>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</si>
  <si>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</si>
  <si>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</si>
  <si>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</si>
  <si>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</si>
  <si>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</si>
  <si>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</si>
  <si>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Project</t>
  </si>
  <si>
    <t>Phase</t>
  </si>
  <si>
    <t>Leader</t>
  </si>
  <si>
    <t>Discipline</t>
  </si>
  <si>
    <t>Package</t>
  </si>
  <si>
    <t>Billing value</t>
  </si>
  <si>
    <t>Plan</t>
  </si>
  <si>
    <t>Actual</t>
  </si>
  <si>
    <t>Status</t>
  </si>
  <si>
    <t>GFC</t>
  </si>
  <si>
    <t>Archives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</si>
  <si>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</si>
  <si>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</si>
  <si>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</si>
  <si>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</si>
  <si>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</si>
  <si>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</si>
  <si>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</si>
  <si>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</si>
  <si>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</si>
  <si>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</si>
  <si>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</si>
  <si>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Naveen Y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</si>
  <si>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</si>
  <si>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</si>
  <si>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</si>
  <si>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</si>
  <si>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</si>
  <si>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</si>
  <si>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</si>
  <si>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</si>
  <si>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</si>
  <si>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</si>
  <si>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</si>
  <si>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</si>
  <si>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</si>
  <si>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</si>
  <si>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</si>
  <si>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</si>
  <si>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</si>
  <si>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</si>
  <si>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</si>
  <si>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</si>
  <si>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</si>
  <si>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</si>
  <si>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</si>
  <si>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</si>
  <si>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</si>
  <si>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</si>
  <si>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</si>
  <si>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</si>
  <si>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</si>
  <si>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</si>
  <si>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</si>
  <si>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</si>
  <si>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</si>
  <si>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</si>
  <si>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</si>
  <si>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</si>
  <si>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</si>
  <si>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</si>
  <si>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</si>
  <si>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</si>
  <si>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</si>
  <si>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</si>
  <si>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</si>
  <si>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</si>
  <si>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</si>
  <si>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</si>
  <si>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</si>
  <si>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</si>
  <si>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</si>
  <si>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</si>
  <si>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</si>
  <si>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</si>
  <si>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</si>
  <si>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</si>
  <si>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</si>
  <si>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</si>
  <si>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</si>
  <si>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</si>
  <si>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Savakanahalli</t>
  </si>
  <si>
    <t>Sarjapur [Koothaganahalli]</t>
  </si>
  <si>
    <t>Naya Raipur [Plots]</t>
  </si>
  <si>
    <t>Pkgs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</si>
  <si>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</si>
  <si>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</si>
  <si>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</si>
  <si>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</si>
  <si>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</si>
  <si>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</si>
  <si>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</si>
  <si>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</si>
  <si>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</si>
  <si>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</si>
  <si>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</si>
  <si>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</si>
  <si>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</si>
  <si>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</si>
  <si>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</si>
  <si>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</si>
  <si>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/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</si>
  <si>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</si>
  <si>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</si>
  <si>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</si>
  <si>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</si>
  <si>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</si>
  <si>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</si>
  <si>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</si>
  <si>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</si>
  <si>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</si>
  <si>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</si>
  <si>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</si>
  <si>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</si>
  <si>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</si>
  <si>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</si>
  <si>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</si>
  <si>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</si>
  <si>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</si>
  <si>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</si>
  <si>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</si>
  <si>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</si>
  <si>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</si>
  <si>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</si>
  <si>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</si>
  <si>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</si>
  <si>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</si>
  <si>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</si>
  <si>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</si>
  <si>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</si>
  <si>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</si>
  <si>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</si>
  <si>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</si>
  <si>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</si>
  <si>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</si>
  <si>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</si>
  <si>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</si>
  <si>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</si>
  <si>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</si>
  <si>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</si>
  <si>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</si>
  <si>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</si>
  <si>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</si>
  <si>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</si>
  <si>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</si>
  <si>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</si>
  <si>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</si>
  <si>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</si>
  <si>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</si>
  <si>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</si>
  <si>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</si>
  <si>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</si>
  <si>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</si>
  <si>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</si>
  <si>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</si>
  <si>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</si>
  <si>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</si>
  <si>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</si>
  <si>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</si>
  <si>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</si>
  <si>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</si>
  <si>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</si>
  <si>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</si>
  <si>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</si>
  <si>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</si>
  <si>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</si>
  <si>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</si>
  <si>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</si>
  <si>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</si>
  <si>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</si>
  <si>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</si>
  <si>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</si>
  <si>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</si>
  <si>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</si>
  <si>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</si>
  <si>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</si>
  <si>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</si>
  <si>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</si>
  <si>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</si>
  <si>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</si>
  <si>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</si>
  <si>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</si>
  <si>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</si>
  <si>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</si>
  <si>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</si>
  <si>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</si>
  <si>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</si>
  <si>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</si>
  <si>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</si>
  <si>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</si>
  <si>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</si>
  <si>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</si>
  <si>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</si>
  <si>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</si>
  <si>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</si>
  <si>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</si>
  <si>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</si>
  <si>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</si>
  <si>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</si>
  <si>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Pre Construction Set - CH</t>
  </si>
  <si>
    <t>Sarj</t>
  </si>
  <si>
    <t>DP</t>
  </si>
  <si>
    <t>Foundation and Grade Slab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</si>
  <si>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</si>
  <si>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</si>
  <si>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</si>
  <si>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</si>
  <si>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</si>
  <si>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</si>
  <si>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</si>
  <si>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</si>
  <si>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</si>
  <si>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</si>
  <si>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</si>
  <si>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</si>
  <si>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</si>
  <si>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</si>
  <si>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</si>
  <si>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Landscape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</si>
  <si>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</si>
  <si>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</si>
  <si>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</si>
  <si>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</si>
  <si>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</si>
  <si>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</si>
  <si>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</si>
  <si>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</si>
  <si>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</si>
  <si>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</si>
  <si>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</si>
  <si>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</si>
  <si>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</si>
  <si>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</si>
  <si>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</si>
  <si>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</si>
  <si>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</si>
  <si>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</si>
  <si>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</si>
  <si>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</si>
  <si>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</si>
  <si>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</si>
  <si>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</si>
  <si>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</si>
  <si>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</si>
  <si>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</si>
  <si>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</si>
  <si>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</si>
  <si>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</si>
  <si>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</si>
  <si>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</t>
  </si>
  <si>
    <t>AtR - 03</t>
  </si>
  <si>
    <t>AtR - C</t>
  </si>
  <si>
    <t>PoaRR-Res</t>
  </si>
  <si>
    <t>PoaRR-T09</t>
  </si>
  <si>
    <t>PoaRR-Workcations</t>
  </si>
  <si>
    <t>ITQE-Ph1</t>
  </si>
  <si>
    <t>ITQE-Ph2a</t>
  </si>
  <si>
    <t>ITQE-Ph2b</t>
  </si>
  <si>
    <t>ITQE-Ph2c</t>
  </si>
  <si>
    <t>OTR-Ph01</t>
  </si>
  <si>
    <t>OTR-Ph02</t>
  </si>
  <si>
    <t>SftW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</si>
  <si>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</si>
  <si>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</si>
  <si>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</si>
  <si>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</si>
  <si>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</si>
  <si>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</si>
  <si>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</si>
  <si>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On Hold</t>
  </si>
  <si>
    <t>TR Mills Chamarajpet</t>
  </si>
  <si>
    <t>Jhanjh Lake [Mayfair]</t>
  </si>
  <si>
    <t>Tumkur 33a</t>
  </si>
  <si>
    <t>Sarjapur - Plotted</t>
  </si>
  <si>
    <t>Mall of Asia</t>
  </si>
  <si>
    <t>DsgnBld</t>
  </si>
  <si>
    <t>Indiranagar Res</t>
  </si>
  <si>
    <t>Swisstown</t>
  </si>
  <si>
    <t>Saideep reddy Res,Hyd</t>
  </si>
  <si>
    <t>New</t>
  </si>
  <si>
    <t>5a GTC Indrngr</t>
  </si>
  <si>
    <t>HPL</t>
  </si>
  <si>
    <t>Windmils, Hyd</t>
  </si>
  <si>
    <t>Windmils, Sftw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</si>
  <si>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</si>
  <si>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</si>
  <si>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</si>
  <si>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</si>
  <si>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</si>
  <si>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</si>
  <si>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</si>
  <si>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</si>
  <si>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Critical Requirement</t>
  </si>
  <si>
    <t>Ongoing Projects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</si>
  <si>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</si>
  <si>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</si>
  <si>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</si>
  <si>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</si>
  <si>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</si>
  <si>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</si>
  <si>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</si>
  <si>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</si>
  <si>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</si>
  <si>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</si>
  <si>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ItQE-Ph2c [T9]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</si>
  <si>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</si>
  <si>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</si>
  <si>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</si>
  <si>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</si>
  <si>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</si>
  <si>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</si>
  <si>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-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</si>
  <si>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</si>
  <si>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</si>
  <si>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</si>
  <si>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</si>
  <si>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Fullkit Homes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</si>
  <si>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</si>
  <si>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</si>
  <si>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</si>
  <si>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New Projects</t>
  </si>
  <si>
    <t>LoD 200 Schematic concept, Approvals</t>
  </si>
  <si>
    <t>TMFT-Ph 3</t>
  </si>
  <si>
    <t>LoD 200 Schematic concept</t>
  </si>
  <si>
    <t>ItQE-Ph3a [T10-12 &amp; 31 Villas]</t>
  </si>
  <si>
    <t>Experience Home + Project Experience; LoD 300 - Pre Construction Set; LoD 300 - Marketing and Sales</t>
  </si>
  <si>
    <t>Sarjapur Road [South Block-Resi]</t>
  </si>
  <si>
    <t>LoD 300 Pre Construction, Approvals, Experience home and Sales lounge</t>
  </si>
  <si>
    <t>Sarjapur - C (South Block)</t>
  </si>
  <si>
    <t>LoD 300 Pre Construction, Approvals</t>
  </si>
  <si>
    <t>Sarjapur - C (North Block)</t>
  </si>
  <si>
    <t>OTF</t>
  </si>
  <si>
    <t>LoD 200  by Jul'26. LoD 350 - Project Entrance by Jul'26. Approvals by Aug'26</t>
  </si>
  <si>
    <t>Harohalli [Plotted]</t>
  </si>
  <si>
    <t>LoD 200 Schematic concept finalization [Master plan]</t>
  </si>
  <si>
    <t xml:space="preserve">Shreegaon [61.6a] </t>
  </si>
  <si>
    <t xml:space="preserve">LoD 200 Schematic concept </t>
  </si>
  <si>
    <t>Violet Hill [21.76a]</t>
  </si>
  <si>
    <t xml:space="preserve">LoD 350 - Structures - Security Cabin and Entrance </t>
  </si>
  <si>
    <t>LoD 350 - Project Experience [Sales Lounge, Model Road]</t>
  </si>
  <si>
    <t>Violet Hill [27.08a]</t>
  </si>
  <si>
    <t>LoD 350 - BOQ &amp; Technical Specifications</t>
  </si>
  <si>
    <t>Byatarayanpura [behind Mall of Asia]</t>
  </si>
  <si>
    <t>KIADB - Mys</t>
  </si>
  <si>
    <t>LoD 100 Concept finalisation, LoD 200 Schematic concept, Approvals</t>
  </si>
  <si>
    <t>LoD 100 Concept finalisation, Approvals</t>
  </si>
  <si>
    <t>OtR OOTA</t>
  </si>
  <si>
    <t>Blue in Green</t>
  </si>
  <si>
    <t>Nava Raipur</t>
  </si>
  <si>
    <t>FY 2026-27 Q2 | Design Goals + Billing</t>
  </si>
  <si>
    <t>Description</t>
  </si>
  <si>
    <t>Release date</t>
  </si>
  <si>
    <t>Responsible</t>
  </si>
  <si>
    <t>Plan - Billing [Cr.]</t>
  </si>
  <si>
    <t>Plan - Pkgs</t>
  </si>
  <si>
    <t>Actuals - Billing [Cr.]</t>
  </si>
  <si>
    <t>Actuals - Pkgs</t>
  </si>
  <si>
    <t>Lead</t>
  </si>
  <si>
    <t>Person 1</t>
  </si>
  <si>
    <t>Person 2</t>
  </si>
  <si>
    <t>Person 3</t>
  </si>
  <si>
    <t>Draftperson</t>
  </si>
  <si>
    <t>Package Release</t>
  </si>
  <si>
    <t>Complete LoD 350 [Podium, Clubhouse &amp; Masterplan] by 26'Q2</t>
  </si>
  <si>
    <t>LoD 350 - Master Plan: Master Plan</t>
  </si>
  <si>
    <t>Om Prakash</t>
  </si>
  <si>
    <t>CB Raman</t>
  </si>
  <si>
    <t>Anitha K</t>
  </si>
  <si>
    <t>Tarush Sharma</t>
  </si>
  <si>
    <t>Step 1</t>
  </si>
  <si>
    <t>Task description 1</t>
  </si>
  <si>
    <t>User 1</t>
  </si>
  <si>
    <t>Step 2</t>
  </si>
  <si>
    <t>Task description 2</t>
  </si>
  <si>
    <t>User 2</t>
  </si>
  <si>
    <t>LoD 350: Clubhouse + Amenities - Sporting Facilities</t>
  </si>
  <si>
    <t>LoD 350 - Master Plan: Site Development</t>
  </si>
  <si>
    <t>LoD 350 - ISS 01 - Podium Slab</t>
  </si>
  <si>
    <t>LoD 350 - Clubhouse: Structure and Envelope</t>
  </si>
  <si>
    <t>LoD 350 - Master Plan: Site MEP</t>
  </si>
  <si>
    <t>LoD 350 - Clubhouse: Outdoor Spaces and Pool</t>
  </si>
  <si>
    <t>Complete LoD 350 [Clubhouse &amp; Masterplan] by 26'Q2</t>
  </si>
  <si>
    <t>Satish H</t>
  </si>
  <si>
    <t>Shubham</t>
  </si>
  <si>
    <t>Vinay</t>
  </si>
  <si>
    <t>Clubhouse - SSL02 details</t>
  </si>
  <si>
    <t>Satish, Shubham,Raghav</t>
  </si>
  <si>
    <t xml:space="preserve">Clubhouse - Circular staircase </t>
  </si>
  <si>
    <t>Satish, Raghavendra</t>
  </si>
  <si>
    <t>Raghav Gupta</t>
  </si>
  <si>
    <t>Service block- Foundation details</t>
  </si>
  <si>
    <t>Satish, Alwin, Raghav</t>
  </si>
  <si>
    <t>Require rock anchor test report by 30-Nov-2026</t>
  </si>
  <si>
    <t>Service Block - SSL01</t>
  </si>
  <si>
    <t>Service Block - SSL02</t>
  </si>
  <si>
    <t>New resource to be Hired</t>
  </si>
  <si>
    <t>Arun</t>
  </si>
  <si>
    <t>South Side Boundary Wall Details </t>
  </si>
  <si>
    <t>West Side Boundary Wall Details </t>
  </si>
  <si>
    <t>Transformer, DG Yard &amp; DG Panel room</t>
  </si>
  <si>
    <t>Swimming pool &amp; Filtration Room details</t>
  </si>
  <si>
    <t>Raghavendra</t>
  </si>
  <si>
    <t xml:space="preserve">OWC </t>
  </si>
  <si>
    <t>Dependancy: OWC &amp; Central Garbage  drawing awaited from AR.</t>
  </si>
  <si>
    <t>Salomi</t>
  </si>
  <si>
    <t>Eranna
Bhavya
Hareesha</t>
  </si>
  <si>
    <t>Avinash
Antoney
Shreedhar</t>
  </si>
  <si>
    <t>Swimming pool Filtration Room Layout</t>
  </si>
  <si>
    <t>Shekhar</t>
  </si>
  <si>
    <t>Dependancy: Final location and details of filtration room awaited from AR.</t>
  </si>
  <si>
    <t>Main pool &amp; Heated pool:  plumbing layout, sleeve layout, Underwater lighting layout</t>
  </si>
  <si>
    <t>Step 3</t>
  </si>
  <si>
    <t>Service block-UGT and STP layout</t>
  </si>
  <si>
    <t>Dependancy: Awaiting Service block Arch and Strutrual model</t>
  </si>
  <si>
    <t>0057 | Songs From The Wood</t>
  </si>
  <si>
    <t>AR</t>
  </si>
  <si>
    <t>ST</t>
  </si>
  <si>
    <t>Completed</t>
  </si>
  <si>
    <t>Scope</t>
  </si>
  <si>
    <t>Pending</t>
  </si>
  <si>
    <t>NA</t>
  </si>
  <si>
    <t>DESIGN CONCEPT</t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</si>
  <si>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01</t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</si>
  <si>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02</t>
    </r>
    <r>
      <rPr>
        <sz val="11"/>
        <color theme="1"/>
        <rFont val="Aptos Narrow"/>
        <family val="2"/>
        <scheme val="minor"/>
      </rPr>
      <t/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</si>
  <si>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03</t>
    </r>
    <r>
      <rPr>
        <sz val="11"/>
        <color theme="1"/>
        <rFont val="Aptos Narrow"/>
        <family val="2"/>
        <scheme val="minor"/>
      </rPr>
      <t/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</si>
  <si>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04</t>
    </r>
    <r>
      <rPr>
        <sz val="11"/>
        <color theme="1"/>
        <rFont val="Aptos Narrow"/>
        <family val="2"/>
        <scheme val="minor"/>
      </rPr>
      <t/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</si>
  <si>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05</t>
    </r>
    <r>
      <rPr>
        <sz val="11"/>
        <color theme="1"/>
        <rFont val="Aptos Narrow"/>
        <family val="2"/>
        <scheme val="minor"/>
      </rPr>
      <t/>
    </r>
  </si>
  <si>
    <t>CONSTRUCTION DOCUMENTS</t>
  </si>
  <si>
    <t>BB01</t>
  </si>
  <si>
    <t>GFC | Tower—01</t>
  </si>
  <si>
    <t>BB01-1</t>
  </si>
  <si>
    <t>BB01-2</t>
  </si>
  <si>
    <t>Parking Level-Sub grade</t>
  </si>
  <si>
    <t>BB01-3</t>
  </si>
  <si>
    <t>Building Envelope and Common Areas [Basement]</t>
  </si>
  <si>
    <t>BB01-4</t>
  </si>
  <si>
    <t>Habitable Level 01</t>
  </si>
  <si>
    <t>BB01-5</t>
  </si>
  <si>
    <t>Habitable Level - Even</t>
  </si>
  <si>
    <t>BB01-6</t>
  </si>
  <si>
    <t>Habitable Level - Odd</t>
  </si>
  <si>
    <t>BB01-7</t>
  </si>
  <si>
    <t>Building Envelope and Common Areas [Typical Tower Levels]</t>
  </si>
  <si>
    <t>`</t>
  </si>
  <si>
    <t>BB01-8</t>
  </si>
  <si>
    <t>BB01-9</t>
  </si>
  <si>
    <t>BB01-10</t>
  </si>
  <si>
    <t>Building Envelope and Common Areas [Penthouse Levels And Terrace Level]</t>
  </si>
  <si>
    <t>BB02</t>
  </si>
  <si>
    <t>GFC | Tower—02</t>
  </si>
  <si>
    <t>BB02-1</t>
  </si>
  <si>
    <t>BB02-2</t>
  </si>
  <si>
    <t>BB02-3</t>
  </si>
  <si>
    <t>BB02-4</t>
  </si>
  <si>
    <t>BB02-5</t>
  </si>
  <si>
    <t>BB02-6</t>
  </si>
  <si>
    <t>BB02-7</t>
  </si>
  <si>
    <t>BB02-8</t>
  </si>
  <si>
    <t>BB02-9</t>
  </si>
  <si>
    <t>BB02-10</t>
  </si>
  <si>
    <t>BB03</t>
  </si>
  <si>
    <t>GFC | Tower—03</t>
  </si>
  <si>
    <t>BB03-1</t>
  </si>
  <si>
    <t>BB03-2</t>
  </si>
  <si>
    <t>BB03-3</t>
  </si>
  <si>
    <t>BB03-4</t>
  </si>
  <si>
    <t>BB03-5</t>
  </si>
  <si>
    <t>BB03-6</t>
  </si>
  <si>
    <t>BB03-7</t>
  </si>
  <si>
    <t>BB03-8</t>
  </si>
  <si>
    <t>BB03-9</t>
  </si>
  <si>
    <t>BB03-10</t>
  </si>
  <si>
    <t>BB04</t>
  </si>
  <si>
    <t>GFC | Independent Subgrade Structure</t>
  </si>
  <si>
    <t>BB04-1</t>
  </si>
  <si>
    <t>Earthwork</t>
  </si>
  <si>
    <t>BB04-2</t>
  </si>
  <si>
    <t>BB04-3</t>
  </si>
  <si>
    <t>Parking Level Slab-Subgrade</t>
  </si>
  <si>
    <t>BB04-4</t>
  </si>
  <si>
    <t>BB04-5</t>
  </si>
  <si>
    <t>Building Envelope and Common Areas</t>
  </si>
  <si>
    <t>PD</t>
  </si>
  <si>
    <t>GFC | Individual Homes</t>
  </si>
  <si>
    <t>L20-1</t>
  </si>
  <si>
    <t>D35-1</t>
  </si>
  <si>
    <t>D60-1</t>
  </si>
  <si>
    <t>D60 Default and it's variants</t>
  </si>
  <si>
    <t>GFC | Master Plan</t>
  </si>
  <si>
    <t>MP-1</t>
  </si>
  <si>
    <t>MP-2</t>
  </si>
  <si>
    <t>MP-3</t>
  </si>
  <si>
    <t>MP-4</t>
  </si>
  <si>
    <t>AM</t>
  </si>
  <si>
    <t>GFC | Amenities &amp; Facilities</t>
  </si>
  <si>
    <t>AM-1</t>
  </si>
  <si>
    <t>AM-2</t>
  </si>
  <si>
    <t>AM-3</t>
  </si>
  <si>
    <t>AM-4</t>
  </si>
  <si>
    <t>AM-5</t>
  </si>
  <si>
    <t>POST-CONSTRUCTION</t>
  </si>
  <si>
    <t>MA</t>
  </si>
  <si>
    <t xml:space="preserve">Complete set of "As-Built" drawings, final BoQ and project costs, </t>
  </si>
  <si>
    <t>MAJOR REWORKS</t>
  </si>
  <si>
    <t>ID Units</t>
  </si>
  <si>
    <t>FY26-27 Q2</t>
  </si>
  <si>
    <t>Row Labels</t>
  </si>
  <si>
    <t>Sum of Plan - Billing [Cr.]</t>
  </si>
  <si>
    <t>Count of Plan - Pkgs</t>
  </si>
  <si>
    <t>Jul-Sept BL0</t>
  </si>
  <si>
    <t>Billing</t>
  </si>
  <si>
    <t>Area</t>
  </si>
  <si>
    <t>ID revenue</t>
  </si>
  <si>
    <t>Atul [Personalised]</t>
  </si>
  <si>
    <t>Saji [Personalised]</t>
  </si>
  <si>
    <t>Navneet [Total]</t>
  </si>
  <si>
    <t>Personalised</t>
  </si>
  <si>
    <t>E-Design</t>
  </si>
  <si>
    <t>Default</t>
  </si>
  <si>
    <t>Personalised Customisation</t>
  </si>
  <si>
    <t>Cijey M</t>
  </si>
  <si>
    <t>Srjp - Res</t>
  </si>
  <si>
    <t>Srjp - C - NB</t>
  </si>
  <si>
    <t>Srjp - C - SB</t>
  </si>
  <si>
    <t>Master Planning</t>
  </si>
  <si>
    <t>Manik G</t>
  </si>
  <si>
    <t>ITQE-T05</t>
  </si>
  <si>
    <t>Saji A</t>
  </si>
  <si>
    <t xml:space="preserve">TR Mills </t>
  </si>
  <si>
    <t>Shweta V</t>
  </si>
  <si>
    <t>Product Development</t>
  </si>
  <si>
    <t>Fabric Craft</t>
  </si>
  <si>
    <t>Edesign</t>
  </si>
  <si>
    <t>Grand Total</t>
  </si>
  <si>
    <t xml:space="preserve"> </t>
  </si>
  <si>
    <t>FY 2026-27 Q2 | Design Goals + Billing | Cijey M</t>
  </si>
  <si>
    <t>Ph 2b</t>
  </si>
  <si>
    <t>Complete the project</t>
  </si>
  <si>
    <t>LoD 350 - Tower—05 | Habitable Level 01</t>
  </si>
  <si>
    <t>Dinakar Venugopal</t>
  </si>
  <si>
    <t>Akarsh Vagman</t>
  </si>
  <si>
    <t>Hruthika Mylar</t>
  </si>
  <si>
    <t>Khushi Shetty</t>
  </si>
  <si>
    <t>LoD 350 - Tower—06 | Habitable Level 01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</si>
  <si>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</si>
  <si>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</si>
  <si>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</si>
  <si>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</si>
  <si>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</si>
  <si>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Master Plan | Site Development</t>
  </si>
  <si>
    <t>LoD 350 - Master Plan | Site MEP</t>
  </si>
  <si>
    <t>LoD 350 - ISS 5&amp;6 | Building Envelope and Common Areas</t>
  </si>
  <si>
    <t>LoD 350 - ISS 7 | Building Envelope and Common Areas</t>
  </si>
  <si>
    <t>Ph 2c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</si>
  <si>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</si>
  <si>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</si>
  <si>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</si>
  <si>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</si>
  <si>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</si>
  <si>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Ph 1</t>
  </si>
  <si>
    <t>LoD 350 - Villa Block | Building Envelope + Plot Development</t>
  </si>
  <si>
    <t>Niashinlulu</t>
  </si>
  <si>
    <t>Akshara Rohit</t>
  </si>
  <si>
    <t>Saurabh Bothra</t>
  </si>
  <si>
    <t>MS Res</t>
  </si>
  <si>
    <t>Complete LoD 300, LoD 350 Foundation and Structure</t>
  </si>
  <si>
    <t>Syed Musharaff</t>
  </si>
  <si>
    <t>LoD 300 - Pre Construction set</t>
  </si>
  <si>
    <t>LoD 350 - Foundation and Structure</t>
  </si>
  <si>
    <t>NH HS</t>
  </si>
  <si>
    <t xml:space="preserve">Theodora Rodrigues </t>
  </si>
  <si>
    <t>Aishwarya Hegde</t>
  </si>
  <si>
    <t>Thomas Pradip Moreira</t>
  </si>
  <si>
    <t>LoD 350 - Building Envelope + Plot Development</t>
  </si>
  <si>
    <t>LoD 350 - Interiors</t>
  </si>
  <si>
    <t>OTR Mus</t>
  </si>
  <si>
    <t>Complete Schematic concept</t>
  </si>
  <si>
    <t>LoD 100 - Design Brief</t>
  </si>
  <si>
    <t>Ph 2</t>
  </si>
  <si>
    <t>LoD 200 - Schematic Concept &amp; Approvals</t>
  </si>
  <si>
    <t>Ph 3a</t>
  </si>
  <si>
    <t>LoD 300 [Marketing and Sales, Pre Construction Set], LoD 350 [Experience Home + Project Experience]</t>
  </si>
  <si>
    <t>LoD 300 - Pre Construction Set</t>
  </si>
  <si>
    <t>Nischala Akkineni</t>
  </si>
  <si>
    <t>LoD 350 - Experience Home + Project Experience</t>
  </si>
  <si>
    <t>LoD 300 - Marketing and Sales</t>
  </si>
  <si>
    <t xml:space="preserve">Complete LoD 300, Approvals &amp; Experience Homes </t>
  </si>
  <si>
    <t>To be shared - Om Prakash</t>
  </si>
  <si>
    <t>Vidhi Kapadia</t>
  </si>
  <si>
    <t>Nikita Potadar</t>
  </si>
  <si>
    <t>LoD 200 - Approvals</t>
  </si>
  <si>
    <t>LoD 200 - Marketing and Sales</t>
  </si>
  <si>
    <t>LoD 300 - Preconstruction</t>
  </si>
  <si>
    <t>Vdrhl</t>
  </si>
  <si>
    <t>Vdrhl-Res</t>
  </si>
  <si>
    <t>FY 2026-27 Q2 | Design Goals + Billing | Saji A</t>
  </si>
  <si>
    <t>Ph 1, 2a, 2b, 2c</t>
  </si>
  <si>
    <t>Package Release [Complete LoD 350 ]</t>
  </si>
  <si>
    <t>Ph 1, 2a, 2b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</si>
  <si>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</si>
  <si>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</si>
  <si>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</si>
  <si>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</si>
  <si>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</si>
  <si>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LoD 350 - Master Plan - Site MEP</t>
  </si>
  <si>
    <t>Ph 3</t>
  </si>
  <si>
    <t>Package Release [Complete LoD 350]</t>
  </si>
  <si>
    <t>Guruprasad</t>
  </si>
  <si>
    <t>LoD 350 - Home Products - V45 Default and it's variants</t>
  </si>
  <si>
    <t>Aaron</t>
  </si>
  <si>
    <t>LoD 350 - Home Products - V80 Default and it's variants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</si>
  <si>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</si>
  <si>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</si>
  <si>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</si>
  <si>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</si>
  <si>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</si>
  <si>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</si>
  <si>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</si>
  <si>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</si>
  <si>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33 - Building Envelope + Plot Development </t>
  </si>
  <si>
    <t xml:space="preserve">LoD 350 - Villa Block 34 - Building Envelope + Plot Development </t>
  </si>
  <si>
    <t>LoD 350 - Master Plan - Master Plan</t>
  </si>
  <si>
    <t>LoD 350 - Site Development - 02 Road Works</t>
  </si>
  <si>
    <t>Res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</si>
  <si>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</si>
  <si>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</si>
  <si>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</si>
  <si>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</si>
  <si>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</si>
  <si>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</si>
  <si>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</si>
  <si>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Arshad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</si>
  <si>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</si>
  <si>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</si>
  <si>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</si>
  <si>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</si>
  <si>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</si>
  <si>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</si>
  <si>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</si>
  <si>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T08</t>
  </si>
  <si>
    <t>Package Release [Complete the project]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</si>
  <si>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</si>
  <si>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</si>
  <si>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</si>
  <si>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</si>
  <si>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</si>
  <si>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</si>
  <si>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</si>
  <si>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</si>
  <si>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</si>
  <si>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>LOD 350 L22 Default and variants</t>
  </si>
  <si>
    <t>Shahbazz</t>
  </si>
  <si>
    <t>LOD 350 R25 Default [Modification for Dry Wall]</t>
  </si>
  <si>
    <t>Aardra</t>
  </si>
  <si>
    <t>LOD 350 L20 Default [Modification for Dry Wall]</t>
  </si>
  <si>
    <t>LOD 350 D35 Default [Modification for Dry Wall]</t>
  </si>
  <si>
    <t>LOD 350 Master Plan</t>
  </si>
  <si>
    <t>LOD 350 Clubhouse—Interiors and Facilities</t>
  </si>
  <si>
    <t>LOD 350 Landscape</t>
  </si>
  <si>
    <t>LOD 350 Site MEP</t>
  </si>
  <si>
    <t>LOD 350 Clubhouse—Outdoor Spaces and Pool</t>
  </si>
  <si>
    <t>LOD 350 Community spaces [Board Walk, Children play area]</t>
  </si>
  <si>
    <t>LOD 350 Site Development</t>
  </si>
  <si>
    <t xml:space="preserve">LoD 100 - Contract + Design Brief </t>
  </si>
  <si>
    <t>Simran</t>
  </si>
  <si>
    <t>Interior Design + Product Development</t>
  </si>
  <si>
    <t>ID</t>
  </si>
  <si>
    <t>PID</t>
  </si>
  <si>
    <t>ATR , POARR</t>
  </si>
  <si>
    <t>FY 2026-27 Q2 | Design Goals + Billing | Om Prakash</t>
  </si>
  <si>
    <t>Package Release [LoD 350 - CH structure &amp; envelope, Interiors]</t>
  </si>
  <si>
    <t>LoD 350 - Clubhouse—Structure and Envelope</t>
  </si>
  <si>
    <t>Veeresh N</t>
  </si>
  <si>
    <t>Ankita Macha</t>
  </si>
  <si>
    <t>Lavanya</t>
  </si>
  <si>
    <t>LoD 350 - Clubhouse—Interiors and Facilities</t>
  </si>
  <si>
    <t>LoD 350 - Sporting Facilities</t>
  </si>
  <si>
    <t xml:space="preserve">Complete the project </t>
  </si>
  <si>
    <t>Balaji R</t>
  </si>
  <si>
    <t>LoD 350 - Master Plan - Landscaping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</si>
  <si>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</si>
  <si>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</si>
  <si>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</si>
  <si>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</si>
  <si>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</si>
  <si>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Home Products - L21 Default and it's variants</t>
  </si>
  <si>
    <t>LoD 350 - Clubhouse—Outdoor Spaces and Pool</t>
  </si>
  <si>
    <t>LoD 350 - Master Plan: Landscaping</t>
  </si>
  <si>
    <t>LoD 350 - Tower 02: Terrace Level</t>
  </si>
  <si>
    <t>Complete LoD 200 by 26'Q2</t>
  </si>
  <si>
    <t>Sreeja P</t>
  </si>
  <si>
    <t>LoD 300 - Pre Construction</t>
  </si>
  <si>
    <t>Approvals - CH</t>
  </si>
  <si>
    <t>LoD 200 - Schematic Concept, Approvals</t>
  </si>
  <si>
    <t xml:space="preserve">Aparna </t>
  </si>
  <si>
    <t xml:space="preserve">Approvals </t>
  </si>
  <si>
    <t>LoD 200 - CH: Schematic Concept</t>
  </si>
  <si>
    <t>LoD 200 - CH: Approvals</t>
  </si>
  <si>
    <t>LoD 300 - CH: Preconstruction</t>
  </si>
  <si>
    <t>LoD 300 - Pre Construction set - CH</t>
  </si>
  <si>
    <t>Aparna S</t>
  </si>
  <si>
    <t>[LOD 200 - Schematic]</t>
  </si>
  <si>
    <t>Package Release [LoD 200 - Schematic Concept]</t>
  </si>
  <si>
    <t>Package Release [till LoD 200 - Approvals]</t>
  </si>
  <si>
    <t>Byatarayanpura</t>
  </si>
  <si>
    <t>Sreeja</t>
  </si>
  <si>
    <t>Sinchana</t>
  </si>
  <si>
    <t>BiG</t>
  </si>
  <si>
    <t>FY 2026-27 Q2 | Design Goals + Billing | Naveen Y</t>
  </si>
  <si>
    <t>Com</t>
  </si>
  <si>
    <t>Naveen KL</t>
  </si>
  <si>
    <t>Vasudha C</t>
  </si>
  <si>
    <t>Sathvika D</t>
  </si>
  <si>
    <t xml:space="preserve">Complete LoD 300, Approvals, Marketing &amp; Sales </t>
  </si>
  <si>
    <t>Swathi S</t>
  </si>
  <si>
    <t>Akhila G</t>
  </si>
  <si>
    <t>Shadha</t>
  </si>
  <si>
    <t>Fathima S</t>
  </si>
  <si>
    <t>Nanditha S</t>
  </si>
  <si>
    <t>LOD 350 - MP Pkg 1, Project Entrance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</si>
  <si>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</si>
  <si>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</si>
  <si>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</si>
  <si>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</si>
  <si>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</si>
  <si>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LoD 350 - Infra - Grading</t>
  </si>
  <si>
    <t>Complete the project by Q4</t>
  </si>
  <si>
    <t>Swathi</t>
  </si>
  <si>
    <t>Manali</t>
  </si>
  <si>
    <t>Imgn</t>
  </si>
  <si>
    <t xml:space="preserve">Package Release [Complete LoD 100, 200] </t>
  </si>
  <si>
    <t>LoD 200 - Schematic Concept .v7 [Rework]</t>
  </si>
  <si>
    <t>Vdrhl-Cmrcl</t>
  </si>
  <si>
    <t>FY 2026-27 Q2 | Design Goals + Billing | Manik G</t>
  </si>
  <si>
    <t>Complete LoD 350 - Foundation and Structure by 26'Q2</t>
  </si>
  <si>
    <t>Complete LoD 300 by 26'Q2</t>
  </si>
  <si>
    <t>Indrng Res</t>
  </si>
  <si>
    <t>Complete the project  [Complete LoD 350 ]</t>
  </si>
  <si>
    <t>LoD 350 - Block A - Interiors</t>
  </si>
  <si>
    <t>LoD 350 - Block B - Interiors</t>
  </si>
  <si>
    <t>LoD 350 - Block C - Interiors</t>
  </si>
  <si>
    <t>LoD 350 -Block C - Building Envelope + Plot Development</t>
  </si>
  <si>
    <t>OTR OOTA</t>
  </si>
  <si>
    <t>Complete Approvals</t>
  </si>
  <si>
    <t>Lod100 - Design Brief</t>
  </si>
  <si>
    <t>FY 2026-27 Q2 | Design Goals + Billing | Gaganjit S</t>
  </si>
  <si>
    <t>Eranna
Praveen
Hareesha</t>
  </si>
  <si>
    <t>Avinash
Deepu
Shreedhar
Mahadev</t>
  </si>
  <si>
    <t>Package Release [Complete LoD 350  ]</t>
  </si>
  <si>
    <t>LoD 300 - Preconstruction Set</t>
  </si>
  <si>
    <t>Avinash
Sandeep
Shreedhar</t>
  </si>
  <si>
    <t>Lajja</t>
  </si>
  <si>
    <t xml:space="preserve">Anisha </t>
  </si>
  <si>
    <t>Chetan
Anupa</t>
  </si>
  <si>
    <t>LoD 350 - Home Products - V45 Default</t>
  </si>
  <si>
    <t>Eranna
Praveen</t>
  </si>
  <si>
    <t>Avinash
Deepu</t>
  </si>
  <si>
    <t>TMD Ph2</t>
  </si>
  <si>
    <t xml:space="preserve">LoD 350 - Childern play area </t>
  </si>
  <si>
    <t>Play equipment selection pending</t>
  </si>
  <si>
    <t>Hareesha
Praveen</t>
  </si>
  <si>
    <t>Byahattimath
Shreedhar
Mahadev
Deepu
Ajay</t>
  </si>
  <si>
    <t>LOD 350 Sporting Facilities</t>
  </si>
  <si>
    <t>LOD 350 Amenities &amp; Facilities - Community spaces [Sporting Facilities]</t>
  </si>
  <si>
    <t>Apoorva</t>
  </si>
  <si>
    <t>LOD 350 Penthouse Levels</t>
  </si>
  <si>
    <t>Hareesha
Praveen</t>
  </si>
  <si>
    <t>Hanumanthraya
Shreedhar
Sandeep</t>
  </si>
  <si>
    <t>LOD 350 Terrace Level</t>
  </si>
  <si>
    <t>LOD 350 L20 Default and it's variants</t>
  </si>
  <si>
    <t>LOD 350 D35 Default and it's variants</t>
  </si>
  <si>
    <t>LOD 350 L22 Default and It's Variants</t>
  </si>
  <si>
    <t>LOD 350 R25P Default and It's Variants</t>
  </si>
  <si>
    <t>LOD 350 T08-Clubhouse—Interiors and Facilities</t>
  </si>
  <si>
    <t>LOD 350 T08-Clubhouse—Outdoor Spaces and Pool</t>
  </si>
  <si>
    <t>LOD 350 T08-Community spaces [Board Walk, Children play area]</t>
  </si>
  <si>
    <t>Sheethal Prabhu</t>
  </si>
  <si>
    <t>Anand Thoppil</t>
  </si>
  <si>
    <t>Tree Avenue details, Play equipment selection pending</t>
  </si>
  <si>
    <t>Antony</t>
  </si>
  <si>
    <t>Harshitha</t>
  </si>
  <si>
    <t>LoD 350 - T09 [Foundation &amp; Grade Slab], ISS09 [[Foundation &amp; Grade Slab]</t>
  </si>
  <si>
    <t>Hareesha  
Bhavya</t>
  </si>
  <si>
    <t>Byahattimath
Matsarambabu
Prem</t>
  </si>
  <si>
    <t>LoD 350 - Master Plan- Master Plan</t>
  </si>
  <si>
    <t>Bhavya
Hareesha</t>
  </si>
  <si>
    <t>Viresh
Matsarambabu
Byahattimath
Hanumanthraya</t>
  </si>
  <si>
    <t>Batches to be removed - Can be taken up once the architectural details are received.</t>
  </si>
  <si>
    <t>Avinash
Sampath
Mahadev</t>
  </si>
  <si>
    <t>Complete LoD 300</t>
  </si>
  <si>
    <t>Anisha</t>
  </si>
  <si>
    <t>Avinash
Ajay
Matsarambabu</t>
  </si>
  <si>
    <t>Chetan</t>
  </si>
  <si>
    <t>LoD 350 - Block C- Building Envelope + Plot Development</t>
  </si>
  <si>
    <t>Avinash
Deepu
Mahadev</t>
  </si>
  <si>
    <t>Avinash
Subash
Shreedhar</t>
  </si>
  <si>
    <t>LoD 200 [Schematic Concept], LoD 300 [Pre Construction Set], LoD 350 [Experience Home + Project Experience]</t>
  </si>
  <si>
    <t>Prem
Matsarambabu
Byahattimath</t>
  </si>
  <si>
    <t>Praveen
Hareesha</t>
  </si>
  <si>
    <t>Ajay
Hanumanthraya
Byahattimath
Matsarambabu
Shreedhar</t>
  </si>
  <si>
    <t xml:space="preserve">Complete LoD 300 &amp; Experience Homes </t>
  </si>
  <si>
    <t xml:space="preserve">Complete LoD 300 &amp; Approvals </t>
  </si>
  <si>
    <t>Deepu
Shreedhar
Byahattimath</t>
  </si>
  <si>
    <t xml:space="preserve">Complete LoD 300 </t>
  </si>
  <si>
    <t>Complete LoD 300 &amp; Approvals</t>
  </si>
  <si>
    <t>Deepu
Byahattimath
Matsarambabu</t>
  </si>
  <si>
    <t>Avinash
Prem
Matsarambabu</t>
  </si>
  <si>
    <t>Aproova</t>
  </si>
  <si>
    <t>[Dsgn Brf, LOD 200 - Schematic, Approvals]</t>
  </si>
  <si>
    <t>Utpal</t>
  </si>
  <si>
    <t>Megha</t>
  </si>
  <si>
    <t>[LOD 200 - Schematic, Approvals]</t>
  </si>
  <si>
    <t>Eranna
Praveen</t>
  </si>
  <si>
    <t>Avinash
Prateesha
Deepu</t>
  </si>
  <si>
    <t>Package Release [Lod 200 -Schematic Concept &amp; Approvals]</t>
  </si>
  <si>
    <t xml:space="preserve"> Approvals</t>
  </si>
  <si>
    <t>Package Release [till LoD 300 - Pre Construction Set]</t>
  </si>
  <si>
    <t>Eranna
Bhavya</t>
  </si>
  <si>
    <t>Package Release [till LoD 350 - Infra - Signage &amp; Street Lighting]</t>
  </si>
  <si>
    <t>LoD 350 - Structures - Security Cabin and Entrance [Rework]</t>
  </si>
  <si>
    <t>Lod 350 - Infra - Signage &amp; Street Lighting</t>
  </si>
  <si>
    <t>LoD 350 - Infra - Coordinated</t>
  </si>
  <si>
    <t>Apoorva
Gouri</t>
  </si>
  <si>
    <t>LoD 350 - Infra - MEP</t>
  </si>
  <si>
    <t>LoD 350 - Structures - Security Cabin and Entrance</t>
  </si>
  <si>
    <t xml:space="preserve">Package Release [Complete LoD 200] </t>
  </si>
  <si>
    <t>Hareesha
Bhavya</t>
  </si>
  <si>
    <t>Byahattimath
Shreedhar
Viresh</t>
  </si>
  <si>
    <t>LoD 300 - Pre Construction Set, Approvals</t>
  </si>
  <si>
    <t>FY 2026-27 Q2 | Design Goals + Billing | Navneet K</t>
  </si>
  <si>
    <t>PD Launch</t>
  </si>
  <si>
    <t xml:space="preserve">ITQE [L25] - Pending Variants </t>
  </si>
  <si>
    <t>OTR [V25]</t>
  </si>
  <si>
    <t>POARR [R25, D35, L20]</t>
  </si>
  <si>
    <t>DBTW [I20, I25, L21]</t>
  </si>
  <si>
    <t>TMD, POARR, SFTW</t>
  </si>
  <si>
    <t>ATR, POARR, ITQE, TMFT, SFTW, TMD</t>
  </si>
  <si>
    <t>FY 2026-27 Q2 | Design Goals + Billing | Shweta V</t>
  </si>
  <si>
    <t>IDPD</t>
  </si>
  <si>
    <t>Exp Homes</t>
  </si>
  <si>
    <t xml:space="preserve">itqE 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</si>
  <si>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</si>
  <si>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</si>
  <si>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</si>
  <si>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</si>
  <si>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</si>
  <si>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</si>
  <si>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</si>
  <si>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</si>
  <si>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</si>
  <si>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</si>
  <si>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</si>
  <si>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Soft furnishing for all experience homes except V35</t>
  </si>
  <si>
    <t>Villa 18 - Store selections</t>
  </si>
  <si>
    <t>FY 2026-27 Q2 | Design Goals + Billing | Prakash C</t>
  </si>
  <si>
    <t>Alwin</t>
  </si>
  <si>
    <t>Aniket P</t>
  </si>
  <si>
    <t>Ambika</t>
  </si>
  <si>
    <t>Ajmal/Shahnawaz</t>
  </si>
  <si>
    <t>Atharv</t>
  </si>
  <si>
    <t>Prasad</t>
  </si>
  <si>
    <t>LoD 350 - Clubhouse + Amenities - Sporting Facilities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</si>
  <si>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</si>
  <si>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</si>
  <si>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</si>
  <si>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</si>
  <si>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</si>
  <si>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33 - Foundations and Sub-Grade Structure </t>
  </si>
  <si>
    <t xml:space="preserve">LoD 350 - Villa Block 33 - Super Structure  </t>
  </si>
  <si>
    <t xml:space="preserve">LoD 350 - Villa Block 34 - Foundations and Sub-Grade Structure </t>
  </si>
  <si>
    <t xml:space="preserve">LoD 350 - Villa Block 34 - Super Structure  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</si>
  <si>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</si>
  <si>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</si>
  <si>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</si>
  <si>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</si>
  <si>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</si>
  <si>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LoD 350 - Tower-[Commercial] - Habitable Level 6-10</t>
  </si>
  <si>
    <t>LoD 350 - Tower-[Commercial] - Terrace Level</t>
  </si>
  <si>
    <t>Dhirender+
Shrishail</t>
  </si>
  <si>
    <t>Rohit</t>
  </si>
  <si>
    <t>Sagar+Rajath</t>
  </si>
  <si>
    <t>Namrath</t>
  </si>
  <si>
    <t>Lincy</t>
  </si>
  <si>
    <t>Subrahmanya</t>
  </si>
  <si>
    <t>Darshan</t>
  </si>
  <si>
    <t>Abhishek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</si>
  <si>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</si>
  <si>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</si>
  <si>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</si>
  <si>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</si>
  <si>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</si>
  <si>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</si>
  <si>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LoD 350 - Amenities &amp; Facilities |  Clubhouse—Outdoor Spaces and Pool</t>
  </si>
  <si>
    <t xml:space="preserve">LoD 350 - Amenities &amp; Facilities |  Community spaces </t>
  </si>
  <si>
    <t>LoD 350 - Tower 05 | Terrace Level</t>
  </si>
  <si>
    <t>LoD 350 - Tower 06 | Terrace Level</t>
  </si>
  <si>
    <t>LoD 350 - Tower 07 | Terrace Level</t>
  </si>
  <si>
    <t>LoD 350 - ISS5&amp;6 |Foundations &amp; Grade Slab</t>
  </si>
  <si>
    <t>Ajmal (after finishing ATR Site MEP works) &amp; New resource hired, joining in July</t>
  </si>
  <si>
    <t>LoD 350 - ISS7 | Podium Slab</t>
  </si>
  <si>
    <t>LoD 350 - ISS 7 | Podium Slab</t>
  </si>
  <si>
    <t>Sahana</t>
  </si>
  <si>
    <t>LoD 350 - ISS 9 | Earthwork</t>
  </si>
  <si>
    <t>Outsourced</t>
  </si>
  <si>
    <t>LoD 350 - Villa Block | Super Structure</t>
  </si>
  <si>
    <t>Mazhar</t>
  </si>
  <si>
    <t>Samyukta</t>
  </si>
  <si>
    <t>LoD 350 - LoD 350 - Amenities &amp; Facilities | Community spaces [Board Walk, Children play area]</t>
  </si>
  <si>
    <t>Package Release [LoD 350 - Site dev, Site MEP, CH structure &amp; Envelope]</t>
  </si>
  <si>
    <t>LoD 350 - Site Development</t>
  </si>
  <si>
    <t>Shivaraj</t>
  </si>
  <si>
    <t>Saurav</t>
  </si>
  <si>
    <t>Aniket</t>
  </si>
  <si>
    <t>LoD 350 - ISS -Parking Level Slab - Sub grade</t>
  </si>
  <si>
    <t>LoD 350 - Tower-1-Habitable Level - Even</t>
  </si>
  <si>
    <t>LoD 350 - Tower-1-Habitable Level - Odd</t>
  </si>
  <si>
    <t>LoD 350 - Tower-2-Habitable Level - Even</t>
  </si>
  <si>
    <t>LoD 350 - Tower-2-Habitable Level - Odd</t>
  </si>
  <si>
    <t>LoD 350 - Tower-3-Habitable Level - Even</t>
  </si>
  <si>
    <t>LoD 350 - Tower-3-Habitable Level - Odd</t>
  </si>
  <si>
    <t>LoD 350 - Tower-4-Habitable Level - Even</t>
  </si>
  <si>
    <t>LoD 350 - Tower-4-Habitable Level - Odd</t>
  </si>
  <si>
    <t>LoD 350 - Tower 05-Foundation and Grade Slab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</si>
  <si>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</si>
  <si>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</si>
  <si>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</si>
  <si>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</si>
  <si>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</si>
  <si>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</si>
  <si>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</si>
  <si>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Tower 2: Terrace Level</t>
  </si>
  <si>
    <t>Shrishail</t>
  </si>
  <si>
    <t>Shubam(after finishing clubhouse)</t>
  </si>
  <si>
    <t>Sagar</t>
  </si>
  <si>
    <t>karthik</t>
  </si>
  <si>
    <t>Theja</t>
  </si>
  <si>
    <t>Rework Pkgs</t>
  </si>
  <si>
    <t>Rwrk</t>
  </si>
  <si>
    <t>STR Package Release [LoD 350 - Parking level subgrade]</t>
  </si>
  <si>
    <t>Charan</t>
  </si>
  <si>
    <t> </t>
  </si>
  <si>
    <t>T05</t>
  </si>
  <si>
    <t>STR Package Release [LoD 350 - Habitable Level 01]</t>
  </si>
  <si>
    <t>Satish</t>
  </si>
  <si>
    <t>Lincy R</t>
  </si>
  <si>
    <t>Mazhar ( If Villa concept is different new resource is required)</t>
  </si>
  <si>
    <t xml:space="preserve">Dhirender </t>
  </si>
  <si>
    <t>Arpitha</t>
  </si>
  <si>
    <t>LoD 200 [Schematic Concept], LoD 300 [Pre Construction Set]</t>
  </si>
  <si>
    <t>Raghavendra &amp; New Resource</t>
  </si>
  <si>
    <t>Suganthan</t>
  </si>
  <si>
    <t>Raghav</t>
  </si>
  <si>
    <t>Package Release [ LoD 200 - Schematic Concept]</t>
  </si>
  <si>
    <t>Satish/Lincy</t>
  </si>
  <si>
    <t>Alwin/Subramanya</t>
  </si>
  <si>
    <t>Ph1</t>
  </si>
  <si>
    <t>satish</t>
  </si>
  <si>
    <t>FY 2026-27 Q2 | Design Goals + Billing | Atul P</t>
  </si>
  <si>
    <t>Tuig [V20]</t>
  </si>
  <si>
    <t>Design Specs + GFC</t>
  </si>
  <si>
    <t>Default Marketing BOQ</t>
  </si>
  <si>
    <t>Tuig [V30]</t>
  </si>
  <si>
    <t>Shell + Interior GFC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</si>
  <si>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</si>
  <si>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</si>
  <si>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</si>
  <si>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</si>
  <si>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</si>
  <si>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</si>
  <si>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</si>
  <si>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</si>
  <si>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</si>
  <si>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POARR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</si>
  <si>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</si>
  <si>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</si>
  <si>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</si>
  <si>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</si>
  <si>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</si>
  <si>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</si>
  <si>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</si>
  <si>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</si>
  <si>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</si>
  <si>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</si>
  <si>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</si>
  <si>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</si>
  <si>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</si>
  <si>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</si>
  <si>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</si>
  <si>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</si>
  <si>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</si>
  <si>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</si>
  <si>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</si>
  <si>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</si>
  <si>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</si>
  <si>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</si>
  <si>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</si>
  <si>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TMFT-Ph 2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</si>
  <si>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</si>
  <si>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</si>
  <si>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</si>
  <si>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</si>
  <si>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</si>
  <si>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</si>
  <si>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</si>
  <si>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</si>
  <si>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</si>
  <si>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</si>
  <si>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</si>
  <si>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</si>
  <si>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</si>
  <si>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[till LoD 350 - Infra - Plot Boundary &amp; Enclosures]</t>
  </si>
  <si>
    <t>Package Release [LOD 350 -Tower Pkg 1, MP Pkg 1, ISS Pkg 1, CH Pkg 1 by 27'Q1]</t>
  </si>
  <si>
    <t>TR Mills</t>
  </si>
  <si>
    <t>Package Release [LOD 300, LOD 350 Exp home by 27'Q1]</t>
  </si>
  <si>
    <t>Package Release [Complete the project by Q4]</t>
  </si>
  <si>
    <t>Package Release [Complete LoD 100, 200] by 26Q2</t>
  </si>
  <si>
    <t>Package Release [LOD 350 -MP, ISS, CH, Tower Habitable levels by 27'Q1]</t>
  </si>
  <si>
    <t>NH10a Sultanpet</t>
  </si>
  <si>
    <t>NH10a</t>
  </si>
  <si>
    <t>Package Release[Dsgn Brf, LOD 200, Approvals, LOD 300, Exp Home]</t>
  </si>
  <si>
    <t>NH37a [Acharalahalli]</t>
  </si>
  <si>
    <t>NH37a Ach</t>
  </si>
  <si>
    <t>Package Release [Dsgn Brf, LOD 200]</t>
  </si>
  <si>
    <t>NH30a [Madakuhosahalli]</t>
  </si>
  <si>
    <t>NH30a MH</t>
  </si>
  <si>
    <t>Package release [Dsgn Brf, LOD 200, Approvals, LOD 300, Exp Home]</t>
  </si>
  <si>
    <t>Package Release [Dsgn Brf, LoD 100]</t>
  </si>
  <si>
    <t>Svknhli</t>
  </si>
  <si>
    <t>Package Release [Dsgn Brf, LOD 100]</t>
  </si>
  <si>
    <t>Aundh [3a]</t>
  </si>
  <si>
    <t>JL - MF</t>
  </si>
  <si>
    <t>Srjp-P</t>
  </si>
  <si>
    <t>Windmils, SftW</t>
  </si>
  <si>
    <t>TBD with Kamal</t>
  </si>
  <si>
    <t>Saideep Res</t>
  </si>
  <si>
    <t>Package Release [Complete the Project by Q4]</t>
  </si>
  <si>
    <t>5a GTC</t>
  </si>
  <si>
    <t>Complete the project [except LoD 350 - Interiors]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</si>
  <si>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</si>
  <si>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</si>
  <si>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</si>
  <si>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</si>
  <si>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</si>
  <si>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</si>
  <si>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</si>
  <si>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</si>
  <si>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</si>
  <si>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</si>
  <si>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</si>
  <si>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</si>
  <si>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</si>
  <si>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</si>
  <si>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</si>
  <si>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</si>
  <si>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</si>
  <si>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</si>
  <si>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</si>
  <si>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</si>
  <si>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</si>
  <si>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</si>
  <si>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</si>
  <si>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</si>
  <si>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</si>
  <si>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</si>
  <si>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</si>
  <si>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</si>
  <si>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</si>
  <si>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</si>
  <si>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</si>
  <si>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STR</t>
  </si>
  <si>
    <t>LDS</t>
  </si>
  <si>
    <t>2026 | Design Goals + Billing</t>
  </si>
  <si>
    <t>Billing [Cr.]</t>
  </si>
  <si>
    <t>Package Release [Complete LoD 350 by Q1]</t>
  </si>
  <si>
    <t>Clubhouse + Amenities - Clubhouse—Interiors and Facilities</t>
  </si>
  <si>
    <t>Auditorium Drawings</t>
  </si>
  <si>
    <t>Clubhouse + Amenities - Community spaces [Staff Lounge, Children play area]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</si>
  <si>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</si>
  <si>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</si>
  <si>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</si>
  <si>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</si>
  <si>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</si>
  <si>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</si>
  <si>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</si>
  <si>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</si>
  <si>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</si>
  <si>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</si>
  <si>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</si>
  <si>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</si>
  <si>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</si>
  <si>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</si>
  <si>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</si>
  <si>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</si>
  <si>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</si>
  <si>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</si>
  <si>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</si>
  <si>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</si>
  <si>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</si>
  <si>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</si>
  <si>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</si>
  <si>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</si>
  <si>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</si>
  <si>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Villa Block 31 - Foundations and Sub-Grade Structure</t>
  </si>
  <si>
    <t xml:space="preserve">Villa Block 32 - Foundations and Sub-Grade Structure </t>
  </si>
  <si>
    <t>Home Products - V45 Default</t>
  </si>
  <si>
    <t>Site Development - 06 Landscape</t>
  </si>
  <si>
    <t>Tower-[Commercial] - Habitable Level 1-2</t>
  </si>
  <si>
    <t>Tower-[Commercial] - Habitable Level 3-5</t>
  </si>
  <si>
    <t>Childern play area [Complete by Q2]</t>
  </si>
  <si>
    <t xml:space="preserve">Childern play area </t>
  </si>
  <si>
    <t>Package Release [Complete the project by Q1]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</si>
  <si>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</si>
  <si>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</si>
  <si>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</si>
  <si>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</si>
  <si>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</si>
  <si>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ISS Building Envelope and Common Areas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</si>
  <si>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</si>
  <si>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</si>
  <si>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</si>
  <si>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</si>
  <si>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</si>
  <si>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</si>
  <si>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</si>
  <si>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</si>
  <si>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Clubhouse Outdoor Spaces and Pool</t>
  </si>
  <si>
    <t>Pool Deck Drainage Routing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</si>
  <si>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</si>
  <si>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</si>
  <si>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</si>
  <si>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</si>
  <si>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</si>
  <si>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 xml:space="preserve">L22 Default </t>
  </si>
  <si>
    <t>L20 Default [Modification for Dry Wall]</t>
  </si>
  <si>
    <t>D35 Default [Modification for Dry Wall]</t>
  </si>
  <si>
    <t>ISS - Foundation and Gradeslab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</si>
  <si>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</si>
  <si>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</si>
  <si>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</si>
  <si>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</si>
  <si>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</si>
  <si>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</si>
  <si>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</si>
  <si>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Ph 2a</t>
  </si>
  <si>
    <t>Boundary wall details</t>
  </si>
  <si>
    <t>Internal Staircase details</t>
  </si>
  <si>
    <t>Electrical room cutout and sleeve details</t>
  </si>
  <si>
    <t>Package Release [ Complete the project by Q3]</t>
  </si>
  <si>
    <t>L25 Default and it's variants</t>
  </si>
  <si>
    <t>Tower 05 | Habitable Level - Even</t>
  </si>
  <si>
    <t>Tower 05 | Habitable Level - Odd</t>
  </si>
  <si>
    <t>Tower 06 | Habitable Level - Even</t>
  </si>
  <si>
    <t>SSL 22 - Slab details</t>
  </si>
  <si>
    <t>Tower 06 | Habitable Level - Odd</t>
  </si>
  <si>
    <t>SSL 21 - Slab details</t>
  </si>
  <si>
    <t>Tower 07 | Habitable Level - Even</t>
  </si>
  <si>
    <t>Tower 07 | Habitable Level - Odd</t>
  </si>
  <si>
    <t>ISS5&amp;6 | Structrural Slab 01 [Basement]</t>
  </si>
  <si>
    <t>SSL 01 - Slab details</t>
  </si>
  <si>
    <t>ISS 7 | Foundations &amp; Sub|Grade</t>
  </si>
  <si>
    <t>STP details</t>
  </si>
  <si>
    <t xml:space="preserve">ISS 7 | Structrural Slab 01 [Basement] </t>
  </si>
  <si>
    <t>ISS5&amp;6 | Podium Slab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</si>
  <si>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</si>
  <si>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</si>
  <si>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</si>
  <si>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</si>
  <si>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</si>
  <si>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</si>
  <si>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</si>
  <si>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</si>
  <si>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</si>
  <si>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</si>
  <si>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</si>
  <si>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</si>
  <si>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</si>
  <si>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</si>
  <si>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</si>
  <si>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</si>
  <si>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</si>
  <si>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Amenities &amp; Facilities | Community spaces [Board Walk, Children play area]</t>
  </si>
  <si>
    <t>Play area and out door gym equipment foundation details</t>
  </si>
  <si>
    <t>Package Release [Complete LoD 350 by Q2]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</si>
  <si>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</si>
  <si>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</si>
  <si>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</si>
  <si>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</si>
  <si>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</si>
  <si>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</si>
  <si>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</si>
  <si>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</si>
  <si>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</si>
  <si>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</si>
  <si>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Package Release [Complete LoD 350 by Q4 2025]</t>
  </si>
  <si>
    <t>Inspection Chamber [Type III]</t>
  </si>
  <si>
    <t>Setting Out Plan</t>
  </si>
  <si>
    <t>Waterproofing Layout SSL 02</t>
  </si>
  <si>
    <t>LoD 300 - Pre Construction Set [Podium]</t>
  </si>
  <si>
    <t>Typical Level:Column[Above SSL10] &amp; Beam GFCs[Above SSL8]</t>
  </si>
  <si>
    <t>LoD 350 - Tower-2-Habitable Level 01</t>
  </si>
  <si>
    <t>SSL 3 - Slab and Sleeve GFCs</t>
  </si>
  <si>
    <t>Typical Level:Column[Above SSL10] &amp;Slab, Sleeve GFCs</t>
  </si>
  <si>
    <t>LoD 350 - Tower-3-Habitable Level 01</t>
  </si>
  <si>
    <t>LoD 350 - Tower-4-Habitable Level 01</t>
  </si>
  <si>
    <t>Foundation Layout and Raft Reinforcement Details</t>
  </si>
  <si>
    <t>LoD 350 - Tower-5-Habitable Level 01</t>
  </si>
  <si>
    <t>Package Release [Complete the project by Q2]</t>
  </si>
  <si>
    <t>Tower 02 - Terrace Level</t>
  </si>
  <si>
    <t>Package Release [Complete the project by Q3]</t>
  </si>
  <si>
    <t>Complete the project by Q3</t>
  </si>
  <si>
    <t>Complete the project by Q1 [except LoD 350 - Interiors - Q2]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</si>
  <si>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</si>
  <si>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</si>
  <si>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</si>
  <si>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</si>
  <si>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</si>
  <si>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</si>
  <si>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</si>
  <si>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STR Package Release [Parking level subgrade]</t>
  </si>
  <si>
    <t>Package Release [Except Master plan and Amenities]</t>
  </si>
  <si>
    <t>Complete the Project</t>
  </si>
  <si>
    <t>Package Release [Dsgn Brf, LOD 200, Approvals, LOD 300]</t>
  </si>
  <si>
    <t>[Dsgn Brf, LOD 200, Approvals, LOD 300, LOD 350]</t>
  </si>
  <si>
    <t>[LOD 200, LOD 300, LOD350]</t>
  </si>
  <si>
    <t>[LOD 200, Approvals, LOD 300, LOD 350]</t>
  </si>
  <si>
    <t>Package Release [LoD 350-ISS, Habitable Level 2-10]</t>
  </si>
  <si>
    <t>LoD 350 - ISS, Habitable Level 2-10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</si>
  <si>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</si>
  <si>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</si>
  <si>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</si>
  <si>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</si>
  <si>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</si>
  <si>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Package Release [LOD 350 - Towers by Q4]</t>
  </si>
  <si>
    <t>[LOD 350 - Towers]</t>
  </si>
  <si>
    <t>[LOD 300]</t>
  </si>
  <si>
    <t>Package release [Except Amenities and Facilities]</t>
  </si>
  <si>
    <t>[Dsgn Brf, LOD 200, Approvals, LOD 300, Project Entrance]</t>
  </si>
  <si>
    <t xml:space="preserve">Pre Construction Set </t>
  </si>
  <si>
    <t>Project Experience + Project Entrance</t>
  </si>
  <si>
    <t>[LOD 200, Approvals]</t>
  </si>
  <si>
    <t>Clubhouse - Roof design finalisation pending</t>
  </si>
  <si>
    <t>Pre Construction set - CH</t>
  </si>
  <si>
    <t>[LOD 200, LOD 300]</t>
  </si>
  <si>
    <t>[LOD 200, Approvals, LOD 300]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</si>
  <si>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</si>
  <si>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</si>
  <si>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</si>
  <si>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</si>
  <si>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</si>
  <si>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</si>
  <si>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</si>
  <si>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Schematic Concept [Rework]</t>
  </si>
  <si>
    <t>Approvals [Rework]</t>
  </si>
  <si>
    <t>Structures - Security Cabin and Entrance [Rework]</t>
  </si>
  <si>
    <t>Appr</t>
  </si>
  <si>
    <t>Structures - Security Cabin and Entrance</t>
  </si>
  <si>
    <t xml:space="preserve">                                                   </t>
  </si>
  <si>
    <t>Package Release [Dsgn Brf, LOD 200, Approvals]</t>
  </si>
  <si>
    <t>[LOD 200]</t>
  </si>
  <si>
    <t>Package Release [Dsgn Brf, LOD 200, Approvals, Exp home]</t>
  </si>
  <si>
    <t>[Dsgn Brf, LOD 200, Approvals, LOD 300]</t>
  </si>
  <si>
    <t>[ LOD 200, Approvals, LOD 300]</t>
  </si>
  <si>
    <t>Package Release [Complete LOD 100 by Q1]</t>
  </si>
  <si>
    <t>Package release [LOD 200, Approvals, LOD 300, Experience home by Q2]</t>
  </si>
  <si>
    <t>[ Approvals,LOD 300, Exp home, LOD350]</t>
  </si>
  <si>
    <t>[LOD 200, LOD 300, Approvals]</t>
  </si>
  <si>
    <t>FY 2026-27 | Design Goals + Billing</t>
  </si>
  <si>
    <t>Package Release [Complete LoD 350 except V80 ]</t>
  </si>
  <si>
    <t>LOD 350 Clubhouse Outdoor Spaces and Pool</t>
  </si>
  <si>
    <t xml:space="preserve">LOD 350 L22 Default </t>
  </si>
  <si>
    <t>LOD 350 Building Envelope and Common Areas [Penthouse Levels And Terrace Level]</t>
  </si>
  <si>
    <t>Shahbaaz</t>
  </si>
  <si>
    <t>LOD 350 ISS - Foundation and Gradeslab</t>
  </si>
  <si>
    <t>LoD 350 -Experience Home + Project Experience [ V35 ]</t>
  </si>
  <si>
    <t>Complete the project except site development and site MEP</t>
  </si>
  <si>
    <t>LoD 350 - ISS 5&amp;6 | Podium Slab</t>
  </si>
  <si>
    <t>Complete the project except site development and site MEP &amp; STP</t>
  </si>
  <si>
    <t>LoD 350 - Tower 06 | Habitable Level - Even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</si>
  <si>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</si>
  <si>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</si>
  <si>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</si>
  <si>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</si>
  <si>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</si>
  <si>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</si>
  <si>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</si>
  <si>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ISS5&amp;6 | Podium Slab</t>
  </si>
  <si>
    <t>LoD 350 - LoD 350 -Experience Home + Project Experience [ V35 ]</t>
  </si>
  <si>
    <t>Package Release [LoD 350 - CH outdoorspaces &amp; pool]</t>
  </si>
  <si>
    <t>LoD 350 - Clubhouse—Outdoorspaces &amp; pool</t>
  </si>
  <si>
    <t>Avinash
Antoney
Matsarambabu</t>
  </si>
  <si>
    <t>Complete LoD 200, Approvals by 26'Q2</t>
  </si>
  <si>
    <t>LOD 350 -Tower Habitable levels, MP Pkg 2</t>
  </si>
  <si>
    <t>To be shared - Naveen Y [Clearance on requirement from KS required]</t>
  </si>
  <si>
    <t>LOD 350 -Tower Habitable levels, MP Pkg 2, ISS Pkg 2</t>
  </si>
  <si>
    <t>LOD 350 -Tower Habitable levels, MP Pkg 1, ISS Pkg 2</t>
  </si>
  <si>
    <t xml:space="preserve">LOD 350 - MP Pkg 1 </t>
  </si>
  <si>
    <t>Complete LoD 200, Approvals &amp; Experience Homes by 26'Q2</t>
  </si>
  <si>
    <t>Complete LoD 200 &amp; Experience Homes by 26'Q2</t>
  </si>
  <si>
    <t>Complete LoD 200, Approvals, Marketing &amp; Sales by 26'Q2</t>
  </si>
  <si>
    <t>Complete LoD 200 &amp; Approvals by 26'Q2</t>
  </si>
  <si>
    <t>LoD 350</t>
  </si>
  <si>
    <t>[Dsgn Brf, LOD 200 - Schematic, Approvals, LoD 350 - Exp, LoD 300 -  Pre const]</t>
  </si>
  <si>
    <t>LoD 350 - Project Experience</t>
  </si>
  <si>
    <t>[LOD 200 - Schematic,LoD 350 - Exp, LoD 300 -  Pre const]</t>
  </si>
  <si>
    <t>LoD 300 - Pre-construction Set</t>
  </si>
  <si>
    <t>[LOD 200 - Schematic, Approvals, LoD 350 - Exp, LoD 300 -  Pre const]</t>
  </si>
  <si>
    <t>Package Release [till LoD 200 - Schematic Concept]</t>
  </si>
  <si>
    <t>Package Release [till LoD 350 - Structures - Security Cabin and Entrance]</t>
  </si>
  <si>
    <t>LOD 350 -Tower Pkg 1, MP Pkg 1, CH Pkg 1</t>
  </si>
  <si>
    <t>LOD 300, LOD 350 Exp home</t>
  </si>
  <si>
    <t>LOD 350 -MP, ISS, CH, Tower Habitable levels</t>
  </si>
  <si>
    <t>Vdrhl-Plotted Dev</t>
  </si>
  <si>
    <t>Amaresh</t>
  </si>
  <si>
    <t>Experience Home + Project Entrance</t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</si>
  <si>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</si>
  <si>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</si>
  <si>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</si>
  <si>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</si>
  <si>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</si>
  <si>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</si>
  <si>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</si>
  <si>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</si>
  <si>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</si>
  <si>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</si>
  <si>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</si>
  <si>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</si>
  <si>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</si>
  <si>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</si>
  <si>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</si>
  <si>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</si>
  <si>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</si>
  <si>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</si>
  <si>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</si>
  <si>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</si>
  <si>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</si>
  <si>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</si>
  <si>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</si>
  <si>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</si>
  <si>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</si>
  <si>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</si>
  <si>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</si>
  <si>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</si>
  <si>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</si>
  <si>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</si>
  <si>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</si>
  <si>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</si>
  <si>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</si>
  <si>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</si>
  <si>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</si>
  <si>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</si>
  <si>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</si>
  <si>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</si>
  <si>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</si>
  <si>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</si>
  <si>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</si>
  <si>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</si>
  <si>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</si>
  <si>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</si>
  <si>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</si>
  <si>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</si>
  <si>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</si>
  <si>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</si>
  <si>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</si>
  <si>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</si>
  <si>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</si>
  <si>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</si>
  <si>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</si>
  <si>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</si>
  <si>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</si>
  <si>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</si>
  <si>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</si>
  <si>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</si>
  <si>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</si>
  <si>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</si>
  <si>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</si>
  <si>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</si>
  <si>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</si>
  <si>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</si>
  <si>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</si>
  <si>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</si>
  <si>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</si>
  <si>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</si>
  <si>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</si>
  <si>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</si>
  <si>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</si>
  <si>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</si>
  <si>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</si>
  <si>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</si>
  <si>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</si>
  <si>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</si>
  <si>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</si>
  <si>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</si>
  <si>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</si>
  <si>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</si>
  <si>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</si>
  <si>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</si>
  <si>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</si>
  <si>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</si>
  <si>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</si>
  <si>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</si>
  <si>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</si>
  <si>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</si>
  <si>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</si>
  <si>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</si>
  <si>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</si>
  <si>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</si>
  <si>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</si>
  <si>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</si>
  <si>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</si>
  <si>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</si>
  <si>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</si>
  <si>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TuiG [M20, M30 and M40]</t>
  </si>
  <si>
    <t>Harohalli [M30, M40 and V50]</t>
  </si>
  <si>
    <t>Violet Hill [Product?]</t>
  </si>
  <si>
    <t>Shreegaon [V50]</t>
  </si>
  <si>
    <t>One Tiny Flower [V50 D and V50 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</si>
</sst>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0%;\-0%;\-;@"/>
  </numFmts>
  <fonts count="140">
    <font>
      <sz val="10"/>
      <color theme="1"/>
      <name val="Meta-Normal"/>
      <family val="2"/>
    </font>
    <font>
      <sz val="11"/>
      <color theme="1"/>
      <name val="Aptos Narrow"/>
      <family val="2"/>
      <scheme val="minor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theme="1"/>
      <name val="Helvetica Neue Light"/>
      <family val="2"/>
    </font>
    <font>
      <sz val="9"/>
      <color theme="4" tint="0.39997558519241921"/>
      <name val="Helvetica Neue Light"/>
      <family val="2"/>
    </font>
    <font>
      <sz val="9"/>
      <color theme="4" tint="0.39997558519241921"/>
      <name val="Meta-Normal"/>
      <family val="2"/>
    </font>
    <font>
      <sz val="9"/>
      <color theme="1"/>
      <name val="Meta-Normal"/>
    </font>
    <font>
      <sz val="9"/>
      <color theme="1"/>
      <name val="Meta-Normal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2">
    <xf numFmtId="0" fontId="0" fillId="0" borderId="0"/>
    <xf numFmtId="0" fontId="9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2" fillId="0" borderId="0"/>
    <xf numFmtId="0" fontId="4" fillId="0" borderId="0"/>
    <xf numFmtId="43" fontId="5" fillId="0" borderId="0" applyFont="0" applyFill="0" applyBorder="0" applyAlignment="0" applyProtection="0"/>
  </cellStyleXfs>
  <cellXfs count="889">
    <xf numFmtId="0" fontId="0" fillId="0" borderId="0" xfId="0"/>
    <xf numFmtId="0" fontId="48" fillId="3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165" fontId="12" fillId="3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165" fontId="13" fillId="0" borderId="1" xfId="2" applyNumberFormat="1" applyFont="1" applyBorder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14" fillId="3" borderId="2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4" xfId="0" applyFont="1" applyBorder="1"/>
    <xf numFmtId="0" fontId="13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15" fillId="0" borderId="1" xfId="0" applyFont="1" applyBorder="1"/>
    <xf numFmtId="0" fontId="13" fillId="4" borderId="1" xfId="0" applyFont="1" applyFill="1" applyBorder="1" applyAlignment="1">
      <alignment horizontal="left" vertical="center"/>
    </xf>
    <xf numFmtId="165" fontId="13" fillId="4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5" fontId="12" fillId="0" borderId="1" xfId="2" applyNumberFormat="1" applyFont="1" applyBorder="1" applyAlignment="1">
      <alignment horizontal="right"/>
    </xf>
    <xf numFmtId="165" fontId="12" fillId="0" borderId="1" xfId="2" applyNumberFormat="1" applyFont="1" applyFill="1" applyBorder="1" applyAlignment="1">
      <alignment horizontal="right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0" fillId="0" borderId="1" xfId="2" applyNumberFormat="1" applyFont="1" applyFill="1" applyBorder="1" applyAlignment="1">
      <alignment horizontal="right"/>
    </xf>
    <xf numFmtId="0" fontId="12" fillId="0" borderId="8" xfId="11" applyFont="1" applyBorder="1" applyAlignment="1">
      <alignment vertical="center" wrapText="1"/>
    </xf>
    <xf numFmtId="165" fontId="12" fillId="0" borderId="1" xfId="2" applyNumberFormat="1" applyFont="1" applyBorder="1" applyAlignment="1">
      <alignment horizontal="center"/>
    </xf>
    <xf numFmtId="165" fontId="12" fillId="0" borderId="1" xfId="2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/>
    <xf numFmtId="165" fontId="10" fillId="0" borderId="1" xfId="2" applyNumberFormat="1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2" fillId="0" borderId="0" xfId="11" applyFont="1" applyAlignment="1">
      <alignment vertical="center" wrapText="1"/>
    </xf>
    <xf numFmtId="49" fontId="10" fillId="0" borderId="1" xfId="0" applyNumberFormat="1" applyFont="1" applyBorder="1" applyAlignment="1">
      <alignment horizontal="left" wrapText="1"/>
    </xf>
    <xf numFmtId="0" fontId="19" fillId="2" borderId="4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 wrapText="1"/>
    </xf>
    <xf numFmtId="165" fontId="19" fillId="0" borderId="1" xfId="2" applyNumberFormat="1" applyFont="1" applyBorder="1" applyAlignment="1">
      <alignment horizontal="right"/>
    </xf>
    <xf numFmtId="165" fontId="20" fillId="3" borderId="1" xfId="2" applyNumberFormat="1" applyFont="1" applyFill="1" applyBorder="1" applyAlignment="1">
      <alignment horizontal="right"/>
    </xf>
    <xf numFmtId="165" fontId="19" fillId="2" borderId="1" xfId="2" applyNumberFormat="1" applyFont="1" applyFill="1" applyBorder="1" applyAlignment="1">
      <alignment horizontal="right"/>
    </xf>
    <xf numFmtId="0" fontId="18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right"/>
    </xf>
    <xf numFmtId="165" fontId="23" fillId="3" borderId="1" xfId="2" applyNumberFormat="1" applyFont="1" applyFill="1" applyBorder="1" applyAlignment="1">
      <alignment horizontal="right"/>
    </xf>
    <xf numFmtId="165" fontId="24" fillId="0" borderId="1" xfId="2" applyNumberFormat="1" applyFont="1" applyFill="1" applyBorder="1" applyAlignment="1">
      <alignment horizontal="right"/>
    </xf>
    <xf numFmtId="0" fontId="21" fillId="0" borderId="2" xfId="0" applyFont="1" applyBorder="1"/>
    <xf numFmtId="0" fontId="21" fillId="0" borderId="2" xfId="0" applyFont="1" applyBorder="1" applyAlignment="1">
      <alignment horizontal="left"/>
    </xf>
    <xf numFmtId="0" fontId="21" fillId="0" borderId="3" xfId="0" applyFont="1" applyBorder="1"/>
    <xf numFmtId="0" fontId="22" fillId="0" borderId="5" xfId="0" applyFont="1" applyBorder="1" applyAlignment="1">
      <alignment horizontal="right"/>
    </xf>
    <xf numFmtId="0" fontId="21" fillId="0" borderId="2" xfId="0" applyFont="1" applyBorder="1" applyAlignment="1">
      <alignment horizontal="center" vertical="center"/>
    </xf>
    <xf numFmtId="0" fontId="25" fillId="3" borderId="2" xfId="0" applyFont="1" applyFill="1" applyBorder="1" applyAlignment="1">
      <alignment vertical="center"/>
    </xf>
    <xf numFmtId="0" fontId="25" fillId="3" borderId="3" xfId="0" applyFont="1" applyFill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wrapText="1"/>
    </xf>
    <xf numFmtId="165" fontId="24" fillId="0" borderId="5" xfId="2" applyNumberFormat="1" applyFont="1" applyBorder="1" applyAlignment="1">
      <alignment horizontal="right" wrapText="1"/>
    </xf>
    <xf numFmtId="0" fontId="14" fillId="0" borderId="5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165" fontId="19" fillId="2" borderId="1" xfId="2" applyNumberFormat="1" applyFont="1" applyFill="1" applyBorder="1" applyAlignment="1">
      <alignment horizontal="right" wrapText="1"/>
    </xf>
    <xf numFmtId="165" fontId="13" fillId="0" borderId="1" xfId="2" applyNumberFormat="1" applyFont="1" applyBorder="1" applyAlignment="1">
      <alignment horizontal="right" wrapText="1"/>
    </xf>
    <xf numFmtId="165" fontId="13" fillId="4" borderId="1" xfId="2" applyNumberFormat="1" applyFont="1" applyFill="1" applyBorder="1" applyAlignment="1">
      <alignment horizontal="right" wrapText="1"/>
    </xf>
    <xf numFmtId="0" fontId="16" fillId="0" borderId="6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17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25" fillId="3" borderId="2" xfId="0" applyFont="1" applyFill="1" applyBorder="1" applyAlignment="1">
      <alignment horizontal="center" vertical="center"/>
    </xf>
    <xf numFmtId="164" fontId="12" fillId="0" borderId="1" xfId="2" applyFont="1" applyBorder="1" applyAlignment="1">
      <alignment horizontal="left" wrapText="1"/>
    </xf>
    <xf numFmtId="164" fontId="13" fillId="4" borderId="1" xfId="2" applyFont="1" applyFill="1" applyBorder="1" applyAlignment="1">
      <alignment horizontal="right" wrapText="1"/>
    </xf>
    <xf numFmtId="164" fontId="13" fillId="4" borderId="1" xfId="2" applyFont="1" applyFill="1" applyBorder="1" applyAlignment="1">
      <alignment horizontal="right"/>
    </xf>
    <xf numFmtId="166" fontId="12" fillId="0" borderId="1" xfId="2" applyNumberFormat="1" applyFont="1" applyBorder="1" applyAlignment="1">
      <alignment horizontal="left" wrapText="1"/>
    </xf>
    <xf numFmtId="166" fontId="10" fillId="0" borderId="1" xfId="2" applyNumberFormat="1" applyFont="1" applyBorder="1" applyAlignment="1">
      <alignment horizontal="right" wrapText="1"/>
    </xf>
    <xf numFmtId="164" fontId="12" fillId="0" borderId="1" xfId="2" applyFont="1" applyFill="1" applyBorder="1" applyAlignment="1">
      <alignment horizontal="right" wrapText="1"/>
    </xf>
    <xf numFmtId="164" fontId="12" fillId="0" borderId="1" xfId="2" applyFont="1" applyBorder="1" applyAlignment="1">
      <alignment horizontal="right" wrapText="1"/>
    </xf>
    <xf numFmtId="164" fontId="10" fillId="0" borderId="7" xfId="2" applyFont="1" applyBorder="1" applyAlignment="1">
      <alignment horizontal="center" vertical="center"/>
    </xf>
    <xf numFmtId="166" fontId="10" fillId="0" borderId="1" xfId="2" applyNumberFormat="1" applyFont="1" applyBorder="1"/>
    <xf numFmtId="0" fontId="10" fillId="0" borderId="1" xfId="9" applyFont="1" applyBorder="1" applyAlignment="1">
      <alignment horizontal="left" vertical="center"/>
    </xf>
    <xf numFmtId="165" fontId="13" fillId="3" borderId="1" xfId="2" applyNumberFormat="1" applyFont="1" applyFill="1" applyBorder="1" applyAlignment="1">
      <alignment horizontal="right"/>
    </xf>
    <xf numFmtId="49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10" fillId="0" borderId="1" xfId="2" applyFont="1" applyBorder="1"/>
    <xf numFmtId="164" fontId="10" fillId="0" borderId="1" xfId="2" applyFont="1" applyBorder="1" applyAlignment="1">
      <alignment horizontal="left" wrapText="1"/>
    </xf>
    <xf numFmtId="164" fontId="10" fillId="0" borderId="1" xfId="2" applyFont="1" applyBorder="1" applyAlignment="1">
      <alignment horizontal="right" wrapText="1"/>
    </xf>
    <xf numFmtId="164" fontId="10" fillId="0" borderId="1" xfId="0" applyNumberFormat="1" applyFont="1" applyBorder="1" applyAlignment="1">
      <alignment horizontal="left" wrapText="1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right" wrapText="1"/>
    </xf>
    <xf numFmtId="0" fontId="16" fillId="0" borderId="6" xfId="0" applyFont="1" applyBorder="1" applyAlignment="1">
      <alignment vertical="center" wrapText="1"/>
    </xf>
    <xf numFmtId="164" fontId="16" fillId="0" borderId="6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horizontal="right" wrapText="1"/>
    </xf>
    <xf numFmtId="164" fontId="12" fillId="0" borderId="1" xfId="0" applyNumberFormat="1" applyFont="1" applyBorder="1" applyAlignment="1">
      <alignment horizontal="left" wrapText="1"/>
    </xf>
    <xf numFmtId="164" fontId="16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164" fontId="10" fillId="0" borderId="1" xfId="2" applyFont="1" applyBorder="1" applyAlignment="1">
      <alignment wrapText="1"/>
    </xf>
    <xf numFmtId="164" fontId="12" fillId="0" borderId="1" xfId="0" applyNumberFormat="1" applyFont="1" applyBorder="1" applyAlignment="1">
      <alignment horizontal="right" wrapText="1"/>
    </xf>
    <xf numFmtId="164" fontId="10" fillId="0" borderId="1" xfId="0" applyNumberFormat="1" applyFont="1" applyBorder="1" applyAlignment="1">
      <alignment wrapText="1"/>
    </xf>
    <xf numFmtId="2" fontId="16" fillId="0" borderId="6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horizontal="left" wrapText="1"/>
    </xf>
    <xf numFmtId="164" fontId="10" fillId="0" borderId="8" xfId="0" applyNumberFormat="1" applyFont="1" applyBorder="1" applyAlignment="1">
      <alignment vertical="center" wrapText="1"/>
    </xf>
    <xf numFmtId="164" fontId="12" fillId="0" borderId="0" xfId="11" applyNumberFormat="1" applyFont="1" applyAlignment="1">
      <alignment vertical="center" wrapText="1"/>
    </xf>
    <xf numFmtId="0" fontId="12" fillId="0" borderId="0" xfId="0" applyFont="1" applyAlignment="1">
      <alignment horizontal="left" wrapText="1"/>
    </xf>
    <xf numFmtId="165" fontId="10" fillId="0" borderId="1" xfId="2" applyNumberFormat="1" applyFont="1" applyBorder="1" applyAlignment="1">
      <alignment horizontal="right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164" fontId="12" fillId="0" borderId="0" xfId="0" applyNumberFormat="1" applyFont="1" applyAlignment="1">
      <alignment horizontal="left" wrapText="1"/>
    </xf>
    <xf numFmtId="165" fontId="12" fillId="0" borderId="1" xfId="2" applyNumberFormat="1" applyFont="1" applyBorder="1" applyAlignment="1">
      <alignment horizontal="center" vertical="center"/>
    </xf>
    <xf numFmtId="165" fontId="12" fillId="0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165" fontId="19" fillId="2" borderId="1" xfId="2" applyNumberFormat="1" applyFont="1" applyFill="1" applyBorder="1" applyAlignment="1">
      <alignment horizontal="center" vertical="center"/>
    </xf>
    <xf numFmtId="165" fontId="13" fillId="0" borderId="1" xfId="2" applyNumberFormat="1" applyFont="1" applyBorder="1" applyAlignment="1">
      <alignment horizontal="center" vertical="center"/>
    </xf>
    <xf numFmtId="165" fontId="13" fillId="4" borderId="1" xfId="2" applyNumberFormat="1" applyFont="1" applyFill="1" applyBorder="1" applyAlignment="1">
      <alignment horizontal="center" vertical="center"/>
    </xf>
    <xf numFmtId="165" fontId="11" fillId="0" borderId="1" xfId="2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 wrapText="1"/>
    </xf>
    <xf numFmtId="0" fontId="16" fillId="0" borderId="6" xfId="0" applyFont="1" applyBorder="1" applyAlignment="1">
      <alignment horizontal="right" wrapText="1"/>
    </xf>
    <xf numFmtId="0" fontId="16" fillId="0" borderId="6" xfId="0" applyFont="1" applyBorder="1"/>
    <xf numFmtId="0" fontId="12" fillId="0" borderId="6" xfId="0" applyFont="1" applyBorder="1" applyAlignment="1">
      <alignment horizontal="left" wrapText="1"/>
    </xf>
    <xf numFmtId="0" fontId="12" fillId="5" borderId="6" xfId="0" applyFont="1" applyFill="1" applyBorder="1" applyAlignment="1">
      <alignment horizontal="left" wrapText="1"/>
    </xf>
    <xf numFmtId="0" fontId="12" fillId="6" borderId="6" xfId="0" applyFont="1" applyFill="1" applyBorder="1" applyAlignment="1">
      <alignment horizontal="left" wrapText="1"/>
    </xf>
    <xf numFmtId="0" fontId="12" fillId="0" borderId="6" xfId="0" applyFont="1" applyBorder="1" applyAlignment="1">
      <alignment horizontal="right" wrapText="1"/>
    </xf>
    <xf numFmtId="165" fontId="27" fillId="0" borderId="1" xfId="2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2" fontId="12" fillId="0" borderId="1" xfId="0" applyNumberFormat="1" applyFont="1" applyBorder="1" applyAlignment="1">
      <alignment horizontal="right" wrapText="1"/>
    </xf>
    <xf numFmtId="2" fontId="16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right" vertical="top" wrapText="1"/>
    </xf>
    <xf numFmtId="49" fontId="10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6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0" fillId="0" borderId="4" xfId="0" applyFont="1" applyBorder="1" applyAlignment="1">
      <alignment vertical="center"/>
    </xf>
    <xf numFmtId="165" fontId="13" fillId="0" borderId="1" xfId="2" applyNumberFormat="1" applyFont="1" applyBorder="1" applyAlignment="1">
      <alignment horizontal="right" vertical="center"/>
    </xf>
    <xf numFmtId="165" fontId="13" fillId="3" borderId="1" xfId="2" applyNumberFormat="1" applyFont="1" applyFill="1" applyBorder="1" applyAlignment="1">
      <alignment horizontal="right" vertical="center"/>
    </xf>
    <xf numFmtId="167" fontId="12" fillId="0" borderId="1" xfId="0" applyNumberFormat="1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165" fontId="24" fillId="0" borderId="1" xfId="2" applyNumberFormat="1" applyFont="1" applyBorder="1" applyAlignment="1">
      <alignment horizontal="right"/>
    </xf>
    <xf numFmtId="164" fontId="13" fillId="0" borderId="1" xfId="2" applyFont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164" fontId="13" fillId="3" borderId="1" xfId="2" applyFont="1" applyFill="1" applyBorder="1" applyAlignment="1">
      <alignment horizontal="right"/>
    </xf>
    <xf numFmtId="0" fontId="18" fillId="0" borderId="4" xfId="0" applyFont="1" applyBorder="1"/>
    <xf numFmtId="2" fontId="12" fillId="0" borderId="1" xfId="0" applyNumberFormat="1" applyFont="1" applyBorder="1" applyAlignment="1">
      <alignment horizontal="left" wrapText="1"/>
    </xf>
    <xf numFmtId="164" fontId="10" fillId="0" borderId="1" xfId="0" applyNumberFormat="1" applyFont="1" applyBorder="1" applyAlignment="1">
      <alignment horizontal="right" vertical="center" wrapText="1"/>
    </xf>
    <xf numFmtId="164" fontId="12" fillId="0" borderId="1" xfId="0" applyNumberFormat="1" applyFont="1" applyBorder="1" applyAlignment="1">
      <alignment horizontal="right" vertical="center" wrapText="1"/>
    </xf>
    <xf numFmtId="0" fontId="19" fillId="2" borderId="4" xfId="0" applyFont="1" applyFill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left" vertical="center"/>
    </xf>
    <xf numFmtId="0" fontId="30" fillId="0" borderId="6" xfId="0" applyFont="1" applyBorder="1" applyAlignment="1">
      <alignment vertical="top"/>
    </xf>
    <xf numFmtId="0" fontId="31" fillId="0" borderId="6" xfId="0" applyFont="1" applyBorder="1" applyAlignment="1">
      <alignment vertical="top"/>
    </xf>
    <xf numFmtId="0" fontId="32" fillId="7" borderId="6" xfId="0" applyFont="1" applyFill="1" applyBorder="1"/>
    <xf numFmtId="0" fontId="34" fillId="8" borderId="6" xfId="0" applyFont="1" applyFill="1" applyBorder="1"/>
    <xf numFmtId="0" fontId="35" fillId="8" borderId="6" xfId="0" applyFont="1" applyFill="1" applyBorder="1"/>
    <xf numFmtId="0" fontId="31" fillId="8" borderId="6" xfId="0" applyFont="1" applyFill="1" applyBorder="1"/>
    <xf numFmtId="0" fontId="36" fillId="8" borderId="9" xfId="0" applyFont="1" applyFill="1" applyBorder="1"/>
    <xf numFmtId="0" fontId="36" fillId="9" borderId="6" xfId="0" applyFont="1" applyFill="1" applyBorder="1"/>
    <xf numFmtId="0" fontId="37" fillId="8" borderId="6" xfId="0" applyFont="1" applyFill="1" applyBorder="1"/>
    <xf numFmtId="0" fontId="38" fillId="8" borderId="6" xfId="0" applyFont="1" applyFill="1" applyBorder="1"/>
    <xf numFmtId="3" fontId="36" fillId="8" borderId="9" xfId="0" applyNumberFormat="1" applyFont="1" applyFill="1" applyBorder="1"/>
    <xf numFmtId="0" fontId="36" fillId="8" borderId="6" xfId="0" applyFont="1" applyFill="1" applyBorder="1"/>
    <xf numFmtId="0" fontId="39" fillId="8" borderId="6" xfId="0" applyFont="1" applyFill="1" applyBorder="1"/>
    <xf numFmtId="0" fontId="30" fillId="8" borderId="6" xfId="0" applyFont="1" applyFill="1" applyBorder="1"/>
    <xf numFmtId="0" fontId="36" fillId="8" borderId="9" xfId="0" quotePrefix="1" applyFont="1" applyFill="1" applyBorder="1"/>
    <xf numFmtId="0" fontId="40" fillId="8" borderId="6" xfId="0" applyFont="1" applyFill="1" applyBorder="1"/>
    <xf numFmtId="0" fontId="41" fillId="8" borderId="6" xfId="0" applyFont="1" applyFill="1" applyBorder="1"/>
    <xf numFmtId="0" fontId="38" fillId="8" borderId="9" xfId="0" applyFont="1" applyFill="1" applyBorder="1"/>
    <xf numFmtId="3" fontId="38" fillId="8" borderId="9" xfId="0" applyNumberFormat="1" applyFont="1" applyFill="1" applyBorder="1"/>
    <xf numFmtId="0" fontId="38" fillId="9" borderId="6" xfId="0" applyFont="1" applyFill="1" applyBorder="1"/>
    <xf numFmtId="0" fontId="36" fillId="9" borderId="9" xfId="0" applyFont="1" applyFill="1" applyBorder="1"/>
    <xf numFmtId="3" fontId="39" fillId="8" borderId="9" xfId="0" applyNumberFormat="1" applyFont="1" applyFill="1" applyBorder="1"/>
    <xf numFmtId="0" fontId="38" fillId="9" borderId="9" xfId="0" applyFont="1" applyFill="1" applyBorder="1"/>
    <xf numFmtId="0" fontId="36" fillId="0" borderId="9" xfId="0" applyFont="1" applyBorder="1"/>
    <xf numFmtId="0" fontId="36" fillId="9" borderId="10" xfId="0" applyFont="1" applyFill="1" applyBorder="1"/>
    <xf numFmtId="0" fontId="42" fillId="0" borderId="6" xfId="0" applyFont="1" applyBorder="1" applyAlignment="1">
      <alignment vertical="top"/>
    </xf>
    <xf numFmtId="0" fontId="43" fillId="0" borderId="6" xfId="0" applyFont="1" applyBorder="1" applyAlignment="1">
      <alignment vertical="top"/>
    </xf>
    <xf numFmtId="0" fontId="44" fillId="0" borderId="1" xfId="0" applyFont="1" applyBorder="1"/>
    <xf numFmtId="0" fontId="44" fillId="0" borderId="1" xfId="0" applyFont="1" applyBorder="1" applyAlignment="1">
      <alignment horizontal="left"/>
    </xf>
    <xf numFmtId="0" fontId="45" fillId="0" borderId="1" xfId="0" applyFont="1" applyBorder="1" applyAlignment="1">
      <alignment horizontal="right"/>
    </xf>
    <xf numFmtId="165" fontId="46" fillId="3" borderId="1" xfId="2" applyNumberFormat="1" applyFont="1" applyFill="1" applyBorder="1" applyAlignment="1">
      <alignment horizontal="right"/>
    </xf>
    <xf numFmtId="0" fontId="44" fillId="0" borderId="1" xfId="0" applyFont="1" applyBorder="1" applyAlignment="1">
      <alignment horizontal="right" wrapText="1"/>
    </xf>
    <xf numFmtId="0" fontId="47" fillId="0" borderId="1" xfId="0" applyFont="1" applyBorder="1"/>
    <xf numFmtId="0" fontId="48" fillId="3" borderId="2" xfId="0" applyFont="1" applyFill="1" applyBorder="1" applyAlignment="1">
      <alignment vertical="center"/>
    </xf>
    <xf numFmtId="0" fontId="48" fillId="0" borderId="1" xfId="0" applyFont="1" applyBorder="1" applyAlignment="1">
      <alignment horizontal="right"/>
    </xf>
    <xf numFmtId="165" fontId="49" fillId="3" borderId="1" xfId="2" applyNumberFormat="1" applyFont="1" applyFill="1" applyBorder="1" applyAlignment="1">
      <alignment horizontal="right"/>
    </xf>
    <xf numFmtId="0" fontId="47" fillId="0" borderId="2" xfId="0" applyFont="1" applyBorder="1" applyAlignment="1">
      <alignment horizontal="left"/>
    </xf>
    <xf numFmtId="0" fontId="47" fillId="0" borderId="3" xfId="0" applyFont="1" applyBorder="1"/>
    <xf numFmtId="0" fontId="48" fillId="0" borderId="5" xfId="0" applyFont="1" applyBorder="1" applyAlignment="1">
      <alignment horizontal="right"/>
    </xf>
    <xf numFmtId="165" fontId="50" fillId="0" borderId="5" xfId="2" applyNumberFormat="1" applyFont="1" applyBorder="1" applyAlignment="1">
      <alignment horizontal="right" wrapText="1"/>
    </xf>
    <xf numFmtId="0" fontId="52" fillId="3" borderId="2" xfId="0" applyFont="1" applyFill="1" applyBorder="1" applyAlignment="1">
      <alignment vertical="center"/>
    </xf>
    <xf numFmtId="0" fontId="52" fillId="3" borderId="3" xfId="0" applyFont="1" applyFill="1" applyBorder="1" applyAlignment="1">
      <alignment vertical="center"/>
    </xf>
    <xf numFmtId="0" fontId="52" fillId="0" borderId="5" xfId="0" applyFont="1" applyBorder="1" applyAlignment="1">
      <alignment horizontal="center" vertical="center"/>
    </xf>
    <xf numFmtId="165" fontId="53" fillId="3" borderId="1" xfId="2" applyNumberFormat="1" applyFont="1" applyFill="1" applyBorder="1" applyAlignment="1">
      <alignment horizontal="right"/>
    </xf>
    <xf numFmtId="0" fontId="52" fillId="3" borderId="5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4" fillId="0" borderId="2" xfId="0" applyFont="1" applyBorder="1" applyAlignment="1">
      <alignment vertical="center"/>
    </xf>
    <xf numFmtId="0" fontId="54" fillId="0" borderId="3" xfId="0" applyFont="1" applyBorder="1" applyAlignment="1">
      <alignment vertical="center"/>
    </xf>
    <xf numFmtId="0" fontId="54" fillId="0" borderId="5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54" fillId="3" borderId="2" xfId="0" applyFont="1" applyFill="1" applyBorder="1" applyAlignment="1">
      <alignment vertical="center"/>
    </xf>
    <xf numFmtId="0" fontId="54" fillId="3" borderId="3" xfId="0" applyFont="1" applyFill="1" applyBorder="1" applyAlignment="1">
      <alignment vertical="center"/>
    </xf>
    <xf numFmtId="0" fontId="54" fillId="3" borderId="5" xfId="0" applyFont="1" applyFill="1" applyBorder="1" applyAlignment="1">
      <alignment horizontal="center" vertical="center" wrapText="1"/>
    </xf>
    <xf numFmtId="0" fontId="51" fillId="0" borderId="1" xfId="0" applyFont="1" applyBorder="1"/>
    <xf numFmtId="0" fontId="51" fillId="0" borderId="1" xfId="0" applyFont="1" applyBorder="1" applyAlignment="1">
      <alignment horizontal="left"/>
    </xf>
    <xf numFmtId="0" fontId="55" fillId="0" borderId="1" xfId="0" applyFont="1" applyBorder="1" applyAlignment="1">
      <alignment horizontal="right"/>
    </xf>
    <xf numFmtId="165" fontId="56" fillId="0" borderId="1" xfId="2" applyNumberFormat="1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48" fillId="0" borderId="5" xfId="2" applyNumberFormat="1" applyFont="1" applyBorder="1" applyAlignment="1">
      <alignment horizontal="right"/>
    </xf>
    <xf numFmtId="0" fontId="56" fillId="2" borderId="4" xfId="0" applyFont="1" applyFill="1" applyBorder="1" applyAlignment="1">
      <alignment vertical="center"/>
    </xf>
    <xf numFmtId="0" fontId="53" fillId="2" borderId="4" xfId="0" applyFont="1" applyFill="1" applyBorder="1" applyAlignment="1">
      <alignment vertical="center"/>
    </xf>
    <xf numFmtId="0" fontId="53" fillId="2" borderId="4" xfId="0" applyFont="1" applyFill="1" applyBorder="1" applyAlignment="1">
      <alignment vertical="center" wrapText="1"/>
    </xf>
    <xf numFmtId="165" fontId="56" fillId="0" borderId="1" xfId="2" applyNumberFormat="1" applyFont="1" applyBorder="1" applyAlignment="1">
      <alignment horizontal="right" vertical="center"/>
    </xf>
    <xf numFmtId="165" fontId="53" fillId="3" borderId="1" xfId="2" applyNumberFormat="1" applyFont="1" applyFill="1" applyBorder="1" applyAlignment="1">
      <alignment horizontal="right" vertical="center"/>
    </xf>
    <xf numFmtId="165" fontId="56" fillId="2" borderId="1" xfId="2" applyNumberFormat="1" applyFont="1" applyFill="1" applyBorder="1" applyAlignment="1">
      <alignment horizontal="right" vertical="center" wrapText="1"/>
    </xf>
    <xf numFmtId="0" fontId="51" fillId="0" borderId="1" xfId="0" applyFont="1" applyBorder="1" applyAlignment="1">
      <alignment vertical="center"/>
    </xf>
    <xf numFmtId="0" fontId="58" fillId="0" borderId="4" xfId="0" applyFont="1" applyBorder="1" applyAlignment="1">
      <alignment vertical="center"/>
    </xf>
    <xf numFmtId="0" fontId="46" fillId="0" borderId="4" xfId="0" applyFont="1" applyBorder="1" applyAlignment="1">
      <alignment vertical="center"/>
    </xf>
    <xf numFmtId="0" fontId="46" fillId="0" borderId="4" xfId="0" applyFont="1" applyBorder="1" applyAlignment="1">
      <alignment vertical="center" wrapText="1"/>
    </xf>
    <xf numFmtId="165" fontId="58" fillId="0" borderId="1" xfId="2" applyNumberFormat="1" applyFont="1" applyBorder="1" applyAlignment="1">
      <alignment horizontal="right"/>
    </xf>
    <xf numFmtId="165" fontId="58" fillId="0" borderId="1" xfId="2" applyNumberFormat="1" applyFont="1" applyBorder="1" applyAlignment="1">
      <alignment horizontal="right" wrapText="1"/>
    </xf>
    <xf numFmtId="0" fontId="57" fillId="0" borderId="1" xfId="0" applyFont="1" applyBorder="1"/>
    <xf numFmtId="0" fontId="58" fillId="4" borderId="1" xfId="0" applyFont="1" applyFill="1" applyBorder="1" applyAlignment="1">
      <alignment horizontal="left" vertical="center"/>
    </xf>
    <xf numFmtId="165" fontId="58" fillId="4" borderId="1" xfId="2" applyNumberFormat="1" applyFont="1" applyFill="1" applyBorder="1" applyAlignment="1">
      <alignment horizontal="right" wrapText="1"/>
    </xf>
    <xf numFmtId="164" fontId="58" fillId="0" borderId="1" xfId="2" applyFont="1" applyBorder="1" applyAlignment="1">
      <alignment horizontal="right"/>
    </xf>
    <xf numFmtId="0" fontId="45" fillId="0" borderId="1" xfId="0" applyFont="1" applyBorder="1" applyAlignment="1">
      <alignment horizontal="left" vertical="center"/>
    </xf>
    <xf numFmtId="165" fontId="46" fillId="0" borderId="1" xfId="2" applyNumberFormat="1" applyFont="1" applyBorder="1" applyAlignment="1">
      <alignment horizontal="right"/>
    </xf>
    <xf numFmtId="165" fontId="46" fillId="0" borderId="1" xfId="2" applyNumberFormat="1" applyFont="1" applyFill="1" applyBorder="1" applyAlignment="1">
      <alignment horizontal="center" vertical="center"/>
    </xf>
    <xf numFmtId="165" fontId="46" fillId="0" borderId="1" xfId="2" applyNumberFormat="1" applyFont="1" applyBorder="1" applyAlignment="1">
      <alignment horizontal="right" wrapText="1"/>
    </xf>
    <xf numFmtId="0" fontId="46" fillId="0" borderId="1" xfId="0" applyFont="1" applyBorder="1" applyAlignment="1">
      <alignment horizontal="left" vertical="center"/>
    </xf>
    <xf numFmtId="165" fontId="46" fillId="0" borderId="1" xfId="2" applyNumberFormat="1" applyFont="1" applyFill="1" applyBorder="1" applyAlignment="1">
      <alignment horizontal="right"/>
    </xf>
    <xf numFmtId="0" fontId="59" fillId="0" borderId="6" xfId="0" applyFont="1" applyBorder="1" applyAlignment="1">
      <alignment wrapText="1"/>
    </xf>
    <xf numFmtId="0" fontId="46" fillId="0" borderId="1" xfId="0" applyFont="1" applyBorder="1" applyAlignment="1">
      <alignment horizontal="left" wrapText="1"/>
    </xf>
    <xf numFmtId="0" fontId="44" fillId="0" borderId="0" xfId="0" applyFont="1"/>
    <xf numFmtId="0" fontId="46" fillId="0" borderId="1" xfId="0" applyFont="1" applyBorder="1" applyAlignment="1">
      <alignment horizontal="right" wrapText="1"/>
    </xf>
    <xf numFmtId="165" fontId="45" fillId="0" borderId="1" xfId="2" applyNumberFormat="1" applyFont="1" applyBorder="1" applyAlignment="1">
      <alignment horizontal="right"/>
    </xf>
    <xf numFmtId="0" fontId="46" fillId="0" borderId="1" xfId="0" applyFont="1" applyBorder="1" applyAlignment="1">
      <alignment horizontal="left" vertical="center" wrapText="1"/>
    </xf>
    <xf numFmtId="165" fontId="58" fillId="3" borderId="1" xfId="2" applyNumberFormat="1" applyFont="1" applyFill="1" applyBorder="1" applyAlignment="1">
      <alignment horizontal="right"/>
    </xf>
    <xf numFmtId="165" fontId="46" fillId="0" borderId="1" xfId="2" applyNumberFormat="1" applyFont="1" applyBorder="1" applyAlignment="1">
      <alignment horizontal="center" vertical="center"/>
    </xf>
    <xf numFmtId="0" fontId="59" fillId="0" borderId="6" xfId="0" applyFont="1" applyBorder="1" applyAlignment="1">
      <alignment vertical="center" wrapText="1"/>
    </xf>
    <xf numFmtId="0" fontId="44" fillId="0" borderId="1" xfId="0" applyFont="1" applyBorder="1" applyAlignment="1">
      <alignment vertical="center"/>
    </xf>
    <xf numFmtId="0" fontId="59" fillId="0" borderId="6" xfId="0" applyFont="1" applyBorder="1" applyAlignment="1">
      <alignment horizontal="left" vertical="center" wrapText="1"/>
    </xf>
    <xf numFmtId="0" fontId="60" fillId="4" borderId="1" xfId="0" applyFont="1" applyFill="1" applyBorder="1" applyAlignment="1">
      <alignment horizontal="left" vertical="center"/>
    </xf>
    <xf numFmtId="0" fontId="59" fillId="0" borderId="1" xfId="0" applyFont="1" applyBorder="1" applyAlignment="1">
      <alignment horizontal="left" vertical="center" wrapText="1"/>
    </xf>
    <xf numFmtId="165" fontId="46" fillId="0" borderId="1" xfId="2" applyNumberFormat="1" applyFont="1" applyBorder="1" applyAlignment="1">
      <alignment horizontal="center"/>
    </xf>
    <xf numFmtId="165" fontId="59" fillId="0" borderId="1" xfId="2" applyNumberFormat="1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right" wrapText="1"/>
    </xf>
    <xf numFmtId="164" fontId="58" fillId="4" borderId="1" xfId="2" applyFont="1" applyFill="1" applyBorder="1" applyAlignment="1">
      <alignment horizontal="right" wrapText="1"/>
    </xf>
    <xf numFmtId="0" fontId="44" fillId="0" borderId="1" xfId="0" applyFont="1" applyBorder="1" applyAlignment="1">
      <alignment vertical="top"/>
    </xf>
    <xf numFmtId="0" fontId="45" fillId="0" borderId="1" xfId="0" applyFont="1" applyBorder="1" applyAlignment="1">
      <alignment horizontal="left" vertical="top"/>
    </xf>
    <xf numFmtId="0" fontId="46" fillId="0" borderId="1" xfId="0" applyFont="1" applyBorder="1" applyAlignment="1">
      <alignment horizontal="left" vertical="top"/>
    </xf>
    <xf numFmtId="165" fontId="46" fillId="0" borderId="1" xfId="2" applyNumberFormat="1" applyFont="1" applyBorder="1" applyAlignment="1">
      <alignment horizontal="right" vertical="top"/>
    </xf>
    <xf numFmtId="165" fontId="46" fillId="3" borderId="1" xfId="2" applyNumberFormat="1" applyFont="1" applyFill="1" applyBorder="1" applyAlignment="1">
      <alignment horizontal="right" vertical="top"/>
    </xf>
    <xf numFmtId="0" fontId="46" fillId="0" borderId="1" xfId="0" applyFont="1" applyBorder="1" applyAlignment="1">
      <alignment horizontal="left" vertical="top" wrapText="1"/>
    </xf>
    <xf numFmtId="0" fontId="61" fillId="4" borderId="1" xfId="0" applyFont="1" applyFill="1" applyBorder="1" applyAlignment="1">
      <alignment horizontal="left" vertical="center"/>
    </xf>
    <xf numFmtId="165" fontId="46" fillId="0" borderId="0" xfId="2" applyNumberFormat="1" applyFont="1" applyAlignment="1">
      <alignment vertical="center" wrapText="1"/>
    </xf>
    <xf numFmtId="165" fontId="58" fillId="0" borderId="1" xfId="2" applyNumberFormat="1" applyFont="1" applyBorder="1" applyAlignment="1">
      <alignment horizontal="right" vertical="center"/>
    </xf>
    <xf numFmtId="165" fontId="58" fillId="3" borderId="1" xfId="2" applyNumberFormat="1" applyFont="1" applyFill="1" applyBorder="1" applyAlignment="1">
      <alignment horizontal="right" vertical="center"/>
    </xf>
    <xf numFmtId="164" fontId="58" fillId="0" borderId="1" xfId="2" applyFont="1" applyBorder="1" applyAlignment="1">
      <alignment horizontal="right" vertical="center"/>
    </xf>
    <xf numFmtId="165" fontId="46" fillId="0" borderId="1" xfId="0" applyNumberFormat="1" applyFont="1" applyBorder="1" applyAlignment="1">
      <alignment horizontal="left" vertical="center" wrapText="1"/>
    </xf>
    <xf numFmtId="0" fontId="57" fillId="0" borderId="1" xfId="1" applyFont="1" applyBorder="1" applyAlignment="1">
      <alignment horizontal="left" vertical="center"/>
    </xf>
    <xf numFmtId="0" fontId="59" fillId="0" borderId="1" xfId="0" applyFont="1" applyBorder="1" applyAlignment="1">
      <alignment horizontal="left" vertical="center"/>
    </xf>
    <xf numFmtId="164" fontId="46" fillId="0" borderId="1" xfId="0" applyNumberFormat="1" applyFont="1" applyBorder="1" applyAlignment="1">
      <alignment horizontal="left" wrapText="1"/>
    </xf>
    <xf numFmtId="165" fontId="58" fillId="0" borderId="1" xfId="2" applyNumberFormat="1" applyFont="1" applyFill="1" applyBorder="1" applyAlignment="1">
      <alignment horizontal="right"/>
    </xf>
    <xf numFmtId="165" fontId="58" fillId="0" borderId="1" xfId="2" applyNumberFormat="1" applyFont="1" applyFill="1" applyBorder="1" applyAlignment="1">
      <alignment horizontal="right" wrapText="1"/>
    </xf>
    <xf numFmtId="0" fontId="46" fillId="0" borderId="1" xfId="0" applyFont="1" applyBorder="1" applyAlignment="1">
      <alignment vertical="center" wrapText="1"/>
    </xf>
    <xf numFmtId="164" fontId="59" fillId="0" borderId="1" xfId="0" applyNumberFormat="1" applyFont="1" applyBorder="1" applyAlignment="1">
      <alignment horizontal="left" vertical="center" wrapText="1"/>
    </xf>
    <xf numFmtId="0" fontId="46" fillId="0" borderId="1" xfId="0" applyFont="1" applyBorder="1" applyAlignment="1">
      <alignment wrapText="1"/>
    </xf>
    <xf numFmtId="0" fontId="59" fillId="0" borderId="1" xfId="0" applyFont="1" applyBorder="1"/>
    <xf numFmtId="0" fontId="59" fillId="0" borderId="6" xfId="0" applyFont="1" applyBorder="1" applyAlignment="1">
      <alignment horizontal="left" wrapText="1"/>
    </xf>
    <xf numFmtId="0" fontId="59" fillId="0" borderId="6" xfId="0" applyFont="1" applyBorder="1" applyAlignment="1">
      <alignment horizontal="right" wrapText="1"/>
    </xf>
    <xf numFmtId="0" fontId="59" fillId="0" borderId="6" xfId="0" applyFont="1" applyBorder="1"/>
    <xf numFmtId="0" fontId="59" fillId="0" borderId="0" xfId="0" applyFont="1" applyAlignment="1">
      <alignment wrapText="1"/>
    </xf>
    <xf numFmtId="0" fontId="59" fillId="0" borderId="1" xfId="0" applyFont="1" applyBorder="1" applyAlignment="1">
      <alignment horizontal="left" vertical="top" wrapText="1"/>
    </xf>
    <xf numFmtId="165" fontId="56" fillId="0" borderId="1" xfId="2" applyNumberFormat="1" applyFont="1" applyBorder="1" applyAlignment="1">
      <alignment horizontal="center" vertical="center"/>
    </xf>
    <xf numFmtId="165" fontId="53" fillId="3" borderId="1" xfId="2" applyNumberFormat="1" applyFont="1" applyFill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0" fontId="59" fillId="0" borderId="1" xfId="0" applyFont="1" applyBorder="1" applyAlignment="1">
      <alignment horizontal="left" vertical="top"/>
    </xf>
    <xf numFmtId="165" fontId="58" fillId="0" borderId="1" xfId="2" applyNumberFormat="1" applyFont="1" applyBorder="1" applyAlignment="1">
      <alignment horizontal="right" vertical="top"/>
    </xf>
    <xf numFmtId="165" fontId="58" fillId="3" borderId="1" xfId="2" applyNumberFormat="1" applyFont="1" applyFill="1" applyBorder="1" applyAlignment="1">
      <alignment horizontal="right" vertical="top"/>
    </xf>
    <xf numFmtId="0" fontId="62" fillId="3" borderId="2" xfId="0" applyFont="1" applyFill="1" applyBorder="1" applyAlignment="1">
      <alignment vertical="center"/>
    </xf>
    <xf numFmtId="0" fontId="62" fillId="3" borderId="3" xfId="0" applyFont="1" applyFill="1" applyBorder="1" applyAlignment="1">
      <alignment vertical="center"/>
    </xf>
    <xf numFmtId="0" fontId="62" fillId="0" borderId="5" xfId="0" applyFont="1" applyBorder="1" applyAlignment="1">
      <alignment horizontal="center" vertical="center"/>
    </xf>
    <xf numFmtId="165" fontId="62" fillId="0" borderId="5" xfId="2" applyNumberFormat="1" applyFont="1" applyBorder="1" applyAlignment="1">
      <alignment horizontal="center" vertical="center"/>
    </xf>
    <xf numFmtId="165" fontId="62" fillId="3" borderId="5" xfId="2" applyNumberFormat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165" fontId="54" fillId="0" borderId="5" xfId="2" applyNumberFormat="1" applyFont="1" applyBorder="1" applyAlignment="1">
      <alignment horizontal="center" vertical="center"/>
    </xf>
    <xf numFmtId="165" fontId="54" fillId="0" borderId="5" xfId="2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/>
    </xf>
    <xf numFmtId="165" fontId="48" fillId="0" borderId="1" xfId="2" applyNumberFormat="1" applyFont="1" applyBorder="1" applyAlignment="1">
      <alignment horizontal="right"/>
    </xf>
    <xf numFmtId="165" fontId="50" fillId="0" borderId="1" xfId="2" applyNumberFormat="1" applyFont="1" applyBorder="1" applyAlignment="1">
      <alignment horizontal="right" wrapText="1"/>
    </xf>
    <xf numFmtId="165" fontId="58" fillId="4" borderId="1" xfId="2" applyNumberFormat="1" applyFont="1" applyFill="1" applyBorder="1" applyAlignment="1">
      <alignment horizontal="right" vertical="center"/>
    </xf>
    <xf numFmtId="0" fontId="45" fillId="0" borderId="1" xfId="0" applyFont="1" applyBorder="1" applyAlignment="1">
      <alignment horizontal="right" wrapText="1"/>
    </xf>
    <xf numFmtId="1" fontId="45" fillId="0" borderId="1" xfId="0" applyNumberFormat="1" applyFont="1" applyBorder="1" applyAlignment="1">
      <alignment horizontal="right" wrapText="1"/>
    </xf>
    <xf numFmtId="1" fontId="31" fillId="0" borderId="11" xfId="0" applyNumberFormat="1" applyFont="1" applyBorder="1" applyProtection="1">
      <protection locked="0"/>
    </xf>
    <xf numFmtId="1" fontId="31" fillId="0" borderId="0" xfId="0" applyNumberFormat="1" applyFont="1" applyProtection="1">
      <protection locked="0"/>
    </xf>
    <xf numFmtId="0" fontId="45" fillId="0" borderId="4" xfId="0" applyFont="1" applyBorder="1" applyAlignment="1">
      <alignment horizontal="right"/>
    </xf>
    <xf numFmtId="0" fontId="45" fillId="0" borderId="0" xfId="0" applyFont="1" applyAlignment="1">
      <alignment horizontal="right"/>
    </xf>
    <xf numFmtId="164" fontId="46" fillId="0" borderId="1" xfId="0" applyNumberFormat="1" applyFont="1" applyBorder="1" applyAlignment="1">
      <alignment horizontal="right" wrapText="1"/>
    </xf>
    <xf numFmtId="164" fontId="59" fillId="0" borderId="1" xfId="0" applyNumberFormat="1" applyFont="1" applyBorder="1" applyAlignment="1">
      <alignment horizontal="right" vertical="center" wrapText="1"/>
    </xf>
    <xf numFmtId="164" fontId="44" fillId="0" borderId="1" xfId="0" applyNumberFormat="1" applyFont="1" applyBorder="1" applyAlignment="1">
      <alignment horizontal="right" wrapText="1"/>
    </xf>
    <xf numFmtId="165" fontId="61" fillId="4" borderId="1" xfId="2" applyNumberFormat="1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left" vertical="center"/>
    </xf>
    <xf numFmtId="164" fontId="46" fillId="0" borderId="1" xfId="0" applyNumberFormat="1" applyFont="1" applyBorder="1" applyAlignment="1">
      <alignment horizontal="left" vertical="center" wrapText="1"/>
    </xf>
    <xf numFmtId="164" fontId="46" fillId="0" borderId="1" xfId="0" applyNumberFormat="1" applyFont="1" applyBorder="1" applyAlignment="1">
      <alignment vertical="center" wrapText="1"/>
    </xf>
    <xf numFmtId="0" fontId="63" fillId="0" borderId="1" xfId="0" applyFont="1" applyBorder="1"/>
    <xf numFmtId="0" fontId="64" fillId="0" borderId="1" xfId="0" applyFont="1" applyBorder="1"/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165" fontId="58" fillId="0" borderId="0" xfId="2" applyNumberFormat="1" applyFont="1" applyBorder="1" applyAlignment="1">
      <alignment horizontal="right"/>
    </xf>
    <xf numFmtId="165" fontId="58" fillId="3" borderId="0" xfId="2" applyNumberFormat="1" applyFont="1" applyFill="1" applyBorder="1" applyAlignment="1">
      <alignment horizontal="right"/>
    </xf>
    <xf numFmtId="165" fontId="58" fillId="0" borderId="0" xfId="2" applyNumberFormat="1" applyFont="1" applyAlignment="1">
      <alignment horizontal="right"/>
    </xf>
    <xf numFmtId="165" fontId="58" fillId="3" borderId="0" xfId="2" applyNumberFormat="1" applyFont="1" applyFill="1" applyAlignment="1">
      <alignment horizontal="right"/>
    </xf>
    <xf numFmtId="0" fontId="46" fillId="0" borderId="6" xfId="0" applyFont="1" applyBorder="1" applyAlignment="1">
      <alignment wrapText="1"/>
    </xf>
    <xf numFmtId="0" fontId="65" fillId="0" borderId="1" xfId="0" applyFont="1" applyBorder="1"/>
    <xf numFmtId="164" fontId="59" fillId="0" borderId="6" xfId="0" applyNumberFormat="1" applyFont="1" applyBorder="1" applyAlignment="1">
      <alignment vertical="center" wrapText="1"/>
    </xf>
    <xf numFmtId="0" fontId="67" fillId="0" borderId="1" xfId="0" applyFont="1" applyBorder="1"/>
    <xf numFmtId="164" fontId="46" fillId="0" borderId="1" xfId="0" applyNumberFormat="1" applyFont="1" applyBorder="1" applyAlignment="1">
      <alignment horizontal="right" vertical="center" wrapText="1"/>
    </xf>
    <xf numFmtId="0" fontId="68" fillId="0" borderId="1" xfId="0" applyFont="1" applyBorder="1" applyAlignment="1">
      <alignment horizontal="left" vertical="center"/>
    </xf>
    <xf numFmtId="0" fontId="68" fillId="0" borderId="1" xfId="0" applyFont="1" applyBorder="1" applyAlignment="1">
      <alignment horizontal="left" vertical="center" wrapText="1"/>
    </xf>
    <xf numFmtId="165" fontId="61" fillId="0" borderId="1" xfId="2" applyNumberFormat="1" applyFont="1" applyBorder="1" applyAlignment="1">
      <alignment horizontal="right"/>
    </xf>
    <xf numFmtId="165" fontId="61" fillId="3" borderId="1" xfId="2" applyNumberFormat="1" applyFont="1" applyFill="1" applyBorder="1" applyAlignment="1">
      <alignment horizontal="right"/>
    </xf>
    <xf numFmtId="0" fontId="68" fillId="0" borderId="1" xfId="0" applyFont="1" applyBorder="1"/>
    <xf numFmtId="164" fontId="48" fillId="3" borderId="5" xfId="0" applyNumberFormat="1" applyFont="1" applyFill="1" applyBorder="1" applyAlignment="1">
      <alignment horizontal="center" vertical="center"/>
    </xf>
    <xf numFmtId="164" fontId="50" fillId="0" borderId="5" xfId="2" applyFont="1" applyBorder="1" applyAlignment="1">
      <alignment horizontal="right" wrapText="1"/>
    </xf>
    <xf numFmtId="164" fontId="54" fillId="0" borderId="5" xfId="0" applyNumberFormat="1" applyFont="1" applyBorder="1" applyAlignment="1">
      <alignment horizontal="center" vertical="center" wrapText="1"/>
    </xf>
    <xf numFmtId="164" fontId="54" fillId="3" borderId="5" xfId="0" applyNumberFormat="1" applyFont="1" applyFill="1" applyBorder="1" applyAlignment="1">
      <alignment horizontal="center" vertical="center" wrapText="1"/>
    </xf>
    <xf numFmtId="164" fontId="56" fillId="2" borderId="1" xfId="2" applyFont="1" applyFill="1" applyBorder="1" applyAlignment="1">
      <alignment horizontal="right" vertical="center" wrapText="1"/>
    </xf>
    <xf numFmtId="164" fontId="58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6" fillId="0" borderId="1" xfId="2" applyFont="1" applyBorder="1" applyAlignment="1">
      <alignment horizontal="right" wrapText="1"/>
    </xf>
    <xf numFmtId="164" fontId="46" fillId="0" borderId="1" xfId="2" applyFont="1" applyBorder="1" applyAlignment="1">
      <alignment horizontal="left" wrapText="1"/>
    </xf>
    <xf numFmtId="164" fontId="46" fillId="0" borderId="1" xfId="2" applyFont="1" applyBorder="1" applyAlignment="1">
      <alignment horizontal="left" vertical="top" wrapText="1"/>
    </xf>
    <xf numFmtId="164" fontId="46" fillId="0" borderId="0" xfId="2" applyFont="1" applyAlignment="1">
      <alignment vertical="center" wrapText="1"/>
    </xf>
    <xf numFmtId="164" fontId="46" fillId="0" borderId="8" xfId="11" applyNumberFormat="1" applyFont="1" applyBorder="1" applyAlignment="1">
      <alignment vertical="center" wrapText="1"/>
    </xf>
    <xf numFmtId="164" fontId="46" fillId="0" borderId="0" xfId="11" applyNumberFormat="1" applyFont="1" applyAlignment="1">
      <alignment vertical="center" wrapText="1"/>
    </xf>
    <xf numFmtId="164" fontId="58" fillId="0" borderId="1" xfId="2" applyFont="1" applyFill="1" applyBorder="1" applyAlignment="1">
      <alignment horizontal="right" wrapText="1"/>
    </xf>
    <xf numFmtId="164" fontId="59" fillId="0" borderId="1" xfId="2" applyFont="1" applyBorder="1" applyAlignment="1">
      <alignment horizontal="left" vertical="top" wrapText="1"/>
    </xf>
    <xf numFmtId="164" fontId="59" fillId="0" borderId="1" xfId="2" applyFont="1" applyBorder="1" applyAlignment="1">
      <alignment horizontal="left" vertical="center" wrapText="1"/>
    </xf>
    <xf numFmtId="164" fontId="62" fillId="3" borderId="5" xfId="2" applyFont="1" applyFill="1" applyBorder="1" applyAlignment="1">
      <alignment horizontal="center" vertical="center" wrapText="1"/>
    </xf>
    <xf numFmtId="164" fontId="54" fillId="0" borderId="5" xfId="2" applyFont="1" applyBorder="1" applyAlignment="1">
      <alignment horizontal="center" vertical="center" wrapText="1"/>
    </xf>
    <xf numFmtId="164" fontId="50" fillId="0" borderId="1" xfId="2" applyFont="1" applyBorder="1" applyAlignment="1">
      <alignment horizontal="right" wrapText="1"/>
    </xf>
    <xf numFmtId="164" fontId="58" fillId="4" borderId="1" xfId="2" applyFont="1" applyFill="1" applyBorder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46" fillId="0" borderId="1" xfId="2" applyFont="1" applyBorder="1" applyAlignment="1">
      <alignment horizontal="center"/>
    </xf>
    <xf numFmtId="164" fontId="66" fillId="0" borderId="1" xfId="2" applyFont="1" applyBorder="1" applyAlignment="1">
      <alignment horizontal="right" wrapText="1" indent="1"/>
    </xf>
    <xf numFmtId="0" fontId="46" fillId="0" borderId="0" xfId="0" applyFont="1" applyAlignment="1">
      <alignment wrapText="1"/>
    </xf>
    <xf numFmtId="164" fontId="46" fillId="0" borderId="0" xfId="0" applyNumberFormat="1" applyFont="1" applyAlignment="1">
      <alignment horizontal="right" wrapText="1"/>
    </xf>
    <xf numFmtId="164" fontId="68" fillId="0" borderId="1" xfId="0" applyNumberFormat="1" applyFont="1" applyBorder="1" applyAlignment="1">
      <alignment horizontal="left" vertical="center" wrapText="1"/>
    </xf>
    <xf numFmtId="164" fontId="68" fillId="0" borderId="1" xfId="0" applyNumberFormat="1" applyFont="1" applyBorder="1"/>
    <xf numFmtId="166" fontId="58" fillId="4" borderId="1" xfId="2" applyNumberFormat="1" applyFont="1" applyFill="1" applyBorder="1" applyAlignment="1">
      <alignment horizontal="right" wrapText="1"/>
    </xf>
    <xf numFmtId="164" fontId="56" fillId="0" borderId="1" xfId="2" applyFont="1" applyBorder="1" applyAlignment="1">
      <alignment horizontal="right"/>
    </xf>
    <xf numFmtId="0" fontId="68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horizontal="left" wrapText="1"/>
    </xf>
    <xf numFmtId="0" fontId="59" fillId="0" borderId="0" xfId="0" applyFont="1" applyAlignment="1">
      <alignment vertical="center" wrapText="1"/>
    </xf>
    <xf numFmtId="164" fontId="59" fillId="0" borderId="0" xfId="0" applyNumberFormat="1" applyFont="1" applyAlignment="1">
      <alignment horizontal="left" vertical="center" wrapText="1"/>
    </xf>
    <xf numFmtId="0" fontId="69" fillId="0" borderId="0" xfId="0" applyFont="1"/>
    <xf numFmtId="0" fontId="70" fillId="0" borderId="0" xfId="0" applyFont="1"/>
    <xf numFmtId="17" fontId="69" fillId="0" borderId="0" xfId="0" applyNumberFormat="1" applyFont="1"/>
    <xf numFmtId="0" fontId="69" fillId="0" borderId="8" xfId="3" applyFont="1" applyBorder="1"/>
    <xf numFmtId="0" fontId="69" fillId="0" borderId="0" xfId="3" applyFont="1"/>
    <xf numFmtId="0" fontId="69" fillId="0" borderId="8" xfId="3" applyFont="1" applyBorder="1" applyAlignment="1">
      <alignment horizontal="center"/>
    </xf>
    <xf numFmtId="0" fontId="69" fillId="0" borderId="0" xfId="3" applyFont="1" applyAlignment="1">
      <alignment horizontal="center"/>
    </xf>
    <xf numFmtId="0" fontId="69" fillId="0" borderId="8" xfId="3" applyFont="1" applyBorder="1" applyAlignment="1">
      <alignment vertical="center"/>
    </xf>
    <xf numFmtId="2" fontId="71" fillId="0" borderId="8" xfId="3" applyNumberFormat="1" applyFont="1" applyBorder="1"/>
    <xf numFmtId="1" fontId="71" fillId="0" borderId="8" xfId="3" applyNumberFormat="1" applyFont="1" applyBorder="1"/>
    <xf numFmtId="2" fontId="69" fillId="0" borderId="0" xfId="3" applyNumberFormat="1" applyFont="1"/>
    <xf numFmtId="0" fontId="70" fillId="0" borderId="8" xfId="3" applyFont="1" applyBorder="1" applyAlignment="1">
      <alignment vertical="center"/>
    </xf>
    <xf numFmtId="2" fontId="69" fillId="0" borderId="0" xfId="25" applyNumberFormat="1" applyFont="1"/>
    <xf numFmtId="0" fontId="69" fillId="0" borderId="1" xfId="3" applyFont="1" applyBorder="1"/>
    <xf numFmtId="2" fontId="69" fillId="0" borderId="1" xfId="3" applyNumberFormat="1" applyFont="1" applyBorder="1"/>
    <xf numFmtId="0" fontId="71" fillId="0" borderId="8" xfId="3" applyFont="1" applyBorder="1"/>
    <xf numFmtId="0" fontId="70" fillId="0" borderId="8" xfId="3" applyFont="1" applyBorder="1"/>
    <xf numFmtId="0" fontId="72" fillId="0" borderId="8" xfId="3" applyFont="1" applyBorder="1" applyAlignment="1">
      <alignment vertical="center"/>
    </xf>
    <xf numFmtId="0" fontId="73" fillId="0" borderId="8" xfId="3" applyFont="1" applyBorder="1" applyAlignment="1">
      <alignment vertical="center"/>
    </xf>
    <xf numFmtId="2" fontId="36" fillId="0" borderId="8" xfId="3" applyNumberFormat="1" applyFont="1" applyBorder="1"/>
    <xf numFmtId="1" fontId="36" fillId="0" borderId="8" xfId="3" applyNumberFormat="1" applyFont="1" applyBorder="1"/>
    <xf numFmtId="0" fontId="70" fillId="0" borderId="0" xfId="3" applyFont="1"/>
    <xf numFmtId="0" fontId="74" fillId="0" borderId="8" xfId="3" applyFont="1" applyBorder="1" applyAlignment="1">
      <alignment vertical="center"/>
    </xf>
    <xf numFmtId="0" fontId="75" fillId="0" borderId="8" xfId="3" applyFont="1" applyBorder="1" applyAlignment="1">
      <alignment vertical="center"/>
    </xf>
    <xf numFmtId="0" fontId="75" fillId="0" borderId="8" xfId="3" applyFont="1" applyBorder="1"/>
    <xf numFmtId="2" fontId="71" fillId="0" borderId="8" xfId="3" applyNumberFormat="1" applyFont="1" applyBorder="1" applyAlignment="1">
      <alignment horizontal="right"/>
    </xf>
    <xf numFmtId="1" fontId="69" fillId="0" borderId="0" xfId="3" applyNumberFormat="1" applyFont="1"/>
    <xf numFmtId="1" fontId="76" fillId="0" borderId="8" xfId="3" applyNumberFormat="1" applyFont="1" applyBorder="1"/>
    <xf numFmtId="1" fontId="0" fillId="0" borderId="8" xfId="3" applyNumberFormat="1" applyFont="1" applyBorder="1"/>
    <xf numFmtId="2" fontId="77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9" fillId="0" borderId="0" xfId="0" applyFont="1" applyAlignment="1">
      <alignment horizontal="center"/>
    </xf>
    <xf numFmtId="2" fontId="39" fillId="0" borderId="8" xfId="3" applyNumberFormat="1" applyFont="1" applyBorder="1"/>
    <xf numFmtId="1" fontId="39" fillId="0" borderId="8" xfId="3" applyNumberFormat="1" applyFont="1" applyBorder="1"/>
    <xf numFmtId="1" fontId="9" fillId="0" borderId="8" xfId="3" applyNumberFormat="1" applyFont="1" applyBorder="1"/>
    <xf numFmtId="2" fontId="9" fillId="0" borderId="8" xfId="3" applyNumberFormat="1" applyFont="1" applyBorder="1"/>
    <xf numFmtId="0" fontId="29" fillId="0" borderId="6" xfId="0" applyFont="1" applyBorder="1" applyAlignment="1">
      <alignment horizontal="left" vertical="center" wrapText="1"/>
    </xf>
    <xf numFmtId="0" fontId="72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76" fillId="0" borderId="8" xfId="3" applyNumberFormat="1" applyFont="1" applyBorder="1"/>
    <xf numFmtId="0" fontId="74" fillId="0" borderId="8" xfId="3" applyFont="1" applyBorder="1"/>
    <xf numFmtId="2" fontId="80" fillId="0" borderId="8" xfId="3" applyNumberFormat="1" applyFont="1" applyBorder="1"/>
    <xf numFmtId="1" fontId="80" fillId="0" borderId="8" xfId="3" applyNumberFormat="1" applyFont="1" applyBorder="1"/>
    <xf numFmtId="2" fontId="81" fillId="0" borderId="8" xfId="3" applyNumberFormat="1" applyFont="1" applyBorder="1"/>
    <xf numFmtId="0" fontId="72" fillId="0" borderId="0" xfId="3" applyFont="1"/>
    <xf numFmtId="0" fontId="69" fillId="0" borderId="0" xfId="3" applyFont="1" applyAlignment="1">
      <alignment vertical="center"/>
    </xf>
    <xf numFmtId="0" fontId="83" fillId="2" borderId="8" xfId="3" applyFont="1" applyFill="1" applyBorder="1" applyAlignment="1">
      <alignment horizontal="center"/>
    </xf>
    <xf numFmtId="0" fontId="84" fillId="3" borderId="8" xfId="3" applyFont="1" applyFill="1" applyBorder="1" applyAlignment="1">
      <alignment vertical="center"/>
    </xf>
    <xf numFmtId="0" fontId="84" fillId="3" borderId="12" xfId="3" applyFont="1" applyFill="1" applyBorder="1" applyAlignment="1">
      <alignment horizontal="center" vertical="center"/>
    </xf>
    <xf numFmtId="0" fontId="84" fillId="3" borderId="8" xfId="3" applyFont="1" applyFill="1" applyBorder="1" applyAlignment="1">
      <alignment horizontal="center" vertical="center" wrapText="1"/>
    </xf>
    <xf numFmtId="0" fontId="84" fillId="3" borderId="8" xfId="3" applyFont="1" applyFill="1" applyBorder="1" applyAlignment="1">
      <alignment horizontal="center" vertical="center"/>
    </xf>
    <xf numFmtId="0" fontId="69" fillId="0" borderId="8" xfId="3" applyFont="1" applyBorder="1" applyAlignment="1">
      <alignment wrapText="1"/>
    </xf>
    <xf numFmtId="0" fontId="84" fillId="3" borderId="8" xfId="3" applyFont="1" applyFill="1" applyBorder="1" applyAlignment="1">
      <alignment vertical="center" wrapText="1"/>
    </xf>
    <xf numFmtId="0" fontId="70" fillId="0" borderId="8" xfId="3" applyFont="1" applyBorder="1" applyAlignment="1">
      <alignment wrapText="1"/>
    </xf>
    <xf numFmtId="0" fontId="29" fillId="0" borderId="8" xfId="3" applyFont="1" applyBorder="1" applyAlignment="1">
      <alignment wrapText="1"/>
    </xf>
    <xf numFmtId="0" fontId="72" fillId="0" borderId="8" xfId="3" applyFont="1" applyBorder="1" applyAlignment="1">
      <alignment wrapText="1"/>
    </xf>
    <xf numFmtId="0" fontId="69" fillId="0" borderId="0" xfId="3" applyFont="1" applyAlignment="1">
      <alignment wrapText="1"/>
    </xf>
    <xf numFmtId="0" fontId="73" fillId="0" borderId="8" xfId="3" applyFont="1" applyBorder="1" applyAlignment="1">
      <alignment wrapText="1"/>
    </xf>
    <xf numFmtId="0" fontId="75" fillId="0" borderId="8" xfId="3" applyFont="1" applyBorder="1" applyAlignment="1">
      <alignment wrapText="1"/>
    </xf>
    <xf numFmtId="0" fontId="83" fillId="10" borderId="8" xfId="3" applyFont="1" applyFill="1" applyBorder="1" applyAlignment="1">
      <alignment vertical="center"/>
    </xf>
    <xf numFmtId="0" fontId="83" fillId="10" borderId="8" xfId="3" applyFont="1" applyFill="1" applyBorder="1"/>
    <xf numFmtId="0" fontId="83" fillId="10" borderId="8" xfId="3" applyFont="1" applyFill="1" applyBorder="1" applyAlignment="1">
      <alignment wrapText="1"/>
    </xf>
    <xf numFmtId="0" fontId="83" fillId="2" borderId="8" xfId="3" applyFont="1" applyFill="1" applyBorder="1" applyAlignment="1">
      <alignment horizontal="center" wrapText="1"/>
    </xf>
    <xf numFmtId="165" fontId="85" fillId="2" borderId="8" xfId="2" applyNumberFormat="1" applyFont="1" applyFill="1" applyBorder="1"/>
    <xf numFmtId="0" fontId="86" fillId="0" borderId="0" xfId="0" applyFont="1"/>
    <xf numFmtId="1" fontId="82" fillId="10" borderId="8" xfId="3" applyNumberFormat="1" applyFont="1" applyFill="1" applyBorder="1"/>
    <xf numFmtId="2" fontId="87" fillId="0" borderId="8" xfId="3" applyNumberFormat="1" applyFont="1" applyBorder="1"/>
    <xf numFmtId="1" fontId="88" fillId="0" borderId="8" xfId="3" applyNumberFormat="1" applyFont="1" applyBorder="1"/>
    <xf numFmtId="0" fontId="75" fillId="0" borderId="0" xfId="3" applyFont="1"/>
    <xf numFmtId="165" fontId="69" fillId="0" borderId="0" xfId="3" applyNumberFormat="1" applyFont="1" applyAlignment="1">
      <alignment vertical="center"/>
    </xf>
    <xf numFmtId="0" fontId="73" fillId="0" borderId="8" xfId="3" applyFont="1" applyBorder="1"/>
    <xf numFmtId="0" fontId="69" fillId="0" borderId="0" xfId="3" applyFont="1" applyAlignment="1">
      <alignment horizontal="center" vertical="center"/>
    </xf>
    <xf numFmtId="0" fontId="69" fillId="0" borderId="1" xfId="3" applyFont="1" applyBorder="1" applyAlignment="1">
      <alignment horizontal="center" vertical="center"/>
    </xf>
    <xf numFmtId="0" fontId="83" fillId="2" borderId="1" xfId="3" applyFont="1" applyFill="1" applyBorder="1" applyAlignment="1">
      <alignment horizontal="center"/>
    </xf>
    <xf numFmtId="0" fontId="70" fillId="0" borderId="1" xfId="3" applyFont="1" applyBorder="1" applyAlignment="1">
      <alignment horizontal="center" vertical="center"/>
    </xf>
    <xf numFmtId="0" fontId="70" fillId="0" borderId="1" xfId="3" applyFont="1" applyBorder="1" applyAlignment="1">
      <alignment vertical="center"/>
    </xf>
    <xf numFmtId="0" fontId="69" fillId="0" borderId="1" xfId="3" applyFont="1" applyBorder="1" applyAlignment="1">
      <alignment vertical="center"/>
    </xf>
    <xf numFmtId="0" fontId="73" fillId="0" borderId="1" xfId="3" applyFont="1" applyBorder="1" applyAlignment="1">
      <alignment vertical="center"/>
    </xf>
    <xf numFmtId="43" fontId="69" fillId="0" borderId="0" xfId="3" applyNumberFormat="1" applyFont="1" applyAlignment="1">
      <alignment horizontal="center"/>
    </xf>
    <xf numFmtId="0" fontId="90" fillId="0" borderId="8" xfId="3" applyFont="1" applyBorder="1" applyAlignment="1">
      <alignment vertical="center"/>
    </xf>
    <xf numFmtId="0" fontId="90" fillId="0" borderId="8" xfId="3" applyFont="1" applyBorder="1"/>
    <xf numFmtId="0" fontId="90" fillId="0" borderId="8" xfId="3" applyFont="1" applyBorder="1" applyAlignment="1">
      <alignment wrapText="1"/>
    </xf>
    <xf numFmtId="2" fontId="91" fillId="0" borderId="8" xfId="3" applyNumberFormat="1" applyFont="1" applyBorder="1"/>
    <xf numFmtId="1" fontId="91" fillId="0" borderId="8" xfId="3" applyNumberFormat="1" applyFont="1" applyBorder="1"/>
    <xf numFmtId="1" fontId="38" fillId="0" borderId="8" xfId="3" applyNumberFormat="1" applyFont="1" applyBorder="1"/>
    <xf numFmtId="0" fontId="29" fillId="0" borderId="8" xfId="3" applyFont="1" applyBorder="1" applyAlignment="1">
      <alignment vertical="center"/>
    </xf>
    <xf numFmtId="0" fontId="29" fillId="0" borderId="8" xfId="3" applyFont="1" applyBorder="1"/>
    <xf numFmtId="2" fontId="38" fillId="0" borderId="8" xfId="3" applyNumberFormat="1" applyFont="1" applyBorder="1"/>
    <xf numFmtId="1" fontId="92" fillId="10" borderId="8" xfId="3" applyNumberFormat="1" applyFont="1" applyFill="1" applyBorder="1"/>
    <xf numFmtId="168" fontId="71" fillId="0" borderId="8" xfId="3" applyNumberFormat="1" applyFont="1" applyBorder="1"/>
    <xf numFmtId="2" fontId="92" fillId="10" borderId="8" xfId="3" applyNumberFormat="1" applyFont="1" applyFill="1" applyBorder="1"/>
    <xf numFmtId="168" fontId="76" fillId="0" borderId="8" xfId="3" applyNumberFormat="1" applyFont="1" applyBorder="1"/>
    <xf numFmtId="2" fontId="80" fillId="0" borderId="8" xfId="3" applyNumberFormat="1" applyFont="1" applyBorder="1" applyAlignment="1">
      <alignment horizontal="right"/>
    </xf>
    <xf numFmtId="0" fontId="72" fillId="0" borderId="6" xfId="0" applyFont="1" applyBorder="1" applyAlignment="1">
      <alignment vertical="center" wrapText="1"/>
    </xf>
    <xf numFmtId="1" fontId="93" fillId="0" borderId="8" xfId="3" applyNumberFormat="1" applyFont="1" applyBorder="1"/>
    <xf numFmtId="0" fontId="29" fillId="0" borderId="0" xfId="3" applyFont="1"/>
    <xf numFmtId="164" fontId="85" fillId="2" borderId="8" xfId="2" applyFont="1" applyFill="1" applyBorder="1"/>
    <xf numFmtId="0" fontId="69" fillId="0" borderId="8" xfId="3" applyFont="1" applyBorder="1" applyAlignment="1">
      <alignment horizontal="left" wrapText="1"/>
    </xf>
    <xf numFmtId="0" fontId="84" fillId="3" borderId="8" xfId="3" applyFont="1" applyFill="1" applyBorder="1" applyAlignment="1">
      <alignment horizontal="left" vertical="center" wrapText="1"/>
    </xf>
    <xf numFmtId="0" fontId="55" fillId="3" borderId="8" xfId="3" applyFont="1" applyFill="1" applyBorder="1" applyAlignment="1">
      <alignment vertical="center"/>
    </xf>
    <xf numFmtId="0" fontId="94" fillId="3" borderId="8" xfId="3" applyFont="1" applyFill="1" applyBorder="1" applyAlignment="1">
      <alignment vertical="center"/>
    </xf>
    <xf numFmtId="0" fontId="94" fillId="3" borderId="8" xfId="3" applyFont="1" applyFill="1" applyBorder="1" applyAlignment="1">
      <alignment horizontal="left" vertical="center" wrapText="1"/>
    </xf>
    <xf numFmtId="2" fontId="95" fillId="3" borderId="8" xfId="3" applyNumberFormat="1" applyFont="1" applyFill="1" applyBorder="1" applyAlignment="1">
      <alignment horizontal="center" vertical="center"/>
    </xf>
    <xf numFmtId="2" fontId="96" fillId="0" borderId="8" xfId="3" applyNumberFormat="1" applyFont="1" applyBorder="1"/>
    <xf numFmtId="0" fontId="70" fillId="0" borderId="1" xfId="3" applyFont="1" applyBorder="1" applyAlignment="1">
      <alignment horizontal="left" vertical="center"/>
    </xf>
    <xf numFmtId="2" fontId="97" fillId="0" borderId="1" xfId="0" applyNumberFormat="1" applyFont="1" applyBorder="1" applyAlignment="1">
      <alignment horizontal="center" vertical="center"/>
    </xf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70" fillId="0" borderId="1" xfId="3" applyFont="1" applyBorder="1"/>
    <xf numFmtId="2" fontId="96" fillId="0" borderId="8" xfId="3" applyNumberFormat="1" applyFont="1" applyBorder="1" applyAlignment="1">
      <alignment horizontal="center"/>
    </xf>
    <xf numFmtId="0" fontId="72" fillId="0" borderId="1" xfId="3" applyFont="1" applyBorder="1" applyAlignment="1">
      <alignment vertical="center"/>
    </xf>
    <xf numFmtId="0" fontId="73" fillId="0" borderId="8" xfId="3" applyFont="1" applyBorder="1" applyAlignment="1">
      <alignment horizontal="left" wrapText="1"/>
    </xf>
    <xf numFmtId="2" fontId="98" fillId="0" borderId="8" xfId="3" applyNumberFormat="1" applyFont="1" applyBorder="1" applyAlignment="1">
      <alignment horizontal="center"/>
    </xf>
    <xf numFmtId="0" fontId="75" fillId="0" borderId="1" xfId="3" applyFont="1" applyBorder="1" applyAlignment="1">
      <alignment vertical="center"/>
    </xf>
    <xf numFmtId="0" fontId="75" fillId="0" borderId="1" xfId="3" applyFont="1" applyBorder="1" applyAlignment="1">
      <alignment horizontal="center" vertical="center"/>
    </xf>
    <xf numFmtId="0" fontId="75" fillId="0" borderId="1" xfId="3" applyFont="1" applyBorder="1" applyAlignment="1">
      <alignment horizontal="left" vertical="center"/>
    </xf>
    <xf numFmtId="2" fontId="99" fillId="0" borderId="1" xfId="0" applyNumberFormat="1" applyFont="1" applyBorder="1" applyAlignment="1">
      <alignment horizontal="center" vertical="center"/>
    </xf>
    <xf numFmtId="0" fontId="69" fillId="0" borderId="0" xfId="3" applyFont="1" applyAlignment="1">
      <alignment horizontal="left" vertical="center"/>
    </xf>
    <xf numFmtId="2" fontId="96" fillId="0" borderId="0" xfId="0" applyNumberFormat="1" applyFont="1" applyAlignment="1">
      <alignment horizontal="center" vertical="center"/>
    </xf>
    <xf numFmtId="2" fontId="97" fillId="0" borderId="0" xfId="3" applyNumberFormat="1" applyFont="1"/>
    <xf numFmtId="0" fontId="69" fillId="0" borderId="0" xfId="3" applyFont="1" applyAlignment="1">
      <alignment horizontal="left" wrapText="1"/>
    </xf>
    <xf numFmtId="2" fontId="96" fillId="0" borderId="0" xfId="3" applyNumberFormat="1" applyFont="1"/>
    <xf numFmtId="2" fontId="96" fillId="0" borderId="0" xfId="3" applyNumberFormat="1" applyFont="1" applyAlignment="1">
      <alignment horizontal="center"/>
    </xf>
    <xf numFmtId="0" fontId="69" fillId="0" borderId="0" xfId="3" applyFont="1" applyAlignment="1">
      <alignment horizontal="left"/>
    </xf>
    <xf numFmtId="0" fontId="100" fillId="0" borderId="0" xfId="3" applyFont="1"/>
    <xf numFmtId="0" fontId="100" fillId="0" borderId="0" xfId="3" applyFont="1" applyAlignment="1">
      <alignment vertical="center"/>
    </xf>
    <xf numFmtId="0" fontId="100" fillId="0" borderId="0" xfId="3" applyFont="1" applyAlignment="1">
      <alignment horizontal="center"/>
    </xf>
    <xf numFmtId="0" fontId="100" fillId="0" borderId="0" xfId="3" applyFont="1" applyAlignment="1">
      <alignment horizontal="left" wrapText="1"/>
    </xf>
    <xf numFmtId="0" fontId="57" fillId="0" borderId="1" xfId="3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2" fontId="101" fillId="0" borderId="1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2" fontId="102" fillId="0" borderId="1" xfId="3" applyNumberFormat="1" applyFont="1" applyBorder="1" applyAlignment="1">
      <alignment horizontal="center" vertical="center"/>
    </xf>
    <xf numFmtId="0" fontId="44" fillId="0" borderId="0" xfId="3" applyFont="1"/>
    <xf numFmtId="2" fontId="103" fillId="0" borderId="1" xfId="3" applyNumberFormat="1" applyFont="1" applyBorder="1" applyAlignment="1">
      <alignment horizontal="center"/>
    </xf>
    <xf numFmtId="1" fontId="103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 wrapText="1"/>
    </xf>
    <xf numFmtId="2" fontId="102" fillId="0" borderId="1" xfId="3" applyNumberFormat="1" applyFont="1" applyBorder="1" applyAlignment="1">
      <alignment horizontal="center" vertical="center" wrapText="1"/>
    </xf>
    <xf numFmtId="2" fontId="102" fillId="0" borderId="1" xfId="3" applyNumberFormat="1" applyFont="1" applyBorder="1" applyAlignment="1">
      <alignment horizontal="center" wrapText="1"/>
    </xf>
    <xf numFmtId="0" fontId="68" fillId="0" borderId="1" xfId="3" applyFont="1" applyBorder="1" applyAlignment="1">
      <alignment vertical="center" wrapText="1"/>
    </xf>
    <xf numFmtId="0" fontId="57" fillId="0" borderId="1" xfId="3" applyFont="1" applyBorder="1"/>
    <xf numFmtId="2" fontId="101" fillId="0" borderId="1" xfId="3" applyNumberFormat="1" applyFont="1" applyBorder="1" applyAlignment="1">
      <alignment horizontal="center"/>
    </xf>
    <xf numFmtId="0" fontId="4" fillId="0" borderId="1" xfId="3" applyBorder="1"/>
    <xf numFmtId="2" fontId="103" fillId="0" borderId="1" xfId="3" applyNumberFormat="1" applyFont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4" fillId="0" borderId="0" xfId="3"/>
    <xf numFmtId="2" fontId="104" fillId="0" borderId="1" xfId="3" applyNumberFormat="1" applyFont="1" applyBorder="1" applyAlignment="1">
      <alignment horizontal="center" vertical="center"/>
    </xf>
    <xf numFmtId="0" fontId="68" fillId="0" borderId="1" xfId="3" applyFont="1" applyBorder="1" applyAlignment="1">
      <alignment vertical="center"/>
    </xf>
    <xf numFmtId="0" fontId="44" fillId="0" borderId="0" xfId="3" applyFont="1" applyAlignment="1">
      <alignment horizontal="center"/>
    </xf>
    <xf numFmtId="2" fontId="102" fillId="0" borderId="1" xfId="3" applyNumberFormat="1" applyFont="1" applyBorder="1" applyAlignment="1">
      <alignment horizontal="left" vertical="center"/>
    </xf>
    <xf numFmtId="1" fontId="102" fillId="0" borderId="1" xfId="3" applyNumberFormat="1" applyFont="1" applyBorder="1" applyAlignment="1">
      <alignment horizontal="left" vertical="center"/>
    </xf>
    <xf numFmtId="0" fontId="44" fillId="0" borderId="0" xfId="3" applyFont="1" applyAlignment="1">
      <alignment horizontal="left" vertical="center"/>
    </xf>
    <xf numFmtId="0" fontId="70" fillId="0" borderId="8" xfId="3" applyFont="1" applyBorder="1" applyAlignment="1">
      <alignment horizontal="center" vertical="center"/>
    </xf>
    <xf numFmtId="0" fontId="70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73" fillId="0" borderId="8" xfId="3" applyFont="1" applyBorder="1" applyAlignment="1">
      <alignment horizontal="center" vertical="center"/>
    </xf>
    <xf numFmtId="0" fontId="73" fillId="0" borderId="8" xfId="3" applyFont="1" applyBorder="1" applyAlignment="1">
      <alignment horizontal="left" vertical="center"/>
    </xf>
    <xf numFmtId="2" fontId="98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7" fillId="0" borderId="8" xfId="3" applyNumberFormat="1" applyFont="1" applyBorder="1"/>
    <xf numFmtId="0" fontId="3" fillId="0" borderId="1" xfId="3" applyFont="1" applyBorder="1"/>
    <xf numFmtId="1" fontId="101" fillId="0" borderId="1" xfId="3" applyNumberFormat="1" applyFont="1" applyBorder="1" applyAlignment="1">
      <alignment horizontal="center"/>
    </xf>
    <xf numFmtId="1" fontId="96" fillId="0" borderId="1" xfId="0" applyNumberFormat="1" applyFont="1" applyBorder="1" applyAlignment="1">
      <alignment horizontal="center" vertical="center"/>
    </xf>
    <xf numFmtId="1" fontId="96" fillId="0" borderId="8" xfId="3" applyNumberFormat="1" applyFont="1" applyBorder="1"/>
    <xf numFmtId="1" fontId="97" fillId="0" borderId="1" xfId="0" applyNumberFormat="1" applyFont="1" applyBorder="1" applyAlignment="1">
      <alignment horizontal="center" vertical="center"/>
    </xf>
    <xf numFmtId="0" fontId="69" fillId="0" borderId="1" xfId="3" applyFont="1" applyBorder="1" applyAlignment="1">
      <alignment horizontal="left" wrapText="1"/>
    </xf>
    <xf numFmtId="0" fontId="84" fillId="3" borderId="1" xfId="3" applyFont="1" applyFill="1" applyBorder="1" applyAlignment="1">
      <alignment vertical="center"/>
    </xf>
    <xf numFmtId="0" fontId="84" fillId="3" borderId="1" xfId="3" applyFont="1" applyFill="1" applyBorder="1" applyAlignment="1">
      <alignment horizontal="left" vertical="center" wrapText="1"/>
    </xf>
    <xf numFmtId="0" fontId="84" fillId="3" borderId="1" xfId="3" applyFont="1" applyFill="1" applyBorder="1" applyAlignment="1">
      <alignment horizontal="center" vertical="center"/>
    </xf>
    <xf numFmtId="0" fontId="69" fillId="0" borderId="1" xfId="3" applyFont="1" applyBorder="1" applyAlignment="1">
      <alignment horizontal="center"/>
    </xf>
    <xf numFmtId="0" fontId="83" fillId="2" borderId="1" xfId="3" applyFont="1" applyFill="1" applyBorder="1" applyAlignment="1">
      <alignment horizontal="center" wrapText="1"/>
    </xf>
    <xf numFmtId="165" fontId="85" fillId="2" borderId="1" xfId="2" applyNumberFormat="1" applyFont="1" applyFill="1" applyBorder="1"/>
    <xf numFmtId="2" fontId="71" fillId="0" borderId="1" xfId="3" applyNumberFormat="1" applyFont="1" applyBorder="1"/>
    <xf numFmtId="2" fontId="96" fillId="0" borderId="1" xfId="3" applyNumberFormat="1" applyFont="1" applyBorder="1"/>
    <xf numFmtId="0" fontId="55" fillId="3" borderId="1" xfId="3" applyFont="1" applyFill="1" applyBorder="1" applyAlignment="1">
      <alignment vertical="center"/>
    </xf>
    <xf numFmtId="0" fontId="94" fillId="3" borderId="1" xfId="3" applyFont="1" applyFill="1" applyBorder="1" applyAlignment="1">
      <alignment vertical="center"/>
    </xf>
    <xf numFmtId="0" fontId="94" fillId="3" borderId="1" xfId="3" applyFont="1" applyFill="1" applyBorder="1" applyAlignment="1">
      <alignment horizontal="left" vertical="center" wrapText="1"/>
    </xf>
    <xf numFmtId="2" fontId="95" fillId="3" borderId="1" xfId="3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0" xfId="3" applyFont="1"/>
    <xf numFmtId="0" fontId="3" fillId="0" borderId="1" xfId="3" applyFont="1" applyBorder="1" applyAlignment="1">
      <alignment vertical="center"/>
    </xf>
    <xf numFmtId="0" fontId="3" fillId="0" borderId="0" xfId="3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3" fillId="0" borderId="1" xfId="0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3" fillId="0" borderId="4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wrapText="1"/>
    </xf>
    <xf numFmtId="165" fontId="3" fillId="0" borderId="1" xfId="2" applyNumberFormat="1" applyFont="1" applyBorder="1" applyAlignment="1">
      <alignment horizontal="right" wrapText="1"/>
    </xf>
    <xf numFmtId="164" fontId="3" fillId="0" borderId="1" xfId="2" applyFont="1" applyBorder="1" applyAlignment="1">
      <alignment horizontal="right" wrapText="1"/>
    </xf>
    <xf numFmtId="49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wrapText="1"/>
    </xf>
    <xf numFmtId="164" fontId="3" fillId="0" borderId="7" xfId="2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 wrapText="1"/>
    </xf>
    <xf numFmtId="164" fontId="3" fillId="0" borderId="7" xfId="2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top"/>
    </xf>
    <xf numFmtId="164" fontId="3" fillId="0" borderId="1" xfId="2" applyFont="1" applyBorder="1"/>
    <xf numFmtId="0" fontId="3" fillId="0" borderId="1" xfId="0" applyFont="1" applyBorder="1" applyAlignment="1">
      <alignment horizontal="left" vertical="top" wrapText="1"/>
    </xf>
    <xf numFmtId="164" fontId="3" fillId="0" borderId="1" xfId="2" applyFont="1" applyBorder="1" applyAlignment="1">
      <alignment horizontal="left" wrapText="1"/>
    </xf>
    <xf numFmtId="165" fontId="3" fillId="0" borderId="1" xfId="2" applyNumberFormat="1" applyFont="1" applyBorder="1" applyAlignment="1">
      <alignment horizontal="left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9" applyFont="1" applyBorder="1" applyAlignment="1">
      <alignment horizontal="left" vertical="center"/>
    </xf>
    <xf numFmtId="165" fontId="3" fillId="0" borderId="1" xfId="2" applyNumberFormat="1" applyFont="1" applyBorder="1" applyAlignment="1">
      <alignment horizontal="center" vertical="center"/>
    </xf>
    <xf numFmtId="164" fontId="3" fillId="0" borderId="1" xfId="2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3" fillId="0" borderId="0" xfId="0" applyFont="1"/>
    <xf numFmtId="49" fontId="3" fillId="0" borderId="0" xfId="0" applyNumberFormat="1" applyFont="1" applyAlignment="1">
      <alignment wrapText="1"/>
    </xf>
    <xf numFmtId="165" fontId="3" fillId="0" borderId="0" xfId="0" applyNumberFormat="1" applyFont="1"/>
    <xf numFmtId="164" fontId="3" fillId="0" borderId="0" xfId="0" applyNumberFormat="1" applyFont="1"/>
    <xf numFmtId="165" fontId="3" fillId="0" borderId="1" xfId="2" applyNumberFormat="1" applyFont="1" applyBorder="1" applyAlignment="1">
      <alignment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69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9" fillId="0" borderId="0" xfId="3" applyNumberFormat="1" applyFont="1" applyAlignment="1">
      <alignment vertical="center"/>
    </xf>
    <xf numFmtId="2" fontId="70" fillId="0" borderId="0" xfId="3" applyNumberFormat="1" applyFont="1" applyAlignment="1">
      <alignment vertical="center"/>
    </xf>
    <xf numFmtId="0" fontId="70" fillId="0" borderId="0" xfId="3" applyFont="1" applyAlignment="1">
      <alignment vertical="center"/>
    </xf>
    <xf numFmtId="1" fontId="0" fillId="0" borderId="0" xfId="0" applyNumberFormat="1"/>
    <xf numFmtId="1" fontId="9" fillId="0" borderId="8" xfId="2" applyNumberFormat="1" applyFont="1" applyBorder="1"/>
    <xf numFmtId="165" fontId="69" fillId="0" borderId="0" xfId="3" applyNumberFormat="1" applyFont="1" applyAlignment="1">
      <alignment horizontal="center" vertical="center"/>
    </xf>
    <xf numFmtId="165" fontId="71" fillId="0" borderId="0" xfId="2" applyNumberFormat="1" applyFont="1" applyAlignment="1">
      <alignment vertical="center"/>
    </xf>
    <xf numFmtId="165" fontId="71" fillId="0" borderId="0" xfId="2" applyNumberFormat="1" applyFont="1"/>
    <xf numFmtId="165" fontId="71" fillId="0" borderId="0" xfId="2" applyNumberFormat="1" applyFont="1" applyAlignment="1">
      <alignment horizontal="center"/>
    </xf>
    <xf numFmtId="165" fontId="71" fillId="0" borderId="0" xfId="3" applyNumberFormat="1" applyFont="1" applyAlignment="1">
      <alignment vertical="center"/>
    </xf>
    <xf numFmtId="0" fontId="71" fillId="0" borderId="0" xfId="3" applyFont="1"/>
    <xf numFmtId="0" fontId="83" fillId="2" borderId="8" xfId="3" applyFont="1" applyFill="1" applyBorder="1" applyAlignment="1">
      <alignment horizontal="center" vertical="center"/>
    </xf>
    <xf numFmtId="0" fontId="69" fillId="0" borderId="8" xfId="0" applyFont="1" applyBorder="1" applyAlignment="1">
      <alignment vertical="center"/>
    </xf>
    <xf numFmtId="0" fontId="29" fillId="0" borderId="8" xfId="3" applyFont="1" applyBorder="1" applyAlignment="1">
      <alignment vertical="center" wrapText="1"/>
    </xf>
    <xf numFmtId="0" fontId="69" fillId="0" borderId="8" xfId="0" applyFont="1" applyBorder="1" applyAlignment="1">
      <alignment vertical="center" wrapText="1"/>
    </xf>
    <xf numFmtId="0" fontId="73" fillId="0" borderId="8" xfId="0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70" fillId="0" borderId="16" xfId="3" applyFont="1" applyBorder="1" applyAlignment="1">
      <alignment vertical="center"/>
    </xf>
    <xf numFmtId="0" fontId="29" fillId="0" borderId="8" xfId="0" applyFont="1" applyBorder="1" applyAlignment="1">
      <alignment horizontal="left" vertical="center" wrapText="1"/>
    </xf>
    <xf numFmtId="0" fontId="73" fillId="0" borderId="8" xfId="0" applyFont="1" applyBorder="1" applyAlignment="1">
      <alignment vertical="center" wrapText="1"/>
    </xf>
    <xf numFmtId="0" fontId="69" fillId="0" borderId="8" xfId="3" applyFont="1" applyBorder="1" applyAlignment="1">
      <alignment horizontal="left" vertical="center" wrapText="1"/>
    </xf>
    <xf numFmtId="0" fontId="59" fillId="0" borderId="0" xfId="0" applyFont="1"/>
    <xf numFmtId="0" fontId="70" fillId="11" borderId="8" xfId="3" applyFont="1" applyFill="1" applyBorder="1" applyAlignment="1">
      <alignment vertical="center"/>
    </xf>
    <xf numFmtId="0" fontId="70" fillId="11" borderId="8" xfId="3" applyFont="1" applyFill="1" applyBorder="1"/>
    <xf numFmtId="0" fontId="70" fillId="11" borderId="8" xfId="3" applyFont="1" applyFill="1" applyBorder="1" applyAlignment="1">
      <alignment wrapText="1"/>
    </xf>
    <xf numFmtId="2" fontId="76" fillId="11" borderId="8" xfId="3" applyNumberFormat="1" applyFont="1" applyFill="1" applyBorder="1"/>
    <xf numFmtId="1" fontId="76" fillId="11" borderId="8" xfId="3" applyNumberFormat="1" applyFont="1" applyFill="1" applyBorder="1"/>
    <xf numFmtId="2" fontId="9" fillId="11" borderId="8" xfId="3" applyNumberFormat="1" applyFont="1" applyFill="1" applyBorder="1"/>
    <xf numFmtId="1" fontId="9" fillId="11" borderId="8" xfId="3" applyNumberFormat="1" applyFont="1" applyFill="1" applyBorder="1"/>
    <xf numFmtId="0" fontId="72" fillId="11" borderId="8" xfId="3" applyFont="1" applyFill="1" applyBorder="1" applyAlignment="1">
      <alignment vertical="center"/>
    </xf>
    <xf numFmtId="0" fontId="72" fillId="11" borderId="8" xfId="3" applyFont="1" applyFill="1" applyBorder="1"/>
    <xf numFmtId="0" fontId="72" fillId="11" borderId="8" xfId="3" applyFont="1" applyFill="1" applyBorder="1" applyAlignment="1">
      <alignment wrapText="1"/>
    </xf>
    <xf numFmtId="2" fontId="80" fillId="11" borderId="8" xfId="3" applyNumberFormat="1" applyFont="1" applyFill="1" applyBorder="1"/>
    <xf numFmtId="1" fontId="80" fillId="11" borderId="8" xfId="3" applyNumberFormat="1" applyFont="1" applyFill="1" applyBorder="1"/>
    <xf numFmtId="2" fontId="80" fillId="11" borderId="8" xfId="3" applyNumberFormat="1" applyFont="1" applyFill="1" applyBorder="1" applyAlignment="1">
      <alignment horizontal="right"/>
    </xf>
    <xf numFmtId="1" fontId="79" fillId="11" borderId="8" xfId="3" applyNumberFormat="1" applyFont="1" applyFill="1" applyBorder="1"/>
    <xf numFmtId="2" fontId="79" fillId="11" borderId="8" xfId="3" applyNumberFormat="1" applyFont="1" applyFill="1" applyBorder="1"/>
    <xf numFmtId="0" fontId="74" fillId="11" borderId="8" xfId="3" applyFont="1" applyFill="1" applyBorder="1" applyAlignment="1">
      <alignment vertical="center"/>
    </xf>
    <xf numFmtId="0" fontId="74" fillId="11" borderId="8" xfId="3" applyFont="1" applyFill="1" applyBorder="1"/>
    <xf numFmtId="1" fontId="9" fillId="11" borderId="8" xfId="2" applyNumberFormat="1" applyFont="1" applyFill="1" applyBorder="1"/>
    <xf numFmtId="0" fontId="90" fillId="11" borderId="8" xfId="3" applyFont="1" applyFill="1" applyBorder="1" applyAlignment="1">
      <alignment vertical="center"/>
    </xf>
    <xf numFmtId="0" fontId="90" fillId="11" borderId="8" xfId="3" applyFont="1" applyFill="1" applyBorder="1"/>
    <xf numFmtId="0" fontId="90" fillId="11" borderId="8" xfId="3" applyFont="1" applyFill="1" applyBorder="1" applyAlignment="1">
      <alignment wrapText="1"/>
    </xf>
    <xf numFmtId="2" fontId="91" fillId="11" borderId="8" xfId="3" applyNumberFormat="1" applyFont="1" applyFill="1" applyBorder="1"/>
    <xf numFmtId="1" fontId="91" fillId="11" borderId="8" xfId="3" applyNumberFormat="1" applyFont="1" applyFill="1" applyBorder="1"/>
    <xf numFmtId="0" fontId="106" fillId="0" borderId="8" xfId="3" applyFont="1" applyBorder="1" applyAlignment="1">
      <alignment wrapText="1"/>
    </xf>
    <xf numFmtId="0" fontId="107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9" fillId="0" borderId="0" xfId="0" applyNumberFormat="1" applyFont="1"/>
    <xf numFmtId="0" fontId="75" fillId="0" borderId="0" xfId="0" applyFont="1"/>
    <xf numFmtId="2" fontId="75" fillId="0" borderId="0" xfId="0" applyNumberFormat="1" applyFont="1"/>
    <xf numFmtId="0" fontId="69" fillId="11" borderId="0" xfId="0" applyFont="1" applyFill="1"/>
    <xf numFmtId="0" fontId="3" fillId="11" borderId="0" xfId="0" applyFont="1" applyFill="1"/>
    <xf numFmtId="2" fontId="69" fillId="11" borderId="0" xfId="0" applyNumberFormat="1" applyFont="1" applyFill="1"/>
    <xf numFmtId="0" fontId="70" fillId="2" borderId="8" xfId="3" applyFont="1" applyFill="1" applyBorder="1" applyAlignment="1">
      <alignment vertical="center"/>
    </xf>
    <xf numFmtId="0" fontId="72" fillId="2" borderId="8" xfId="3" applyFont="1" applyFill="1" applyBorder="1" applyAlignment="1">
      <alignment vertical="center"/>
    </xf>
    <xf numFmtId="0" fontId="74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90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9" fillId="2" borderId="1" xfId="0" applyFont="1" applyFill="1" applyBorder="1" applyAlignment="1">
      <alignment horizontal="right"/>
    </xf>
    <xf numFmtId="0" fontId="69" fillId="11" borderId="1" xfId="0" applyFont="1" applyFill="1" applyBorder="1"/>
    <xf numFmtId="0" fontId="9" fillId="2" borderId="1" xfId="0" applyFont="1" applyFill="1" applyBorder="1"/>
    <xf numFmtId="2" fontId="76" fillId="11" borderId="1" xfId="0" applyNumberFormat="1" applyFont="1" applyFill="1" applyBorder="1"/>
    <xf numFmtId="1" fontId="76" fillId="11" borderId="1" xfId="0" applyNumberFormat="1" applyFont="1" applyFill="1" applyBorder="1"/>
    <xf numFmtId="0" fontId="69" fillId="2" borderId="1" xfId="0" applyFont="1" applyFill="1" applyBorder="1"/>
    <xf numFmtId="0" fontId="69" fillId="11" borderId="1" xfId="0" applyFont="1" applyFill="1" applyBorder="1" applyAlignment="1">
      <alignment horizontal="left"/>
    </xf>
    <xf numFmtId="2" fontId="9" fillId="11" borderId="1" xfId="0" applyNumberFormat="1" applyFont="1" applyFill="1" applyBorder="1"/>
    <xf numFmtId="0" fontId="70" fillId="2" borderId="8" xfId="3" applyFont="1" applyFill="1" applyBorder="1" applyAlignment="1">
      <alignment vertical="center" wrapText="1"/>
    </xf>
    <xf numFmtId="0" fontId="90" fillId="2" borderId="8" xfId="3" applyFont="1" applyFill="1" applyBorder="1" applyAlignment="1">
      <alignment vertical="center"/>
    </xf>
    <xf numFmtId="2" fontId="69" fillId="0" borderId="1" xfId="3" applyNumberFormat="1" applyFont="1" applyBorder="1" applyAlignment="1">
      <alignment vertical="center"/>
    </xf>
    <xf numFmtId="0" fontId="70" fillId="12" borderId="8" xfId="3" applyFont="1" applyFill="1" applyBorder="1" applyAlignment="1">
      <alignment vertical="center"/>
    </xf>
    <xf numFmtId="0" fontId="70" fillId="12" borderId="8" xfId="3" applyFont="1" applyFill="1" applyBorder="1" applyAlignment="1">
      <alignment vertical="center" wrapText="1"/>
    </xf>
    <xf numFmtId="2" fontId="9" fillId="12" borderId="8" xfId="3" applyNumberFormat="1" applyFont="1" applyFill="1" applyBorder="1" applyAlignment="1">
      <alignment vertical="center"/>
    </xf>
    <xf numFmtId="0" fontId="72" fillId="12" borderId="8" xfId="3" applyFont="1" applyFill="1" applyBorder="1" applyAlignment="1">
      <alignment vertical="center"/>
    </xf>
    <xf numFmtId="0" fontId="90" fillId="12" borderId="8" xfId="3" applyFont="1" applyFill="1" applyBorder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165" fontId="109" fillId="3" borderId="8" xfId="2" applyNumberFormat="1" applyFont="1" applyFill="1" applyBorder="1" applyAlignment="1">
      <alignment horizontal="center" vertical="center"/>
    </xf>
    <xf numFmtId="165" fontId="9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3" fillId="2" borderId="8" xfId="3" applyFont="1" applyFill="1" applyBorder="1" applyAlignment="1">
      <alignment horizontal="center" vertical="center" wrapText="1"/>
    </xf>
    <xf numFmtId="0" fontId="69" fillId="0" borderId="16" xfId="3" applyFont="1" applyBorder="1" applyAlignment="1">
      <alignment horizontal="center" vertical="center"/>
    </xf>
    <xf numFmtId="2" fontId="71" fillId="0" borderId="8" xfId="3" applyNumberFormat="1" applyFont="1" applyBorder="1" applyAlignment="1">
      <alignment vertical="center"/>
    </xf>
    <xf numFmtId="1" fontId="71" fillId="0" borderId="8" xfId="3" applyNumberFormat="1" applyFont="1" applyBorder="1" applyAlignment="1">
      <alignment vertical="center"/>
    </xf>
    <xf numFmtId="0" fontId="83" fillId="10" borderId="8" xfId="3" applyFont="1" applyFill="1" applyBorder="1" applyAlignment="1">
      <alignment vertical="center" wrapText="1"/>
    </xf>
    <xf numFmtId="2" fontId="82" fillId="10" borderId="8" xfId="3" applyNumberFormat="1" applyFont="1" applyFill="1" applyBorder="1" applyAlignment="1">
      <alignment vertical="center"/>
    </xf>
    <xf numFmtId="165" fontId="82" fillId="10" borderId="8" xfId="2" applyNumberFormat="1" applyFont="1" applyFill="1" applyBorder="1" applyAlignment="1">
      <alignment vertical="center"/>
    </xf>
    <xf numFmtId="165" fontId="71" fillId="0" borderId="8" xfId="2" applyNumberFormat="1" applyFont="1" applyBorder="1" applyAlignment="1">
      <alignment vertical="center"/>
    </xf>
    <xf numFmtId="2" fontId="76" fillId="2" borderId="8" xfId="3" applyNumberFormat="1" applyFont="1" applyFill="1" applyBorder="1" applyAlignment="1">
      <alignment vertical="center"/>
    </xf>
    <xf numFmtId="165" fontId="76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8" fillId="0" borderId="0" xfId="3" applyFont="1" applyAlignment="1">
      <alignment vertical="center"/>
    </xf>
    <xf numFmtId="0" fontId="73" fillId="0" borderId="8" xfId="3" applyFont="1" applyBorder="1" applyAlignment="1">
      <alignment vertical="center" wrapText="1"/>
    </xf>
    <xf numFmtId="2" fontId="39" fillId="0" borderId="8" xfId="3" applyNumberFormat="1" applyFont="1" applyBorder="1" applyAlignment="1">
      <alignment vertical="center"/>
    </xf>
    <xf numFmtId="165" fontId="39" fillId="0" borderId="8" xfId="2" applyNumberFormat="1" applyFont="1" applyBorder="1" applyAlignment="1">
      <alignment vertical="center"/>
    </xf>
    <xf numFmtId="2" fontId="80" fillId="2" borderId="8" xfId="3" applyNumberFormat="1" applyFont="1" applyFill="1" applyBorder="1" applyAlignment="1">
      <alignment vertical="center"/>
    </xf>
    <xf numFmtId="165" fontId="80" fillId="2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2" fillId="0" borderId="0" xfId="3" applyFont="1" applyAlignment="1">
      <alignment vertical="center"/>
    </xf>
    <xf numFmtId="0" fontId="90" fillId="12" borderId="8" xfId="3" applyFont="1" applyFill="1" applyBorder="1" applyAlignment="1">
      <alignment vertical="center" wrapText="1"/>
    </xf>
    <xf numFmtId="2" fontId="76" fillId="12" borderId="8" xfId="3" applyNumberFormat="1" applyFont="1" applyFill="1" applyBorder="1" applyAlignment="1">
      <alignment vertical="center"/>
    </xf>
    <xf numFmtId="165" fontId="76" fillId="12" borderId="8" xfId="2" applyNumberFormat="1" applyFont="1" applyFill="1" applyBorder="1" applyAlignment="1">
      <alignment vertical="center"/>
    </xf>
    <xf numFmtId="2" fontId="80" fillId="2" borderId="8" xfId="3" applyNumberFormat="1" applyFont="1" applyFill="1" applyBorder="1" applyAlignment="1">
      <alignment horizontal="right" vertical="center"/>
    </xf>
    <xf numFmtId="165" fontId="80" fillId="2" borderId="8" xfId="2" applyNumberFormat="1" applyFont="1" applyFill="1" applyBorder="1" applyAlignment="1">
      <alignment horizontal="right" vertical="center"/>
    </xf>
    <xf numFmtId="0" fontId="72" fillId="12" borderId="8" xfId="3" applyFont="1" applyFill="1" applyBorder="1" applyAlignment="1">
      <alignment vertical="center" wrapText="1"/>
    </xf>
    <xf numFmtId="2" fontId="9" fillId="0" borderId="8" xfId="3" applyNumberFormat="1" applyFont="1" applyBorder="1" applyAlignment="1">
      <alignment vertical="center"/>
    </xf>
    <xf numFmtId="165" fontId="76" fillId="0" borderId="8" xfId="2" applyNumberFormat="1" applyFont="1" applyBorder="1" applyAlignment="1">
      <alignment vertical="center"/>
    </xf>
    <xf numFmtId="2" fontId="77" fillId="0" borderId="8" xfId="3" applyNumberFormat="1" applyFont="1" applyBorder="1" applyAlignment="1">
      <alignment vertical="center"/>
    </xf>
    <xf numFmtId="2" fontId="105" fillId="0" borderId="8" xfId="3" applyNumberFormat="1" applyFont="1" applyBorder="1" applyAlignment="1">
      <alignment vertical="center"/>
    </xf>
    <xf numFmtId="165" fontId="36" fillId="0" borderId="8" xfId="2" applyNumberFormat="1" applyFont="1" applyBorder="1" applyAlignment="1">
      <alignment vertical="center"/>
    </xf>
    <xf numFmtId="2" fontId="81" fillId="0" borderId="8" xfId="3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9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1" fillId="0" borderId="8" xfId="3" applyNumberFormat="1" applyFont="1" applyBorder="1" applyAlignment="1">
      <alignment horizontal="right" vertical="center"/>
    </xf>
    <xf numFmtId="1" fontId="76" fillId="12" borderId="8" xfId="2" applyNumberFormat="1" applyFont="1" applyFill="1" applyBorder="1" applyAlignment="1">
      <alignment vertical="center"/>
    </xf>
    <xf numFmtId="0" fontId="110" fillId="0" borderId="0" xfId="3" applyFont="1" applyAlignment="1">
      <alignment vertical="center"/>
    </xf>
    <xf numFmtId="0" fontId="29" fillId="0" borderId="8" xfId="0" applyFont="1" applyBorder="1" applyAlignment="1">
      <alignment vertical="center"/>
    </xf>
    <xf numFmtId="0" fontId="29" fillId="0" borderId="8" xfId="0" applyFont="1" applyBorder="1" applyAlignment="1">
      <alignment vertical="center" wrapText="1"/>
    </xf>
    <xf numFmtId="2" fontId="35" fillId="0" borderId="8" xfId="0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0" fontId="29" fillId="0" borderId="13" xfId="0" applyFont="1" applyBorder="1" applyAlignment="1">
      <alignment vertical="center"/>
    </xf>
    <xf numFmtId="0" fontId="29" fillId="0" borderId="0" xfId="0" applyFont="1" applyAlignment="1">
      <alignment vertical="center"/>
    </xf>
    <xf numFmtId="2" fontId="92" fillId="10" borderId="8" xfId="3" applyNumberFormat="1" applyFont="1" applyFill="1" applyBorder="1" applyAlignment="1">
      <alignment vertical="center"/>
    </xf>
    <xf numFmtId="165" fontId="92" fillId="10" borderId="8" xfId="2" applyNumberFormat="1" applyFont="1" applyFill="1" applyBorder="1" applyAlignment="1">
      <alignment vertical="center"/>
    </xf>
    <xf numFmtId="0" fontId="73" fillId="0" borderId="16" xfId="3" applyFont="1" applyBorder="1" applyAlignment="1">
      <alignment vertical="center"/>
    </xf>
    <xf numFmtId="0" fontId="75" fillId="0" borderId="0" xfId="3" applyFont="1" applyAlignment="1">
      <alignment vertical="center"/>
    </xf>
    <xf numFmtId="2" fontId="80" fillId="12" borderId="8" xfId="3" applyNumberFormat="1" applyFont="1" applyFill="1" applyBorder="1" applyAlignment="1">
      <alignment vertical="center"/>
    </xf>
    <xf numFmtId="165" fontId="80" fillId="12" borderId="8" xfId="2" applyNumberFormat="1" applyFont="1" applyFill="1" applyBorder="1" applyAlignment="1">
      <alignment vertical="center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0" fontId="29" fillId="0" borderId="16" xfId="3" applyFont="1" applyBorder="1" applyAlignment="1">
      <alignment vertical="center"/>
    </xf>
    <xf numFmtId="0" fontId="29" fillId="0" borderId="0" xfId="3" applyFont="1" applyAlignment="1">
      <alignment vertical="center"/>
    </xf>
    <xf numFmtId="0" fontId="73" fillId="0" borderId="0" xfId="3" applyFont="1" applyAlignment="1">
      <alignment vertical="center"/>
    </xf>
    <xf numFmtId="0" fontId="69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9" fillId="13" borderId="0" xfId="3" applyFont="1" applyFill="1" applyAlignment="1">
      <alignment vertical="center"/>
    </xf>
    <xf numFmtId="0" fontId="69" fillId="13" borderId="0" xfId="3" applyFont="1" applyFill="1" applyAlignment="1">
      <alignment horizontal="center" vertical="center"/>
    </xf>
    <xf numFmtId="0" fontId="70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9" fillId="13" borderId="0" xfId="0" applyFont="1" applyFill="1" applyAlignment="1">
      <alignment vertical="center"/>
    </xf>
    <xf numFmtId="0" fontId="73" fillId="13" borderId="0" xfId="3" applyFont="1" applyFill="1" applyAlignment="1">
      <alignment vertical="center"/>
    </xf>
    <xf numFmtId="0" fontId="29" fillId="13" borderId="0" xfId="3" applyFont="1" applyFill="1" applyAlignment="1">
      <alignment vertical="center"/>
    </xf>
    <xf numFmtId="0" fontId="75" fillId="0" borderId="8" xfId="3" applyFont="1" applyBorder="1" applyAlignment="1">
      <alignment vertical="center" wrapText="1"/>
    </xf>
    <xf numFmtId="0" fontId="72" fillId="2" borderId="8" xfId="3" applyFont="1" applyFill="1" applyBorder="1" applyAlignment="1">
      <alignment vertical="center" wrapText="1"/>
    </xf>
    <xf numFmtId="0" fontId="70" fillId="0" borderId="8" xfId="3" applyFont="1" applyBorder="1" applyAlignment="1">
      <alignment vertical="center" wrapText="1"/>
    </xf>
    <xf numFmtId="0" fontId="90" fillId="2" borderId="8" xfId="3" applyFont="1" applyFill="1" applyBorder="1" applyAlignment="1">
      <alignment vertical="center" wrapText="1"/>
    </xf>
    <xf numFmtId="9" fontId="69" fillId="0" borderId="0" xfId="27" applyFont="1" applyAlignment="1">
      <alignment vertical="center"/>
    </xf>
    <xf numFmtId="165" fontId="109" fillId="3" borderId="8" xfId="2" applyNumberFormat="1" applyFont="1" applyFill="1" applyBorder="1" applyAlignment="1">
      <alignment horizontal="right" vertical="center"/>
    </xf>
    <xf numFmtId="0" fontId="74" fillId="0" borderId="8" xfId="3" applyFont="1" applyBorder="1" applyAlignment="1">
      <alignment vertical="center" wrapText="1"/>
    </xf>
    <xf numFmtId="0" fontId="111" fillId="0" borderId="8" xfId="3" applyFont="1" applyBorder="1" applyAlignment="1">
      <alignment vertical="center" wrapText="1"/>
    </xf>
    <xf numFmtId="0" fontId="90" fillId="14" borderId="8" xfId="3" applyFont="1" applyFill="1" applyBorder="1" applyAlignment="1">
      <alignment vertical="center" wrapText="1"/>
    </xf>
    <xf numFmtId="165" fontId="71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9" fillId="3" borderId="8" xfId="2" applyNumberFormat="1" applyFont="1" applyFill="1" applyBorder="1" applyAlignment="1">
      <alignment horizontal="left" vertical="center"/>
    </xf>
    <xf numFmtId="0" fontId="69" fillId="0" borderId="1" xfId="0" applyFont="1" applyBorder="1"/>
    <xf numFmtId="0" fontId="69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3" fillId="0" borderId="0" xfId="0" applyFont="1"/>
    <xf numFmtId="0" fontId="114" fillId="0" borderId="0" xfId="0" applyFont="1"/>
    <xf numFmtId="0" fontId="113" fillId="0" borderId="0" xfId="0" applyFont="1" applyAlignment="1">
      <alignment horizontal="right"/>
    </xf>
    <xf numFmtId="0" fontId="76" fillId="0" borderId="0" xfId="0" applyFont="1"/>
    <xf numFmtId="2" fontId="76" fillId="0" borderId="0" xfId="0" applyNumberFormat="1" applyFont="1"/>
    <xf numFmtId="0" fontId="71" fillId="0" borderId="0" xfId="0" applyFont="1"/>
    <xf numFmtId="2" fontId="71" fillId="0" borderId="0" xfId="0" applyNumberFormat="1" applyFont="1"/>
    <xf numFmtId="0" fontId="115" fillId="15" borderId="8" xfId="0" applyFont="1" applyFill="1" applyBorder="1" applyAlignment="1">
      <alignment vertical="center" wrapText="1"/>
    </xf>
    <xf numFmtId="0" fontId="69" fillId="0" borderId="1" xfId="0" applyFont="1" applyBorder="1" applyAlignment="1">
      <alignment vertical="center" wrapText="1"/>
    </xf>
    <xf numFmtId="0" fontId="118" fillId="0" borderId="0" xfId="3" applyFont="1" applyAlignment="1">
      <alignment vertical="center"/>
    </xf>
    <xf numFmtId="0" fontId="112" fillId="3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8" fillId="0" borderId="0" xfId="3" applyFont="1" applyAlignment="1">
      <alignment vertical="center" wrapText="1"/>
    </xf>
    <xf numFmtId="0" fontId="118" fillId="0" borderId="0" xfId="3" applyFont="1" applyAlignment="1">
      <alignment horizontal="center" vertical="center"/>
    </xf>
    <xf numFmtId="0" fontId="119" fillId="0" borderId="0" xfId="3" applyFont="1" applyAlignment="1">
      <alignment vertical="center"/>
    </xf>
    <xf numFmtId="0" fontId="120" fillId="0" borderId="0" xfId="3" applyFont="1" applyAlignment="1">
      <alignment vertical="center"/>
    </xf>
    <xf numFmtId="0" fontId="116" fillId="0" borderId="0" xfId="3" applyFont="1" applyAlignment="1">
      <alignment vertical="center"/>
    </xf>
    <xf numFmtId="169" fontId="109" fillId="3" borderId="8" xfId="2" applyNumberFormat="1" applyFont="1" applyFill="1" applyBorder="1" applyAlignment="1">
      <alignment horizontal="center" vertical="center"/>
    </xf>
    <xf numFmtId="2" fontId="9" fillId="2" borderId="8" xfId="3" applyNumberFormat="1" applyFont="1" applyFill="1" applyBorder="1" applyAlignment="1">
      <alignment vertical="center"/>
    </xf>
    <xf numFmtId="165" fontId="9" fillId="2" borderId="8" xfId="2" applyNumberFormat="1" applyFont="1" applyFill="1" applyBorder="1" applyAlignment="1">
      <alignment vertical="center"/>
    </xf>
    <xf numFmtId="165" fontId="9" fillId="0" borderId="8" xfId="2" applyNumberFormat="1" applyFont="1" applyBorder="1" applyAlignment="1">
      <alignment vertical="center"/>
    </xf>
    <xf numFmtId="2" fontId="38" fillId="0" borderId="8" xfId="0" applyNumberFormat="1" applyFont="1" applyBorder="1" applyAlignment="1">
      <alignment vertical="center"/>
    </xf>
    <xf numFmtId="164" fontId="109" fillId="3" borderId="8" xfId="2" applyFont="1" applyFill="1" applyBorder="1" applyAlignment="1">
      <alignment horizontal="center" vertical="center"/>
    </xf>
    <xf numFmtId="164" fontId="79" fillId="2" borderId="8" xfId="2" applyFont="1" applyFill="1" applyBorder="1" applyAlignment="1">
      <alignment vertical="center"/>
    </xf>
    <xf numFmtId="0" fontId="30" fillId="0" borderId="1" xfId="30" applyFont="1" applyBorder="1" applyAlignment="1">
      <alignment horizontal="left" vertical="center"/>
    </xf>
    <xf numFmtId="15" fontId="83" fillId="2" borderId="8" xfId="3" applyNumberFormat="1" applyFont="1" applyFill="1" applyBorder="1" applyAlignment="1">
      <alignment horizontal="center" vertical="center"/>
    </xf>
    <xf numFmtId="15" fontId="84" fillId="3" borderId="8" xfId="3" applyNumberFormat="1" applyFont="1" applyFill="1" applyBorder="1" applyAlignment="1">
      <alignment horizontal="center" vertical="center"/>
    </xf>
    <xf numFmtId="15" fontId="69" fillId="0" borderId="8" xfId="3" applyNumberFormat="1" applyFont="1" applyBorder="1" applyAlignment="1">
      <alignment horizontal="center" vertical="center"/>
    </xf>
    <xf numFmtId="15" fontId="83" fillId="10" borderId="8" xfId="3" applyNumberFormat="1" applyFont="1" applyFill="1" applyBorder="1" applyAlignment="1">
      <alignment horizontal="center" vertical="center"/>
    </xf>
    <xf numFmtId="15" fontId="70" fillId="2" borderId="8" xfId="3" applyNumberFormat="1" applyFont="1" applyFill="1" applyBorder="1" applyAlignment="1">
      <alignment horizontal="center" vertical="center"/>
    </xf>
    <xf numFmtId="15" fontId="69" fillId="0" borderId="0" xfId="3" applyNumberFormat="1" applyFont="1" applyAlignment="1">
      <alignment horizontal="center" vertical="center"/>
    </xf>
    <xf numFmtId="0" fontId="121" fillId="0" borderId="8" xfId="3" applyFont="1" applyBorder="1" applyAlignment="1">
      <alignment vertical="center"/>
    </xf>
    <xf numFmtId="0" fontId="122" fillId="0" borderId="8" xfId="3" applyFont="1" applyBorder="1" applyAlignment="1">
      <alignment vertical="center"/>
    </xf>
    <xf numFmtId="0" fontId="122" fillId="0" borderId="8" xfId="3" applyFont="1" applyBorder="1" applyAlignment="1">
      <alignment vertical="center" wrapText="1"/>
    </xf>
    <xf numFmtId="15" fontId="123" fillId="0" borderId="8" xfId="3" applyNumberFormat="1" applyFont="1" applyBorder="1" applyAlignment="1">
      <alignment vertical="center"/>
    </xf>
    <xf numFmtId="2" fontId="122" fillId="0" borderId="8" xfId="3" applyNumberFormat="1" applyFont="1" applyBorder="1" applyAlignment="1">
      <alignment vertical="center"/>
    </xf>
    <xf numFmtId="0" fontId="121" fillId="0" borderId="0" xfId="3" applyFont="1" applyAlignment="1">
      <alignment vertical="center"/>
    </xf>
    <xf numFmtId="0" fontId="121" fillId="13" borderId="0" xfId="3" applyFont="1" applyFill="1" applyAlignment="1">
      <alignment vertical="center"/>
    </xf>
    <xf numFmtId="2" fontId="124" fillId="0" borderId="8" xfId="3" applyNumberFormat="1" applyFont="1" applyBorder="1" applyAlignment="1">
      <alignment vertical="center"/>
    </xf>
    <xf numFmtId="165" fontId="124" fillId="0" borderId="8" xfId="2" applyNumberFormat="1" applyFont="1" applyBorder="1" applyAlignment="1">
      <alignment vertical="center"/>
    </xf>
    <xf numFmtId="2" fontId="125" fillId="0" borderId="8" xfId="3" applyNumberFormat="1" applyFont="1" applyBorder="1" applyAlignment="1">
      <alignment vertical="center"/>
    </xf>
    <xf numFmtId="0" fontId="121" fillId="0" borderId="16" xfId="3" applyFont="1" applyBorder="1" applyAlignment="1">
      <alignment vertical="center"/>
    </xf>
    <xf numFmtId="14" fontId="121" fillId="0" borderId="0" xfId="3" applyNumberFormat="1" applyFont="1" applyAlignment="1">
      <alignment vertical="center"/>
    </xf>
    <xf numFmtId="0" fontId="126" fillId="0" borderId="1" xfId="0" applyFont="1" applyBorder="1" applyAlignment="1">
      <alignment vertical="center"/>
    </xf>
    <xf numFmtId="0" fontId="70" fillId="0" borderId="1" xfId="0" applyFont="1" applyBorder="1" applyAlignment="1">
      <alignment horizontal="right" vertical="center"/>
    </xf>
    <xf numFmtId="0" fontId="127" fillId="0" borderId="1" xfId="0" applyFont="1" applyBorder="1" applyAlignment="1">
      <alignment horizontal="right" vertical="center"/>
    </xf>
    <xf numFmtId="0" fontId="126" fillId="0" borderId="1" xfId="0" applyFont="1" applyBorder="1" applyAlignment="1">
      <alignment vertical="center" wrapText="1"/>
    </xf>
    <xf numFmtId="170" fontId="126" fillId="0" borderId="1" xfId="0" applyNumberFormat="1" applyFont="1" applyBorder="1" applyAlignment="1">
      <alignment horizontal="center" vertical="center"/>
    </xf>
    <xf numFmtId="170" fontId="126" fillId="0" borderId="1" xfId="0" applyNumberFormat="1" applyFont="1" applyBorder="1" applyAlignment="1">
      <alignment vertical="center"/>
    </xf>
    <xf numFmtId="0" fontId="126" fillId="0" borderId="0" xfId="0" applyFont="1" applyAlignment="1">
      <alignment vertical="center"/>
    </xf>
    <xf numFmtId="0" fontId="126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170" fontId="129" fillId="3" borderId="1" xfId="0" applyNumberFormat="1" applyFont="1" applyFill="1" applyBorder="1" applyAlignment="1">
      <alignment horizontal="center" vertical="center"/>
    </xf>
    <xf numFmtId="170" fontId="128" fillId="0" borderId="1" xfId="0" applyNumberFormat="1" applyFont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165" fontId="69" fillId="0" borderId="1" xfId="31" applyNumberFormat="1" applyFont="1" applyBorder="1" applyAlignment="1">
      <alignment horizontal="center" vertical="center"/>
    </xf>
    <xf numFmtId="0" fontId="130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0" fontId="132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right" wrapText="1"/>
    </xf>
    <xf numFmtId="0" fontId="130" fillId="0" borderId="0" xfId="0" applyFont="1" applyAlignment="1">
      <alignment horizontal="center" vertical="center"/>
    </xf>
    <xf numFmtId="0" fontId="128" fillId="0" borderId="1" xfId="0" applyFont="1" applyBorder="1" applyAlignment="1">
      <alignment vertical="center" wrapText="1"/>
    </xf>
    <xf numFmtId="0" fontId="128" fillId="0" borderId="1" xfId="0" applyFont="1" applyBorder="1" applyAlignment="1">
      <alignment vertical="center"/>
    </xf>
    <xf numFmtId="170" fontId="128" fillId="0" borderId="1" xfId="0" applyNumberFormat="1" applyFont="1" applyBorder="1" applyAlignment="1">
      <alignment vertical="center"/>
    </xf>
    <xf numFmtId="0" fontId="70" fillId="16" borderId="1" xfId="0" applyFont="1" applyFill="1" applyBorder="1" applyAlignment="1">
      <alignment horizontal="right" vertical="center"/>
    </xf>
    <xf numFmtId="0" fontId="127" fillId="16" borderId="1" xfId="0" applyFont="1" applyFill="1" applyBorder="1" applyAlignment="1">
      <alignment horizontal="right" vertical="center"/>
    </xf>
    <xf numFmtId="0" fontId="128" fillId="16" borderId="1" xfId="0" applyFont="1" applyFill="1" applyBorder="1" applyAlignment="1">
      <alignment vertical="center" wrapText="1"/>
    </xf>
    <xf numFmtId="0" fontId="128" fillId="16" borderId="1" xfId="0" applyFont="1" applyFill="1" applyBorder="1" applyAlignment="1">
      <alignment vertical="center"/>
    </xf>
    <xf numFmtId="170" fontId="126" fillId="16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133" fillId="0" borderId="1" xfId="0" applyNumberFormat="1" applyFont="1" applyBorder="1" applyAlignment="1">
      <alignment horizontal="center" vertical="center"/>
    </xf>
    <xf numFmtId="170" fontId="134" fillId="0" borderId="1" xfId="0" applyNumberFormat="1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170" fontId="135" fillId="0" borderId="1" xfId="0" applyNumberFormat="1" applyFont="1" applyBorder="1" applyAlignment="1">
      <alignment vertical="center"/>
    </xf>
    <xf numFmtId="0" fontId="70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vertical="center"/>
    </xf>
    <xf numFmtId="0" fontId="126" fillId="2" borderId="1" xfId="0" applyFont="1" applyFill="1" applyBorder="1" applyAlignment="1">
      <alignment vertical="center"/>
    </xf>
    <xf numFmtId="165" fontId="130" fillId="0" borderId="1" xfId="31" applyNumberFormat="1" applyFont="1" applyBorder="1" applyAlignment="1">
      <alignment horizontal="center" vertical="center"/>
    </xf>
    <xf numFmtId="170" fontId="130" fillId="0" borderId="1" xfId="0" applyNumberFormat="1" applyFont="1" applyBorder="1" applyAlignment="1">
      <alignment horizontal="center" vertical="center"/>
    </xf>
    <xf numFmtId="170" fontId="130" fillId="2" borderId="1" xfId="0" applyNumberFormat="1" applyFont="1" applyFill="1" applyBorder="1" applyAlignment="1">
      <alignment horizontal="center" vertical="center"/>
    </xf>
    <xf numFmtId="170" fontId="136" fillId="0" borderId="1" xfId="0" applyNumberFormat="1" applyFont="1" applyBorder="1" applyAlignment="1">
      <alignment horizontal="center" vertical="center"/>
    </xf>
    <xf numFmtId="170" fontId="136" fillId="2" borderId="1" xfId="0" applyNumberFormat="1" applyFont="1" applyFill="1" applyBorder="1" applyAlignment="1">
      <alignment horizontal="center" vertical="center"/>
    </xf>
    <xf numFmtId="0" fontId="70" fillId="0" borderId="0" xfId="0" applyFont="1" applyAlignment="1">
      <alignment horizontal="right" vertical="center"/>
    </xf>
    <xf numFmtId="0" fontId="69" fillId="0" borderId="0" xfId="0" applyFont="1" applyAlignment="1">
      <alignment vertical="center" wrapText="1"/>
    </xf>
    <xf numFmtId="170" fontId="126" fillId="0" borderId="0" xfId="0" applyNumberFormat="1" applyFont="1" applyAlignment="1">
      <alignment horizontal="center" vertical="center"/>
    </xf>
    <xf numFmtId="170" fontId="126" fillId="0" borderId="0" xfId="0" applyNumberFormat="1" applyFont="1" applyAlignment="1">
      <alignment vertical="center"/>
    </xf>
    <xf numFmtId="1" fontId="69" fillId="0" borderId="1" xfId="0" applyNumberFormat="1" applyFont="1" applyBorder="1" applyAlignment="1">
      <alignment horizontal="right" vertical="center"/>
    </xf>
    <xf numFmtId="170" fontId="137" fillId="0" borderId="1" xfId="0" applyNumberFormat="1" applyFont="1" applyBorder="1" applyAlignment="1">
      <alignment vertical="center"/>
    </xf>
    <xf numFmtId="1" fontId="73" fillId="0" borderId="1" xfId="0" applyNumberFormat="1" applyFont="1" applyBorder="1" applyAlignment="1">
      <alignment horizontal="right" vertical="center"/>
    </xf>
    <xf numFmtId="0" fontId="73" fillId="0" borderId="1" xfId="0" applyFont="1" applyBorder="1" applyAlignment="1">
      <alignment vertical="center"/>
    </xf>
    <xf numFmtId="0" fontId="138" fillId="0" borderId="1" xfId="0" applyFont="1" applyBorder="1" applyAlignment="1">
      <alignment vertical="center"/>
    </xf>
    <xf numFmtId="170" fontId="139" fillId="0" borderId="1" xfId="0" applyNumberFormat="1" applyFont="1" applyBorder="1" applyAlignment="1">
      <alignment vertical="center"/>
    </xf>
    <xf numFmtId="0" fontId="138" fillId="0" borderId="0" xfId="0" applyFont="1" applyAlignment="1">
      <alignment vertical="center"/>
    </xf>
    <xf numFmtId="2" fontId="70" fillId="0" borderId="1" xfId="0" applyNumberFormat="1" applyFont="1" applyBorder="1" applyAlignment="1">
      <alignment horizontal="right" vertical="center"/>
    </xf>
    <xf numFmtId="170" fontId="137" fillId="0" borderId="1" xfId="0" applyNumberFormat="1" applyFont="1" applyBorder="1" applyAlignment="1">
      <alignment horizontal="center" vertical="center"/>
    </xf>
    <xf numFmtId="170" fontId="139" fillId="0" borderId="1" xfId="0" applyNumberFormat="1" applyFont="1" applyBorder="1" applyAlignment="1">
      <alignment horizontal="center" vertical="center"/>
    </xf>
    <xf numFmtId="170" fontId="137" fillId="0" borderId="1" xfId="27" applyNumberFormat="1" applyFont="1" applyBorder="1" applyAlignment="1">
      <alignment horizontal="center" vertical="center"/>
    </xf>
    <xf numFmtId="0" fontId="48" fillId="0" borderId="1" xfId="0" applyFont="1" applyBorder="1" applyAlignment="1">
      <alignment vertical="center" wrapText="1"/>
    </xf>
    <xf numFmtId="170" fontId="137" fillId="0" borderId="1" xfId="0" applyNumberFormat="1" applyFont="1" applyBorder="1" applyAlignment="1">
      <alignment vertical="center" wrapText="1"/>
    </xf>
    <xf numFmtId="0" fontId="127" fillId="0" borderId="0" xfId="0" applyFont="1" applyAlignment="1">
      <alignment horizontal="right" vertical="center"/>
    </xf>
    <xf numFmtId="0" fontId="126" fillId="0" borderId="0" xfId="0" applyFont="1" applyAlignment="1">
      <alignment vertical="center" wrapText="1"/>
    </xf>
    <xf numFmtId="0" fontId="130" fillId="2" borderId="17" xfId="0" applyFont="1" applyFill="1" applyBorder="1" applyAlignment="1">
      <alignment horizontal="center" vertical="center"/>
    </xf>
    <xf numFmtId="0" fontId="121" fillId="0" borderId="8" xfId="3" applyFont="1" applyBorder="1" applyAlignment="1">
      <alignment vertical="center" wrapText="1"/>
    </xf>
    <xf numFmtId="0" fontId="25" fillId="3" borderId="5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left" vertical="center" wrapText="1"/>
    </xf>
    <xf numFmtId="0" fontId="48" fillId="17" borderId="1" xfId="0" applyFont="1" applyFill="1" applyBorder="1" applyAlignment="1">
      <alignment horizontal="left" vertical="center"/>
    </xf>
    <xf numFmtId="0" fontId="48" fillId="17" borderId="1" xfId="0" applyFont="1" applyFill="1" applyBorder="1" applyAlignment="1">
      <alignment horizontal="left" vertical="center" wrapText="1"/>
    </xf>
    <xf numFmtId="0" fontId="84" fillId="3" borderId="14" xfId="3" applyFont="1" applyFill="1" applyBorder="1" applyAlignment="1">
      <alignment horizontal="center" vertical="center"/>
    </xf>
    <xf numFmtId="0" fontId="84" fillId="3" borderId="15" xfId="3" applyFont="1" applyFill="1" applyBorder="1" applyAlignment="1">
      <alignment horizontal="center"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723B7D24-9C9F-4DD2-BAEB-F52967AB8B2F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5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P60" sheet="Goals FY 26-27Q2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9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11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21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24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37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40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42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45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48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51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99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10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9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2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6.bin"/><Relationship Id="rId4" Type="http://schemas.openxmlformats.org/officeDocument/2006/relationships/hyperlink" Target="mailto:TEHPL@various%20locations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0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3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7109375" defaultRowHeight="13.9" outlineLevelRow="2"/>
  <cols>
    <col min="1" max="1" width="1.7109375" style="506" customWidth="1"/>
    <col min="2" max="2" width="14.710937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7109375" style="506"/>
  </cols>
  <sheetData>
    <row r="1" spans="2:7" s="500" customFormat="1" ht="39" customHeight="1">
      <c r="B1" s="499" t="s">
        <v>0</v>
      </c>
      <c r="C1" s="499" t="s">
        <v>1</v>
      </c>
      <c r="D1" s="499" t="s">
        <v>2</v>
      </c>
      <c r="E1" s="499" t="s">
        <v>3</v>
      </c>
      <c r="F1" s="499" t="s">
        <v>4</v>
      </c>
      <c r="G1" s="499" t="s">
        <v>5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6</v>
      </c>
      <c r="C3" s="554" t="s">
        <v>7</v>
      </c>
      <c r="D3" s="503">
        <v>10.4</v>
      </c>
      <c r="E3" s="504"/>
      <c r="F3" s="505"/>
      <c r="G3" s="536"/>
    </row>
    <row r="4" spans="2:7">
      <c r="B4" s="554" t="s">
        <v>6</v>
      </c>
      <c r="C4" s="554" t="s">
        <v>8</v>
      </c>
      <c r="D4" s="507">
        <v>2.2000000000000002</v>
      </c>
      <c r="E4" s="508"/>
      <c r="F4" s="505"/>
      <c r="G4" s="536" t="s">
        <v>9</v>
      </c>
    </row>
    <row r="5" spans="2:7" ht="41.45">
      <c r="B5" s="554" t="s">
        <v>10</v>
      </c>
      <c r="C5" s="554" t="s">
        <v>11</v>
      </c>
      <c r="D5" s="503">
        <v>11.71</v>
      </c>
      <c r="E5" s="509"/>
      <c r="F5" s="510"/>
      <c r="G5" s="554" t="s">
        <v>12</v>
      </c>
    </row>
    <row r="6" spans="2:7" ht="27.6">
      <c r="B6" s="554" t="s">
        <v>10</v>
      </c>
      <c r="C6" s="554" t="s">
        <v>13</v>
      </c>
      <c r="D6" s="511">
        <v>1.4</v>
      </c>
      <c r="E6" s="509"/>
      <c r="F6" s="505"/>
      <c r="G6" s="554" t="s">
        <v>14</v>
      </c>
    </row>
    <row r="7" spans="2:7">
      <c r="B7" s="554" t="s">
        <v>10</v>
      </c>
      <c r="C7" s="554" t="s">
        <v>15</v>
      </c>
      <c r="D7" s="503">
        <v>0.78</v>
      </c>
      <c r="E7" s="504"/>
      <c r="F7" s="505"/>
      <c r="G7" s="536"/>
    </row>
    <row r="8" spans="2:7">
      <c r="B8" s="554" t="s">
        <v>10</v>
      </c>
      <c r="C8" s="554" t="s">
        <v>16</v>
      </c>
      <c r="D8" s="503">
        <v>13.81</v>
      </c>
      <c r="E8" s="504"/>
      <c r="F8" s="505"/>
      <c r="G8" s="428" t="s">
        <v>17</v>
      </c>
    </row>
    <row r="9" spans="2:7">
      <c r="B9" s="554" t="s">
        <v>10</v>
      </c>
      <c r="C9" s="554" t="s">
        <v>18</v>
      </c>
      <c r="D9" s="503">
        <v>0.11</v>
      </c>
      <c r="E9" s="504"/>
      <c r="F9" s="505"/>
      <c r="G9" s="536"/>
    </row>
    <row r="10" spans="2:7">
      <c r="B10" s="554" t="s">
        <v>10</v>
      </c>
      <c r="C10" s="554" t="s">
        <v>19</v>
      </c>
      <c r="D10" s="503">
        <v>1.18</v>
      </c>
      <c r="E10" s="504"/>
      <c r="F10" s="505"/>
      <c r="G10" s="554" t="s">
        <v>17</v>
      </c>
    </row>
    <row r="11" spans="2:7">
      <c r="B11" s="554" t="s">
        <v>20</v>
      </c>
      <c r="C11" s="554" t="s">
        <v>21</v>
      </c>
      <c r="D11" s="503">
        <v>0.36</v>
      </c>
      <c r="E11" s="504"/>
      <c r="F11" s="505"/>
      <c r="G11" s="536"/>
    </row>
    <row r="12" spans="2:7">
      <c r="B12" s="554" t="s">
        <v>20</v>
      </c>
      <c r="C12" s="554" t="s">
        <v>22</v>
      </c>
      <c r="D12" s="503">
        <v>0.62</v>
      </c>
      <c r="E12" s="504"/>
      <c r="F12" s="505"/>
      <c r="G12" s="536"/>
    </row>
    <row r="13" spans="2:7">
      <c r="B13" s="554" t="s">
        <v>20</v>
      </c>
      <c r="C13" s="554" t="s">
        <v>23</v>
      </c>
      <c r="D13" s="503">
        <v>14.74</v>
      </c>
      <c r="E13" s="504"/>
      <c r="F13" s="505"/>
      <c r="G13" s="428" t="s">
        <v>17</v>
      </c>
    </row>
    <row r="14" spans="2:7">
      <c r="B14" s="554" t="s">
        <v>20</v>
      </c>
      <c r="C14" s="554" t="s">
        <v>24</v>
      </c>
      <c r="D14" s="503">
        <v>2.75</v>
      </c>
      <c r="E14" s="504"/>
      <c r="F14" s="505"/>
      <c r="G14" s="422" t="s">
        <v>25</v>
      </c>
    </row>
    <row r="15" spans="2:7">
      <c r="B15" s="554" t="s">
        <v>20</v>
      </c>
      <c r="C15" s="554" t="s">
        <v>26</v>
      </c>
      <c r="D15" s="503">
        <v>1.61</v>
      </c>
      <c r="E15" s="504"/>
      <c r="F15" s="505"/>
      <c r="G15" s="536"/>
    </row>
    <row r="16" spans="2:7" s="524" customFormat="1">
      <c r="B16" s="555" t="s">
        <v>27</v>
      </c>
      <c r="C16" s="555" t="s">
        <v>28</v>
      </c>
      <c r="D16" s="505">
        <v>5.88</v>
      </c>
      <c r="E16" s="523"/>
      <c r="F16" s="522"/>
      <c r="G16" s="630" t="s">
        <v>29</v>
      </c>
    </row>
    <row r="17" spans="2:7">
      <c r="B17" s="554" t="s">
        <v>27</v>
      </c>
      <c r="C17" s="554" t="s">
        <v>30</v>
      </c>
      <c r="D17" s="503">
        <v>0.85</v>
      </c>
      <c r="E17" s="504"/>
      <c r="F17" s="505"/>
      <c r="G17" s="536"/>
    </row>
    <row r="18" spans="2:7">
      <c r="B18" s="554" t="s">
        <v>27</v>
      </c>
      <c r="C18" s="554" t="s">
        <v>31</v>
      </c>
      <c r="D18" s="503">
        <v>0.33</v>
      </c>
      <c r="E18" s="504"/>
      <c r="F18" s="505"/>
      <c r="G18" s="536" t="s">
        <v>32</v>
      </c>
    </row>
    <row r="19" spans="2:7">
      <c r="B19" s="554" t="s">
        <v>27</v>
      </c>
      <c r="C19" s="554" t="s">
        <v>33</v>
      </c>
      <c r="D19" s="503">
        <v>0.38</v>
      </c>
      <c r="E19" s="504"/>
      <c r="F19" s="505"/>
      <c r="G19" s="536"/>
    </row>
    <row r="20" spans="2:7">
      <c r="B20" s="554" t="s">
        <v>27</v>
      </c>
      <c r="C20" s="554" t="s">
        <v>34</v>
      </c>
      <c r="D20" s="503">
        <v>0.17</v>
      </c>
      <c r="E20" s="504"/>
      <c r="F20" s="505"/>
      <c r="G20" s="536"/>
    </row>
    <row r="21" spans="2:7">
      <c r="B21" s="554" t="s">
        <v>27</v>
      </c>
      <c r="C21" s="554" t="s">
        <v>35</v>
      </c>
      <c r="D21" s="503">
        <v>0.06</v>
      </c>
      <c r="E21" s="504"/>
      <c r="F21" s="505"/>
      <c r="G21" s="559" t="s">
        <v>36</v>
      </c>
    </row>
    <row r="22" spans="2:7">
      <c r="B22" s="554" t="s">
        <v>27</v>
      </c>
      <c r="C22" s="554" t="s">
        <v>37</v>
      </c>
      <c r="D22" s="503">
        <v>0.28999999999999998</v>
      </c>
      <c r="E22" s="504"/>
      <c r="F22" s="505"/>
      <c r="G22" s="406" t="s">
        <v>38</v>
      </c>
    </row>
    <row r="23" spans="2:7">
      <c r="B23" s="554" t="s">
        <v>27</v>
      </c>
      <c r="C23" s="554" t="s">
        <v>39</v>
      </c>
      <c r="D23" s="503">
        <v>0.51</v>
      </c>
      <c r="E23" s="504"/>
      <c r="F23" s="505"/>
      <c r="G23" s="536"/>
    </row>
    <row r="24" spans="2:7">
      <c r="B24" s="554" t="s">
        <v>40</v>
      </c>
      <c r="C24" s="554" t="s">
        <v>41</v>
      </c>
      <c r="D24" s="503">
        <v>4.0000000000000001E-3</v>
      </c>
      <c r="E24" s="504"/>
      <c r="F24" s="505"/>
      <c r="G24" s="536"/>
    </row>
    <row r="25" spans="2:7">
      <c r="B25" s="554" t="s">
        <v>40</v>
      </c>
      <c r="C25" s="554" t="s">
        <v>42</v>
      </c>
      <c r="D25" s="503">
        <v>0.7</v>
      </c>
      <c r="E25" s="504"/>
      <c r="F25" s="505"/>
      <c r="G25" s="536"/>
    </row>
    <row r="26" spans="2:7">
      <c r="B26" s="554" t="s">
        <v>40</v>
      </c>
      <c r="C26" s="512" t="s">
        <v>43</v>
      </c>
      <c r="D26" s="503"/>
      <c r="E26" s="504"/>
      <c r="F26" s="505"/>
      <c r="G26" s="536"/>
    </row>
    <row r="27" spans="2:7">
      <c r="B27" s="554" t="s">
        <v>40</v>
      </c>
      <c r="C27" s="554" t="s">
        <v>44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45</v>
      </c>
      <c r="C29" s="513" t="s">
        <v>46</v>
      </c>
      <c r="D29" s="514">
        <f>SUM(D30:D34)</f>
        <v>0</v>
      </c>
      <c r="E29" s="504"/>
      <c r="F29" s="505"/>
      <c r="G29" s="536"/>
    </row>
    <row r="30" spans="2:7" s="518" customFormat="1" ht="14.45" outlineLevel="2">
      <c r="B30" s="536" t="s">
        <v>47</v>
      </c>
      <c r="C30" s="557" t="s">
        <v>48</v>
      </c>
      <c r="D30" s="503"/>
      <c r="E30" s="504"/>
      <c r="F30" s="516"/>
      <c r="G30" s="557" t="s">
        <v>49</v>
      </c>
    </row>
    <row r="31" spans="2:7" s="518" customFormat="1" ht="14.45" outlineLevel="2">
      <c r="B31" s="536" t="s">
        <v>47</v>
      </c>
      <c r="C31" s="557" t="s">
        <v>50</v>
      </c>
      <c r="D31" s="503"/>
      <c r="E31" s="504"/>
      <c r="F31" s="516"/>
      <c r="G31" s="557" t="s">
        <v>51</v>
      </c>
    </row>
    <row r="32" spans="2:7" s="518" customFormat="1" ht="14.45" outlineLevel="2">
      <c r="B32" s="536" t="s">
        <v>47</v>
      </c>
      <c r="C32" s="557" t="s">
        <v>52</v>
      </c>
      <c r="D32" s="503"/>
      <c r="E32" s="504"/>
      <c r="F32" s="516"/>
      <c r="G32" s="557" t="s">
        <v>53</v>
      </c>
    </row>
    <row r="33" spans="2:7" s="518" customFormat="1" ht="14.45" outlineLevel="2">
      <c r="B33" s="536" t="s">
        <v>47</v>
      </c>
      <c r="C33" s="557" t="s">
        <v>54</v>
      </c>
      <c r="D33" s="503"/>
      <c r="E33" s="504"/>
      <c r="F33" s="516"/>
      <c r="G33" s="517"/>
    </row>
    <row r="34" spans="2:7" s="518" customFormat="1" ht="14.45" outlineLevel="2">
      <c r="B34" s="536" t="s">
        <v>47</v>
      </c>
      <c r="C34" s="557" t="s">
        <v>55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45" outlineLevel="2">
      <c r="B36" s="536" t="s">
        <v>56</v>
      </c>
      <c r="C36" s="557" t="s">
        <v>57</v>
      </c>
      <c r="D36" s="519">
        <v>0.01</v>
      </c>
      <c r="E36" s="504"/>
      <c r="F36" s="505"/>
      <c r="G36" s="517"/>
    </row>
    <row r="37" spans="2:7" s="518" customFormat="1" ht="14.45" outlineLevel="2">
      <c r="B37" s="536" t="s">
        <v>56</v>
      </c>
      <c r="C37" s="557" t="s">
        <v>58</v>
      </c>
      <c r="D37" s="519">
        <v>0.02</v>
      </c>
      <c r="E37" s="504"/>
      <c r="F37" s="505"/>
      <c r="G37" s="517"/>
    </row>
    <row r="38" spans="2:7" s="518" customFormat="1" ht="14.45" outlineLevel="2">
      <c r="B38" s="536" t="s">
        <v>56</v>
      </c>
      <c r="C38" s="557" t="s">
        <v>59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45" outlineLevel="2">
      <c r="B39" s="536" t="s">
        <v>56</v>
      </c>
      <c r="C39" s="557" t="s">
        <v>60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45" outlineLevel="2">
      <c r="B40" s="536" t="s">
        <v>56</v>
      </c>
      <c r="C40" s="557" t="s">
        <v>61</v>
      </c>
      <c r="D40" s="519">
        <v>0.36</v>
      </c>
      <c r="E40" s="504"/>
      <c r="F40" s="505"/>
      <c r="G40" s="517"/>
    </row>
    <row r="41" spans="2:7" s="518" customFormat="1" ht="14.45" outlineLevel="2">
      <c r="B41" s="536" t="s">
        <v>56</v>
      </c>
      <c r="C41" s="557" t="s">
        <v>62</v>
      </c>
      <c r="D41" s="519">
        <v>2.1</v>
      </c>
      <c r="E41" s="504"/>
      <c r="F41" s="505"/>
      <c r="G41" s="517"/>
    </row>
    <row r="42" spans="2:7" s="518" customFormat="1" ht="14.45" outlineLevel="2">
      <c r="B42" s="536" t="s">
        <v>56</v>
      </c>
      <c r="C42" s="557" t="s">
        <v>63</v>
      </c>
      <c r="D42" s="519">
        <v>0.08</v>
      </c>
      <c r="E42" s="504"/>
      <c r="F42" s="505"/>
      <c r="G42" s="554" t="s">
        <v>64</v>
      </c>
    </row>
    <row r="43" spans="2:7" s="518" customFormat="1" ht="27.6" outlineLevel="2">
      <c r="B43" s="536" t="s">
        <v>56</v>
      </c>
      <c r="C43" s="557" t="s">
        <v>65</v>
      </c>
      <c r="D43" s="519">
        <v>0.17</v>
      </c>
      <c r="E43" s="504"/>
      <c r="F43" s="505"/>
      <c r="G43" s="554" t="s">
        <v>66</v>
      </c>
    </row>
    <row r="44" spans="2:7" s="518" customFormat="1" ht="41.45" outlineLevel="2">
      <c r="B44" s="536" t="s">
        <v>56</v>
      </c>
      <c r="C44" s="557" t="s">
        <v>67</v>
      </c>
      <c r="D44" s="519">
        <v>1.1200000000000001</v>
      </c>
      <c r="E44" s="509">
        <v>2</v>
      </c>
      <c r="F44" s="510">
        <v>0.14000000000000001</v>
      </c>
      <c r="G44" s="554" t="s">
        <v>68</v>
      </c>
    </row>
    <row r="45" spans="2:7" s="518" customFormat="1" ht="14.45" outlineLevel="2">
      <c r="B45" s="536" t="s">
        <v>56</v>
      </c>
      <c r="C45" s="557" t="s">
        <v>69</v>
      </c>
      <c r="D45" s="519">
        <v>0.28000000000000003</v>
      </c>
      <c r="E45" s="504"/>
      <c r="F45" s="505"/>
      <c r="G45" s="517"/>
    </row>
    <row r="46" spans="2:7" s="518" customFormat="1" ht="14.45" outlineLevel="2">
      <c r="B46" s="536" t="s">
        <v>56</v>
      </c>
      <c r="C46" s="557" t="s">
        <v>70</v>
      </c>
      <c r="D46" s="519">
        <v>3.26</v>
      </c>
      <c r="E46" s="504"/>
      <c r="F46" s="505"/>
      <c r="G46" s="517"/>
    </row>
    <row r="47" spans="2:7" s="518" customFormat="1" ht="14.45" outlineLevel="2">
      <c r="B47" s="536" t="s">
        <v>56</v>
      </c>
      <c r="C47" s="557" t="s">
        <v>71</v>
      </c>
      <c r="D47" s="519">
        <v>0.38</v>
      </c>
      <c r="E47" s="504"/>
      <c r="F47" s="505"/>
      <c r="G47" s="554" t="s">
        <v>72</v>
      </c>
    </row>
    <row r="48" spans="2:7" s="518" customFormat="1" ht="14.45" outlineLevel="2">
      <c r="B48" s="536" t="s">
        <v>56</v>
      </c>
      <c r="C48" s="557" t="s">
        <v>73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45" outlineLevel="2">
      <c r="B49" s="536" t="s">
        <v>56</v>
      </c>
      <c r="C49" s="557" t="s">
        <v>74</v>
      </c>
      <c r="D49" s="519">
        <v>0.03</v>
      </c>
      <c r="E49" s="504"/>
      <c r="F49" s="505"/>
      <c r="G49" s="557" t="s">
        <v>75</v>
      </c>
    </row>
    <row r="50" spans="2:7" s="518" customFormat="1" ht="28.15" outlineLevel="2">
      <c r="B50" s="536" t="s">
        <v>56</v>
      </c>
      <c r="C50" s="557" t="s">
        <v>76</v>
      </c>
      <c r="D50" s="519">
        <v>3.64</v>
      </c>
      <c r="E50" s="504">
        <v>1</v>
      </c>
      <c r="F50" s="505">
        <v>2.25</v>
      </c>
      <c r="G50" s="285" t="s">
        <v>77</v>
      </c>
    </row>
    <row r="51" spans="2:7" s="518" customFormat="1" ht="14.45" outlineLevel="2">
      <c r="B51" s="536" t="s">
        <v>56</v>
      </c>
      <c r="C51" s="557" t="s">
        <v>78</v>
      </c>
      <c r="D51" s="519">
        <v>0.35</v>
      </c>
      <c r="E51" s="504"/>
      <c r="F51" s="505"/>
      <c r="G51" s="517"/>
    </row>
    <row r="52" spans="2:7" s="518" customFormat="1" ht="14.45" outlineLevel="2">
      <c r="B52" s="536" t="s">
        <v>56</v>
      </c>
      <c r="C52" s="557" t="s">
        <v>79</v>
      </c>
      <c r="D52" s="519">
        <v>0</v>
      </c>
      <c r="E52" s="504"/>
      <c r="F52" s="505"/>
      <c r="G52" s="517"/>
    </row>
    <row r="53" spans="2:7" s="518" customFormat="1" ht="14.45" outlineLevel="2">
      <c r="B53" s="536" t="s">
        <v>56</v>
      </c>
      <c r="C53" s="520" t="s">
        <v>80</v>
      </c>
      <c r="D53" s="519">
        <v>0</v>
      </c>
      <c r="E53" s="504"/>
      <c r="F53" s="505"/>
      <c r="G53" s="517"/>
    </row>
    <row r="54" spans="2:7" s="518" customFormat="1" ht="14.45" outlineLevel="2">
      <c r="B54" s="536" t="s">
        <v>56</v>
      </c>
      <c r="C54" s="557" t="s">
        <v>81</v>
      </c>
      <c r="D54" s="519">
        <v>0.02</v>
      </c>
      <c r="E54" s="504"/>
      <c r="F54" s="505"/>
      <c r="G54" s="517"/>
    </row>
    <row r="55" spans="2:7" s="518" customFormat="1" ht="14.45" outlineLevel="2">
      <c r="B55" s="536" t="s">
        <v>56</v>
      </c>
      <c r="C55" s="557" t="s">
        <v>82</v>
      </c>
      <c r="D55" s="519">
        <v>0.22</v>
      </c>
      <c r="E55" s="504"/>
      <c r="F55" s="505"/>
      <c r="G55" s="517"/>
    </row>
    <row r="56" spans="2:7" s="518" customFormat="1" ht="14.45" outlineLevel="2">
      <c r="B56" s="536" t="s">
        <v>56</v>
      </c>
      <c r="C56" s="557" t="s">
        <v>83</v>
      </c>
      <c r="D56" s="519">
        <v>0</v>
      </c>
      <c r="E56" s="504"/>
      <c r="F56" s="505"/>
      <c r="G56" s="517"/>
    </row>
    <row r="57" spans="2:7" s="518" customFormat="1" ht="14.45" outlineLevel="2">
      <c r="B57" s="536" t="s">
        <v>56</v>
      </c>
      <c r="C57" s="557" t="s">
        <v>84</v>
      </c>
      <c r="D57" s="519">
        <v>0</v>
      </c>
      <c r="E57" s="504"/>
      <c r="F57" s="505"/>
      <c r="G57" s="517"/>
    </row>
    <row r="58" spans="2:7" s="518" customFormat="1" ht="14.45" outlineLevel="2">
      <c r="B58" s="536" t="s">
        <v>56</v>
      </c>
      <c r="C58" s="557" t="s">
        <v>85</v>
      </c>
      <c r="D58" s="519">
        <v>0.19</v>
      </c>
      <c r="E58" s="504"/>
      <c r="F58" s="505"/>
      <c r="G58" s="517"/>
    </row>
    <row r="59" spans="2:7" s="518" customFormat="1" ht="14.45" outlineLevel="2">
      <c r="B59" s="536" t="s">
        <v>56</v>
      </c>
      <c r="C59" s="557" t="s">
        <v>86</v>
      </c>
      <c r="D59" s="519">
        <v>0.17</v>
      </c>
      <c r="E59" s="504"/>
      <c r="F59" s="505"/>
      <c r="G59" s="517"/>
    </row>
    <row r="60" spans="2:7" s="518" customFormat="1" ht="14.45" outlineLevel="2">
      <c r="B60" s="536" t="s">
        <v>56</v>
      </c>
      <c r="C60" s="557" t="s">
        <v>87</v>
      </c>
      <c r="D60" s="519">
        <v>0.08</v>
      </c>
      <c r="E60" s="504"/>
      <c r="F60" s="505"/>
      <c r="G60" s="517"/>
    </row>
    <row r="61" spans="2:7" s="518" customFormat="1" ht="14.45" outlineLevel="2">
      <c r="B61" s="536" t="s">
        <v>56</v>
      </c>
      <c r="C61" s="557" t="s">
        <v>88</v>
      </c>
      <c r="D61" s="519">
        <v>2.02</v>
      </c>
      <c r="E61" s="504"/>
      <c r="F61" s="505"/>
      <c r="G61" s="517"/>
    </row>
    <row r="62" spans="2:7" s="518" customFormat="1" ht="14.45" outlineLevel="2">
      <c r="B62" s="536" t="s">
        <v>56</v>
      </c>
      <c r="C62" s="557" t="s">
        <v>89</v>
      </c>
      <c r="D62" s="519">
        <v>1.56</v>
      </c>
      <c r="E62" s="504"/>
      <c r="F62" s="505"/>
      <c r="G62" s="517"/>
    </row>
    <row r="63" spans="2:7" s="518" customFormat="1" ht="14.45" outlineLevel="2">
      <c r="B63" s="536" t="s">
        <v>56</v>
      </c>
      <c r="C63" s="557" t="s">
        <v>90</v>
      </c>
      <c r="D63" s="519">
        <v>0.52</v>
      </c>
      <c r="E63" s="504"/>
      <c r="F63" s="505"/>
      <c r="G63" s="517"/>
    </row>
    <row r="64" spans="2:7" s="518" customFormat="1" ht="14.45" outlineLevel="2">
      <c r="B64" s="536" t="s">
        <v>56</v>
      </c>
      <c r="C64" s="557" t="s">
        <v>91</v>
      </c>
      <c r="D64" s="519">
        <v>0.56999999999999995</v>
      </c>
      <c r="E64" s="504"/>
      <c r="F64" s="505"/>
      <c r="G64" s="517"/>
    </row>
    <row r="65" spans="2:7" s="518" customFormat="1" ht="14.45" outlineLevel="2">
      <c r="B65" s="536" t="s">
        <v>56</v>
      </c>
      <c r="C65" s="557" t="s">
        <v>92</v>
      </c>
      <c r="D65" s="519">
        <v>0.73</v>
      </c>
      <c r="E65" s="504"/>
      <c r="F65" s="505"/>
      <c r="G65" s="517"/>
    </row>
    <row r="66" spans="2:7" s="518" customFormat="1" ht="14.45" outlineLevel="2">
      <c r="B66" s="536" t="s">
        <v>56</v>
      </c>
      <c r="C66" s="557" t="s">
        <v>93</v>
      </c>
      <c r="D66" s="519">
        <v>0.2</v>
      </c>
      <c r="E66" s="504"/>
      <c r="F66" s="505"/>
      <c r="G66" s="517"/>
    </row>
    <row r="67" spans="2:7" s="518" customFormat="1" ht="42" outlineLevel="2">
      <c r="B67" s="536" t="s">
        <v>56</v>
      </c>
      <c r="C67" s="557" t="s">
        <v>94</v>
      </c>
      <c r="D67" s="519">
        <v>0.56999999999999995</v>
      </c>
      <c r="E67" s="504"/>
      <c r="F67" s="505"/>
      <c r="G67" s="588" t="s">
        <v>95</v>
      </c>
    </row>
    <row r="68" spans="2:7" s="518" customFormat="1" ht="14.45" outlineLevel="2">
      <c r="B68" s="536" t="s">
        <v>56</v>
      </c>
      <c r="C68" s="557" t="s">
        <v>96</v>
      </c>
      <c r="D68" s="519">
        <v>0</v>
      </c>
      <c r="E68" s="504"/>
      <c r="F68" s="505"/>
      <c r="G68" s="517"/>
    </row>
    <row r="69" spans="2:7" s="518" customFormat="1" ht="14.45" outlineLevel="2">
      <c r="B69" s="536" t="s">
        <v>56</v>
      </c>
      <c r="C69" s="557" t="s">
        <v>97</v>
      </c>
      <c r="D69" s="519">
        <v>0</v>
      </c>
      <c r="E69" s="504"/>
      <c r="F69" s="505"/>
      <c r="G69" s="517"/>
    </row>
    <row r="70" spans="2:7" s="518" customFormat="1" ht="14.45" outlineLevel="2">
      <c r="B70" s="536" t="s">
        <v>56</v>
      </c>
      <c r="C70" s="557" t="s">
        <v>98</v>
      </c>
      <c r="D70" s="519">
        <v>0</v>
      </c>
      <c r="E70" s="504"/>
      <c r="F70" s="505"/>
      <c r="G70" s="517"/>
    </row>
    <row r="71" spans="2:7" s="518" customFormat="1" ht="14.45" outlineLevel="2">
      <c r="B71" s="536" t="s">
        <v>56</v>
      </c>
      <c r="C71" s="557" t="s">
        <v>99</v>
      </c>
      <c r="D71" s="519">
        <v>0</v>
      </c>
      <c r="E71" s="504"/>
      <c r="F71" s="505"/>
      <c r="G71" s="631" t="s">
        <v>100</v>
      </c>
    </row>
    <row r="72" spans="2:7" s="518" customFormat="1" ht="14.45" outlineLevel="2">
      <c r="B72" s="536" t="s">
        <v>56</v>
      </c>
      <c r="C72" s="557" t="s">
        <v>101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45" outlineLevel="1">
      <c r="B74" s="536" t="s">
        <v>102</v>
      </c>
      <c r="C74" s="557" t="s">
        <v>103</v>
      </c>
      <c r="D74" s="505">
        <v>1.4336873100000001E-2</v>
      </c>
      <c r="E74" s="504"/>
      <c r="F74" s="505"/>
      <c r="G74" s="554" t="s">
        <v>104</v>
      </c>
    </row>
    <row r="75" spans="2:7" s="518" customFormat="1" ht="14.45" outlineLevel="1">
      <c r="B75" s="536" t="s">
        <v>102</v>
      </c>
      <c r="C75" s="557" t="s">
        <v>105</v>
      </c>
      <c r="D75" s="505">
        <v>0.36573175713220468</v>
      </c>
      <c r="E75" s="504"/>
      <c r="F75" s="505"/>
      <c r="G75" s="554" t="s">
        <v>106</v>
      </c>
    </row>
    <row r="76" spans="2:7" s="518" customFormat="1" ht="14.45" outlineLevel="1">
      <c r="B76" s="536" t="s">
        <v>102</v>
      </c>
      <c r="C76" s="557" t="s">
        <v>107</v>
      </c>
      <c r="D76" s="505">
        <v>0.16750548359999998</v>
      </c>
      <c r="E76" s="504"/>
      <c r="F76" s="505"/>
      <c r="G76" s="515"/>
    </row>
    <row r="77" spans="2:7" s="518" customFormat="1" ht="14.45" outlineLevel="1">
      <c r="B77" s="536" t="s">
        <v>102</v>
      </c>
      <c r="C77" s="557" t="s">
        <v>108</v>
      </c>
      <c r="D77" s="505">
        <v>0.40327449999999998</v>
      </c>
      <c r="E77" s="504"/>
      <c r="F77" s="505"/>
      <c r="G77" s="515"/>
    </row>
    <row r="78" spans="2:7" s="518" customFormat="1" ht="14.45" outlineLevel="1">
      <c r="B78" s="536" t="s">
        <v>102</v>
      </c>
      <c r="C78" s="557" t="s">
        <v>109</v>
      </c>
      <c r="D78" s="505">
        <v>0.14000000000000001</v>
      </c>
      <c r="E78" s="504"/>
      <c r="F78" s="505"/>
      <c r="G78" s="515"/>
    </row>
    <row r="79" spans="2:7" s="518" customFormat="1" ht="14.45" outlineLevel="1">
      <c r="B79" s="536" t="s">
        <v>102</v>
      </c>
      <c r="C79" s="557" t="s">
        <v>110</v>
      </c>
      <c r="D79" s="505">
        <v>3.1655887211519997E-2</v>
      </c>
      <c r="E79" s="504"/>
      <c r="F79" s="505"/>
      <c r="G79" s="554" t="s">
        <v>111</v>
      </c>
    </row>
    <row r="80" spans="2:7" s="518" customFormat="1" ht="14.45" outlineLevel="1">
      <c r="B80" s="536" t="s">
        <v>102</v>
      </c>
      <c r="C80" s="557" t="s">
        <v>112</v>
      </c>
      <c r="D80" s="505">
        <v>4.7122779914999996E-2</v>
      </c>
      <c r="E80" s="504"/>
      <c r="F80" s="505"/>
      <c r="G80" s="515"/>
    </row>
    <row r="81" spans="2:7" s="518" customFormat="1" ht="14.45" outlineLevel="1">
      <c r="B81" s="536" t="s">
        <v>102</v>
      </c>
      <c r="C81" s="557" t="s">
        <v>113</v>
      </c>
      <c r="D81" s="505">
        <v>2.1646138109098385</v>
      </c>
      <c r="E81" s="504"/>
      <c r="F81" s="505"/>
      <c r="G81" s="515"/>
    </row>
    <row r="82" spans="2:7" s="518" customFormat="1" ht="14.45" outlineLevel="1">
      <c r="B82" s="536" t="s">
        <v>102</v>
      </c>
      <c r="C82" s="557" t="s">
        <v>114</v>
      </c>
      <c r="D82" s="505">
        <v>0.04</v>
      </c>
      <c r="E82" s="504"/>
      <c r="F82" s="505"/>
      <c r="G82" s="515"/>
    </row>
    <row r="83" spans="2:7" s="518" customFormat="1" ht="14.45" outlineLevel="1">
      <c r="B83" s="536" t="s">
        <v>102</v>
      </c>
      <c r="C83" s="557" t="s">
        <v>115</v>
      </c>
      <c r="D83" s="505">
        <v>0.32</v>
      </c>
      <c r="E83" s="504">
        <v>1</v>
      </c>
      <c r="F83" s="505">
        <v>0.02</v>
      </c>
      <c r="G83" s="447" t="s">
        <v>116</v>
      </c>
    </row>
    <row r="84" spans="2:7" s="518" customFormat="1" ht="14.45" outlineLevel="1">
      <c r="B84" s="536" t="s">
        <v>102</v>
      </c>
      <c r="C84" s="557" t="s">
        <v>117</v>
      </c>
      <c r="D84" s="505">
        <v>3.6853334887931043E-2</v>
      </c>
      <c r="E84" s="504"/>
      <c r="F84" s="505"/>
      <c r="G84" s="515"/>
    </row>
    <row r="85" spans="2:7" s="518" customFormat="1" ht="14.45" outlineLevel="1">
      <c r="B85" s="536" t="s">
        <v>102</v>
      </c>
      <c r="C85" s="557" t="s">
        <v>118</v>
      </c>
      <c r="D85" s="505">
        <v>2.1397857699999998E-2</v>
      </c>
      <c r="E85" s="504"/>
      <c r="F85" s="505"/>
      <c r="G85" s="515"/>
    </row>
    <row r="86" spans="2:7" s="518" customFormat="1" ht="14.45" outlineLevel="1">
      <c r="B86" s="536" t="s">
        <v>102</v>
      </c>
      <c r="C86" s="557" t="s">
        <v>119</v>
      </c>
      <c r="D86" s="505">
        <v>0</v>
      </c>
      <c r="E86" s="504"/>
      <c r="F86" s="505"/>
      <c r="G86" s="515"/>
    </row>
    <row r="87" spans="2:7" s="518" customFormat="1" ht="14.45" outlineLevel="1">
      <c r="B87" s="536" t="s">
        <v>102</v>
      </c>
      <c r="C87" s="512" t="s">
        <v>120</v>
      </c>
      <c r="D87" s="505">
        <v>3.3E-3</v>
      </c>
      <c r="E87" s="504"/>
      <c r="F87" s="505"/>
      <c r="G87" s="515"/>
    </row>
    <row r="88" spans="2:7" s="518" customFormat="1" ht="14.45" outlineLevel="1">
      <c r="B88" s="536" t="s">
        <v>102</v>
      </c>
      <c r="C88" s="557" t="s">
        <v>121</v>
      </c>
      <c r="D88" s="505">
        <v>1.6800000000000002E-2</v>
      </c>
      <c r="E88" s="504"/>
      <c r="F88" s="505"/>
      <c r="G88" s="515"/>
    </row>
    <row r="89" spans="2:7" s="518" customFormat="1" ht="14.45" outlineLevel="1">
      <c r="B89" s="536" t="s">
        <v>102</v>
      </c>
      <c r="C89" s="557" t="s">
        <v>122</v>
      </c>
      <c r="D89" s="505">
        <v>0.23026800000000003</v>
      </c>
      <c r="E89" s="504">
        <v>1</v>
      </c>
      <c r="F89" s="505">
        <v>0.02</v>
      </c>
      <c r="G89" s="557" t="s">
        <v>123</v>
      </c>
    </row>
    <row r="90" spans="2:7" s="518" customFormat="1" ht="14.45" outlineLevel="1">
      <c r="B90" s="536" t="s">
        <v>102</v>
      </c>
      <c r="C90" s="557" t="s">
        <v>124</v>
      </c>
      <c r="D90" s="505">
        <v>1.13E-4</v>
      </c>
      <c r="E90" s="504"/>
      <c r="F90" s="505"/>
      <c r="G90" s="631" t="s">
        <v>125</v>
      </c>
    </row>
    <row r="91" spans="2:7" s="518" customFormat="1" ht="14.45" outlineLevel="1">
      <c r="B91" s="536" t="s">
        <v>102</v>
      </c>
      <c r="C91" s="557" t="s">
        <v>126</v>
      </c>
      <c r="D91" s="505">
        <v>0</v>
      </c>
      <c r="E91" s="504"/>
      <c r="F91" s="505"/>
      <c r="G91" s="515"/>
    </row>
    <row r="92" spans="2:7" s="518" customFormat="1" ht="14.45" outlineLevel="1">
      <c r="B92" s="536" t="s">
        <v>102</v>
      </c>
      <c r="C92" s="557" t="s">
        <v>127</v>
      </c>
      <c r="D92" s="505">
        <v>0</v>
      </c>
      <c r="E92" s="504"/>
      <c r="F92" s="505"/>
      <c r="G92" s="631" t="s">
        <v>128</v>
      </c>
    </row>
    <row r="93" spans="2:7" s="518" customFormat="1" ht="14.45" outlineLevel="1">
      <c r="B93" s="536" t="s">
        <v>102</v>
      </c>
      <c r="C93" s="557" t="s">
        <v>129</v>
      </c>
      <c r="D93" s="505">
        <v>0.15000000000000002</v>
      </c>
      <c r="E93" s="504"/>
      <c r="F93" s="505"/>
      <c r="G93" s="515"/>
    </row>
    <row r="94" spans="2:7" s="518" customFormat="1" ht="14.45" outlineLevel="1">
      <c r="B94" s="536" t="s">
        <v>102</v>
      </c>
      <c r="C94" s="557" t="s">
        <v>130</v>
      </c>
      <c r="D94" s="505">
        <v>0.16686000000000001</v>
      </c>
      <c r="E94" s="504"/>
      <c r="F94" s="505"/>
      <c r="G94" s="515"/>
    </row>
    <row r="95" spans="2:7" s="518" customFormat="1" ht="14.45" outlineLevel="1">
      <c r="B95" s="536" t="s">
        <v>102</v>
      </c>
      <c r="C95" s="557" t="s">
        <v>131</v>
      </c>
      <c r="D95" s="505">
        <v>7.6409520000000009E-2</v>
      </c>
      <c r="E95" s="504"/>
      <c r="F95" s="505"/>
      <c r="G95" s="515"/>
    </row>
    <row r="96" spans="2:7" s="518" customFormat="1" ht="14.45" outlineLevel="1">
      <c r="B96" s="536" t="s">
        <v>102</v>
      </c>
      <c r="C96" s="557" t="s">
        <v>132</v>
      </c>
      <c r="D96" s="516">
        <v>1.7570528000000003</v>
      </c>
      <c r="E96" s="508"/>
      <c r="F96" s="505"/>
      <c r="G96" s="515"/>
    </row>
    <row r="97" spans="2:7" s="518" customFormat="1" ht="14.45" outlineLevel="1">
      <c r="B97" s="536" t="s">
        <v>102</v>
      </c>
      <c r="C97" s="557" t="s">
        <v>133</v>
      </c>
      <c r="D97" s="516">
        <v>0.86951285400000011</v>
      </c>
      <c r="E97" s="508"/>
      <c r="F97" s="505"/>
      <c r="G97" s="515"/>
    </row>
    <row r="98" spans="2:7" s="518" customFormat="1" ht="14.45" outlineLevel="1">
      <c r="B98" s="536" t="s">
        <v>102</v>
      </c>
      <c r="C98" s="557" t="s">
        <v>134</v>
      </c>
      <c r="D98" s="516">
        <v>0.28983761800000002</v>
      </c>
      <c r="E98" s="508"/>
      <c r="F98" s="505"/>
      <c r="G98" s="515"/>
    </row>
    <row r="99" spans="2:7" s="518" customFormat="1" ht="14.45" outlineLevel="1">
      <c r="B99" s="536" t="s">
        <v>102</v>
      </c>
      <c r="C99" s="557" t="s">
        <v>135</v>
      </c>
      <c r="D99" s="505">
        <v>0.32804999999999995</v>
      </c>
      <c r="E99" s="504"/>
      <c r="F99" s="505"/>
      <c r="G99" s="515"/>
    </row>
    <row r="100" spans="2:7" s="518" customFormat="1" ht="14.45" outlineLevel="1">
      <c r="B100" s="536" t="s">
        <v>102</v>
      </c>
      <c r="C100" s="557" t="s">
        <v>136</v>
      </c>
      <c r="D100" s="505">
        <v>5.2621400000000005</v>
      </c>
      <c r="E100" s="504"/>
      <c r="F100" s="505"/>
      <c r="G100" s="631" t="s">
        <v>128</v>
      </c>
    </row>
    <row r="101" spans="2:7" s="518" customFormat="1" ht="14.45" outlineLevel="1">
      <c r="B101" s="536" t="s">
        <v>102</v>
      </c>
      <c r="C101" s="557" t="s">
        <v>137</v>
      </c>
      <c r="D101" s="505">
        <v>2.5074143979111465</v>
      </c>
      <c r="E101" s="504"/>
      <c r="F101" s="505"/>
      <c r="G101" s="515"/>
    </row>
    <row r="102" spans="2:7" s="518" customFormat="1" ht="28.15" outlineLevel="1">
      <c r="B102" s="536" t="s">
        <v>102</v>
      </c>
      <c r="C102" s="557" t="s">
        <v>138</v>
      </c>
      <c r="D102" s="505">
        <v>2.7927693686277002</v>
      </c>
      <c r="E102" s="504"/>
      <c r="F102" s="505"/>
      <c r="G102" s="588" t="s">
        <v>139</v>
      </c>
    </row>
    <row r="103" spans="2:7" s="518" customFormat="1" ht="28.15" outlineLevel="1">
      <c r="B103" s="536" t="s">
        <v>102</v>
      </c>
      <c r="C103" s="557" t="s">
        <v>140</v>
      </c>
      <c r="D103" s="505">
        <v>0</v>
      </c>
      <c r="E103" s="504"/>
      <c r="F103" s="505"/>
      <c r="G103" s="588" t="s">
        <v>139</v>
      </c>
    </row>
    <row r="104" spans="2:7" s="518" customFormat="1" ht="14.45" outlineLevel="1">
      <c r="B104" s="536" t="s">
        <v>102</v>
      </c>
      <c r="C104" s="557" t="s">
        <v>141</v>
      </c>
      <c r="D104" s="505">
        <v>0</v>
      </c>
      <c r="E104" s="504"/>
      <c r="F104" s="505"/>
      <c r="G104" s="515"/>
    </row>
    <row r="105" spans="2:7" s="518" customFormat="1" ht="14.45" outlineLevel="1">
      <c r="B105" s="536" t="s">
        <v>102</v>
      </c>
      <c r="C105" s="557" t="s">
        <v>142</v>
      </c>
      <c r="D105" s="505">
        <v>0</v>
      </c>
      <c r="E105" s="504"/>
      <c r="F105" s="505"/>
      <c r="G105" s="515"/>
    </row>
    <row r="106" spans="2:7" s="518" customFormat="1" ht="14.45" outlineLevel="1">
      <c r="B106" s="536" t="s">
        <v>102</v>
      </c>
      <c r="C106" s="557" t="s">
        <v>143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0</v>
      </c>
      <c r="C109" s="499" t="s">
        <v>1</v>
      </c>
      <c r="D109" s="499" t="s">
        <v>2</v>
      </c>
      <c r="E109" s="499" t="s">
        <v>3</v>
      </c>
      <c r="F109" s="499" t="s">
        <v>4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144</v>
      </c>
      <c r="C111" s="536" t="s">
        <v>145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144</v>
      </c>
      <c r="C112" s="536" t="s">
        <v>146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144</v>
      </c>
      <c r="C113" s="536" t="s">
        <v>147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144</v>
      </c>
      <c r="C114" s="536" t="s">
        <v>148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144</v>
      </c>
      <c r="C115" s="536" t="s">
        <v>149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bottomRight"/>
      <selection pane="bottomLeft" activeCell="A6" sqref="A6"/>
      <selection pane="topRight" activeCell="H1" sqref="H1"/>
    </sheetView>
  </sheetViews>
  <sheetFormatPr defaultColWidth="11.5703125" defaultRowHeight="13.9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45">
      <c r="B2" s="195" t="s">
        <v>150</v>
      </c>
      <c r="C2" s="195"/>
      <c r="D2" s="195"/>
      <c r="E2" s="196"/>
      <c r="F2" s="197"/>
      <c r="G2" s="196"/>
      <c r="H2" s="1" t="s">
        <v>1</v>
      </c>
      <c r="I2" s="1" t="s">
        <v>1</v>
      </c>
      <c r="J2" s="1" t="s">
        <v>1</v>
      </c>
      <c r="K2" s="1" t="s">
        <v>1</v>
      </c>
      <c r="L2" s="196"/>
      <c r="M2" s="197"/>
      <c r="N2" s="196"/>
      <c r="O2" s="336" t="s">
        <v>151</v>
      </c>
      <c r="P2" s="336" t="s">
        <v>151</v>
      </c>
      <c r="Q2" s="336" t="s">
        <v>151</v>
      </c>
      <c r="R2" s="336" t="s">
        <v>151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6">
      <c r="B4" s="202" t="s">
        <v>152</v>
      </c>
      <c r="C4" s="203"/>
      <c r="D4" s="203"/>
      <c r="E4" s="204"/>
      <c r="F4" s="205"/>
      <c r="G4" s="204"/>
      <c r="H4" s="206" t="s">
        <v>153</v>
      </c>
      <c r="I4" s="206" t="s">
        <v>154</v>
      </c>
      <c r="J4" s="206" t="s">
        <v>155</v>
      </c>
      <c r="K4" s="206" t="s">
        <v>156</v>
      </c>
      <c r="L4" s="204"/>
      <c r="M4" s="205"/>
      <c r="N4" s="204"/>
      <c r="O4" s="206" t="s">
        <v>153</v>
      </c>
      <c r="P4" s="206" t="s">
        <v>154</v>
      </c>
      <c r="Q4" s="206" t="s">
        <v>155</v>
      </c>
      <c r="R4" s="206" t="s">
        <v>156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6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6">
      <c r="B10" s="222" t="s">
        <v>157</v>
      </c>
      <c r="C10" s="223" t="s">
        <v>158</v>
      </c>
      <c r="D10" s="224" t="s">
        <v>159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160</v>
      </c>
      <c r="C12" s="315" t="s">
        <v>161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6</v>
      </c>
      <c r="C13" s="242" t="s">
        <v>162</v>
      </c>
      <c r="D13" s="249" t="s">
        <v>159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6</v>
      </c>
      <c r="C14" s="242" t="s">
        <v>163</v>
      </c>
      <c r="D14" s="249" t="s">
        <v>159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164</v>
      </c>
      <c r="D15" s="249" t="s">
        <v>159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165</v>
      </c>
      <c r="D16" s="249" t="s">
        <v>159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166</v>
      </c>
      <c r="D17" s="249" t="s">
        <v>159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167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168</v>
      </c>
      <c r="D20" s="566" t="s">
        <v>159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6">
      <c r="B22" s="222" t="s">
        <v>10</v>
      </c>
      <c r="C22" s="223" t="s">
        <v>169</v>
      </c>
      <c r="D22" s="224" t="s">
        <v>159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170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171</v>
      </c>
      <c r="D25" s="566" t="s">
        <v>159</v>
      </c>
      <c r="E25" s="239"/>
      <c r="F25" s="192"/>
      <c r="G25" s="239"/>
      <c r="H25" s="568" t="s">
        <v>172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173</v>
      </c>
      <c r="D26" s="565" t="s">
        <v>159</v>
      </c>
      <c r="E26" s="243"/>
      <c r="F26" s="192"/>
      <c r="G26" s="243"/>
      <c r="H26" s="568" t="s">
        <v>174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173</v>
      </c>
      <c r="D27" s="565" t="s">
        <v>159</v>
      </c>
      <c r="E27" s="243"/>
      <c r="F27" s="192"/>
      <c r="G27" s="243"/>
      <c r="H27" s="568" t="s">
        <v>175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176</v>
      </c>
      <c r="D28" s="565" t="s">
        <v>159</v>
      </c>
      <c r="E28" s="243"/>
      <c r="F28" s="192"/>
      <c r="G28" s="243"/>
      <c r="H28" s="568" t="s">
        <v>177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176</v>
      </c>
      <c r="D29" s="565" t="s">
        <v>159</v>
      </c>
      <c r="E29" s="243"/>
      <c r="F29" s="192"/>
      <c r="G29" s="243"/>
      <c r="H29" s="568" t="s">
        <v>178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176</v>
      </c>
      <c r="D30" s="565" t="s">
        <v>159</v>
      </c>
      <c r="E30" s="243"/>
      <c r="F30" s="192"/>
      <c r="G30" s="243"/>
      <c r="H30" s="568" t="s">
        <v>179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176</v>
      </c>
      <c r="D31" s="565" t="s">
        <v>159</v>
      </c>
      <c r="E31" s="243"/>
      <c r="F31" s="192"/>
      <c r="G31" s="243"/>
      <c r="H31" s="568" t="s">
        <v>180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176</v>
      </c>
      <c r="D32" s="565" t="s">
        <v>159</v>
      </c>
      <c r="E32" s="243"/>
      <c r="F32" s="192"/>
      <c r="G32" s="243"/>
      <c r="H32" s="568" t="s">
        <v>181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176</v>
      </c>
      <c r="D33" s="565" t="s">
        <v>159</v>
      </c>
      <c r="E33" s="243"/>
      <c r="F33" s="192"/>
      <c r="G33" s="243"/>
      <c r="H33" s="568" t="s">
        <v>182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176</v>
      </c>
      <c r="D34" s="565" t="s">
        <v>159</v>
      </c>
      <c r="E34" s="243"/>
      <c r="F34" s="192"/>
      <c r="G34" s="243"/>
      <c r="H34" s="568" t="s">
        <v>183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176</v>
      </c>
      <c r="D35" s="565" t="s">
        <v>159</v>
      </c>
      <c r="E35" s="243"/>
      <c r="F35" s="192"/>
      <c r="G35" s="243"/>
      <c r="H35" s="568" t="s">
        <v>184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176</v>
      </c>
      <c r="D36" s="565" t="s">
        <v>159</v>
      </c>
      <c r="E36" s="243"/>
      <c r="F36" s="192"/>
      <c r="G36" s="243"/>
      <c r="H36" s="568" t="s">
        <v>185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176</v>
      </c>
      <c r="D37" s="565" t="s">
        <v>159</v>
      </c>
      <c r="E37" s="243"/>
      <c r="F37" s="192"/>
      <c r="G37" s="243"/>
      <c r="H37" s="568" t="s">
        <v>186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176</v>
      </c>
      <c r="D38" s="565" t="s">
        <v>159</v>
      </c>
      <c r="E38" s="243"/>
      <c r="F38" s="192"/>
      <c r="G38" s="243"/>
      <c r="H38" s="568" t="s">
        <v>187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176</v>
      </c>
      <c r="D39" s="565" t="s">
        <v>159</v>
      </c>
      <c r="E39" s="243"/>
      <c r="F39" s="192"/>
      <c r="G39" s="243"/>
      <c r="H39" s="568" t="s">
        <v>188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176</v>
      </c>
      <c r="D40" s="565" t="s">
        <v>159</v>
      </c>
      <c r="E40" s="243"/>
      <c r="F40" s="192"/>
      <c r="G40" s="243"/>
      <c r="H40" s="568" t="s">
        <v>189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176</v>
      </c>
      <c r="D41" s="565" t="s">
        <v>159</v>
      </c>
      <c r="E41" s="243"/>
      <c r="F41" s="192"/>
      <c r="G41" s="243"/>
      <c r="H41" s="568" t="s">
        <v>190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176</v>
      </c>
      <c r="D42" s="565" t="s">
        <v>159</v>
      </c>
      <c r="E42" s="243"/>
      <c r="F42" s="192"/>
      <c r="G42" s="243"/>
      <c r="H42" s="568" t="s">
        <v>191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176</v>
      </c>
      <c r="D43" s="565" t="s">
        <v>159</v>
      </c>
      <c r="E43" s="243"/>
      <c r="F43" s="192"/>
      <c r="G43" s="243"/>
      <c r="H43" s="568" t="s">
        <v>192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176</v>
      </c>
      <c r="D44" s="565" t="s">
        <v>159</v>
      </c>
      <c r="E44" s="243"/>
      <c r="F44" s="192"/>
      <c r="G44" s="243"/>
      <c r="H44" s="568" t="s">
        <v>193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176</v>
      </c>
      <c r="D45" s="565" t="s">
        <v>159</v>
      </c>
      <c r="E45" s="243"/>
      <c r="F45" s="192"/>
      <c r="G45" s="243"/>
      <c r="H45" s="568" t="s">
        <v>194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176</v>
      </c>
      <c r="D46" s="565" t="s">
        <v>159</v>
      </c>
      <c r="E46" s="243"/>
      <c r="F46" s="192"/>
      <c r="G46" s="243"/>
      <c r="H46" s="568" t="s">
        <v>174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176</v>
      </c>
      <c r="D47" s="565" t="s">
        <v>159</v>
      </c>
      <c r="E47" s="243"/>
      <c r="F47" s="192"/>
      <c r="G47" s="243"/>
      <c r="H47" s="568" t="s">
        <v>195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176</v>
      </c>
      <c r="D48" s="565" t="s">
        <v>159</v>
      </c>
      <c r="E48" s="243"/>
      <c r="F48" s="192"/>
      <c r="G48" s="243"/>
      <c r="H48" s="568" t="s">
        <v>196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197</v>
      </c>
      <c r="D49" s="565" t="s">
        <v>159</v>
      </c>
      <c r="E49" s="243"/>
      <c r="F49" s="192"/>
      <c r="G49" s="243"/>
      <c r="H49" s="568" t="s">
        <v>198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197</v>
      </c>
      <c r="D50" s="565" t="s">
        <v>159</v>
      </c>
      <c r="E50" s="239"/>
      <c r="F50" s="192"/>
      <c r="G50" s="239"/>
      <c r="H50" s="245" t="s">
        <v>199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197</v>
      </c>
      <c r="D51" s="565" t="s">
        <v>159</v>
      </c>
      <c r="E51" s="239"/>
      <c r="F51" s="192"/>
      <c r="G51" s="239"/>
      <c r="H51" s="245" t="s">
        <v>200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197</v>
      </c>
      <c r="D52" s="565" t="s">
        <v>159</v>
      </c>
      <c r="E52" s="243"/>
      <c r="F52" s="192"/>
      <c r="G52" s="243"/>
      <c r="H52" s="245" t="s">
        <v>201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197</v>
      </c>
      <c r="D53" s="565" t="s">
        <v>159</v>
      </c>
      <c r="E53" s="239"/>
      <c r="F53" s="192"/>
      <c r="G53" s="239"/>
      <c r="H53" s="245" t="s">
        <v>202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203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204</v>
      </c>
      <c r="D56" s="566" t="s">
        <v>159</v>
      </c>
      <c r="E56" s="232"/>
      <c r="F56" s="250"/>
      <c r="G56" s="232"/>
      <c r="H56" s="571" t="s">
        <v>205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204</v>
      </c>
      <c r="D57" s="566" t="s">
        <v>159</v>
      </c>
      <c r="E57" s="232"/>
      <c r="F57" s="250"/>
      <c r="G57" s="232"/>
      <c r="H57" s="252" t="s">
        <v>206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204</v>
      </c>
      <c r="D58" s="566" t="s">
        <v>159</v>
      </c>
      <c r="E58" s="232"/>
      <c r="F58" s="250"/>
      <c r="G58" s="232"/>
      <c r="H58" s="252" t="s">
        <v>207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204</v>
      </c>
      <c r="D59" s="566" t="s">
        <v>159</v>
      </c>
      <c r="E59" s="232"/>
      <c r="F59" s="250"/>
      <c r="G59" s="232"/>
      <c r="H59" s="252" t="s">
        <v>208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204</v>
      </c>
      <c r="D60" s="566" t="s">
        <v>159</v>
      </c>
      <c r="E60" s="232"/>
      <c r="F60" s="250"/>
      <c r="G60" s="232"/>
      <c r="H60" s="571" t="s">
        <v>209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204</v>
      </c>
      <c r="D61" s="566" t="s">
        <v>159</v>
      </c>
      <c r="E61" s="232"/>
      <c r="F61" s="250"/>
      <c r="G61" s="232"/>
      <c r="H61" s="571" t="s">
        <v>198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210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211</v>
      </c>
      <c r="D64" s="566" t="s">
        <v>159</v>
      </c>
      <c r="E64" s="232"/>
      <c r="F64" s="250"/>
      <c r="G64" s="232"/>
      <c r="H64" s="568" t="s">
        <v>205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212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213</v>
      </c>
      <c r="D67" s="566" t="s">
        <v>159</v>
      </c>
      <c r="E67" s="232"/>
      <c r="F67" s="250"/>
      <c r="G67" s="232"/>
      <c r="H67" s="568" t="s">
        <v>205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213</v>
      </c>
      <c r="D68" s="566" t="s">
        <v>159</v>
      </c>
      <c r="E68" s="232"/>
      <c r="F68" s="250"/>
      <c r="G68" s="232"/>
      <c r="H68" s="252" t="s">
        <v>206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214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215</v>
      </c>
      <c r="D71" s="566" t="s">
        <v>159</v>
      </c>
      <c r="E71" s="232"/>
      <c r="F71" s="250"/>
      <c r="G71" s="232"/>
      <c r="H71" s="568" t="s">
        <v>199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215</v>
      </c>
      <c r="D72" s="566" t="s">
        <v>159</v>
      </c>
      <c r="E72" s="232"/>
      <c r="F72" s="250"/>
      <c r="G72" s="232"/>
      <c r="H72" s="574" t="s">
        <v>216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215</v>
      </c>
      <c r="D73" s="566" t="s">
        <v>159</v>
      </c>
      <c r="E73" s="232"/>
      <c r="F73" s="250"/>
      <c r="G73" s="232"/>
      <c r="H73" s="574" t="s">
        <v>217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215</v>
      </c>
      <c r="D74" s="566" t="s">
        <v>159</v>
      </c>
      <c r="E74" s="232"/>
      <c r="F74" s="250"/>
      <c r="G74" s="232"/>
      <c r="H74" s="574" t="s">
        <v>218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215</v>
      </c>
      <c r="D75" s="566" t="s">
        <v>159</v>
      </c>
      <c r="E75" s="232"/>
      <c r="F75" s="250"/>
      <c r="G75" s="232"/>
      <c r="H75" s="574" t="s">
        <v>219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215</v>
      </c>
      <c r="D76" s="566" t="s">
        <v>159</v>
      </c>
      <c r="E76" s="232"/>
      <c r="F76" s="250"/>
      <c r="G76" s="232"/>
      <c r="H76" s="574" t="s">
        <v>220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215</v>
      </c>
      <c r="D77" s="566" t="s">
        <v>159</v>
      </c>
      <c r="E77" s="232"/>
      <c r="F77" s="250"/>
      <c r="G77" s="232"/>
      <c r="H77" s="574" t="s">
        <v>221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215</v>
      </c>
      <c r="D78" s="566" t="s">
        <v>159</v>
      </c>
      <c r="E78" s="232"/>
      <c r="F78" s="250"/>
      <c r="G78" s="232"/>
      <c r="H78" s="574" t="s">
        <v>222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223</v>
      </c>
      <c r="D79" s="566" t="s">
        <v>159</v>
      </c>
      <c r="E79" s="232"/>
      <c r="F79" s="250"/>
      <c r="G79" s="232"/>
      <c r="H79" s="576" t="s">
        <v>205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223</v>
      </c>
      <c r="D80" s="566" t="s">
        <v>159</v>
      </c>
      <c r="E80" s="232"/>
      <c r="F80" s="250"/>
      <c r="G80" s="232"/>
      <c r="H80" s="576" t="s">
        <v>206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223</v>
      </c>
      <c r="D81" s="566" t="s">
        <v>159</v>
      </c>
      <c r="E81" s="232"/>
      <c r="F81" s="250"/>
      <c r="G81" s="232"/>
      <c r="H81" s="576" t="s">
        <v>208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223</v>
      </c>
      <c r="D82" s="566" t="s">
        <v>159</v>
      </c>
      <c r="E82" s="232"/>
      <c r="F82" s="250"/>
      <c r="G82" s="232"/>
      <c r="H82" s="576" t="s">
        <v>198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224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225</v>
      </c>
      <c r="D85" s="566" t="s">
        <v>159</v>
      </c>
      <c r="E85" s="232"/>
      <c r="F85" s="250"/>
      <c r="G85" s="232"/>
      <c r="H85" s="576" t="s">
        <v>226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225</v>
      </c>
      <c r="D86" s="566" t="s">
        <v>159</v>
      </c>
      <c r="E86" s="232"/>
      <c r="F86" s="250"/>
      <c r="G86" s="232"/>
      <c r="H86" s="576" t="s">
        <v>206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225</v>
      </c>
      <c r="D87" s="566" t="s">
        <v>159</v>
      </c>
      <c r="E87" s="232"/>
      <c r="F87" s="250"/>
      <c r="G87" s="232"/>
      <c r="H87" s="576" t="s">
        <v>199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225</v>
      </c>
      <c r="D88" s="566" t="s">
        <v>159</v>
      </c>
      <c r="E88" s="232"/>
      <c r="F88" s="250"/>
      <c r="G88" s="232"/>
      <c r="H88" s="577" t="s">
        <v>208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227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228</v>
      </c>
      <c r="D91" s="566" t="s">
        <v>159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229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229</v>
      </c>
      <c r="D95" s="566" t="s">
        <v>159</v>
      </c>
      <c r="E95" s="232"/>
      <c r="F95" s="250"/>
      <c r="G95" s="232"/>
      <c r="H95" s="577" t="s">
        <v>206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229</v>
      </c>
      <c r="D96" s="566" t="s">
        <v>159</v>
      </c>
      <c r="E96" s="232"/>
      <c r="F96" s="250"/>
      <c r="G96" s="232"/>
      <c r="H96" s="577" t="s">
        <v>230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229</v>
      </c>
      <c r="D97" s="566" t="s">
        <v>159</v>
      </c>
      <c r="E97" s="232"/>
      <c r="F97" s="250"/>
      <c r="G97" s="232"/>
      <c r="H97" s="577" t="s">
        <v>231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229</v>
      </c>
      <c r="D98" s="566" t="s">
        <v>159</v>
      </c>
      <c r="E98" s="232"/>
      <c r="F98" s="250"/>
      <c r="G98" s="232"/>
      <c r="H98" s="577" t="s">
        <v>232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229</v>
      </c>
      <c r="D99" s="566" t="s">
        <v>159</v>
      </c>
      <c r="E99" s="232"/>
      <c r="F99" s="250"/>
      <c r="G99" s="232"/>
      <c r="H99" s="577" t="s">
        <v>233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234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234</v>
      </c>
      <c r="D102" s="566" t="s">
        <v>159</v>
      </c>
      <c r="E102" s="232"/>
      <c r="F102" s="250"/>
      <c r="G102" s="232"/>
      <c r="H102" s="577" t="s">
        <v>205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234</v>
      </c>
      <c r="D103" s="566" t="s">
        <v>159</v>
      </c>
      <c r="E103" s="232"/>
      <c r="F103" s="250"/>
      <c r="G103" s="232"/>
      <c r="H103" s="577" t="s">
        <v>206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235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236</v>
      </c>
      <c r="D106" s="566" t="s">
        <v>159</v>
      </c>
      <c r="E106" s="232"/>
      <c r="F106" s="250"/>
      <c r="G106" s="232"/>
      <c r="H106" s="571" t="s">
        <v>205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236</v>
      </c>
      <c r="D107" s="566" t="s">
        <v>159</v>
      </c>
      <c r="E107" s="232"/>
      <c r="F107" s="250"/>
      <c r="G107" s="232"/>
      <c r="H107" s="571" t="s">
        <v>206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236</v>
      </c>
      <c r="D108" s="566" t="s">
        <v>159</v>
      </c>
      <c r="E108" s="232"/>
      <c r="F108" s="250"/>
      <c r="G108" s="232"/>
      <c r="H108" s="571" t="s">
        <v>208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167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237</v>
      </c>
      <c r="D111" s="566" t="s">
        <v>159</v>
      </c>
      <c r="E111" s="232"/>
      <c r="F111" s="250"/>
      <c r="G111" s="232"/>
      <c r="H111" s="566" t="s">
        <v>238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6">
      <c r="B113" s="222" t="s">
        <v>27</v>
      </c>
      <c r="C113" s="223" t="s">
        <v>239</v>
      </c>
      <c r="D113" s="224" t="s">
        <v>159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240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27</v>
      </c>
      <c r="C116" s="242" t="s">
        <v>240</v>
      </c>
      <c r="D116" s="242" t="s">
        <v>159</v>
      </c>
      <c r="E116" s="239"/>
      <c r="F116" s="192"/>
      <c r="G116" s="239"/>
      <c r="H116" s="254" t="s">
        <v>205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27</v>
      </c>
      <c r="C117" s="242" t="s">
        <v>240</v>
      </c>
      <c r="D117" s="242" t="s">
        <v>159</v>
      </c>
      <c r="E117" s="239"/>
      <c r="F117" s="192"/>
      <c r="G117" s="239"/>
      <c r="H117" s="254" t="s">
        <v>206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241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27</v>
      </c>
      <c r="C120" s="242" t="s">
        <v>241</v>
      </c>
      <c r="D120" s="242" t="s">
        <v>159</v>
      </c>
      <c r="E120" s="239"/>
      <c r="F120" s="192"/>
      <c r="G120" s="239"/>
      <c r="H120" s="266" t="s">
        <v>242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27</v>
      </c>
      <c r="C121" s="242" t="s">
        <v>241</v>
      </c>
      <c r="D121" s="242" t="s">
        <v>159</v>
      </c>
      <c r="E121" s="239"/>
      <c r="F121" s="192"/>
      <c r="G121" s="239"/>
      <c r="H121" s="266" t="s">
        <v>243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27</v>
      </c>
      <c r="C122" s="263" t="s">
        <v>241</v>
      </c>
      <c r="D122" s="263" t="s">
        <v>159</v>
      </c>
      <c r="E122" s="264"/>
      <c r="F122" s="265"/>
      <c r="G122" s="264"/>
      <c r="H122" s="245" t="s">
        <v>244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241</v>
      </c>
      <c r="D123" s="242" t="s">
        <v>159</v>
      </c>
      <c r="E123" s="239"/>
      <c r="F123" s="192"/>
      <c r="G123" s="239"/>
      <c r="H123" s="266" t="s">
        <v>245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241</v>
      </c>
      <c r="D124" s="263" t="s">
        <v>159</v>
      </c>
      <c r="E124" s="264"/>
      <c r="F124" s="265"/>
      <c r="G124" s="264"/>
      <c r="H124" s="245" t="s">
        <v>246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241</v>
      </c>
      <c r="D125" s="242" t="s">
        <v>159</v>
      </c>
      <c r="E125" s="239"/>
      <c r="F125" s="192"/>
      <c r="G125" s="239"/>
      <c r="H125" s="266" t="s">
        <v>247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241</v>
      </c>
      <c r="D126" s="263" t="s">
        <v>159</v>
      </c>
      <c r="E126" s="264"/>
      <c r="F126" s="265"/>
      <c r="G126" s="264"/>
      <c r="H126" s="245" t="s">
        <v>248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241</v>
      </c>
      <c r="D127" s="242" t="s">
        <v>159</v>
      </c>
      <c r="E127" s="264"/>
      <c r="F127" s="265"/>
      <c r="G127" s="264"/>
      <c r="H127" s="266" t="s">
        <v>249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241</v>
      </c>
      <c r="D128" s="242" t="s">
        <v>159</v>
      </c>
      <c r="E128" s="264"/>
      <c r="F128" s="265"/>
      <c r="G128" s="264"/>
      <c r="H128" s="245" t="s">
        <v>250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241</v>
      </c>
      <c r="D129" s="242" t="s">
        <v>159</v>
      </c>
      <c r="E129" s="264"/>
      <c r="F129" s="265"/>
      <c r="G129" s="264"/>
      <c r="H129" s="266" t="s">
        <v>251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252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27</v>
      </c>
      <c r="C132" s="242" t="s">
        <v>252</v>
      </c>
      <c r="D132" s="242" t="s">
        <v>159</v>
      </c>
      <c r="E132" s="232"/>
      <c r="F132" s="250"/>
      <c r="G132" s="232"/>
      <c r="H132" s="266" t="s">
        <v>247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27</v>
      </c>
      <c r="C133" s="242" t="s">
        <v>252</v>
      </c>
      <c r="D133" s="242" t="s">
        <v>159</v>
      </c>
      <c r="E133" s="232"/>
      <c r="F133" s="250"/>
      <c r="G133" s="232"/>
      <c r="H133" s="266" t="s">
        <v>248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27</v>
      </c>
      <c r="C134" s="242" t="s">
        <v>252</v>
      </c>
      <c r="D134" s="242" t="s">
        <v>159</v>
      </c>
      <c r="E134" s="232"/>
      <c r="F134" s="250"/>
      <c r="G134" s="232"/>
      <c r="H134" s="266" t="s">
        <v>249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252</v>
      </c>
      <c r="D135" s="242" t="s">
        <v>159</v>
      </c>
      <c r="E135" s="232"/>
      <c r="F135" s="250"/>
      <c r="G135" s="232"/>
      <c r="H135" s="578" t="s">
        <v>253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252</v>
      </c>
      <c r="D136" s="242" t="s">
        <v>159</v>
      </c>
      <c r="E136" s="232"/>
      <c r="F136" s="250"/>
      <c r="G136" s="232"/>
      <c r="H136" s="580" t="s">
        <v>254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252</v>
      </c>
      <c r="D137" s="242" t="s">
        <v>159</v>
      </c>
      <c r="E137" s="232"/>
      <c r="F137" s="250"/>
      <c r="G137" s="232"/>
      <c r="H137" s="266" t="s">
        <v>255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252</v>
      </c>
      <c r="D138" s="242" t="s">
        <v>159</v>
      </c>
      <c r="E138" s="232"/>
      <c r="F138" s="250"/>
      <c r="G138" s="232"/>
      <c r="H138" s="266" t="s">
        <v>256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252</v>
      </c>
      <c r="D139" s="242" t="s">
        <v>159</v>
      </c>
      <c r="E139" s="232"/>
      <c r="F139" s="250"/>
      <c r="G139" s="232"/>
      <c r="H139" s="266" t="s">
        <v>257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27</v>
      </c>
      <c r="C140" s="242" t="s">
        <v>252</v>
      </c>
      <c r="D140" s="242" t="s">
        <v>159</v>
      </c>
      <c r="E140" s="232"/>
      <c r="F140" s="250"/>
      <c r="G140" s="232"/>
      <c r="H140" s="266" t="s">
        <v>258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252</v>
      </c>
      <c r="D141" s="242" t="s">
        <v>159</v>
      </c>
      <c r="E141" s="232"/>
      <c r="F141" s="250"/>
      <c r="G141" s="232"/>
      <c r="H141" s="266" t="s">
        <v>259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252</v>
      </c>
      <c r="D142" s="242" t="s">
        <v>159</v>
      </c>
      <c r="E142" s="232"/>
      <c r="F142" s="250"/>
      <c r="G142" s="232"/>
      <c r="H142" s="266" t="s">
        <v>260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252</v>
      </c>
      <c r="D143" s="242" t="s">
        <v>159</v>
      </c>
      <c r="E143" s="232"/>
      <c r="F143" s="250"/>
      <c r="G143" s="232"/>
      <c r="H143" s="266" t="s">
        <v>261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252</v>
      </c>
      <c r="D144" s="242" t="s">
        <v>159</v>
      </c>
      <c r="E144" s="232"/>
      <c r="F144" s="250"/>
      <c r="G144" s="232"/>
      <c r="H144" s="266" t="s">
        <v>262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252</v>
      </c>
      <c r="D145" s="242" t="s">
        <v>159</v>
      </c>
      <c r="E145" s="232"/>
      <c r="F145" s="250"/>
      <c r="G145" s="232"/>
      <c r="H145" s="266" t="s">
        <v>263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252</v>
      </c>
      <c r="D146" s="242" t="s">
        <v>159</v>
      </c>
      <c r="E146" s="232"/>
      <c r="F146" s="250"/>
      <c r="G146" s="232"/>
      <c r="H146" s="266" t="s">
        <v>264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252</v>
      </c>
      <c r="D147" s="242" t="s">
        <v>159</v>
      </c>
      <c r="E147" s="232"/>
      <c r="F147" s="250"/>
      <c r="G147" s="232"/>
      <c r="H147" s="266" t="s">
        <v>265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252</v>
      </c>
      <c r="D148" s="242" t="s">
        <v>159</v>
      </c>
      <c r="E148" s="232"/>
      <c r="F148" s="250"/>
      <c r="G148" s="232"/>
      <c r="H148" s="245" t="s">
        <v>242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252</v>
      </c>
      <c r="D149" s="242" t="s">
        <v>159</v>
      </c>
      <c r="E149" s="232"/>
      <c r="F149" s="250"/>
      <c r="G149" s="232"/>
      <c r="H149" s="245" t="s">
        <v>266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252</v>
      </c>
      <c r="D150" s="242" t="s">
        <v>159</v>
      </c>
      <c r="E150" s="232"/>
      <c r="F150" s="250"/>
      <c r="G150" s="232"/>
      <c r="H150" s="245" t="s">
        <v>267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252</v>
      </c>
      <c r="D151" s="242" t="s">
        <v>159</v>
      </c>
      <c r="E151" s="232"/>
      <c r="F151" s="250"/>
      <c r="G151" s="232"/>
      <c r="H151" s="245" t="s">
        <v>268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252</v>
      </c>
      <c r="D152" s="242" t="s">
        <v>159</v>
      </c>
      <c r="E152" s="232"/>
      <c r="F152" s="250"/>
      <c r="G152" s="232"/>
      <c r="H152" s="245" t="s">
        <v>269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252</v>
      </c>
      <c r="D153" s="242" t="s">
        <v>159</v>
      </c>
      <c r="E153" s="232"/>
      <c r="F153" s="250"/>
      <c r="G153" s="232"/>
      <c r="H153" s="245" t="s">
        <v>270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252</v>
      </c>
      <c r="D154" s="242" t="s">
        <v>159</v>
      </c>
      <c r="E154" s="232"/>
      <c r="F154" s="250"/>
      <c r="G154" s="232"/>
      <c r="H154" s="266" t="s">
        <v>271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252</v>
      </c>
      <c r="D155" s="242" t="s">
        <v>159</v>
      </c>
      <c r="E155" s="232"/>
      <c r="F155" s="250"/>
      <c r="G155" s="232"/>
      <c r="H155" s="266" t="s">
        <v>272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252</v>
      </c>
      <c r="D156" s="242" t="s">
        <v>159</v>
      </c>
      <c r="E156" s="232"/>
      <c r="F156" s="250"/>
      <c r="G156" s="232"/>
      <c r="H156" s="266" t="s">
        <v>273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252</v>
      </c>
      <c r="D157" s="242" t="s">
        <v>159</v>
      </c>
      <c r="E157" s="232"/>
      <c r="F157" s="250"/>
      <c r="G157" s="232"/>
      <c r="H157" s="266" t="s">
        <v>274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252</v>
      </c>
      <c r="D158" s="242" t="s">
        <v>159</v>
      </c>
      <c r="E158" s="232"/>
      <c r="F158" s="250"/>
      <c r="G158" s="232"/>
      <c r="H158" s="266" t="s">
        <v>275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252</v>
      </c>
      <c r="D159" s="242" t="s">
        <v>159</v>
      </c>
      <c r="E159" s="232"/>
      <c r="F159" s="250"/>
      <c r="G159" s="232"/>
      <c r="H159" s="266" t="s">
        <v>276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252</v>
      </c>
      <c r="D160" s="242" t="s">
        <v>159</v>
      </c>
      <c r="E160" s="232"/>
      <c r="F160" s="250"/>
      <c r="G160" s="232"/>
      <c r="H160" s="266" t="s">
        <v>277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252</v>
      </c>
      <c r="D161" s="242" t="s">
        <v>159</v>
      </c>
      <c r="E161" s="232"/>
      <c r="F161" s="250"/>
      <c r="G161" s="232"/>
      <c r="H161" s="266" t="s">
        <v>278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252</v>
      </c>
      <c r="D162" s="242" t="s">
        <v>159</v>
      </c>
      <c r="E162" s="232"/>
      <c r="F162" s="250"/>
      <c r="G162" s="232"/>
      <c r="H162" s="245" t="s">
        <v>279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252</v>
      </c>
      <c r="D163" s="242" t="s">
        <v>159</v>
      </c>
      <c r="E163" s="232"/>
      <c r="F163" s="250"/>
      <c r="G163" s="232"/>
      <c r="H163" s="245" t="s">
        <v>280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252</v>
      </c>
      <c r="D164" s="242" t="s">
        <v>159</v>
      </c>
      <c r="E164" s="232"/>
      <c r="F164" s="250"/>
      <c r="G164" s="232"/>
      <c r="H164" s="245" t="s">
        <v>246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252</v>
      </c>
      <c r="D165" s="242" t="s">
        <v>159</v>
      </c>
      <c r="E165" s="232"/>
      <c r="F165" s="250"/>
      <c r="G165" s="232"/>
      <c r="H165" s="245" t="s">
        <v>243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252</v>
      </c>
      <c r="D166" s="242" t="s">
        <v>159</v>
      </c>
      <c r="E166" s="232"/>
      <c r="F166" s="250"/>
      <c r="G166" s="232"/>
      <c r="H166" s="559" t="s">
        <v>245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281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281</v>
      </c>
      <c r="D169" s="566" t="s">
        <v>159</v>
      </c>
      <c r="E169" s="232"/>
      <c r="F169" s="250"/>
      <c r="G169" s="232"/>
      <c r="H169" s="568" t="s">
        <v>282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281</v>
      </c>
      <c r="D170" s="566" t="s">
        <v>159</v>
      </c>
      <c r="E170" s="232"/>
      <c r="F170" s="250"/>
      <c r="G170" s="232"/>
      <c r="H170" s="559" t="s">
        <v>208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281</v>
      </c>
      <c r="D171" s="566" t="s">
        <v>159</v>
      </c>
      <c r="E171" s="232"/>
      <c r="F171" s="250"/>
      <c r="G171" s="232"/>
      <c r="H171" s="568" t="s">
        <v>243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281</v>
      </c>
      <c r="D172" s="566" t="s">
        <v>159</v>
      </c>
      <c r="E172" s="232"/>
      <c r="F172" s="250"/>
      <c r="G172" s="232"/>
      <c r="H172" s="568" t="s">
        <v>249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281</v>
      </c>
      <c r="D173" s="566" t="s">
        <v>159</v>
      </c>
      <c r="E173" s="232"/>
      <c r="F173" s="250"/>
      <c r="G173" s="232"/>
      <c r="H173" s="568" t="s">
        <v>283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281</v>
      </c>
      <c r="D174" s="566" t="s">
        <v>159</v>
      </c>
      <c r="E174" s="232"/>
      <c r="F174" s="250"/>
      <c r="G174" s="232"/>
      <c r="H174" s="568" t="s">
        <v>254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281</v>
      </c>
      <c r="D175" s="566" t="s">
        <v>159</v>
      </c>
      <c r="E175" s="232"/>
      <c r="F175" s="250"/>
      <c r="G175" s="232"/>
      <c r="H175" s="568" t="s">
        <v>245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284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285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286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163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163</v>
      </c>
      <c r="D184" s="566" t="s">
        <v>159</v>
      </c>
      <c r="E184" s="232"/>
      <c r="F184" s="250"/>
      <c r="G184" s="232"/>
      <c r="H184" s="568" t="s">
        <v>287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163</v>
      </c>
      <c r="D185" s="566" t="s">
        <v>159</v>
      </c>
      <c r="E185" s="232"/>
      <c r="F185" s="250"/>
      <c r="G185" s="232"/>
      <c r="H185" s="568" t="s">
        <v>288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289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203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204</v>
      </c>
      <c r="D190" s="566" t="s">
        <v>159</v>
      </c>
      <c r="E190" s="232"/>
      <c r="F190" s="250"/>
      <c r="G190" s="232"/>
      <c r="H190" s="252" t="s">
        <v>290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204</v>
      </c>
      <c r="D191" s="566" t="s">
        <v>159</v>
      </c>
      <c r="E191" s="232"/>
      <c r="F191" s="250"/>
      <c r="G191" s="232"/>
      <c r="H191" s="568" t="s">
        <v>291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212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213</v>
      </c>
      <c r="D194" s="566" t="s">
        <v>159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165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165</v>
      </c>
      <c r="D198" s="249" t="s">
        <v>159</v>
      </c>
      <c r="E198" s="269"/>
      <c r="F198" s="270"/>
      <c r="G198" s="269"/>
      <c r="H198" s="256" t="s">
        <v>290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164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164</v>
      </c>
      <c r="D200" s="249" t="s">
        <v>159</v>
      </c>
      <c r="E200" s="232"/>
      <c r="F200" s="250"/>
      <c r="G200" s="232"/>
      <c r="H200" s="256" t="s">
        <v>290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164</v>
      </c>
      <c r="D201" s="249" t="s">
        <v>159</v>
      </c>
      <c r="E201" s="232"/>
      <c r="F201" s="250"/>
      <c r="G201" s="232"/>
      <c r="H201" s="367" t="s">
        <v>208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292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292</v>
      </c>
      <c r="D204" s="249" t="s">
        <v>159</v>
      </c>
      <c r="E204" s="232"/>
      <c r="F204" s="250"/>
      <c r="G204" s="232"/>
      <c r="H204" s="256" t="s">
        <v>290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293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293</v>
      </c>
      <c r="D207" s="249" t="s">
        <v>159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293</v>
      </c>
      <c r="D208" s="249" t="s">
        <v>159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293</v>
      </c>
      <c r="D209" s="249" t="s">
        <v>159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293</v>
      </c>
      <c r="D210" s="249" t="s">
        <v>159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235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236</v>
      </c>
      <c r="D213" s="566" t="s">
        <v>159</v>
      </c>
      <c r="E213" s="232"/>
      <c r="F213" s="250"/>
      <c r="G213" s="232"/>
      <c r="H213" s="256" t="s">
        <v>294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236</v>
      </c>
      <c r="D214" s="566" t="s">
        <v>159</v>
      </c>
      <c r="E214" s="232"/>
      <c r="F214" s="250"/>
      <c r="G214" s="232"/>
      <c r="H214" s="256" t="s">
        <v>290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295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228</v>
      </c>
      <c r="D217" s="566" t="s">
        <v>159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228</v>
      </c>
      <c r="D218" s="566" t="s">
        <v>159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296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296</v>
      </c>
      <c r="D221" s="566" t="s">
        <v>159</v>
      </c>
      <c r="E221" s="232"/>
      <c r="F221" s="250"/>
      <c r="G221" s="232"/>
      <c r="H221" s="256" t="s">
        <v>297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296</v>
      </c>
      <c r="D222" s="566" t="s">
        <v>159</v>
      </c>
      <c r="E222" s="232"/>
      <c r="F222" s="250"/>
      <c r="G222" s="232"/>
      <c r="H222" s="256" t="s">
        <v>298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296</v>
      </c>
      <c r="D223" s="566" t="s">
        <v>159</v>
      </c>
      <c r="E223" s="232"/>
      <c r="F223" s="250"/>
      <c r="G223" s="232"/>
      <c r="H223" s="256" t="s">
        <v>299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296</v>
      </c>
      <c r="D224" s="566" t="s">
        <v>159</v>
      </c>
      <c r="E224" s="232"/>
      <c r="F224" s="250"/>
      <c r="G224" s="232"/>
      <c r="H224" s="256" t="s">
        <v>208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300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301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302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167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237</v>
      </c>
      <c r="D233" s="566" t="s">
        <v>159</v>
      </c>
      <c r="E233" s="232"/>
      <c r="F233" s="250"/>
      <c r="G233" s="232"/>
      <c r="H233" s="584" t="s">
        <v>303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6">
      <c r="B235" s="222" t="s">
        <v>6</v>
      </c>
      <c r="C235" s="223" t="s">
        <v>304</v>
      </c>
      <c r="D235" s="224" t="s">
        <v>159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305</v>
      </c>
      <c r="C237" s="315" t="s">
        <v>306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6</v>
      </c>
      <c r="C238" s="242" t="s">
        <v>307</v>
      </c>
      <c r="D238" s="249" t="s">
        <v>159</v>
      </c>
      <c r="E238" s="239"/>
      <c r="F238" s="192"/>
      <c r="G238" s="239"/>
      <c r="H238" s="249" t="s">
        <v>308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307</v>
      </c>
      <c r="D239" s="249" t="s">
        <v>159</v>
      </c>
      <c r="E239" s="239"/>
      <c r="F239" s="192"/>
      <c r="G239" s="239"/>
      <c r="H239" s="249" t="s">
        <v>309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307</v>
      </c>
      <c r="D240" s="249" t="s">
        <v>159</v>
      </c>
      <c r="E240" s="239"/>
      <c r="F240" s="192"/>
      <c r="G240" s="239"/>
      <c r="H240" s="249" t="s">
        <v>310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311</v>
      </c>
      <c r="D241" s="249" t="s">
        <v>159</v>
      </c>
      <c r="E241" s="239"/>
      <c r="F241" s="192"/>
      <c r="G241" s="239"/>
      <c r="H241" s="249" t="s">
        <v>312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311</v>
      </c>
      <c r="D242" s="249" t="s">
        <v>159</v>
      </c>
      <c r="F242" s="192"/>
      <c r="H242" s="249" t="s">
        <v>313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314</v>
      </c>
      <c r="C244" s="315" t="s">
        <v>315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316</v>
      </c>
      <c r="D245" s="274" t="s">
        <v>159</v>
      </c>
      <c r="E245" s="232"/>
      <c r="F245" s="250"/>
      <c r="G245" s="232"/>
      <c r="H245" s="256" t="s">
        <v>297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316</v>
      </c>
      <c r="D246" s="274" t="s">
        <v>159</v>
      </c>
      <c r="E246" s="232"/>
      <c r="F246" s="250"/>
      <c r="G246" s="232"/>
      <c r="H246" s="256" t="s">
        <v>317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316</v>
      </c>
      <c r="D247" s="274" t="s">
        <v>159</v>
      </c>
      <c r="E247" s="232"/>
      <c r="F247" s="250"/>
      <c r="G247" s="232"/>
      <c r="H247" s="256" t="s">
        <v>208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316</v>
      </c>
      <c r="D248" s="274" t="s">
        <v>159</v>
      </c>
      <c r="E248" s="232"/>
      <c r="F248" s="250"/>
      <c r="G248" s="232"/>
      <c r="H248" s="256" t="s">
        <v>318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316</v>
      </c>
      <c r="D249" s="274" t="s">
        <v>159</v>
      </c>
      <c r="E249" s="232"/>
      <c r="F249" s="250"/>
      <c r="G249" s="232"/>
      <c r="H249" s="256" t="s">
        <v>319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316</v>
      </c>
      <c r="D250" s="274" t="s">
        <v>159</v>
      </c>
      <c r="E250" s="232"/>
      <c r="F250" s="250"/>
      <c r="G250" s="232"/>
      <c r="H250" s="256" t="s">
        <v>320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316</v>
      </c>
      <c r="D251" s="274" t="s">
        <v>159</v>
      </c>
      <c r="E251" s="232"/>
      <c r="F251" s="250"/>
      <c r="G251" s="232"/>
      <c r="H251" s="256" t="s">
        <v>321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316</v>
      </c>
      <c r="D252" s="274" t="s">
        <v>159</v>
      </c>
      <c r="E252" s="232"/>
      <c r="F252" s="250"/>
      <c r="G252" s="232"/>
      <c r="H252" s="256" t="s">
        <v>322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316</v>
      </c>
      <c r="D253" s="274" t="s">
        <v>159</v>
      </c>
      <c r="E253" s="232"/>
      <c r="F253" s="250"/>
      <c r="G253" s="232"/>
      <c r="H253" s="256" t="s">
        <v>323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316</v>
      </c>
      <c r="D254" s="274" t="s">
        <v>159</v>
      </c>
      <c r="E254" s="232"/>
      <c r="F254" s="250"/>
      <c r="G254" s="232"/>
      <c r="H254" s="256" t="s">
        <v>324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316</v>
      </c>
      <c r="D255" s="274" t="s">
        <v>159</v>
      </c>
      <c r="E255" s="232"/>
      <c r="F255" s="250"/>
      <c r="G255" s="232"/>
      <c r="H255" s="256" t="s">
        <v>325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316</v>
      </c>
      <c r="D256" s="274" t="s">
        <v>159</v>
      </c>
      <c r="E256" s="232"/>
      <c r="F256" s="250"/>
      <c r="G256" s="232"/>
      <c r="H256" s="256" t="s">
        <v>326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316</v>
      </c>
      <c r="D257" s="274" t="s">
        <v>159</v>
      </c>
      <c r="E257" s="232"/>
      <c r="F257" s="250"/>
      <c r="G257" s="232"/>
      <c r="H257" s="256" t="s">
        <v>327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316</v>
      </c>
      <c r="D258" s="274" t="s">
        <v>159</v>
      </c>
      <c r="E258" s="232"/>
      <c r="F258" s="250"/>
      <c r="G258" s="232"/>
      <c r="H258" s="256" t="s">
        <v>328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316</v>
      </c>
      <c r="D259" s="274" t="s">
        <v>159</v>
      </c>
      <c r="E259" s="232"/>
      <c r="F259" s="250"/>
      <c r="G259" s="232"/>
      <c r="H259" s="256" t="s">
        <v>329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316</v>
      </c>
      <c r="D260" s="274" t="s">
        <v>159</v>
      </c>
      <c r="E260" s="232"/>
      <c r="F260" s="250"/>
      <c r="G260" s="232"/>
      <c r="H260" s="256" t="s">
        <v>330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316</v>
      </c>
      <c r="D261" s="274" t="s">
        <v>159</v>
      </c>
      <c r="E261" s="232"/>
      <c r="F261" s="250"/>
      <c r="G261" s="232"/>
      <c r="H261" s="256" t="s">
        <v>246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316</v>
      </c>
      <c r="D262" s="274" t="s">
        <v>159</v>
      </c>
      <c r="E262" s="232"/>
      <c r="F262" s="250"/>
      <c r="G262" s="232"/>
      <c r="H262" s="256" t="s">
        <v>247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316</v>
      </c>
      <c r="D263" s="274" t="s">
        <v>159</v>
      </c>
      <c r="E263" s="232"/>
      <c r="F263" s="250"/>
      <c r="G263" s="232"/>
      <c r="H263" s="256" t="s">
        <v>248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331</v>
      </c>
      <c r="C265" s="315" t="s">
        <v>332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6</v>
      </c>
      <c r="C266" s="242" t="s">
        <v>333</v>
      </c>
      <c r="D266" s="249" t="s">
        <v>159</v>
      </c>
      <c r="E266" s="239"/>
      <c r="F266" s="192"/>
      <c r="G266" s="239"/>
      <c r="H266" s="256" t="s">
        <v>334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6</v>
      </c>
      <c r="C267" s="242" t="s">
        <v>333</v>
      </c>
      <c r="D267" s="249" t="s">
        <v>159</v>
      </c>
      <c r="E267" s="239"/>
      <c r="F267" s="192"/>
      <c r="G267" s="239"/>
      <c r="H267" s="256" t="s">
        <v>335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6</v>
      </c>
      <c r="C268" s="242" t="s">
        <v>333</v>
      </c>
      <c r="D268" s="249" t="s">
        <v>159</v>
      </c>
      <c r="E268" s="239"/>
      <c r="F268" s="192"/>
      <c r="G268" s="239"/>
      <c r="H268" s="256" t="s">
        <v>336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6</v>
      </c>
      <c r="C269" s="242" t="s">
        <v>333</v>
      </c>
      <c r="D269" s="249" t="s">
        <v>159</v>
      </c>
      <c r="E269" s="239"/>
      <c r="F269" s="192"/>
      <c r="G269" s="239"/>
      <c r="H269" s="256" t="s">
        <v>337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6</v>
      </c>
      <c r="C270" s="242" t="s">
        <v>333</v>
      </c>
      <c r="D270" s="249" t="s">
        <v>159</v>
      </c>
      <c r="E270" s="239"/>
      <c r="F270" s="192"/>
      <c r="G270" s="239"/>
      <c r="H270" s="256" t="s">
        <v>338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6</v>
      </c>
      <c r="C271" s="242" t="s">
        <v>333</v>
      </c>
      <c r="D271" s="249" t="s">
        <v>159</v>
      </c>
      <c r="E271" s="239"/>
      <c r="F271" s="192"/>
      <c r="G271" s="239"/>
      <c r="H271" s="256" t="s">
        <v>339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6</v>
      </c>
      <c r="C272" s="242" t="s">
        <v>333</v>
      </c>
      <c r="D272" s="249" t="s">
        <v>159</v>
      </c>
      <c r="E272" s="239"/>
      <c r="F272" s="192"/>
      <c r="G272" s="239"/>
      <c r="H272" s="256" t="s">
        <v>340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341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6</v>
      </c>
      <c r="C275" s="242" t="s">
        <v>341</v>
      </c>
      <c r="D275" s="249" t="s">
        <v>159</v>
      </c>
      <c r="E275" s="239"/>
      <c r="F275" s="192"/>
      <c r="G275" s="239"/>
      <c r="H275" s="256" t="s">
        <v>342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6</v>
      </c>
      <c r="C276" s="242" t="s">
        <v>341</v>
      </c>
      <c r="D276" s="249" t="s">
        <v>159</v>
      </c>
      <c r="E276" s="239"/>
      <c r="F276" s="192"/>
      <c r="G276" s="239"/>
      <c r="H276" s="256" t="s">
        <v>343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6</v>
      </c>
      <c r="C277" s="242" t="s">
        <v>341</v>
      </c>
      <c r="D277" s="249" t="s">
        <v>159</v>
      </c>
      <c r="E277" s="239"/>
      <c r="F277" s="192"/>
      <c r="G277" s="239"/>
      <c r="H277" s="256" t="s">
        <v>344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6</v>
      </c>
      <c r="C278" s="242" t="s">
        <v>341</v>
      </c>
      <c r="D278" s="249" t="s">
        <v>159</v>
      </c>
      <c r="E278" s="239"/>
      <c r="F278" s="192"/>
      <c r="G278" s="239"/>
      <c r="H278" s="256" t="s">
        <v>345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6</v>
      </c>
      <c r="C279" s="242" t="s">
        <v>341</v>
      </c>
      <c r="D279" s="249" t="s">
        <v>159</v>
      </c>
      <c r="E279" s="239"/>
      <c r="F279" s="192"/>
      <c r="G279" s="239"/>
      <c r="H279" s="256" t="s">
        <v>346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6</v>
      </c>
      <c r="C280" s="242" t="s">
        <v>341</v>
      </c>
      <c r="D280" s="249" t="s">
        <v>159</v>
      </c>
      <c r="E280" s="239"/>
      <c r="F280" s="192"/>
      <c r="G280" s="239"/>
      <c r="H280" s="256" t="s">
        <v>347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6</v>
      </c>
      <c r="C281" s="242" t="s">
        <v>341</v>
      </c>
      <c r="D281" s="249" t="s">
        <v>159</v>
      </c>
      <c r="E281" s="239"/>
      <c r="F281" s="192"/>
      <c r="G281" s="239"/>
      <c r="H281" s="256" t="s">
        <v>348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6</v>
      </c>
      <c r="C282" s="242" t="s">
        <v>341</v>
      </c>
      <c r="D282" s="249" t="s">
        <v>159</v>
      </c>
      <c r="E282" s="239"/>
      <c r="F282" s="192"/>
      <c r="G282" s="239"/>
      <c r="H282" s="256" t="s">
        <v>349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6</v>
      </c>
      <c r="C283" s="242" t="s">
        <v>341</v>
      </c>
      <c r="D283" s="249" t="s">
        <v>159</v>
      </c>
      <c r="E283" s="239"/>
      <c r="F283" s="192"/>
      <c r="G283" s="239"/>
      <c r="H283" s="256" t="s">
        <v>350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6</v>
      </c>
      <c r="C284" s="242" t="s">
        <v>341</v>
      </c>
      <c r="D284" s="249" t="s">
        <v>159</v>
      </c>
      <c r="E284" s="239"/>
      <c r="F284" s="192"/>
      <c r="G284" s="239"/>
      <c r="H284" s="256" t="s">
        <v>351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6</v>
      </c>
      <c r="C285" s="242" t="s">
        <v>341</v>
      </c>
      <c r="D285" s="249" t="s">
        <v>159</v>
      </c>
      <c r="E285" s="239"/>
      <c r="F285" s="192"/>
      <c r="G285" s="239"/>
      <c r="H285" s="256" t="s">
        <v>352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6</v>
      </c>
      <c r="C286" s="242" t="s">
        <v>341</v>
      </c>
      <c r="D286" s="249" t="s">
        <v>159</v>
      </c>
      <c r="E286" s="239"/>
      <c r="F286" s="192"/>
      <c r="G286" s="239"/>
      <c r="H286" s="256" t="s">
        <v>353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341</v>
      </c>
      <c r="D287" s="249" t="s">
        <v>159</v>
      </c>
      <c r="E287" s="239"/>
      <c r="F287" s="192"/>
      <c r="G287" s="239"/>
      <c r="H287" s="256" t="s">
        <v>354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6</v>
      </c>
      <c r="C288" s="242" t="s">
        <v>341</v>
      </c>
      <c r="D288" s="249" t="s">
        <v>159</v>
      </c>
      <c r="E288" s="239"/>
      <c r="F288" s="192"/>
      <c r="G288" s="239"/>
      <c r="H288" s="256" t="s">
        <v>355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6</v>
      </c>
      <c r="C289" s="242" t="s">
        <v>341</v>
      </c>
      <c r="D289" s="249" t="s">
        <v>159</v>
      </c>
      <c r="E289" s="239"/>
      <c r="F289" s="192"/>
      <c r="G289" s="239"/>
      <c r="H289" s="256" t="s">
        <v>356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6</v>
      </c>
      <c r="C290" s="242" t="s">
        <v>341</v>
      </c>
      <c r="D290" s="249" t="s">
        <v>159</v>
      </c>
      <c r="E290" s="239"/>
      <c r="F290" s="192"/>
      <c r="G290" s="239"/>
      <c r="H290" s="256" t="s">
        <v>357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6</v>
      </c>
      <c r="C291" s="242" t="s">
        <v>341</v>
      </c>
      <c r="D291" s="249" t="s">
        <v>159</v>
      </c>
      <c r="E291" s="239"/>
      <c r="F291" s="192"/>
      <c r="G291" s="239"/>
      <c r="H291" s="256" t="s">
        <v>358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6</v>
      </c>
      <c r="C292" s="242" t="s">
        <v>341</v>
      </c>
      <c r="D292" s="249" t="s">
        <v>159</v>
      </c>
      <c r="E292" s="239"/>
      <c r="F292" s="192"/>
      <c r="G292" s="239"/>
      <c r="H292" s="256" t="s">
        <v>359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6</v>
      </c>
      <c r="C293" s="242" t="s">
        <v>341</v>
      </c>
      <c r="D293" s="249" t="s">
        <v>159</v>
      </c>
      <c r="E293" s="239"/>
      <c r="F293" s="192"/>
      <c r="G293" s="239"/>
      <c r="H293" s="256" t="s">
        <v>360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361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361</v>
      </c>
      <c r="D296" s="566" t="s">
        <v>159</v>
      </c>
      <c r="E296" s="239"/>
      <c r="F296" s="192"/>
      <c r="G296" s="239"/>
      <c r="H296" s="256" t="s">
        <v>362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361</v>
      </c>
      <c r="D297" s="566" t="s">
        <v>159</v>
      </c>
      <c r="E297" s="239"/>
      <c r="F297" s="192"/>
      <c r="G297" s="239"/>
      <c r="H297" s="256" t="s">
        <v>363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364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365</v>
      </c>
      <c r="D300" s="566" t="s">
        <v>159</v>
      </c>
      <c r="E300" s="239"/>
      <c r="F300" s="192"/>
      <c r="G300" s="239"/>
      <c r="H300" s="256" t="s">
        <v>226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365</v>
      </c>
      <c r="D301" s="566" t="s">
        <v>159</v>
      </c>
      <c r="E301" s="239"/>
      <c r="F301" s="192"/>
      <c r="G301" s="239"/>
      <c r="H301" s="256" t="s">
        <v>206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365</v>
      </c>
      <c r="D302" s="566" t="s">
        <v>159</v>
      </c>
      <c r="E302" s="239"/>
      <c r="F302" s="192"/>
      <c r="G302" s="239"/>
      <c r="H302" s="256" t="s">
        <v>299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365</v>
      </c>
      <c r="D303" s="566" t="s">
        <v>159</v>
      </c>
      <c r="E303" s="239"/>
      <c r="F303" s="192"/>
      <c r="G303" s="239"/>
      <c r="H303" s="256" t="s">
        <v>366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167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237</v>
      </c>
      <c r="D306" s="566" t="s">
        <v>159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6">
      <c r="B308" s="222" t="s">
        <v>20</v>
      </c>
      <c r="C308" s="223" t="s">
        <v>367</v>
      </c>
      <c r="D308" s="224" t="s">
        <v>159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368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20</v>
      </c>
      <c r="C311" s="242" t="s">
        <v>368</v>
      </c>
      <c r="D311" s="249" t="s">
        <v>159</v>
      </c>
      <c r="E311" s="239"/>
      <c r="F311" s="192"/>
      <c r="G311" s="239"/>
      <c r="H311" s="249" t="s">
        <v>246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20</v>
      </c>
      <c r="C312" s="242" t="s">
        <v>368</v>
      </c>
      <c r="D312" s="249" t="s">
        <v>159</v>
      </c>
      <c r="E312" s="239"/>
      <c r="F312" s="192"/>
      <c r="G312" s="239"/>
      <c r="H312" s="249" t="s">
        <v>247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20</v>
      </c>
      <c r="C313" s="242" t="s">
        <v>368</v>
      </c>
      <c r="D313" s="249" t="s">
        <v>159</v>
      </c>
      <c r="E313" s="239"/>
      <c r="F313" s="192"/>
      <c r="G313" s="239"/>
      <c r="H313" s="249" t="s">
        <v>248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369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369</v>
      </c>
      <c r="D316" s="231" t="s">
        <v>159</v>
      </c>
      <c r="E316" s="232"/>
      <c r="F316" s="250"/>
      <c r="G316" s="232"/>
      <c r="H316" s="256" t="s">
        <v>370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369</v>
      </c>
      <c r="D317" s="231" t="s">
        <v>159</v>
      </c>
      <c r="E317" s="232"/>
      <c r="F317" s="250"/>
      <c r="G317" s="232"/>
      <c r="H317" s="256" t="s">
        <v>230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369</v>
      </c>
      <c r="D318" s="231" t="s">
        <v>159</v>
      </c>
      <c r="E318" s="232"/>
      <c r="F318" s="250"/>
      <c r="G318" s="232"/>
      <c r="H318" s="256" t="s">
        <v>371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369</v>
      </c>
      <c r="D319" s="231" t="s">
        <v>159</v>
      </c>
      <c r="E319" s="232"/>
      <c r="F319" s="250"/>
      <c r="G319" s="232"/>
      <c r="H319" s="278" t="s">
        <v>372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373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373</v>
      </c>
      <c r="D322" s="231" t="s">
        <v>159</v>
      </c>
      <c r="E322" s="232"/>
      <c r="F322" s="250"/>
      <c r="G322" s="232"/>
      <c r="H322" s="278" t="s">
        <v>374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373</v>
      </c>
      <c r="D323" s="231" t="s">
        <v>159</v>
      </c>
      <c r="E323" s="232"/>
      <c r="F323" s="250"/>
      <c r="G323" s="232"/>
      <c r="H323" s="278" t="s">
        <v>208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373</v>
      </c>
      <c r="D324" s="231" t="s">
        <v>159</v>
      </c>
      <c r="E324" s="232"/>
      <c r="F324" s="250"/>
      <c r="G324" s="232"/>
      <c r="H324" s="278" t="s">
        <v>199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373</v>
      </c>
      <c r="D325" s="231" t="s">
        <v>159</v>
      </c>
      <c r="E325" s="232"/>
      <c r="F325" s="250"/>
      <c r="G325" s="232"/>
      <c r="H325" s="278" t="s">
        <v>198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373</v>
      </c>
      <c r="D326" s="231" t="s">
        <v>159</v>
      </c>
      <c r="E326" s="232"/>
      <c r="F326" s="250"/>
      <c r="G326" s="232"/>
      <c r="H326" s="278" t="s">
        <v>209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373</v>
      </c>
      <c r="D327" s="231" t="s">
        <v>159</v>
      </c>
      <c r="E327" s="232"/>
      <c r="F327" s="250"/>
      <c r="G327" s="232"/>
      <c r="H327" s="278" t="s">
        <v>375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376</v>
      </c>
      <c r="B329" s="235" t="s">
        <v>377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361</v>
      </c>
      <c r="D330" s="566" t="s">
        <v>159</v>
      </c>
      <c r="E330" s="232"/>
      <c r="F330" s="250"/>
      <c r="G330" s="232"/>
      <c r="H330" s="586" t="s">
        <v>378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361</v>
      </c>
      <c r="D331" s="566" t="s">
        <v>159</v>
      </c>
      <c r="E331" s="232"/>
      <c r="F331" s="250"/>
      <c r="G331" s="232"/>
      <c r="H331" s="586" t="s">
        <v>379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361</v>
      </c>
      <c r="D332" s="566" t="s">
        <v>159</v>
      </c>
      <c r="E332" s="232"/>
      <c r="F332" s="250"/>
      <c r="G332" s="232"/>
      <c r="H332" s="256" t="s">
        <v>380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381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382</v>
      </c>
      <c r="D335" s="231" t="s">
        <v>159</v>
      </c>
      <c r="E335" s="232"/>
      <c r="F335" s="250"/>
      <c r="G335" s="232"/>
      <c r="H335" s="245" t="s">
        <v>205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382</v>
      </c>
      <c r="D336" s="231" t="s">
        <v>159</v>
      </c>
      <c r="E336" s="232"/>
      <c r="F336" s="250"/>
      <c r="G336" s="232"/>
      <c r="H336" s="245" t="s">
        <v>206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382</v>
      </c>
      <c r="D337" s="231" t="s">
        <v>159</v>
      </c>
      <c r="E337" s="232"/>
      <c r="F337" s="250"/>
      <c r="G337" s="232"/>
      <c r="H337" s="245" t="s">
        <v>208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376</v>
      </c>
      <c r="B339" s="235" t="s">
        <v>383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384</v>
      </c>
      <c r="D340" s="231" t="s">
        <v>159</v>
      </c>
      <c r="E340" s="232"/>
      <c r="F340" s="250"/>
      <c r="G340" s="232"/>
      <c r="H340" s="576" t="s">
        <v>205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384</v>
      </c>
      <c r="D341" s="231" t="s">
        <v>159</v>
      </c>
      <c r="E341" s="232"/>
      <c r="F341" s="250"/>
      <c r="G341" s="232"/>
      <c r="H341" s="588" t="s">
        <v>298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384</v>
      </c>
      <c r="D342" s="231" t="s">
        <v>159</v>
      </c>
      <c r="E342" s="232"/>
      <c r="F342" s="250"/>
      <c r="G342" s="232"/>
      <c r="H342" s="588" t="s">
        <v>208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376</v>
      </c>
      <c r="B344" s="235" t="s">
        <v>385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386</v>
      </c>
      <c r="D345" s="231" t="s">
        <v>159</v>
      </c>
      <c r="E345" s="232"/>
      <c r="F345" s="250"/>
      <c r="G345" s="232"/>
      <c r="H345" s="576" t="s">
        <v>205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386</v>
      </c>
      <c r="D346" s="231" t="s">
        <v>159</v>
      </c>
      <c r="E346" s="232"/>
      <c r="F346" s="250"/>
      <c r="G346" s="232"/>
      <c r="H346" s="588" t="s">
        <v>298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386</v>
      </c>
      <c r="D347" s="231" t="s">
        <v>159</v>
      </c>
      <c r="E347" s="232"/>
      <c r="F347" s="250"/>
      <c r="G347" s="232"/>
      <c r="H347" s="588" t="s">
        <v>208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386</v>
      </c>
      <c r="D348" s="231" t="s">
        <v>159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376</v>
      </c>
      <c r="B350" s="235" t="s">
        <v>387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236</v>
      </c>
      <c r="D351" s="566" t="s">
        <v>159</v>
      </c>
      <c r="E351" s="232"/>
      <c r="F351" s="250"/>
      <c r="G351" s="232"/>
      <c r="H351" s="589" t="s">
        <v>205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236</v>
      </c>
      <c r="D352" s="566" t="s">
        <v>159</v>
      </c>
      <c r="E352" s="232"/>
      <c r="F352" s="250"/>
      <c r="G352" s="232"/>
      <c r="H352" s="589" t="s">
        <v>388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6">
      <c r="B354" s="222" t="s">
        <v>40</v>
      </c>
      <c r="C354" s="223" t="s">
        <v>389</v>
      </c>
      <c r="D354" s="224" t="s">
        <v>159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6" outlineLevel="1">
      <c r="B356" s="235" t="s">
        <v>390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6" outlineLevel="2">
      <c r="B357" s="242"/>
      <c r="C357" s="242" t="s">
        <v>391</v>
      </c>
      <c r="D357" s="249" t="s">
        <v>159</v>
      </c>
      <c r="E357" s="257"/>
      <c r="F357" s="192"/>
      <c r="G357" s="257"/>
      <c r="H357" s="568" t="s">
        <v>392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6" outlineLevel="1">
      <c r="B359" s="235" t="s">
        <v>393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6" outlineLevel="2">
      <c r="B360" s="242"/>
      <c r="C360" s="242" t="s">
        <v>394</v>
      </c>
      <c r="D360" s="249" t="s">
        <v>159</v>
      </c>
      <c r="E360" s="257"/>
      <c r="F360" s="192"/>
      <c r="G360" s="257"/>
      <c r="H360" s="568" t="s">
        <v>395</v>
      </c>
      <c r="I360" s="568"/>
      <c r="J360" s="568"/>
      <c r="K360" s="568"/>
      <c r="L360" s="287"/>
      <c r="M360" s="288"/>
      <c r="N360" s="287"/>
      <c r="O360" s="572"/>
    </row>
    <row r="361" spans="2:15" ht="15.6" outlineLevel="2">
      <c r="B361" s="242"/>
      <c r="C361" s="242" t="s">
        <v>394</v>
      </c>
      <c r="D361" s="249" t="s">
        <v>159</v>
      </c>
      <c r="E361" s="257"/>
      <c r="F361" s="192"/>
      <c r="G361" s="257"/>
      <c r="H361" s="568" t="s">
        <v>396</v>
      </c>
      <c r="I361" s="568"/>
      <c r="J361" s="568"/>
      <c r="K361" s="568"/>
      <c r="L361" s="287"/>
      <c r="M361" s="288"/>
      <c r="N361" s="287"/>
      <c r="O361" s="572"/>
    </row>
    <row r="362" spans="2:15" ht="15.6" outlineLevel="2">
      <c r="B362" s="242"/>
      <c r="C362" s="242" t="s">
        <v>394</v>
      </c>
      <c r="D362" s="249" t="s">
        <v>159</v>
      </c>
      <c r="E362" s="257"/>
      <c r="F362" s="192"/>
      <c r="G362" s="257"/>
      <c r="H362" s="568" t="s">
        <v>397</v>
      </c>
      <c r="I362" s="568"/>
      <c r="J362" s="568"/>
      <c r="K362" s="568"/>
      <c r="L362" s="287"/>
      <c r="M362" s="288"/>
      <c r="N362" s="287"/>
      <c r="O362" s="572"/>
    </row>
    <row r="363" spans="2:15" ht="15.6" outlineLevel="2">
      <c r="B363" s="242"/>
      <c r="C363" s="242" t="s">
        <v>394</v>
      </c>
      <c r="D363" s="249" t="s">
        <v>159</v>
      </c>
      <c r="E363" s="257"/>
      <c r="F363" s="192"/>
      <c r="G363" s="257"/>
      <c r="H363" s="568" t="s">
        <v>398</v>
      </c>
      <c r="I363" s="568"/>
      <c r="J363" s="568"/>
      <c r="K363" s="568"/>
      <c r="L363" s="287"/>
      <c r="M363" s="288"/>
      <c r="N363" s="287"/>
      <c r="O363" s="572"/>
    </row>
    <row r="364" spans="2:15" ht="15.6" outlineLevel="2">
      <c r="B364" s="242"/>
      <c r="C364" s="242" t="s">
        <v>394</v>
      </c>
      <c r="D364" s="249" t="s">
        <v>159</v>
      </c>
      <c r="E364" s="257"/>
      <c r="F364" s="192"/>
      <c r="G364" s="257"/>
      <c r="H364" s="568" t="s">
        <v>399</v>
      </c>
      <c r="I364" s="568"/>
      <c r="J364" s="568"/>
      <c r="K364" s="568"/>
      <c r="L364" s="287"/>
      <c r="M364" s="288"/>
      <c r="N364" s="287"/>
      <c r="O364" s="572"/>
    </row>
    <row r="365" spans="2:15" ht="15.6" outlineLevel="2">
      <c r="B365" s="242"/>
      <c r="C365" s="242" t="s">
        <v>394</v>
      </c>
      <c r="D365" s="249" t="s">
        <v>159</v>
      </c>
      <c r="E365" s="257"/>
      <c r="F365" s="192"/>
      <c r="G365" s="257"/>
      <c r="H365" s="568" t="s">
        <v>400</v>
      </c>
      <c r="I365" s="568"/>
      <c r="J365" s="568"/>
      <c r="K365" s="568"/>
      <c r="L365" s="287"/>
      <c r="M365" s="288"/>
      <c r="N365" s="287"/>
      <c r="O365" s="572"/>
    </row>
    <row r="366" spans="2:15" ht="15.6" outlineLevel="2">
      <c r="B366" s="242"/>
      <c r="C366" s="242" t="s">
        <v>394</v>
      </c>
      <c r="D366" s="249" t="s">
        <v>159</v>
      </c>
      <c r="E366" s="257"/>
      <c r="F366" s="192"/>
      <c r="G366" s="257"/>
      <c r="H366" s="568" t="s">
        <v>401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6" outlineLevel="1">
      <c r="B368" s="235" t="s">
        <v>402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6" outlineLevel="2">
      <c r="B369" s="242"/>
      <c r="C369" s="242" t="s">
        <v>403</v>
      </c>
      <c r="D369" s="249" t="s">
        <v>159</v>
      </c>
      <c r="E369" s="257"/>
      <c r="F369" s="192"/>
      <c r="G369" s="257"/>
      <c r="H369" s="590" t="s">
        <v>233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6" outlineLevel="1">
      <c r="B371" s="235" t="s">
        <v>404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6" outlineLevel="2">
      <c r="B372" s="242"/>
      <c r="C372" s="242" t="s">
        <v>404</v>
      </c>
      <c r="D372" s="249" t="s">
        <v>159</v>
      </c>
      <c r="E372" s="257"/>
      <c r="F372" s="192"/>
      <c r="G372" s="257"/>
      <c r="H372" s="590" t="s">
        <v>405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6" outlineLevel="2">
      <c r="B373" s="242"/>
      <c r="C373" s="242" t="s">
        <v>404</v>
      </c>
      <c r="D373" s="249" t="s">
        <v>159</v>
      </c>
      <c r="E373" s="257"/>
      <c r="F373" s="192"/>
      <c r="G373" s="257"/>
      <c r="H373" s="590" t="s">
        <v>406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6" outlineLevel="1">
      <c r="B375" s="235" t="s">
        <v>407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6" outlineLevel="2">
      <c r="B376" s="242"/>
      <c r="C376" s="242" t="s">
        <v>408</v>
      </c>
      <c r="D376" s="249" t="s">
        <v>159</v>
      </c>
      <c r="E376" s="257"/>
      <c r="F376" s="192"/>
      <c r="G376" s="257"/>
      <c r="H376" s="590" t="s">
        <v>205</v>
      </c>
      <c r="I376" s="590"/>
      <c r="J376" s="590"/>
      <c r="K376" s="590"/>
      <c r="L376" s="287"/>
      <c r="M376" s="288"/>
      <c r="N376" s="287"/>
      <c r="O376" s="591"/>
    </row>
    <row r="377" spans="2:15" ht="15.6" outlineLevel="2">
      <c r="B377" s="242"/>
      <c r="C377" s="242" t="s">
        <v>408</v>
      </c>
      <c r="D377" s="249" t="s">
        <v>159</v>
      </c>
      <c r="E377" s="257"/>
      <c r="F377" s="192"/>
      <c r="G377" s="257"/>
      <c r="H377" s="590" t="s">
        <v>206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6" outlineLevel="1">
      <c r="B379" s="235" t="s">
        <v>409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6" outlineLevel="2">
      <c r="B380" s="242"/>
      <c r="C380" s="242" t="s">
        <v>409</v>
      </c>
      <c r="D380" s="249" t="s">
        <v>159</v>
      </c>
      <c r="E380" s="257"/>
      <c r="F380" s="192"/>
      <c r="G380" s="257"/>
      <c r="H380" s="590" t="s">
        <v>205</v>
      </c>
      <c r="I380" s="590"/>
      <c r="J380" s="590"/>
      <c r="K380" s="590"/>
      <c r="L380" s="287"/>
      <c r="M380" s="288"/>
      <c r="N380" s="287"/>
      <c r="O380" s="591"/>
    </row>
    <row r="381" spans="2:15" ht="15.6" outlineLevel="2">
      <c r="B381" s="242"/>
      <c r="C381" s="242" t="s">
        <v>409</v>
      </c>
      <c r="D381" s="249" t="s">
        <v>159</v>
      </c>
      <c r="E381" s="257"/>
      <c r="F381" s="192"/>
      <c r="G381" s="257"/>
      <c r="H381" s="590" t="s">
        <v>206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6" outlineLevel="1">
      <c r="B383" s="235" t="s">
        <v>410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6" outlineLevel="2">
      <c r="B384" s="242"/>
      <c r="C384" s="242" t="s">
        <v>411</v>
      </c>
      <c r="D384" s="249" t="s">
        <v>159</v>
      </c>
      <c r="E384" s="257"/>
      <c r="F384" s="192"/>
      <c r="G384" s="257"/>
      <c r="H384" s="568" t="s">
        <v>412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6" outlineLevel="1">
      <c r="B386" s="235" t="s">
        <v>413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6" outlineLevel="2">
      <c r="B387" s="238"/>
      <c r="C387" s="565" t="s">
        <v>414</v>
      </c>
      <c r="D387" s="249" t="s">
        <v>159</v>
      </c>
      <c r="E387" s="232"/>
      <c r="F387" s="250"/>
      <c r="G387" s="232"/>
      <c r="H387" s="576" t="s">
        <v>226</v>
      </c>
      <c r="I387" s="576"/>
      <c r="J387" s="576"/>
      <c r="K387" s="576"/>
      <c r="L387" s="287"/>
      <c r="M387" s="288"/>
      <c r="N387" s="287"/>
      <c r="O387" s="563"/>
    </row>
    <row r="388" spans="2:15" ht="15.6" outlineLevel="2">
      <c r="B388" s="238"/>
      <c r="C388" s="565" t="s">
        <v>414</v>
      </c>
      <c r="D388" s="249" t="s">
        <v>159</v>
      </c>
      <c r="E388" s="232"/>
      <c r="F388" s="250"/>
      <c r="G388" s="232"/>
      <c r="H388" s="576" t="s">
        <v>206</v>
      </c>
      <c r="I388" s="576"/>
      <c r="J388" s="576"/>
      <c r="K388" s="576"/>
      <c r="L388" s="287"/>
      <c r="M388" s="288"/>
      <c r="N388" s="287"/>
      <c r="O388" s="563"/>
    </row>
    <row r="389" spans="2:15" ht="15.6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6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6" outlineLevel="1">
      <c r="B392" s="235" t="s">
        <v>415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6" outlineLevel="2">
      <c r="B393" s="238"/>
      <c r="C393" s="565" t="s">
        <v>416</v>
      </c>
      <c r="D393" s="249" t="s">
        <v>159</v>
      </c>
      <c r="E393" s="232"/>
      <c r="F393" s="250"/>
      <c r="G393" s="232"/>
      <c r="H393" s="576" t="s">
        <v>417</v>
      </c>
      <c r="I393" s="576"/>
      <c r="J393" s="576"/>
      <c r="K393" s="576"/>
      <c r="L393" s="287"/>
      <c r="M393" s="288"/>
      <c r="N393" s="287"/>
      <c r="O393" s="563"/>
    </row>
    <row r="394" spans="2:15" ht="15.6" outlineLevel="2">
      <c r="B394" s="238"/>
      <c r="C394" s="565" t="s">
        <v>416</v>
      </c>
      <c r="D394" s="249" t="s">
        <v>159</v>
      </c>
      <c r="E394" s="232"/>
      <c r="F394" s="250"/>
      <c r="G394" s="232"/>
      <c r="H394" s="576" t="s">
        <v>418</v>
      </c>
      <c r="I394" s="576"/>
      <c r="J394" s="576"/>
      <c r="K394" s="576"/>
      <c r="L394" s="287"/>
      <c r="M394" s="288"/>
      <c r="N394" s="287"/>
      <c r="O394" s="563"/>
    </row>
    <row r="395" spans="2:15" ht="15.6" outlineLevel="2">
      <c r="B395" s="238"/>
      <c r="C395" s="565" t="s">
        <v>416</v>
      </c>
      <c r="D395" s="249" t="s">
        <v>159</v>
      </c>
      <c r="E395" s="232"/>
      <c r="F395" s="250"/>
      <c r="G395" s="232"/>
      <c r="H395" s="576" t="s">
        <v>419</v>
      </c>
      <c r="I395" s="576"/>
      <c r="J395" s="576"/>
      <c r="K395" s="576"/>
      <c r="L395" s="287"/>
      <c r="M395" s="288"/>
      <c r="N395" s="287"/>
      <c r="O395" s="563"/>
    </row>
    <row r="396" spans="2:15" ht="15.6" outlineLevel="2">
      <c r="B396" s="238"/>
      <c r="C396" s="565" t="s">
        <v>416</v>
      </c>
      <c r="D396" s="249" t="s">
        <v>159</v>
      </c>
      <c r="E396" s="232"/>
      <c r="F396" s="250"/>
      <c r="G396" s="232"/>
      <c r="H396" s="576" t="s">
        <v>420</v>
      </c>
      <c r="I396" s="576"/>
      <c r="J396" s="576"/>
      <c r="K396" s="576"/>
      <c r="L396" s="287"/>
      <c r="M396" s="288"/>
      <c r="N396" s="287"/>
      <c r="O396" s="563"/>
    </row>
    <row r="397" spans="2:15" ht="15.6" outlineLevel="2">
      <c r="B397" s="238"/>
      <c r="C397" s="565" t="s">
        <v>416</v>
      </c>
      <c r="D397" s="249" t="s">
        <v>159</v>
      </c>
      <c r="E397" s="232"/>
      <c r="F397" s="250"/>
      <c r="G397" s="232"/>
      <c r="H397" s="576" t="s">
        <v>421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6" outlineLevel="1">
      <c r="B399" s="235" t="s">
        <v>422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6" outlineLevel="2">
      <c r="B400" s="238"/>
      <c r="C400" s="565" t="s">
        <v>423</v>
      </c>
      <c r="D400" s="249" t="s">
        <v>159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6" outlineLevel="2">
      <c r="B401" s="238"/>
      <c r="C401" s="565" t="s">
        <v>424</v>
      </c>
      <c r="D401" s="249" t="s">
        <v>159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6" outlineLevel="2">
      <c r="B402" s="238"/>
      <c r="C402" s="565" t="s">
        <v>425</v>
      </c>
      <c r="D402" s="249" t="s">
        <v>159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6" outlineLevel="2">
      <c r="B403" s="238"/>
      <c r="C403" s="565" t="s">
        <v>426</v>
      </c>
      <c r="D403" s="249" t="s">
        <v>159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6" outlineLevel="2">
      <c r="B404" s="238"/>
      <c r="C404" s="565" t="s">
        <v>427</v>
      </c>
      <c r="D404" s="249" t="s">
        <v>159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6" outlineLevel="2">
      <c r="B405" s="238"/>
      <c r="C405" s="565" t="s">
        <v>428</v>
      </c>
      <c r="D405" s="249" t="s">
        <v>159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6" outlineLevel="2">
      <c r="B406" s="238"/>
      <c r="C406" s="565" t="s">
        <v>429</v>
      </c>
      <c r="D406" s="249" t="s">
        <v>159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6" outlineLevel="2">
      <c r="B407" s="238"/>
      <c r="C407" s="565" t="s">
        <v>430</v>
      </c>
      <c r="D407" s="249" t="s">
        <v>159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6" outlineLevel="2">
      <c r="B408" s="238"/>
      <c r="C408" s="565" t="s">
        <v>431</v>
      </c>
      <c r="D408" s="249" t="s">
        <v>159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6" outlineLevel="2">
      <c r="B409" s="238"/>
      <c r="C409" s="565" t="s">
        <v>432</v>
      </c>
      <c r="D409" s="249" t="s">
        <v>159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6" outlineLevel="2">
      <c r="B410" s="238"/>
      <c r="C410" s="565" t="s">
        <v>433</v>
      </c>
      <c r="D410" s="249" t="s">
        <v>159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6" outlineLevel="2">
      <c r="B411" s="238"/>
      <c r="C411" s="565" t="s">
        <v>434</v>
      </c>
      <c r="D411" s="249" t="s">
        <v>159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6" outlineLevel="2">
      <c r="B412" s="238"/>
      <c r="C412" s="565" t="s">
        <v>435</v>
      </c>
      <c r="D412" s="249" t="s">
        <v>159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6" outlineLevel="2">
      <c r="B413" s="238"/>
      <c r="C413" s="565" t="s">
        <v>436</v>
      </c>
      <c r="D413" s="249" t="s">
        <v>159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15">
      <c r="B415" s="222" t="s">
        <v>437</v>
      </c>
      <c r="C415" s="223" t="s">
        <v>438</v>
      </c>
      <c r="D415" s="224" t="s">
        <v>439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440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437</v>
      </c>
      <c r="C418" s="242" t="s">
        <v>311</v>
      </c>
      <c r="D418" s="272" t="s">
        <v>441</v>
      </c>
      <c r="E418" s="257"/>
      <c r="F418" s="192"/>
      <c r="H418" s="245" t="s">
        <v>442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316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443</v>
      </c>
      <c r="D421" s="249" t="s">
        <v>441</v>
      </c>
      <c r="E421" s="232"/>
      <c r="F421" s="250"/>
      <c r="G421" s="232"/>
      <c r="H421" s="286" t="s">
        <v>444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443</v>
      </c>
      <c r="D422" s="249" t="s">
        <v>441</v>
      </c>
      <c r="E422" s="232"/>
      <c r="F422" s="250"/>
      <c r="G422" s="232"/>
      <c r="H422" s="286" t="s">
        <v>445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443</v>
      </c>
      <c r="D423" s="249" t="s">
        <v>441</v>
      </c>
      <c r="E423" s="232"/>
      <c r="F423" s="250"/>
      <c r="G423" s="232"/>
      <c r="H423" s="286" t="s">
        <v>446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443</v>
      </c>
      <c r="D424" s="249" t="s">
        <v>441</v>
      </c>
      <c r="E424" s="232"/>
      <c r="F424" s="250"/>
      <c r="G424" s="232"/>
      <c r="H424" s="286" t="s">
        <v>447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443</v>
      </c>
      <c r="D425" s="249" t="s">
        <v>441</v>
      </c>
      <c r="E425" s="232"/>
      <c r="F425" s="250"/>
      <c r="G425" s="232"/>
      <c r="H425" s="286" t="s">
        <v>448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443</v>
      </c>
      <c r="D426" s="249" t="s">
        <v>441</v>
      </c>
      <c r="E426" s="232"/>
      <c r="F426" s="250"/>
      <c r="G426" s="232"/>
      <c r="H426" s="286" t="s">
        <v>449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443</v>
      </c>
      <c r="D427" s="249" t="s">
        <v>441</v>
      </c>
      <c r="E427" s="232"/>
      <c r="F427" s="250"/>
      <c r="G427" s="232"/>
      <c r="H427" s="286" t="s">
        <v>450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443</v>
      </c>
      <c r="D428" s="249" t="s">
        <v>441</v>
      </c>
      <c r="E428" s="232"/>
      <c r="F428" s="250"/>
      <c r="G428" s="232"/>
      <c r="H428" s="286" t="s">
        <v>451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443</v>
      </c>
      <c r="D429" s="249" t="s">
        <v>441</v>
      </c>
      <c r="E429" s="232"/>
      <c r="F429" s="250"/>
      <c r="G429" s="232"/>
      <c r="H429" s="286" t="s">
        <v>452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443</v>
      </c>
      <c r="D430" s="249" t="s">
        <v>441</v>
      </c>
      <c r="E430" s="232"/>
      <c r="F430" s="250"/>
      <c r="G430" s="232"/>
      <c r="H430" s="365" t="s">
        <v>442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443</v>
      </c>
      <c r="D432" s="249" t="s">
        <v>453</v>
      </c>
      <c r="E432" s="232"/>
      <c r="F432" s="250"/>
      <c r="G432" s="232"/>
      <c r="H432" s="286" t="s">
        <v>206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443</v>
      </c>
      <c r="D433" s="249" t="s">
        <v>453</v>
      </c>
      <c r="E433" s="232"/>
      <c r="F433" s="250"/>
      <c r="G433" s="232"/>
      <c r="H433" s="286" t="s">
        <v>454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443</v>
      </c>
      <c r="D434" s="249" t="s">
        <v>453</v>
      </c>
      <c r="E434" s="232"/>
      <c r="F434" s="250"/>
      <c r="G434" s="232"/>
      <c r="H434" s="286" t="s">
        <v>455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443</v>
      </c>
      <c r="D435" s="249" t="s">
        <v>453</v>
      </c>
      <c r="E435" s="232"/>
      <c r="F435" s="250"/>
      <c r="G435" s="232"/>
      <c r="H435" s="286" t="s">
        <v>456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443</v>
      </c>
      <c r="D436" s="249" t="s">
        <v>453</v>
      </c>
      <c r="E436" s="232"/>
      <c r="F436" s="250"/>
      <c r="G436" s="232"/>
      <c r="H436" s="286" t="s">
        <v>457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368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437</v>
      </c>
      <c r="C439" s="242" t="s">
        <v>368</v>
      </c>
      <c r="D439" s="240" t="s">
        <v>441</v>
      </c>
      <c r="E439" s="257"/>
      <c r="F439" s="192"/>
      <c r="H439" s="245" t="s">
        <v>458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437</v>
      </c>
      <c r="C440" s="242" t="s">
        <v>368</v>
      </c>
      <c r="D440" s="240" t="s">
        <v>441</v>
      </c>
      <c r="E440" s="257"/>
      <c r="F440" s="192"/>
      <c r="H440" s="245" t="s">
        <v>459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437</v>
      </c>
      <c r="C441" s="242" t="s">
        <v>368</v>
      </c>
      <c r="D441" s="240" t="s">
        <v>441</v>
      </c>
      <c r="E441" s="257"/>
      <c r="F441" s="192"/>
      <c r="H441" s="245" t="s">
        <v>460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437</v>
      </c>
      <c r="C442" s="242" t="s">
        <v>368</v>
      </c>
      <c r="D442" s="240" t="s">
        <v>441</v>
      </c>
      <c r="E442" s="257"/>
      <c r="F442" s="192"/>
      <c r="H442" s="245" t="s">
        <v>452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437</v>
      </c>
      <c r="C443" s="242" t="s">
        <v>368</v>
      </c>
      <c r="D443" s="240" t="s">
        <v>441</v>
      </c>
      <c r="E443" s="257"/>
      <c r="F443" s="192"/>
      <c r="H443" s="245" t="s">
        <v>442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240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437</v>
      </c>
      <c r="C446" s="242" t="s">
        <v>240</v>
      </c>
      <c r="D446" s="240" t="s">
        <v>441</v>
      </c>
      <c r="E446" s="257"/>
      <c r="F446" s="192"/>
      <c r="H446" s="254" t="s">
        <v>206</v>
      </c>
      <c r="I446" s="254"/>
      <c r="J446" s="254"/>
      <c r="K446" s="254"/>
      <c r="M446" s="192"/>
      <c r="O446" s="563"/>
    </row>
    <row r="447" spans="2:15" outlineLevel="2">
      <c r="B447" s="238" t="s">
        <v>437</v>
      </c>
      <c r="C447" s="242" t="s">
        <v>240</v>
      </c>
      <c r="D447" s="240" t="s">
        <v>461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241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437</v>
      </c>
      <c r="C450" s="242" t="s">
        <v>241</v>
      </c>
      <c r="D450" s="251" t="s">
        <v>441</v>
      </c>
      <c r="E450" s="257"/>
      <c r="F450" s="192"/>
      <c r="H450" s="588" t="s">
        <v>442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437</v>
      </c>
      <c r="C451" s="242" t="s">
        <v>241</v>
      </c>
      <c r="D451" s="251" t="s">
        <v>441</v>
      </c>
      <c r="E451" s="257"/>
      <c r="F451" s="192"/>
      <c r="H451" s="588" t="s">
        <v>462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437</v>
      </c>
      <c r="C452" s="242" t="s">
        <v>241</v>
      </c>
      <c r="D452" s="240" t="s">
        <v>441</v>
      </c>
      <c r="E452" s="257"/>
      <c r="F452" s="192"/>
      <c r="H452" s="588" t="s">
        <v>463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331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437</v>
      </c>
      <c r="C457" s="242" t="s">
        <v>333</v>
      </c>
      <c r="D457" s="240" t="s">
        <v>441</v>
      </c>
      <c r="E457" s="257"/>
      <c r="F457" s="192"/>
      <c r="G457" s="257"/>
      <c r="H457" s="589" t="s">
        <v>464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437</v>
      </c>
      <c r="C458" s="242" t="s">
        <v>333</v>
      </c>
      <c r="D458" s="240" t="s">
        <v>441</v>
      </c>
      <c r="E458" s="257"/>
      <c r="F458" s="192"/>
      <c r="G458" s="257"/>
      <c r="H458" s="589" t="s">
        <v>254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437</v>
      </c>
      <c r="C461" s="242" t="s">
        <v>341</v>
      </c>
      <c r="D461" s="240" t="s">
        <v>441</v>
      </c>
      <c r="E461" s="257"/>
      <c r="F461" s="192"/>
      <c r="H461" s="560" t="s">
        <v>346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437</v>
      </c>
      <c r="C462" s="242" t="s">
        <v>341</v>
      </c>
      <c r="D462" s="240" t="s">
        <v>441</v>
      </c>
      <c r="E462" s="257"/>
      <c r="F462" s="192"/>
      <c r="H462" s="589" t="s">
        <v>347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437</v>
      </c>
      <c r="C463" s="242" t="s">
        <v>341</v>
      </c>
      <c r="D463" s="240" t="s">
        <v>441</v>
      </c>
      <c r="E463" s="257"/>
      <c r="F463" s="192"/>
      <c r="H463" s="366" t="s">
        <v>465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437</v>
      </c>
      <c r="C464" s="242" t="s">
        <v>341</v>
      </c>
      <c r="D464" s="240" t="s">
        <v>441</v>
      </c>
      <c r="E464" s="257"/>
      <c r="F464" s="192"/>
      <c r="H464" s="589" t="s">
        <v>466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437</v>
      </c>
      <c r="C465" s="242" t="s">
        <v>341</v>
      </c>
      <c r="D465" s="240" t="s">
        <v>441</v>
      </c>
      <c r="E465" s="257"/>
      <c r="F465" s="192"/>
      <c r="H465" s="589" t="s">
        <v>467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437</v>
      </c>
      <c r="C466" s="242" t="s">
        <v>341</v>
      </c>
      <c r="D466" s="251" t="s">
        <v>441</v>
      </c>
      <c r="E466" s="257"/>
      <c r="F466" s="192"/>
      <c r="H466" s="589" t="s">
        <v>355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437</v>
      </c>
      <c r="C467" s="242" t="s">
        <v>341</v>
      </c>
      <c r="D467" s="251" t="s">
        <v>441</v>
      </c>
      <c r="E467" s="257"/>
      <c r="F467" s="192"/>
      <c r="H467" s="589" t="s">
        <v>351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437</v>
      </c>
      <c r="C468" s="242" t="s">
        <v>341</v>
      </c>
      <c r="D468" s="240" t="s">
        <v>441</v>
      </c>
      <c r="E468" s="257"/>
      <c r="F468" s="192"/>
      <c r="H468" s="589" t="s">
        <v>358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437</v>
      </c>
      <c r="C469" s="242" t="s">
        <v>341</v>
      </c>
      <c r="D469" s="240" t="s">
        <v>441</v>
      </c>
      <c r="E469" s="257"/>
      <c r="F469" s="192"/>
      <c r="H469" s="589" t="s">
        <v>357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437</v>
      </c>
      <c r="C471" s="274" t="s">
        <v>331</v>
      </c>
      <c r="D471" s="240" t="s">
        <v>453</v>
      </c>
      <c r="E471" s="257"/>
      <c r="F471" s="192"/>
      <c r="G471" s="257"/>
      <c r="H471" s="589" t="s">
        <v>468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437</v>
      </c>
      <c r="C473" s="274" t="s">
        <v>469</v>
      </c>
      <c r="D473" s="240" t="s">
        <v>453</v>
      </c>
      <c r="E473" s="257"/>
      <c r="F473" s="192"/>
      <c r="G473" s="257"/>
      <c r="H473" s="589" t="s">
        <v>470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437</v>
      </c>
      <c r="C474" s="274" t="s">
        <v>469</v>
      </c>
      <c r="D474" s="240" t="s">
        <v>453</v>
      </c>
      <c r="E474" s="257"/>
      <c r="F474" s="192"/>
      <c r="G474" s="257"/>
      <c r="H474" s="589" t="s">
        <v>471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437</v>
      </c>
      <c r="C475" s="274" t="s">
        <v>469</v>
      </c>
      <c r="D475" s="240" t="s">
        <v>453</v>
      </c>
      <c r="E475" s="257"/>
      <c r="F475" s="192"/>
      <c r="G475" s="257"/>
      <c r="H475" s="589" t="s">
        <v>472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437</v>
      </c>
      <c r="C476" s="274" t="s">
        <v>469</v>
      </c>
      <c r="D476" s="240" t="s">
        <v>453</v>
      </c>
      <c r="E476" s="257"/>
      <c r="F476" s="192"/>
      <c r="G476" s="257"/>
      <c r="H476" s="589" t="s">
        <v>473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437</v>
      </c>
      <c r="C477" s="274" t="s">
        <v>469</v>
      </c>
      <c r="D477" s="240" t="s">
        <v>453</v>
      </c>
      <c r="E477" s="257"/>
      <c r="F477" s="192"/>
      <c r="G477" s="257"/>
      <c r="H477" s="589" t="s">
        <v>474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170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176</v>
      </c>
      <c r="D481" s="594" t="s">
        <v>441</v>
      </c>
      <c r="E481" s="257"/>
      <c r="F481" s="192"/>
      <c r="G481" s="257"/>
      <c r="H481" s="282" t="s">
        <v>475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176</v>
      </c>
      <c r="D482" s="594" t="s">
        <v>441</v>
      </c>
      <c r="E482" s="257"/>
      <c r="F482" s="192"/>
      <c r="G482" s="257"/>
      <c r="H482" s="282" t="s">
        <v>476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176</v>
      </c>
      <c r="D483" s="594" t="s">
        <v>441</v>
      </c>
      <c r="E483" s="257"/>
      <c r="F483" s="192"/>
      <c r="G483" s="257"/>
      <c r="H483" s="282" t="s">
        <v>180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176</v>
      </c>
      <c r="D484" s="594" t="s">
        <v>441</v>
      </c>
      <c r="E484" s="257"/>
      <c r="F484" s="192"/>
      <c r="G484" s="257"/>
      <c r="H484" s="282" t="s">
        <v>182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176</v>
      </c>
      <c r="D485" s="594" t="s">
        <v>441</v>
      </c>
      <c r="E485" s="257"/>
      <c r="F485" s="192"/>
      <c r="G485" s="257"/>
      <c r="H485" s="282" t="s">
        <v>184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176</v>
      </c>
      <c r="D486" s="594" t="s">
        <v>441</v>
      </c>
      <c r="E486" s="257"/>
      <c r="F486" s="192"/>
      <c r="G486" s="257"/>
      <c r="H486" s="282" t="s">
        <v>477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176</v>
      </c>
      <c r="D487" s="594" t="s">
        <v>441</v>
      </c>
      <c r="E487" s="257"/>
      <c r="F487" s="192"/>
      <c r="H487" s="282" t="s">
        <v>478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176</v>
      </c>
      <c r="D488" s="594" t="s">
        <v>441</v>
      </c>
      <c r="E488" s="257"/>
      <c r="F488" s="192"/>
      <c r="H488" s="282" t="s">
        <v>479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176</v>
      </c>
      <c r="D489" s="594" t="s">
        <v>441</v>
      </c>
      <c r="E489" s="257"/>
      <c r="F489" s="192"/>
      <c r="H489" s="282" t="s">
        <v>480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197</v>
      </c>
      <c r="D491" s="597" t="s">
        <v>441</v>
      </c>
      <c r="E491" s="257"/>
      <c r="F491" s="192"/>
      <c r="H491" s="326" t="s">
        <v>206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197</v>
      </c>
      <c r="D492" s="597" t="s">
        <v>441</v>
      </c>
      <c r="E492" s="257"/>
      <c r="F492" s="192"/>
      <c r="H492" s="244" t="s">
        <v>209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197</v>
      </c>
      <c r="D493" s="597" t="s">
        <v>441</v>
      </c>
      <c r="E493" s="257"/>
      <c r="F493" s="192"/>
      <c r="H493" s="284" t="s">
        <v>481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197</v>
      </c>
      <c r="D495" s="594" t="s">
        <v>453</v>
      </c>
      <c r="E495" s="257"/>
      <c r="F495" s="192"/>
      <c r="G495" s="257"/>
      <c r="H495" s="284" t="s">
        <v>206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197</v>
      </c>
      <c r="D496" s="597" t="s">
        <v>453</v>
      </c>
      <c r="E496" s="257"/>
      <c r="F496" s="192"/>
      <c r="G496" s="257"/>
      <c r="H496" s="284" t="s">
        <v>198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197</v>
      </c>
      <c r="D497" s="597" t="s">
        <v>453</v>
      </c>
      <c r="E497" s="257"/>
      <c r="F497" s="192"/>
      <c r="G497" s="257"/>
      <c r="H497" s="284" t="s">
        <v>481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482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391</v>
      </c>
      <c r="D501" s="251" t="s">
        <v>441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393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394</v>
      </c>
      <c r="D504" s="251" t="s">
        <v>441</v>
      </c>
      <c r="E504" s="257"/>
      <c r="F504" s="192"/>
      <c r="G504" s="257"/>
      <c r="H504" s="285" t="s">
        <v>483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394</v>
      </c>
      <c r="D505" s="251" t="s">
        <v>453</v>
      </c>
      <c r="E505" s="257"/>
      <c r="F505" s="192"/>
      <c r="G505" s="257"/>
      <c r="H505" s="285" t="s">
        <v>483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484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485</v>
      </c>
      <c r="D508" s="251" t="s">
        <v>441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485</v>
      </c>
      <c r="D509" s="251" t="s">
        <v>453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486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487</v>
      </c>
      <c r="D512" s="251" t="s">
        <v>441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487</v>
      </c>
      <c r="D513" s="251" t="s">
        <v>453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488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365</v>
      </c>
      <c r="D516" s="566" t="s">
        <v>441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252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252</v>
      </c>
      <c r="D519" s="251" t="s">
        <v>441</v>
      </c>
      <c r="E519" s="232"/>
      <c r="F519" s="250"/>
      <c r="G519" s="232"/>
      <c r="H519" s="249" t="s">
        <v>269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252</v>
      </c>
      <c r="D520" s="251" t="s">
        <v>441</v>
      </c>
      <c r="E520" s="232"/>
      <c r="F520" s="250"/>
      <c r="G520" s="232"/>
      <c r="H520" s="249" t="s">
        <v>270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252</v>
      </c>
      <c r="D521" s="251" t="s">
        <v>441</v>
      </c>
      <c r="E521" s="232"/>
      <c r="F521" s="250"/>
      <c r="G521" s="232"/>
      <c r="H521" s="249" t="s">
        <v>271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252</v>
      </c>
      <c r="D522" s="251" t="s">
        <v>441</v>
      </c>
      <c r="E522" s="232"/>
      <c r="F522" s="250"/>
      <c r="G522" s="232"/>
      <c r="H522" s="249" t="s">
        <v>273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252</v>
      </c>
      <c r="D523" s="251" t="s">
        <v>441</v>
      </c>
      <c r="E523" s="232"/>
      <c r="F523" s="250"/>
      <c r="G523" s="232"/>
      <c r="H523" s="249" t="s">
        <v>275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252</v>
      </c>
      <c r="D524" s="251" t="s">
        <v>441</v>
      </c>
      <c r="E524" s="232"/>
      <c r="F524" s="250"/>
      <c r="G524" s="232"/>
      <c r="H524" s="576" t="s">
        <v>277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252</v>
      </c>
      <c r="D525" s="251" t="s">
        <v>441</v>
      </c>
      <c r="E525" s="232"/>
      <c r="F525" s="250"/>
      <c r="G525" s="232"/>
      <c r="H525" s="249" t="s">
        <v>279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252</v>
      </c>
      <c r="D526" s="251" t="s">
        <v>441</v>
      </c>
      <c r="E526" s="232"/>
      <c r="F526" s="250"/>
      <c r="G526" s="232"/>
      <c r="H526" s="249" t="s">
        <v>489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252</v>
      </c>
      <c r="D527" s="251" t="s">
        <v>441</v>
      </c>
      <c r="E527" s="232"/>
      <c r="F527" s="250"/>
      <c r="G527" s="232"/>
      <c r="H527" s="249" t="s">
        <v>243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252</v>
      </c>
      <c r="D528" s="251" t="s">
        <v>441</v>
      </c>
      <c r="E528" s="232"/>
      <c r="F528" s="250"/>
      <c r="G528" s="232"/>
      <c r="H528" s="566" t="s">
        <v>245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252</v>
      </c>
      <c r="D529" s="251" t="s">
        <v>441</v>
      </c>
      <c r="E529" s="232"/>
      <c r="F529" s="250"/>
      <c r="G529" s="232"/>
      <c r="H529" s="249" t="s">
        <v>247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252</v>
      </c>
      <c r="D530" s="251" t="s">
        <v>441</v>
      </c>
      <c r="E530" s="232"/>
      <c r="F530" s="250"/>
      <c r="G530" s="232"/>
      <c r="H530" s="249" t="s">
        <v>249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252</v>
      </c>
      <c r="D531" s="251" t="s">
        <v>441</v>
      </c>
      <c r="E531" s="232"/>
      <c r="F531" s="250"/>
      <c r="G531" s="232"/>
      <c r="H531" s="249" t="s">
        <v>254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252</v>
      </c>
      <c r="D532" s="251" t="s">
        <v>441</v>
      </c>
      <c r="E532" s="232"/>
      <c r="F532" s="250"/>
      <c r="G532" s="232"/>
      <c r="H532" s="576" t="s">
        <v>262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252</v>
      </c>
      <c r="D535" s="251" t="s">
        <v>453</v>
      </c>
      <c r="E535" s="232"/>
      <c r="F535" s="250"/>
      <c r="G535" s="232"/>
      <c r="H535" s="583" t="s">
        <v>490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252</v>
      </c>
      <c r="D536" s="251" t="s">
        <v>453</v>
      </c>
      <c r="E536" s="232"/>
      <c r="F536" s="250"/>
      <c r="G536" s="232"/>
      <c r="H536" s="583" t="s">
        <v>248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252</v>
      </c>
      <c r="D537" s="251" t="s">
        <v>453</v>
      </c>
      <c r="E537" s="232"/>
      <c r="F537" s="250"/>
      <c r="G537" s="232"/>
      <c r="H537" s="249" t="s">
        <v>249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252</v>
      </c>
      <c r="D538" s="251" t="s">
        <v>453</v>
      </c>
      <c r="E538" s="232"/>
      <c r="F538" s="250"/>
      <c r="G538" s="232"/>
      <c r="H538" s="583" t="s">
        <v>245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252</v>
      </c>
      <c r="D539" s="251" t="s">
        <v>453</v>
      </c>
      <c r="E539" s="232"/>
      <c r="F539" s="250"/>
      <c r="G539" s="232"/>
      <c r="H539" s="566" t="s">
        <v>253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281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281</v>
      </c>
      <c r="D543" s="251" t="s">
        <v>441</v>
      </c>
      <c r="E543" s="232"/>
      <c r="F543" s="250"/>
      <c r="G543" s="232"/>
      <c r="H543" s="566" t="s">
        <v>491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281</v>
      </c>
      <c r="D544" s="251" t="s">
        <v>441</v>
      </c>
      <c r="E544" s="232"/>
      <c r="F544" s="250"/>
      <c r="G544" s="232"/>
      <c r="H544" s="566" t="s">
        <v>243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281</v>
      </c>
      <c r="D545" s="251" t="s">
        <v>441</v>
      </c>
      <c r="E545" s="232"/>
      <c r="F545" s="250"/>
      <c r="G545" s="232"/>
      <c r="H545" s="566" t="s">
        <v>245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281</v>
      </c>
      <c r="D546" s="251" t="s">
        <v>441</v>
      </c>
      <c r="E546" s="232"/>
      <c r="F546" s="250"/>
      <c r="G546" s="232"/>
      <c r="H546" s="566" t="s">
        <v>249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281</v>
      </c>
      <c r="D547" s="251" t="s">
        <v>441</v>
      </c>
      <c r="E547" s="232"/>
      <c r="F547" s="250"/>
      <c r="G547" s="232"/>
      <c r="H547" s="566" t="s">
        <v>254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281</v>
      </c>
      <c r="D550" s="257" t="s">
        <v>492</v>
      </c>
      <c r="E550" s="232"/>
      <c r="F550" s="250"/>
      <c r="G550" s="232"/>
      <c r="H550" s="566" t="s">
        <v>247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281</v>
      </c>
      <c r="D551" s="257" t="s">
        <v>492</v>
      </c>
      <c r="E551" s="232"/>
      <c r="F551" s="250"/>
      <c r="G551" s="232"/>
      <c r="H551" s="566" t="s">
        <v>246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281</v>
      </c>
      <c r="D553" s="257" t="s">
        <v>453</v>
      </c>
      <c r="E553" s="232"/>
      <c r="F553" s="250"/>
      <c r="G553" s="232"/>
      <c r="H553" s="566" t="s">
        <v>245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281</v>
      </c>
      <c r="D554" s="257" t="s">
        <v>453</v>
      </c>
      <c r="E554" s="232"/>
      <c r="F554" s="250"/>
      <c r="G554" s="232"/>
      <c r="H554" s="566" t="s">
        <v>249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281</v>
      </c>
      <c r="D555" s="257" t="s">
        <v>453</v>
      </c>
      <c r="E555" s="232"/>
      <c r="F555" s="250"/>
      <c r="G555" s="232"/>
      <c r="H555" s="566" t="s">
        <v>283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203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204</v>
      </c>
      <c r="D558" s="231" t="s">
        <v>441</v>
      </c>
      <c r="E558" s="232"/>
      <c r="F558" s="250"/>
      <c r="G558" s="232"/>
      <c r="H558" s="599" t="s">
        <v>206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204</v>
      </c>
      <c r="D559" s="231" t="s">
        <v>441</v>
      </c>
      <c r="E559" s="232"/>
      <c r="F559" s="250"/>
      <c r="G559" s="232"/>
      <c r="H559" s="599" t="s">
        <v>207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204</v>
      </c>
      <c r="D560" s="231" t="s">
        <v>441</v>
      </c>
      <c r="E560" s="232"/>
      <c r="F560" s="250"/>
      <c r="G560" s="232"/>
      <c r="H560" s="588" t="s">
        <v>208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204</v>
      </c>
      <c r="D561" s="231" t="s">
        <v>441</v>
      </c>
      <c r="E561" s="232"/>
      <c r="F561" s="250"/>
      <c r="G561" s="232"/>
      <c r="H561" s="280" t="s">
        <v>209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493</v>
      </c>
      <c r="D563" s="231" t="s">
        <v>441</v>
      </c>
      <c r="E563" s="232"/>
      <c r="F563" s="250"/>
      <c r="G563" s="232"/>
      <c r="H563" s="599" t="s">
        <v>206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493</v>
      </c>
      <c r="D564" s="231" t="s">
        <v>441</v>
      </c>
      <c r="E564" s="232"/>
      <c r="F564" s="250"/>
      <c r="G564" s="232"/>
      <c r="H564" s="588" t="s">
        <v>208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204</v>
      </c>
      <c r="D566" s="249" t="s">
        <v>453</v>
      </c>
      <c r="E566" s="232"/>
      <c r="F566" s="250"/>
      <c r="G566" s="232"/>
      <c r="H566" s="568" t="s">
        <v>206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204</v>
      </c>
      <c r="D567" s="249" t="s">
        <v>453</v>
      </c>
      <c r="E567" s="232"/>
      <c r="F567" s="250"/>
      <c r="G567" s="232"/>
      <c r="H567" s="589" t="s">
        <v>209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493</v>
      </c>
      <c r="D569" s="249" t="s">
        <v>453</v>
      </c>
      <c r="E569" s="232"/>
      <c r="F569" s="250"/>
      <c r="G569" s="232"/>
      <c r="H569" s="568" t="s">
        <v>206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494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284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285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285</v>
      </c>
      <c r="D576" s="249" t="s">
        <v>453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285</v>
      </c>
      <c r="D577" s="249" t="s">
        <v>453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285</v>
      </c>
      <c r="D579" s="249" t="s">
        <v>441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285</v>
      </c>
      <c r="D580" s="249" t="s">
        <v>441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285</v>
      </c>
      <c r="D582" s="249" t="s">
        <v>492</v>
      </c>
      <c r="E582" s="232"/>
      <c r="F582" s="250"/>
      <c r="G582" s="232"/>
      <c r="H582" s="559" t="s">
        <v>205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285</v>
      </c>
      <c r="D583" s="249" t="s">
        <v>492</v>
      </c>
      <c r="E583" s="232"/>
      <c r="F583" s="250"/>
      <c r="G583" s="232"/>
      <c r="H583" s="588" t="s">
        <v>206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285</v>
      </c>
      <c r="D584" s="249" t="s">
        <v>492</v>
      </c>
      <c r="E584" s="232"/>
      <c r="F584" s="250"/>
      <c r="G584" s="232"/>
      <c r="H584" s="559" t="s">
        <v>208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286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286</v>
      </c>
      <c r="D589" s="249" t="s">
        <v>492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163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163</v>
      </c>
      <c r="D592" s="249" t="s">
        <v>441</v>
      </c>
      <c r="E592" s="232"/>
      <c r="F592" s="250"/>
      <c r="G592" s="232"/>
      <c r="H592" s="568" t="s">
        <v>206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163</v>
      </c>
      <c r="D593" s="249" t="s">
        <v>441</v>
      </c>
      <c r="E593" s="232"/>
      <c r="F593" s="250"/>
      <c r="G593" s="232"/>
      <c r="H593" s="559" t="s">
        <v>208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163</v>
      </c>
      <c r="D594" s="249" t="s">
        <v>441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163</v>
      </c>
      <c r="D596" s="249" t="s">
        <v>453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163</v>
      </c>
      <c r="D597" s="249" t="s">
        <v>453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163</v>
      </c>
      <c r="D598" s="249" t="s">
        <v>453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163</v>
      </c>
      <c r="D600" s="321" t="s">
        <v>492</v>
      </c>
      <c r="E600" s="324"/>
      <c r="F600" s="325"/>
      <c r="G600" s="324"/>
      <c r="H600" s="601" t="s">
        <v>205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163</v>
      </c>
      <c r="D601" s="321" t="s">
        <v>492</v>
      </c>
      <c r="E601" s="324"/>
      <c r="F601" s="325"/>
      <c r="G601" s="324"/>
      <c r="H601" s="600" t="s">
        <v>206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163</v>
      </c>
      <c r="D602" s="321" t="s">
        <v>492</v>
      </c>
      <c r="E602" s="324"/>
      <c r="F602" s="325"/>
      <c r="G602" s="324"/>
      <c r="H602" s="590" t="s">
        <v>208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163</v>
      </c>
      <c r="D603" s="321" t="s">
        <v>492</v>
      </c>
      <c r="E603" s="322"/>
      <c r="F603" s="323"/>
      <c r="G603" s="322"/>
      <c r="H603" s="600" t="s">
        <v>495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496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295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228</v>
      </c>
      <c r="D610" s="249" t="s">
        <v>441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228</v>
      </c>
      <c r="D612" s="249" t="s">
        <v>453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369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369</v>
      </c>
      <c r="D616" s="231" t="s">
        <v>441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369</v>
      </c>
      <c r="D617" s="231" t="s">
        <v>441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369</v>
      </c>
      <c r="D619" s="231" t="s">
        <v>453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369</v>
      </c>
      <c r="D620" s="231" t="s">
        <v>453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292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292</v>
      </c>
      <c r="D625" s="231" t="s">
        <v>441</v>
      </c>
      <c r="E625" s="232"/>
      <c r="F625" s="250"/>
      <c r="G625" s="232"/>
      <c r="H625" s="278" t="s">
        <v>206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292</v>
      </c>
      <c r="D626" s="231" t="s">
        <v>441</v>
      </c>
      <c r="E626" s="232"/>
      <c r="F626" s="250"/>
      <c r="G626" s="232"/>
      <c r="H626" s="278" t="s">
        <v>208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292</v>
      </c>
      <c r="D627" s="231" t="s">
        <v>441</v>
      </c>
      <c r="E627" s="232"/>
      <c r="F627" s="250"/>
      <c r="G627" s="232"/>
      <c r="H627" s="278" t="s">
        <v>199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292</v>
      </c>
      <c r="D628" s="231" t="s">
        <v>441</v>
      </c>
      <c r="E628" s="232"/>
      <c r="F628" s="250"/>
      <c r="G628" s="232"/>
      <c r="H628" s="278" t="s">
        <v>209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292</v>
      </c>
      <c r="D630" s="231" t="s">
        <v>453</v>
      </c>
      <c r="E630" s="232"/>
      <c r="F630" s="250"/>
      <c r="G630" s="232"/>
      <c r="H630" s="278" t="s">
        <v>206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214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215</v>
      </c>
      <c r="D634" s="566" t="s">
        <v>441</v>
      </c>
      <c r="E634" s="232"/>
      <c r="F634" s="250"/>
      <c r="G634" s="232"/>
      <c r="H634" s="566" t="s">
        <v>221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223</v>
      </c>
      <c r="D635" s="566" t="s">
        <v>441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223</v>
      </c>
      <c r="D636" s="566" t="s">
        <v>441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223</v>
      </c>
      <c r="D638" s="566" t="s">
        <v>453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223</v>
      </c>
      <c r="D639" s="566" t="s">
        <v>453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223</v>
      </c>
      <c r="D640" s="566" t="s">
        <v>453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377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497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385</v>
      </c>
      <c r="D658" s="231" t="s">
        <v>441</v>
      </c>
      <c r="E658" s="232"/>
      <c r="F658" s="250"/>
      <c r="G658" s="232"/>
      <c r="H658" s="588" t="s">
        <v>206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385</v>
      </c>
      <c r="D659" s="231" t="s">
        <v>441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385</v>
      </c>
      <c r="D660" s="231" t="s">
        <v>441</v>
      </c>
      <c r="E660" s="232"/>
      <c r="F660" s="250"/>
      <c r="G660" s="232"/>
      <c r="H660" s="588" t="s">
        <v>208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385</v>
      </c>
      <c r="D662" s="231" t="s">
        <v>453</v>
      </c>
      <c r="E662" s="232"/>
      <c r="F662" s="250"/>
      <c r="G662" s="232"/>
      <c r="H662" s="588" t="s">
        <v>208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385</v>
      </c>
      <c r="D663" s="231" t="s">
        <v>453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383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384</v>
      </c>
      <c r="D666" s="231" t="s">
        <v>441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384</v>
      </c>
      <c r="D667" s="231" t="s">
        <v>441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384</v>
      </c>
      <c r="D669" s="231" t="s">
        <v>492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384</v>
      </c>
      <c r="D670" s="231" t="s">
        <v>492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384</v>
      </c>
      <c r="D672" s="231" t="s">
        <v>453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384</v>
      </c>
      <c r="D673" s="231" t="s">
        <v>453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224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225</v>
      </c>
      <c r="D676" s="566" t="s">
        <v>441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225</v>
      </c>
      <c r="D677" s="566" t="s">
        <v>441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225</v>
      </c>
      <c r="D678" s="566" t="s">
        <v>441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225</v>
      </c>
      <c r="D680" s="566" t="s">
        <v>453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225</v>
      </c>
      <c r="D681" s="566" t="s">
        <v>453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225</v>
      </c>
      <c r="D682" s="566" t="s">
        <v>453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413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414</v>
      </c>
      <c r="D685" s="566" t="s">
        <v>441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414</v>
      </c>
      <c r="D687" s="566" t="s">
        <v>453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498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498</v>
      </c>
      <c r="D690" s="566" t="s">
        <v>441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498</v>
      </c>
      <c r="D692" s="566" t="s">
        <v>453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499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499</v>
      </c>
      <c r="D695" s="566" t="s">
        <v>441</v>
      </c>
      <c r="E695" s="232"/>
      <c r="F695" s="250"/>
      <c r="G695" s="232"/>
      <c r="H695" s="577" t="s">
        <v>206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499</v>
      </c>
      <c r="D696" s="566" t="s">
        <v>441</v>
      </c>
      <c r="E696" s="232"/>
      <c r="F696" s="250"/>
      <c r="G696" s="232"/>
      <c r="H696" s="576" t="s">
        <v>208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499</v>
      </c>
      <c r="D697" s="566" t="s">
        <v>441</v>
      </c>
      <c r="E697" s="232"/>
      <c r="F697" s="250"/>
      <c r="G697" s="232"/>
      <c r="H697" s="577" t="s">
        <v>299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499</v>
      </c>
      <c r="D698" s="566" t="s">
        <v>441</v>
      </c>
      <c r="E698" s="232"/>
      <c r="F698" s="250"/>
      <c r="G698" s="232"/>
      <c r="H698" s="576" t="s">
        <v>500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499</v>
      </c>
      <c r="D700" s="566" t="s">
        <v>453</v>
      </c>
      <c r="E700" s="232"/>
      <c r="F700" s="250"/>
      <c r="G700" s="232"/>
      <c r="H700" s="577" t="s">
        <v>206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499</v>
      </c>
      <c r="D701" s="566" t="s">
        <v>453</v>
      </c>
      <c r="E701" s="232"/>
      <c r="F701" s="250"/>
      <c r="G701" s="232"/>
      <c r="H701" s="576" t="s">
        <v>208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499</v>
      </c>
      <c r="D702" s="566" t="s">
        <v>453</v>
      </c>
      <c r="E702" s="232"/>
      <c r="F702" s="250"/>
      <c r="G702" s="232"/>
      <c r="H702" s="577" t="s">
        <v>299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499</v>
      </c>
      <c r="D703" s="566" t="s">
        <v>453</v>
      </c>
      <c r="E703" s="232"/>
      <c r="F703" s="250"/>
      <c r="G703" s="232"/>
      <c r="H703" s="576" t="s">
        <v>500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501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416</v>
      </c>
      <c r="D706" s="566" t="s">
        <v>441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416</v>
      </c>
      <c r="D707" s="566" t="s">
        <v>441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416</v>
      </c>
      <c r="D708" s="566" t="s">
        <v>441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416</v>
      </c>
      <c r="D710" s="566" t="s">
        <v>453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416</v>
      </c>
      <c r="D711" s="566" t="s">
        <v>453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416</v>
      </c>
      <c r="D712" s="566" t="s">
        <v>453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502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502</v>
      </c>
      <c r="D715" s="566" t="s">
        <v>441</v>
      </c>
      <c r="E715" s="232"/>
      <c r="F715" s="250"/>
      <c r="G715" s="232"/>
      <c r="H715" s="576" t="s">
        <v>206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502</v>
      </c>
      <c r="D716" s="566" t="s">
        <v>441</v>
      </c>
      <c r="E716" s="232"/>
      <c r="F716" s="250"/>
      <c r="G716" s="232"/>
      <c r="H716" s="576" t="s">
        <v>208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502</v>
      </c>
      <c r="D717" s="566" t="s">
        <v>441</v>
      </c>
      <c r="E717" s="232"/>
      <c r="F717" s="250"/>
      <c r="G717" s="232"/>
      <c r="H717" s="576" t="s">
        <v>299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502</v>
      </c>
      <c r="D719" s="566" t="s">
        <v>453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502</v>
      </c>
      <c r="D720" s="566" t="s">
        <v>453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502</v>
      </c>
      <c r="D721" s="566" t="s">
        <v>453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165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165</v>
      </c>
      <c r="D724" s="249" t="s">
        <v>492</v>
      </c>
      <c r="E724" s="232"/>
      <c r="F724" s="250"/>
      <c r="G724" s="232"/>
      <c r="H724" s="256" t="s">
        <v>205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165</v>
      </c>
      <c r="D725" s="249" t="s">
        <v>492</v>
      </c>
      <c r="E725" s="232"/>
      <c r="F725" s="250"/>
      <c r="G725" s="232"/>
      <c r="H725" s="559" t="s">
        <v>206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165</v>
      </c>
      <c r="D726" s="249" t="s">
        <v>492</v>
      </c>
      <c r="E726" s="232"/>
      <c r="F726" s="250"/>
      <c r="G726" s="232"/>
      <c r="H726" s="559" t="s">
        <v>208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165</v>
      </c>
      <c r="D727" s="249" t="s">
        <v>492</v>
      </c>
      <c r="E727" s="232"/>
      <c r="F727" s="250"/>
      <c r="G727" s="232"/>
      <c r="H727" s="256" t="s">
        <v>495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165</v>
      </c>
      <c r="D729" s="249" t="s">
        <v>441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165</v>
      </c>
      <c r="D730" s="249" t="s">
        <v>441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165</v>
      </c>
      <c r="D731" s="249" t="s">
        <v>441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165</v>
      </c>
      <c r="D733" s="249" t="s">
        <v>453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165</v>
      </c>
      <c r="D734" s="249" t="s">
        <v>453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165</v>
      </c>
      <c r="D735" s="249" t="s">
        <v>453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164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164</v>
      </c>
      <c r="D738" s="249" t="s">
        <v>492</v>
      </c>
      <c r="E738" s="232"/>
      <c r="F738" s="250"/>
      <c r="G738" s="232"/>
      <c r="H738" s="256" t="s">
        <v>503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164</v>
      </c>
      <c r="D739" s="249" t="s">
        <v>492</v>
      </c>
      <c r="E739" s="232"/>
      <c r="F739" s="250"/>
      <c r="G739" s="232"/>
      <c r="H739" s="559" t="s">
        <v>504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164</v>
      </c>
      <c r="D741" s="249" t="s">
        <v>441</v>
      </c>
      <c r="E741" s="232"/>
      <c r="F741" s="250"/>
      <c r="G741" s="232"/>
      <c r="H741" s="559" t="s">
        <v>504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164</v>
      </c>
      <c r="D743" s="249" t="s">
        <v>453</v>
      </c>
      <c r="E743" s="232"/>
      <c r="F743" s="250"/>
      <c r="G743" s="232"/>
      <c r="H743" s="559" t="s">
        <v>504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301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301</v>
      </c>
      <c r="D746" s="249" t="s">
        <v>492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301</v>
      </c>
      <c r="D747" s="332" t="s">
        <v>492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301</v>
      </c>
      <c r="D748" s="332" t="s">
        <v>492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301</v>
      </c>
      <c r="D750" s="332" t="s">
        <v>441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301</v>
      </c>
      <c r="D751" s="332" t="s">
        <v>441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301</v>
      </c>
      <c r="D752" s="332" t="s">
        <v>441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301</v>
      </c>
      <c r="D754" s="332" t="s">
        <v>453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301</v>
      </c>
      <c r="D755" s="332" t="s">
        <v>453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301</v>
      </c>
      <c r="D756" s="332" t="s">
        <v>453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301</v>
      </c>
      <c r="D757" s="332" t="s">
        <v>453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293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293</v>
      </c>
      <c r="D760" s="249" t="s">
        <v>492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505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505</v>
      </c>
      <c r="D764" s="249" t="s">
        <v>492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505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505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506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506</v>
      </c>
      <c r="D772" s="249" t="s">
        <v>492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507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507</v>
      </c>
      <c r="D775" s="249" t="s">
        <v>492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508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508</v>
      </c>
      <c r="D778" s="249" t="s">
        <v>492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300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300</v>
      </c>
      <c r="D781" s="249" t="s">
        <v>492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300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300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509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509</v>
      </c>
      <c r="D788" s="249" t="s">
        <v>492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236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236</v>
      </c>
      <c r="D791" s="249" t="s">
        <v>492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236</v>
      </c>
      <c r="D793" s="249" t="s">
        <v>441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236</v>
      </c>
      <c r="D794" s="249" t="s">
        <v>441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236</v>
      </c>
      <c r="D796" s="249" t="s">
        <v>453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236</v>
      </c>
      <c r="D797" s="249" t="s">
        <v>453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510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.6" outlineLevel="2">
      <c r="B801" s="242" t="s">
        <v>170</v>
      </c>
      <c r="C801" s="242" t="s">
        <v>511</v>
      </c>
      <c r="D801" s="249" t="s">
        <v>512</v>
      </c>
      <c r="E801" s="257"/>
      <c r="F801" s="192"/>
      <c r="G801" s="257"/>
      <c r="H801" s="249" t="s">
        <v>511</v>
      </c>
      <c r="I801" s="249"/>
      <c r="J801" s="249"/>
      <c r="K801" s="249"/>
      <c r="L801" s="287"/>
      <c r="M801" s="288"/>
      <c r="N801" s="287"/>
      <c r="O801" s="572"/>
    </row>
    <row r="802" spans="2:15" ht="15.6" outlineLevel="2">
      <c r="B802" s="242" t="s">
        <v>331</v>
      </c>
      <c r="C802" s="242" t="s">
        <v>513</v>
      </c>
      <c r="D802" s="249" t="s">
        <v>512</v>
      </c>
      <c r="E802" s="257"/>
      <c r="F802" s="192"/>
      <c r="G802" s="257"/>
      <c r="H802" s="249" t="s">
        <v>513</v>
      </c>
      <c r="I802" s="249"/>
      <c r="J802" s="249"/>
      <c r="K802" s="249"/>
      <c r="L802" s="287"/>
      <c r="M802" s="288"/>
      <c r="N802" s="287"/>
      <c r="O802" s="572"/>
    </row>
    <row r="803" spans="2:15" ht="15.6" outlineLevel="2">
      <c r="B803" s="242" t="s">
        <v>514</v>
      </c>
      <c r="C803" s="242" t="s">
        <v>515</v>
      </c>
      <c r="D803" s="249" t="s">
        <v>512</v>
      </c>
      <c r="E803" s="257"/>
      <c r="F803" s="192"/>
      <c r="G803" s="257"/>
      <c r="H803" s="568" t="s">
        <v>515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167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237</v>
      </c>
      <c r="D806" s="566" t="s">
        <v>441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237</v>
      </c>
      <c r="D807" s="566" t="s">
        <v>453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6">
      <c r="B809" s="222" t="s">
        <v>516</v>
      </c>
      <c r="C809" s="223" t="s">
        <v>517</v>
      </c>
      <c r="D809" s="224" t="s">
        <v>518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440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307</v>
      </c>
      <c r="D812" s="249" t="s">
        <v>518</v>
      </c>
      <c r="E812" s="232"/>
      <c r="F812" s="192"/>
      <c r="G812" s="232"/>
      <c r="H812" s="249" t="s">
        <v>519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311</v>
      </c>
      <c r="D813" s="249" t="s">
        <v>518</v>
      </c>
      <c r="E813" s="232"/>
      <c r="F813" s="192"/>
      <c r="G813" s="232"/>
      <c r="H813" s="249" t="s">
        <v>520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311</v>
      </c>
      <c r="D814" s="249" t="s">
        <v>518</v>
      </c>
      <c r="E814" s="232"/>
      <c r="F814" s="192"/>
      <c r="G814" s="232"/>
      <c r="H814" s="249" t="s">
        <v>521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316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316</v>
      </c>
      <c r="D817" s="249" t="s">
        <v>518</v>
      </c>
      <c r="E817" s="232"/>
      <c r="F817" s="250"/>
      <c r="G817" s="232"/>
      <c r="H817" s="256" t="s">
        <v>522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316</v>
      </c>
      <c r="D818" s="249" t="s">
        <v>518</v>
      </c>
      <c r="E818" s="232"/>
      <c r="F818" s="250"/>
      <c r="G818" s="232"/>
      <c r="H818" s="256" t="s">
        <v>523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316</v>
      </c>
      <c r="D819" s="249" t="s">
        <v>518</v>
      </c>
      <c r="E819" s="232"/>
      <c r="F819" s="250"/>
      <c r="G819" s="232"/>
      <c r="H819" s="256" t="s">
        <v>524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316</v>
      </c>
      <c r="D820" s="249" t="s">
        <v>518</v>
      </c>
      <c r="E820" s="232"/>
      <c r="F820" s="250"/>
      <c r="G820" s="232"/>
      <c r="H820" s="256" t="s">
        <v>525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316</v>
      </c>
      <c r="D821" s="249" t="s">
        <v>518</v>
      </c>
      <c r="E821" s="232"/>
      <c r="F821" s="250"/>
      <c r="G821" s="232"/>
      <c r="H821" s="256" t="s">
        <v>526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316</v>
      </c>
      <c r="D822" s="249" t="s">
        <v>518</v>
      </c>
      <c r="E822" s="232"/>
      <c r="F822" s="250"/>
      <c r="G822" s="232"/>
      <c r="H822" s="256" t="s">
        <v>527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316</v>
      </c>
      <c r="D823" s="249" t="s">
        <v>518</v>
      </c>
      <c r="E823" s="232"/>
      <c r="F823" s="250"/>
      <c r="G823" s="232"/>
      <c r="H823" s="256" t="s">
        <v>528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316</v>
      </c>
      <c r="D824" s="249" t="s">
        <v>518</v>
      </c>
      <c r="E824" s="232"/>
      <c r="F824" s="250"/>
      <c r="G824" s="232"/>
      <c r="H824" s="256" t="s">
        <v>529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316</v>
      </c>
      <c r="D825" s="249" t="s">
        <v>518</v>
      </c>
      <c r="E825" s="232"/>
      <c r="F825" s="250"/>
      <c r="G825" s="232"/>
      <c r="H825" s="256" t="s">
        <v>530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316</v>
      </c>
      <c r="D826" s="249" t="s">
        <v>518</v>
      </c>
      <c r="E826" s="232"/>
      <c r="F826" s="250"/>
      <c r="G826" s="232"/>
      <c r="H826" s="256" t="s">
        <v>531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316</v>
      </c>
      <c r="D827" s="249" t="s">
        <v>518</v>
      </c>
      <c r="E827" s="232"/>
      <c r="F827" s="250"/>
      <c r="G827" s="232"/>
      <c r="H827" s="256" t="s">
        <v>532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316</v>
      </c>
      <c r="D828" s="249" t="s">
        <v>518</v>
      </c>
      <c r="E828" s="232"/>
      <c r="F828" s="250"/>
      <c r="G828" s="232"/>
      <c r="H828" s="256" t="s">
        <v>533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316</v>
      </c>
      <c r="D829" s="249" t="s">
        <v>518</v>
      </c>
      <c r="E829" s="232"/>
      <c r="F829" s="250"/>
      <c r="G829" s="232"/>
      <c r="H829" s="256" t="s">
        <v>534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316</v>
      </c>
      <c r="D830" s="249" t="s">
        <v>518</v>
      </c>
      <c r="E830" s="232"/>
      <c r="F830" s="250"/>
      <c r="G830" s="232"/>
      <c r="H830" s="256" t="s">
        <v>535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316</v>
      </c>
      <c r="D831" s="249" t="s">
        <v>518</v>
      </c>
      <c r="E831" s="232"/>
      <c r="F831" s="250"/>
      <c r="G831" s="232"/>
      <c r="H831" s="256" t="s">
        <v>536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316</v>
      </c>
      <c r="D832" s="249" t="s">
        <v>518</v>
      </c>
      <c r="E832" s="232"/>
      <c r="F832" s="250"/>
      <c r="G832" s="232"/>
      <c r="H832" s="256" t="s">
        <v>537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316</v>
      </c>
      <c r="D833" s="249" t="s">
        <v>518</v>
      </c>
      <c r="E833" s="232"/>
      <c r="F833" s="250"/>
      <c r="G833" s="232"/>
      <c r="H833" s="256" t="s">
        <v>538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316</v>
      </c>
      <c r="D834" s="249" t="s">
        <v>518</v>
      </c>
      <c r="E834" s="232"/>
      <c r="F834" s="250"/>
      <c r="G834" s="232"/>
      <c r="H834" s="256" t="s">
        <v>539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316</v>
      </c>
      <c r="D835" s="559" t="s">
        <v>518</v>
      </c>
      <c r="F835" s="239"/>
      <c r="H835" s="562" t="s">
        <v>520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368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368</v>
      </c>
      <c r="D838" s="249" t="s">
        <v>518</v>
      </c>
      <c r="E838" s="232"/>
      <c r="F838" s="192"/>
      <c r="G838" s="232"/>
      <c r="H838" s="589" t="s">
        <v>540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368</v>
      </c>
      <c r="D839" s="249" t="s">
        <v>518</v>
      </c>
      <c r="E839" s="232"/>
      <c r="F839" s="192"/>
      <c r="G839" s="232"/>
      <c r="H839" s="589" t="s">
        <v>541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368</v>
      </c>
      <c r="D840" s="249" t="s">
        <v>518</v>
      </c>
      <c r="E840" s="232"/>
      <c r="F840" s="192"/>
      <c r="G840" s="232"/>
      <c r="H840" s="589" t="s">
        <v>542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368</v>
      </c>
      <c r="D841" s="249" t="s">
        <v>518</v>
      </c>
      <c r="E841" s="232"/>
      <c r="F841" s="192"/>
      <c r="G841" s="232"/>
      <c r="H841" s="589" t="s">
        <v>539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368</v>
      </c>
      <c r="D842" s="249" t="s">
        <v>518</v>
      </c>
      <c r="E842" s="232"/>
      <c r="F842" s="192"/>
      <c r="G842" s="232"/>
      <c r="H842" s="589" t="s">
        <v>520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331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331</v>
      </c>
      <c r="D845" s="249" t="s">
        <v>518</v>
      </c>
      <c r="E845" s="232"/>
      <c r="F845" s="192"/>
      <c r="G845" s="232"/>
      <c r="H845" s="245" t="s">
        <v>543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331</v>
      </c>
      <c r="D846" s="249" t="s">
        <v>518</v>
      </c>
      <c r="E846" s="232"/>
      <c r="F846" s="192"/>
      <c r="G846" s="232"/>
      <c r="H846" s="245" t="s">
        <v>221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331</v>
      </c>
      <c r="D847" s="249" t="s">
        <v>518</v>
      </c>
      <c r="E847" s="232"/>
      <c r="F847" s="192"/>
      <c r="G847" s="232"/>
      <c r="H847" s="245" t="s">
        <v>254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341</v>
      </c>
      <c r="D848" s="249" t="s">
        <v>518</v>
      </c>
      <c r="E848" s="232"/>
      <c r="F848" s="192"/>
      <c r="G848" s="232"/>
      <c r="H848" s="245" t="s">
        <v>544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341</v>
      </c>
      <c r="D849" s="249" t="s">
        <v>518</v>
      </c>
      <c r="E849" s="232"/>
      <c r="F849" s="192"/>
      <c r="G849" s="232"/>
      <c r="H849" s="245" t="s">
        <v>545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341</v>
      </c>
      <c r="D850" s="249" t="s">
        <v>518</v>
      </c>
      <c r="E850" s="232"/>
      <c r="F850" s="192"/>
      <c r="G850" s="232"/>
      <c r="H850" s="245" t="s">
        <v>342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341</v>
      </c>
      <c r="D851" s="249" t="s">
        <v>518</v>
      </c>
      <c r="E851" s="232"/>
      <c r="F851" s="192"/>
      <c r="G851" s="232"/>
      <c r="H851" s="245" t="s">
        <v>546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341</v>
      </c>
      <c r="D852" s="249" t="s">
        <v>518</v>
      </c>
      <c r="E852" s="232"/>
      <c r="F852" s="192"/>
      <c r="G852" s="232"/>
      <c r="H852" s="245" t="s">
        <v>547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341</v>
      </c>
      <c r="D853" s="249" t="s">
        <v>518</v>
      </c>
      <c r="E853" s="232"/>
      <c r="F853" s="192"/>
      <c r="G853" s="232"/>
      <c r="H853" s="245" t="s">
        <v>543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341</v>
      </c>
      <c r="D854" s="249" t="s">
        <v>518</v>
      </c>
      <c r="E854" s="232"/>
      <c r="F854" s="192"/>
      <c r="G854" s="232"/>
      <c r="H854" s="245" t="s">
        <v>221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548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549</v>
      </c>
      <c r="D857" s="249" t="s">
        <v>518</v>
      </c>
      <c r="E857" s="232"/>
      <c r="F857" s="192"/>
      <c r="G857" s="232"/>
      <c r="H857" s="245" t="s">
        <v>246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240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240</v>
      </c>
      <c r="D860" s="249" t="s">
        <v>518</v>
      </c>
      <c r="E860" s="232"/>
      <c r="F860" s="192"/>
      <c r="G860" s="232"/>
      <c r="H860" s="252" t="s">
        <v>206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241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241</v>
      </c>
      <c r="D863" s="249" t="s">
        <v>518</v>
      </c>
      <c r="E863" s="232"/>
      <c r="F863" s="192"/>
      <c r="G863" s="232"/>
      <c r="H863" s="245" t="s">
        <v>273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241</v>
      </c>
      <c r="D864" s="249" t="s">
        <v>518</v>
      </c>
      <c r="E864" s="232"/>
      <c r="F864" s="192"/>
      <c r="G864" s="232"/>
      <c r="H864" s="245" t="s">
        <v>246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241</v>
      </c>
      <c r="D865" s="249" t="s">
        <v>518</v>
      </c>
      <c r="E865" s="232"/>
      <c r="F865" s="192"/>
      <c r="G865" s="232"/>
      <c r="H865" s="245" t="s">
        <v>247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241</v>
      </c>
      <c r="D866" s="249" t="s">
        <v>518</v>
      </c>
      <c r="E866" s="232"/>
      <c r="F866" s="192"/>
      <c r="G866" s="232"/>
      <c r="H866" s="245" t="s">
        <v>243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241</v>
      </c>
      <c r="D867" s="249" t="s">
        <v>518</v>
      </c>
      <c r="E867" s="232"/>
      <c r="F867" s="192"/>
      <c r="G867" s="232"/>
      <c r="H867" s="245" t="s">
        <v>245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241</v>
      </c>
      <c r="D868" s="249" t="s">
        <v>518</v>
      </c>
      <c r="E868" s="232"/>
      <c r="F868" s="192"/>
      <c r="G868" s="232"/>
      <c r="H868" s="245" t="s">
        <v>550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241</v>
      </c>
      <c r="D869" s="249" t="s">
        <v>518</v>
      </c>
      <c r="E869" s="232"/>
      <c r="F869" s="192"/>
      <c r="G869" s="232"/>
      <c r="H869" s="245" t="s">
        <v>551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170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171</v>
      </c>
      <c r="D872" s="249" t="s">
        <v>518</v>
      </c>
      <c r="E872" s="232"/>
      <c r="F872" s="192"/>
      <c r="G872" s="232"/>
      <c r="H872" s="282" t="s">
        <v>174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171</v>
      </c>
      <c r="D873" s="249" t="s">
        <v>518</v>
      </c>
      <c r="E873" s="232"/>
      <c r="F873" s="192"/>
      <c r="G873" s="232"/>
      <c r="H873" s="282" t="s">
        <v>552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171</v>
      </c>
      <c r="D874" s="249" t="s">
        <v>518</v>
      </c>
      <c r="E874" s="232"/>
      <c r="F874" s="192"/>
      <c r="G874" s="232"/>
      <c r="H874" s="282" t="s">
        <v>553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173</v>
      </c>
      <c r="D875" s="249" t="s">
        <v>518</v>
      </c>
      <c r="E875" s="232"/>
      <c r="F875" s="192"/>
      <c r="G875" s="232"/>
      <c r="H875" s="282" t="s">
        <v>174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173</v>
      </c>
      <c r="D876" s="249" t="s">
        <v>518</v>
      </c>
      <c r="E876" s="232"/>
      <c r="F876" s="192"/>
      <c r="G876" s="232"/>
      <c r="H876" s="282" t="s">
        <v>195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173</v>
      </c>
      <c r="D877" s="249" t="s">
        <v>518</v>
      </c>
      <c r="E877" s="232"/>
      <c r="F877" s="192"/>
      <c r="G877" s="232"/>
      <c r="H877" s="282" t="s">
        <v>175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176</v>
      </c>
      <c r="D878" s="249" t="s">
        <v>518</v>
      </c>
      <c r="E878" s="232"/>
      <c r="F878" s="192"/>
      <c r="G878" s="232"/>
      <c r="H878" s="282" t="s">
        <v>554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176</v>
      </c>
      <c r="D879" s="249" t="s">
        <v>518</v>
      </c>
      <c r="E879" s="232"/>
      <c r="F879" s="192"/>
      <c r="G879" s="232"/>
      <c r="H879" s="282" t="s">
        <v>555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176</v>
      </c>
      <c r="D880" s="249" t="s">
        <v>518</v>
      </c>
      <c r="E880" s="232"/>
      <c r="F880" s="192"/>
      <c r="G880" s="232"/>
      <c r="H880" s="282" t="s">
        <v>259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176</v>
      </c>
      <c r="D881" s="249" t="s">
        <v>518</v>
      </c>
      <c r="E881" s="232"/>
      <c r="F881" s="192"/>
      <c r="G881" s="232"/>
      <c r="H881" s="282" t="s">
        <v>556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176</v>
      </c>
      <c r="D882" s="249" t="s">
        <v>518</v>
      </c>
      <c r="E882" s="232"/>
      <c r="F882" s="192"/>
      <c r="G882" s="232"/>
      <c r="H882" s="282" t="s">
        <v>557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176</v>
      </c>
      <c r="D883" s="249" t="s">
        <v>518</v>
      </c>
      <c r="E883" s="232"/>
      <c r="F883" s="192"/>
      <c r="G883" s="232"/>
      <c r="H883" s="282" t="s">
        <v>558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176</v>
      </c>
      <c r="D884" s="249" t="s">
        <v>518</v>
      </c>
      <c r="E884" s="232"/>
      <c r="F884" s="192"/>
      <c r="G884" s="232"/>
      <c r="H884" s="282" t="s">
        <v>559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176</v>
      </c>
      <c r="D885" s="249" t="s">
        <v>518</v>
      </c>
      <c r="E885" s="232"/>
      <c r="F885" s="192"/>
      <c r="G885" s="232"/>
      <c r="H885" s="282" t="s">
        <v>560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176</v>
      </c>
      <c r="D886" s="249" t="s">
        <v>518</v>
      </c>
      <c r="E886" s="232"/>
      <c r="F886" s="192"/>
      <c r="G886" s="232"/>
      <c r="H886" s="282" t="s">
        <v>561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176</v>
      </c>
      <c r="D887" s="249" t="s">
        <v>518</v>
      </c>
      <c r="E887" s="232"/>
      <c r="F887" s="192"/>
      <c r="G887" s="232"/>
      <c r="H887" s="282" t="s">
        <v>562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176</v>
      </c>
      <c r="D888" s="249" t="s">
        <v>518</v>
      </c>
      <c r="E888" s="232"/>
      <c r="F888" s="192"/>
      <c r="G888" s="232"/>
      <c r="H888" s="282" t="s">
        <v>563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176</v>
      </c>
      <c r="D889" s="249" t="s">
        <v>518</v>
      </c>
      <c r="E889" s="232"/>
      <c r="F889" s="192"/>
      <c r="G889" s="232"/>
      <c r="H889" s="282" t="s">
        <v>564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176</v>
      </c>
      <c r="D890" s="249" t="s">
        <v>518</v>
      </c>
      <c r="E890" s="232"/>
      <c r="F890" s="192"/>
      <c r="G890" s="232"/>
      <c r="H890" s="282" t="s">
        <v>565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176</v>
      </c>
      <c r="D891" s="249" t="s">
        <v>518</v>
      </c>
      <c r="E891" s="232"/>
      <c r="F891" s="192"/>
      <c r="G891" s="232"/>
      <c r="H891" s="282" t="s">
        <v>566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176</v>
      </c>
      <c r="D892" s="249" t="s">
        <v>518</v>
      </c>
      <c r="E892" s="232"/>
      <c r="F892" s="192"/>
      <c r="G892" s="232"/>
      <c r="H892" s="282" t="s">
        <v>174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176</v>
      </c>
      <c r="D893" s="249" t="s">
        <v>518</v>
      </c>
      <c r="E893" s="232"/>
      <c r="F893" s="192"/>
      <c r="G893" s="232"/>
      <c r="H893" s="282" t="s">
        <v>195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197</v>
      </c>
      <c r="D894" s="249" t="s">
        <v>518</v>
      </c>
      <c r="E894" s="232"/>
      <c r="F894" s="192"/>
      <c r="G894" s="232"/>
      <c r="H894" s="565" t="s">
        <v>206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197</v>
      </c>
      <c r="D895" s="249" t="s">
        <v>518</v>
      </c>
      <c r="E895" s="232"/>
      <c r="F895" s="192"/>
      <c r="G895" s="232"/>
      <c r="H895" s="565" t="s">
        <v>481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197</v>
      </c>
      <c r="D896" s="249" t="s">
        <v>518</v>
      </c>
      <c r="E896" s="232"/>
      <c r="F896" s="192"/>
      <c r="G896" s="232"/>
      <c r="H896" s="565" t="s">
        <v>567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197</v>
      </c>
      <c r="D897" s="249" t="s">
        <v>518</v>
      </c>
      <c r="E897" s="232"/>
      <c r="F897" s="192"/>
      <c r="G897" s="232"/>
      <c r="H897" s="565" t="s">
        <v>568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197</v>
      </c>
      <c r="D898" s="249" t="s">
        <v>518</v>
      </c>
      <c r="E898" s="232"/>
      <c r="F898" s="192"/>
      <c r="G898" s="232"/>
      <c r="H898" s="565" t="s">
        <v>569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197</v>
      </c>
      <c r="D899" s="249" t="s">
        <v>518</v>
      </c>
      <c r="E899" s="232"/>
      <c r="F899" s="192"/>
      <c r="G899" s="232"/>
      <c r="H899" s="565" t="s">
        <v>202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390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391</v>
      </c>
      <c r="D902" s="249" t="s">
        <v>518</v>
      </c>
      <c r="E902" s="276"/>
      <c r="F902" s="192"/>
      <c r="G902" s="276"/>
      <c r="H902" s="589" t="s">
        <v>570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393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394</v>
      </c>
      <c r="D905" s="249" t="s">
        <v>518</v>
      </c>
      <c r="E905" s="257"/>
      <c r="F905" s="192"/>
      <c r="G905" s="257"/>
      <c r="H905" s="285" t="s">
        <v>571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572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573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365</v>
      </c>
      <c r="D910" s="249" t="s">
        <v>518</v>
      </c>
      <c r="E910" s="257"/>
      <c r="F910" s="192"/>
      <c r="G910" s="257"/>
      <c r="H910" s="568" t="s">
        <v>366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252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252</v>
      </c>
      <c r="D914" s="266" t="s">
        <v>518</v>
      </c>
      <c r="E914" s="291"/>
      <c r="F914" s="292"/>
      <c r="G914" s="291"/>
      <c r="H914" s="286" t="s">
        <v>574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252</v>
      </c>
      <c r="D915" s="266" t="s">
        <v>518</v>
      </c>
      <c r="E915" s="291"/>
      <c r="F915" s="292"/>
      <c r="G915" s="291"/>
      <c r="H915" s="286" t="s">
        <v>575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252</v>
      </c>
      <c r="D916" s="266" t="s">
        <v>518</v>
      </c>
      <c r="E916" s="291"/>
      <c r="F916" s="292"/>
      <c r="G916" s="291"/>
      <c r="H916" s="286" t="s">
        <v>576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252</v>
      </c>
      <c r="D917" s="266" t="s">
        <v>518</v>
      </c>
      <c r="E917" s="291"/>
      <c r="F917" s="292"/>
      <c r="G917" s="291"/>
      <c r="H917" s="286" t="s">
        <v>577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252</v>
      </c>
      <c r="D918" s="266" t="s">
        <v>518</v>
      </c>
      <c r="E918" s="291"/>
      <c r="F918" s="292"/>
      <c r="G918" s="291"/>
      <c r="H918" s="286" t="s">
        <v>575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252</v>
      </c>
      <c r="D919" s="249" t="s">
        <v>518</v>
      </c>
      <c r="E919" s="232"/>
      <c r="F919" s="250"/>
      <c r="G919" s="232"/>
      <c r="H919" s="286" t="s">
        <v>576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252</v>
      </c>
      <c r="D920" s="266" t="s">
        <v>518</v>
      </c>
      <c r="E920" s="232"/>
      <c r="F920" s="250"/>
      <c r="G920" s="232"/>
      <c r="H920" s="286" t="s">
        <v>577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252</v>
      </c>
      <c r="D921" s="266" t="s">
        <v>518</v>
      </c>
      <c r="E921" s="232"/>
      <c r="F921" s="250"/>
      <c r="G921" s="232"/>
      <c r="H921" s="286" t="s">
        <v>578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252</v>
      </c>
      <c r="D922" s="266" t="s">
        <v>518</v>
      </c>
      <c r="E922" s="232"/>
      <c r="F922" s="250"/>
      <c r="G922" s="232"/>
      <c r="H922" s="286" t="s">
        <v>579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252</v>
      </c>
      <c r="D923" s="266" t="s">
        <v>518</v>
      </c>
      <c r="E923" s="232"/>
      <c r="F923" s="250"/>
      <c r="G923" s="232"/>
      <c r="H923" s="286" t="s">
        <v>579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252</v>
      </c>
      <c r="D924" s="266" t="s">
        <v>518</v>
      </c>
      <c r="E924" s="232"/>
      <c r="F924" s="250"/>
      <c r="G924" s="232"/>
      <c r="H924" s="286" t="s">
        <v>580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252</v>
      </c>
      <c r="D925" s="266" t="s">
        <v>518</v>
      </c>
      <c r="E925" s="232"/>
      <c r="F925" s="250"/>
      <c r="G925" s="232"/>
      <c r="H925" s="286" t="s">
        <v>581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252</v>
      </c>
      <c r="D926" s="266" t="s">
        <v>518</v>
      </c>
      <c r="E926" s="232"/>
      <c r="F926" s="250"/>
      <c r="G926" s="232"/>
      <c r="H926" s="256" t="s">
        <v>582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252</v>
      </c>
      <c r="D927" s="266" t="s">
        <v>518</v>
      </c>
      <c r="E927" s="232"/>
      <c r="F927" s="250"/>
      <c r="G927" s="232"/>
      <c r="H927" s="256" t="s">
        <v>583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252</v>
      </c>
      <c r="D928" s="266" t="s">
        <v>518</v>
      </c>
      <c r="E928" s="232"/>
      <c r="F928" s="250"/>
      <c r="G928" s="232"/>
      <c r="H928" s="256" t="s">
        <v>584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252</v>
      </c>
      <c r="D929" s="266" t="s">
        <v>518</v>
      </c>
      <c r="E929" s="232"/>
      <c r="F929" s="250"/>
      <c r="G929" s="232"/>
      <c r="H929" s="256" t="s">
        <v>585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252</v>
      </c>
      <c r="D930" s="266" t="s">
        <v>518</v>
      </c>
      <c r="E930" s="232"/>
      <c r="F930" s="250"/>
      <c r="G930" s="232"/>
      <c r="H930" s="256" t="s">
        <v>586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252</v>
      </c>
      <c r="D931" s="266" t="s">
        <v>518</v>
      </c>
      <c r="E931" s="232"/>
      <c r="F931" s="250"/>
      <c r="G931" s="232"/>
      <c r="H931" s="256" t="s">
        <v>587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252</v>
      </c>
      <c r="D932" s="266" t="s">
        <v>518</v>
      </c>
      <c r="E932" s="232"/>
      <c r="F932" s="250"/>
      <c r="G932" s="232"/>
      <c r="H932" s="256" t="s">
        <v>588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252</v>
      </c>
      <c r="D933" s="266" t="s">
        <v>518</v>
      </c>
      <c r="E933" s="232"/>
      <c r="F933" s="250"/>
      <c r="G933" s="232"/>
      <c r="H933" s="256" t="s">
        <v>589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252</v>
      </c>
      <c r="D934" s="266" t="s">
        <v>518</v>
      </c>
      <c r="E934" s="232"/>
      <c r="F934" s="250"/>
      <c r="G934" s="232"/>
      <c r="H934" s="256" t="s">
        <v>590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252</v>
      </c>
      <c r="D935" s="266" t="s">
        <v>518</v>
      </c>
      <c r="E935" s="232"/>
      <c r="F935" s="250"/>
      <c r="G935" s="232"/>
      <c r="H935" s="256" t="s">
        <v>591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252</v>
      </c>
      <c r="D936" s="266" t="s">
        <v>518</v>
      </c>
      <c r="E936" s="291"/>
      <c r="F936" s="292"/>
      <c r="G936" s="291"/>
      <c r="H936" s="256" t="s">
        <v>592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252</v>
      </c>
      <c r="D937" s="249" t="s">
        <v>518</v>
      </c>
      <c r="E937" s="232"/>
      <c r="F937" s="250"/>
      <c r="G937" s="232"/>
      <c r="H937" s="256" t="s">
        <v>593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252</v>
      </c>
      <c r="D938" s="249" t="s">
        <v>518</v>
      </c>
      <c r="E938" s="232"/>
      <c r="F938" s="250"/>
      <c r="G938" s="232"/>
      <c r="H938" s="256" t="s">
        <v>594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252</v>
      </c>
      <c r="D939" s="249" t="s">
        <v>518</v>
      </c>
      <c r="E939" s="232"/>
      <c r="F939" s="250"/>
      <c r="G939" s="232"/>
      <c r="H939" s="256" t="s">
        <v>595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252</v>
      </c>
      <c r="D940" s="249" t="s">
        <v>518</v>
      </c>
      <c r="E940" s="232"/>
      <c r="F940" s="250"/>
      <c r="G940" s="232"/>
      <c r="H940" s="256" t="s">
        <v>596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252</v>
      </c>
      <c r="D941" s="249" t="s">
        <v>518</v>
      </c>
      <c r="E941" s="232"/>
      <c r="F941" s="250"/>
      <c r="G941" s="232"/>
      <c r="H941" s="256" t="s">
        <v>597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252</v>
      </c>
      <c r="D942" s="249" t="s">
        <v>518</v>
      </c>
      <c r="E942" s="232"/>
      <c r="F942" s="250"/>
      <c r="G942" s="232"/>
      <c r="H942" s="256" t="s">
        <v>598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252</v>
      </c>
      <c r="D943" s="249" t="s">
        <v>518</v>
      </c>
      <c r="E943" s="232"/>
      <c r="F943" s="250"/>
      <c r="G943" s="232"/>
      <c r="H943" s="256" t="s">
        <v>599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252</v>
      </c>
      <c r="D944" s="249" t="s">
        <v>518</v>
      </c>
      <c r="E944" s="232"/>
      <c r="F944" s="250"/>
      <c r="G944" s="232"/>
      <c r="H944" s="256" t="s">
        <v>600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252</v>
      </c>
      <c r="D945" s="249" t="s">
        <v>518</v>
      </c>
      <c r="E945" s="232"/>
      <c r="F945" s="250"/>
      <c r="G945" s="232"/>
      <c r="H945" s="256" t="s">
        <v>601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252</v>
      </c>
      <c r="D946" s="266" t="s">
        <v>518</v>
      </c>
      <c r="E946" s="291"/>
      <c r="F946" s="292"/>
      <c r="G946" s="291"/>
      <c r="H946" s="256" t="s">
        <v>543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252</v>
      </c>
      <c r="D947" s="266" t="s">
        <v>518</v>
      </c>
      <c r="E947" s="291"/>
      <c r="F947" s="292"/>
      <c r="G947" s="291"/>
      <c r="H947" s="256" t="s">
        <v>221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252</v>
      </c>
      <c r="D948" s="249" t="s">
        <v>518</v>
      </c>
      <c r="E948" s="232"/>
      <c r="F948" s="250"/>
      <c r="G948" s="232"/>
      <c r="H948" s="256" t="s">
        <v>243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252</v>
      </c>
      <c r="D949" s="266" t="s">
        <v>518</v>
      </c>
      <c r="E949" s="291"/>
      <c r="F949" s="292"/>
      <c r="G949" s="291"/>
      <c r="H949" s="256" t="s">
        <v>245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252</v>
      </c>
      <c r="D950" s="266" t="s">
        <v>518</v>
      </c>
      <c r="E950" s="291"/>
      <c r="F950" s="292"/>
      <c r="G950" s="291"/>
      <c r="H950" s="256" t="s">
        <v>253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252</v>
      </c>
      <c r="D951" s="266" t="s">
        <v>518</v>
      </c>
      <c r="E951" s="291"/>
      <c r="F951" s="292"/>
      <c r="G951" s="291"/>
      <c r="H951" s="256" t="s">
        <v>254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281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281</v>
      </c>
      <c r="D954" s="249" t="s">
        <v>518</v>
      </c>
      <c r="E954" s="232"/>
      <c r="F954" s="250"/>
      <c r="G954" s="232"/>
      <c r="H954" s="588" t="s">
        <v>221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281</v>
      </c>
      <c r="D955" s="249" t="s">
        <v>518</v>
      </c>
      <c r="E955" s="232"/>
      <c r="F955" s="250"/>
      <c r="G955" s="232"/>
      <c r="H955" s="286" t="s">
        <v>543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281</v>
      </c>
      <c r="D956" s="249" t="s">
        <v>518</v>
      </c>
      <c r="E956" s="232"/>
      <c r="F956" s="250"/>
      <c r="G956" s="232"/>
      <c r="H956" s="286" t="s">
        <v>243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281</v>
      </c>
      <c r="D957" s="249" t="s">
        <v>518</v>
      </c>
      <c r="E957" s="232"/>
      <c r="F957" s="250"/>
      <c r="G957" s="232"/>
      <c r="H957" s="286" t="s">
        <v>245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281</v>
      </c>
      <c r="D958" s="249" t="s">
        <v>518</v>
      </c>
      <c r="E958" s="232"/>
      <c r="F958" s="250"/>
      <c r="G958" s="232"/>
      <c r="H958" s="286" t="s">
        <v>283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281</v>
      </c>
      <c r="D959" s="249" t="s">
        <v>518</v>
      </c>
      <c r="E959" s="232"/>
      <c r="F959" s="250"/>
      <c r="G959" s="232"/>
      <c r="H959" s="286" t="s">
        <v>254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203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602</v>
      </c>
      <c r="D962" s="249" t="s">
        <v>518</v>
      </c>
      <c r="E962" s="232"/>
      <c r="F962" s="250"/>
      <c r="G962" s="232"/>
      <c r="H962" s="568" t="s">
        <v>206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602</v>
      </c>
      <c r="D963" s="249" t="s">
        <v>518</v>
      </c>
      <c r="E963" s="232"/>
      <c r="F963" s="250"/>
      <c r="G963" s="232"/>
      <c r="H963" s="568" t="s">
        <v>207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602</v>
      </c>
      <c r="D964" s="249" t="s">
        <v>518</v>
      </c>
      <c r="E964" s="232"/>
      <c r="F964" s="250"/>
      <c r="G964" s="232"/>
      <c r="H964" s="568" t="s">
        <v>209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602</v>
      </c>
      <c r="D965" s="249" t="s">
        <v>518</v>
      </c>
      <c r="E965" s="232"/>
      <c r="F965" s="250"/>
      <c r="G965" s="232"/>
      <c r="H965" s="568" t="s">
        <v>603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604</v>
      </c>
      <c r="D966" s="249" t="s">
        <v>518</v>
      </c>
      <c r="E966" s="232"/>
      <c r="F966" s="250"/>
      <c r="G966" s="232"/>
      <c r="H966" s="568" t="s">
        <v>206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605</v>
      </c>
      <c r="D967" s="249" t="s">
        <v>518</v>
      </c>
      <c r="E967" s="232"/>
      <c r="F967" s="250"/>
      <c r="G967" s="232"/>
      <c r="H967" s="568" t="s">
        <v>206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496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295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284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285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285</v>
      </c>
      <c r="D976" s="249" t="s">
        <v>518</v>
      </c>
      <c r="E976" s="232"/>
      <c r="F976" s="250"/>
      <c r="G976" s="232"/>
      <c r="H976" s="252" t="s">
        <v>206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286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163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163</v>
      </c>
      <c r="D981" s="249" t="s">
        <v>518</v>
      </c>
      <c r="E981" s="232"/>
      <c r="F981" s="250"/>
      <c r="G981" s="232"/>
      <c r="H981" s="252" t="s">
        <v>206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163</v>
      </c>
      <c r="D982" s="249" t="s">
        <v>518</v>
      </c>
      <c r="E982" s="232"/>
      <c r="F982" s="250"/>
      <c r="G982" s="232"/>
      <c r="H982" s="568" t="s">
        <v>209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606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213</v>
      </c>
      <c r="D985" s="249" t="s">
        <v>518</v>
      </c>
      <c r="E985" s="232"/>
      <c r="F985" s="250"/>
      <c r="G985" s="232"/>
      <c r="H985" s="252" t="s">
        <v>206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514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215</v>
      </c>
      <c r="D988" s="249" t="s">
        <v>518</v>
      </c>
      <c r="E988" s="232"/>
      <c r="F988" s="250"/>
      <c r="G988" s="232"/>
      <c r="H988" s="566" t="s">
        <v>209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215</v>
      </c>
      <c r="D989" s="249" t="s">
        <v>518</v>
      </c>
      <c r="E989" s="232"/>
      <c r="F989" s="250"/>
      <c r="G989" s="232"/>
      <c r="H989" s="566" t="s">
        <v>217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215</v>
      </c>
      <c r="D990" s="249" t="s">
        <v>518</v>
      </c>
      <c r="E990" s="232"/>
      <c r="F990" s="250"/>
      <c r="G990" s="232"/>
      <c r="H990" s="566" t="s">
        <v>220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215</v>
      </c>
      <c r="D991" s="249" t="s">
        <v>518</v>
      </c>
      <c r="E991" s="232"/>
      <c r="F991" s="250"/>
      <c r="G991" s="232"/>
      <c r="H991" s="566" t="s">
        <v>221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215</v>
      </c>
      <c r="D992" s="249" t="s">
        <v>518</v>
      </c>
      <c r="E992" s="232"/>
      <c r="F992" s="250"/>
      <c r="G992" s="232"/>
      <c r="H992" s="566" t="s">
        <v>283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223</v>
      </c>
      <c r="D993" s="249" t="s">
        <v>518</v>
      </c>
      <c r="E993" s="232"/>
      <c r="F993" s="250"/>
      <c r="G993" s="232"/>
      <c r="H993" s="566" t="s">
        <v>206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607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369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369</v>
      </c>
      <c r="D996" s="249" t="s">
        <v>518</v>
      </c>
      <c r="E996" s="232"/>
      <c r="F996" s="250"/>
      <c r="G996" s="232"/>
      <c r="H996" s="278" t="s">
        <v>206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292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292</v>
      </c>
      <c r="D999" s="249" t="s">
        <v>518</v>
      </c>
      <c r="E999" s="232"/>
      <c r="F999" s="250"/>
      <c r="G999" s="232"/>
      <c r="H999" s="278" t="s">
        <v>206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292</v>
      </c>
      <c r="D1000" s="249" t="s">
        <v>518</v>
      </c>
      <c r="E1000" s="232"/>
      <c r="F1000" s="250"/>
      <c r="G1000" s="232"/>
      <c r="H1000" s="278" t="s">
        <v>199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383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224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225</v>
      </c>
      <c r="D1005" s="249" t="s">
        <v>518</v>
      </c>
      <c r="E1005" s="232"/>
      <c r="F1005" s="250"/>
      <c r="G1005" s="232"/>
      <c r="H1005" s="577" t="s">
        <v>206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225</v>
      </c>
      <c r="D1006" s="249" t="s">
        <v>518</v>
      </c>
      <c r="E1006" s="232"/>
      <c r="F1006" s="250"/>
      <c r="G1006" s="232"/>
      <c r="H1006" s="576" t="s">
        <v>299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165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165</v>
      </c>
      <c r="D1009" s="249" t="s">
        <v>518</v>
      </c>
      <c r="E1009" s="232"/>
      <c r="F1009" s="250"/>
      <c r="G1009" s="232"/>
      <c r="H1009" s="256" t="s">
        <v>206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165</v>
      </c>
      <c r="D1010" s="249" t="s">
        <v>518</v>
      </c>
      <c r="E1010" s="232"/>
      <c r="F1010" s="250"/>
      <c r="G1010" s="232"/>
      <c r="H1010" s="559" t="s">
        <v>608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609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610</v>
      </c>
      <c r="D1013" s="249" t="s">
        <v>518</v>
      </c>
      <c r="E1013" s="232"/>
      <c r="F1013" s="250"/>
      <c r="G1013" s="232"/>
      <c r="H1013" s="256" t="s">
        <v>206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610</v>
      </c>
      <c r="D1014" s="249" t="s">
        <v>518</v>
      </c>
      <c r="E1014" s="232"/>
      <c r="F1014" s="250"/>
      <c r="G1014" s="232"/>
      <c r="H1014" s="256" t="s">
        <v>503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610</v>
      </c>
      <c r="D1015" s="249" t="s">
        <v>518</v>
      </c>
      <c r="E1015" s="232"/>
      <c r="F1015" s="250"/>
      <c r="G1015" s="232"/>
      <c r="H1015" s="559" t="s">
        <v>504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293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293</v>
      </c>
      <c r="D1018" s="249" t="s">
        <v>518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293</v>
      </c>
      <c r="D1019" s="249" t="s">
        <v>518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293</v>
      </c>
      <c r="D1020" s="249" t="s">
        <v>518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611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611</v>
      </c>
      <c r="D1023" s="249" t="s">
        <v>518</v>
      </c>
      <c r="E1023" s="232"/>
      <c r="F1023" s="250"/>
      <c r="G1023" s="232"/>
      <c r="H1023" s="256" t="s">
        <v>206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413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413</v>
      </c>
      <c r="D1025" s="249" t="s">
        <v>518</v>
      </c>
      <c r="E1025" s="232"/>
      <c r="F1025" s="250"/>
      <c r="G1025" s="232"/>
      <c r="H1025" s="256" t="s">
        <v>206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612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612</v>
      </c>
      <c r="D1028" s="249" t="s">
        <v>518</v>
      </c>
      <c r="E1028" s="232"/>
      <c r="F1028" s="250"/>
      <c r="G1028" s="232"/>
      <c r="H1028" s="256" t="s">
        <v>206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612</v>
      </c>
      <c r="D1029" s="249" t="s">
        <v>518</v>
      </c>
      <c r="E1029" s="232"/>
      <c r="F1029" s="250"/>
      <c r="G1029" s="232"/>
      <c r="H1029" s="256" t="s">
        <v>230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502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502</v>
      </c>
      <c r="D1032" s="249" t="s">
        <v>518</v>
      </c>
      <c r="E1032" s="232"/>
      <c r="F1032" s="250"/>
      <c r="G1032" s="232"/>
      <c r="H1032" s="256" t="s">
        <v>206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502</v>
      </c>
      <c r="D1033" s="249" t="s">
        <v>518</v>
      </c>
      <c r="E1033" s="232"/>
      <c r="F1033" s="250"/>
      <c r="G1033" s="232"/>
      <c r="H1033" s="256" t="s">
        <v>299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613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613</v>
      </c>
      <c r="D1036" s="249" t="s">
        <v>518</v>
      </c>
      <c r="E1036" s="232"/>
      <c r="F1036" s="250"/>
      <c r="G1036" s="232"/>
      <c r="H1036" s="256" t="s">
        <v>206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613</v>
      </c>
      <c r="D1037" s="249" t="s">
        <v>518</v>
      </c>
      <c r="E1037" s="232"/>
      <c r="F1037" s="250"/>
      <c r="G1037" s="232"/>
      <c r="H1037" s="256" t="s">
        <v>299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613</v>
      </c>
      <c r="D1038" s="249" t="s">
        <v>518</v>
      </c>
      <c r="E1038" s="232"/>
      <c r="F1038" s="250"/>
      <c r="G1038" s="232"/>
      <c r="H1038" s="256" t="s">
        <v>614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615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615</v>
      </c>
      <c r="D1041" s="249" t="s">
        <v>518</v>
      </c>
      <c r="E1041" s="232"/>
      <c r="F1041" s="250"/>
      <c r="G1041" s="232"/>
      <c r="H1041" s="256" t="s">
        <v>298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615</v>
      </c>
      <c r="D1042" s="249" t="s">
        <v>518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236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160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160</v>
      </c>
      <c r="D1047" s="249" t="s">
        <v>518</v>
      </c>
      <c r="E1047" s="232"/>
      <c r="F1047" s="250"/>
      <c r="G1047" s="232"/>
      <c r="H1047" s="256" t="s">
        <v>616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45">
      <c r="B1050" s="293" t="s">
        <v>617</v>
      </c>
      <c r="C1050" s="294"/>
      <c r="D1050" s="294"/>
      <c r="E1050" s="295"/>
      <c r="F1050" s="197"/>
      <c r="G1050" s="295"/>
      <c r="H1050" s="297" t="s">
        <v>153</v>
      </c>
      <c r="I1050" s="297"/>
      <c r="J1050" s="297"/>
      <c r="K1050" s="297"/>
      <c r="L1050" s="296"/>
      <c r="M1050" s="197"/>
      <c r="N1050" s="296"/>
      <c r="O1050" s="352" t="s">
        <v>156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45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15">
      <c r="B1054" s="222" t="s">
        <v>618</v>
      </c>
      <c r="C1054" s="223" t="s">
        <v>619</v>
      </c>
      <c r="D1054" s="224" t="s">
        <v>512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620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.6" outlineLevel="2">
      <c r="B1058" s="242" t="s">
        <v>305</v>
      </c>
      <c r="C1058" s="242"/>
      <c r="D1058" s="249" t="s">
        <v>512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.6" outlineLevel="2">
      <c r="B1059" s="242" t="s">
        <v>621</v>
      </c>
      <c r="C1059" s="242"/>
      <c r="D1059" s="249" t="s">
        <v>512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.6" outlineLevel="2">
      <c r="B1060" s="242" t="s">
        <v>170</v>
      </c>
      <c r="C1060" s="242"/>
      <c r="D1060" s="249" t="s">
        <v>512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.6" outlineLevel="2">
      <c r="B1061" s="242" t="s">
        <v>331</v>
      </c>
      <c r="C1061" s="242"/>
      <c r="D1061" s="249" t="s">
        <v>512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.6" outlineLevel="2">
      <c r="B1062" s="242" t="s">
        <v>622</v>
      </c>
      <c r="C1062" s="242"/>
      <c r="D1062" s="249" t="s">
        <v>512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.6" outlineLevel="2">
      <c r="B1063" s="242" t="s">
        <v>548</v>
      </c>
      <c r="C1063" s="242"/>
      <c r="D1063" s="249" t="s">
        <v>512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.6" outlineLevel="2">
      <c r="B1064" s="242" t="s">
        <v>241</v>
      </c>
      <c r="C1064" s="242"/>
      <c r="D1064" s="249" t="s">
        <v>512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.6" outlineLevel="2">
      <c r="B1065" s="242" t="s">
        <v>623</v>
      </c>
      <c r="C1065" s="242"/>
      <c r="D1065" s="249" t="s">
        <v>512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624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.6" outlineLevel="2">
      <c r="B1069" s="242" t="s">
        <v>305</v>
      </c>
      <c r="C1069" s="242"/>
      <c r="D1069" s="249" t="s">
        <v>512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.6" outlineLevel="2">
      <c r="B1070" s="242" t="s">
        <v>621</v>
      </c>
      <c r="C1070" s="242"/>
      <c r="D1070" s="249" t="s">
        <v>512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.6" outlineLevel="2">
      <c r="B1071" s="242" t="s">
        <v>170</v>
      </c>
      <c r="C1071" s="242"/>
      <c r="D1071" s="249" t="s">
        <v>512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.6" outlineLevel="2">
      <c r="B1072" s="242" t="s">
        <v>331</v>
      </c>
      <c r="C1072" s="242"/>
      <c r="D1072" s="249" t="s">
        <v>512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.6" outlineLevel="2">
      <c r="B1073" s="242" t="s">
        <v>622</v>
      </c>
      <c r="C1073" s="242"/>
      <c r="D1073" s="249" t="s">
        <v>512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.6" outlineLevel="2">
      <c r="B1074" s="242" t="s">
        <v>548</v>
      </c>
      <c r="C1074" s="242"/>
      <c r="D1074" s="249" t="s">
        <v>512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.6" outlineLevel="2">
      <c r="B1075" s="242" t="s">
        <v>241</v>
      </c>
      <c r="C1075" s="242"/>
      <c r="D1075" s="249" t="s">
        <v>512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.6" outlineLevel="2">
      <c r="B1076" s="242" t="s">
        <v>623</v>
      </c>
      <c r="C1076" s="242"/>
      <c r="D1076" s="249" t="s">
        <v>512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510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.6" outlineLevel="2">
      <c r="B1079" s="242" t="s">
        <v>170</v>
      </c>
      <c r="C1079" s="242" t="s">
        <v>511</v>
      </c>
      <c r="D1079" s="249" t="s">
        <v>512</v>
      </c>
      <c r="E1079" s="257"/>
      <c r="F1079" s="192"/>
      <c r="G1079" s="257"/>
      <c r="H1079" s="249" t="s">
        <v>511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.6" outlineLevel="2">
      <c r="B1080" s="242" t="s">
        <v>514</v>
      </c>
      <c r="C1080" s="242" t="s">
        <v>515</v>
      </c>
      <c r="D1080" s="249" t="s">
        <v>512</v>
      </c>
      <c r="E1080" s="257"/>
      <c r="F1080" s="192"/>
      <c r="G1080" s="257"/>
      <c r="H1080" s="568" t="s">
        <v>515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.6" outlineLevel="2">
      <c r="B1081" s="242" t="s">
        <v>331</v>
      </c>
      <c r="C1081" s="242" t="s">
        <v>513</v>
      </c>
      <c r="D1081" s="249" t="s">
        <v>512</v>
      </c>
      <c r="E1081" s="257"/>
      <c r="F1081" s="192"/>
      <c r="G1081" s="257"/>
      <c r="H1081" s="249" t="s">
        <v>513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15">
      <c r="B1083" s="222" t="s">
        <v>625</v>
      </c>
      <c r="C1083" s="223" t="s">
        <v>626</v>
      </c>
      <c r="D1083" s="224" t="s">
        <v>512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627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628</v>
      </c>
      <c r="C1087" s="161"/>
      <c r="D1087" s="249"/>
      <c r="F1087" s="192"/>
      <c r="H1087" s="589" t="s">
        <v>629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628</v>
      </c>
      <c r="C1088" s="160"/>
      <c r="D1088" s="249"/>
      <c r="F1088" s="192"/>
      <c r="H1088" s="589" t="s">
        <v>630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631</v>
      </c>
      <c r="C1089" s="160"/>
      <c r="D1089" s="249"/>
      <c r="F1089" s="192"/>
      <c r="H1089" s="589" t="s">
        <v>632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633</v>
      </c>
      <c r="C1090" s="160"/>
      <c r="D1090" s="249"/>
      <c r="E1090" s="309"/>
      <c r="F1090" s="192"/>
      <c r="G1090" s="309"/>
      <c r="H1090" s="589" t="s">
        <v>634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635</v>
      </c>
      <c r="C1091" s="160"/>
      <c r="D1091" s="249"/>
      <c r="E1091" s="309"/>
      <c r="F1091" s="192"/>
      <c r="G1091" s="309"/>
      <c r="H1091" s="589" t="s">
        <v>636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635</v>
      </c>
      <c r="C1092" s="160"/>
      <c r="D1092" s="249"/>
      <c r="E1092" s="309"/>
      <c r="F1092" s="192"/>
      <c r="G1092" s="309"/>
      <c r="H1092" s="589" t="s">
        <v>636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637</v>
      </c>
      <c r="C1093" s="160"/>
      <c r="D1093" s="249"/>
      <c r="E1093" s="310"/>
      <c r="F1093" s="192"/>
      <c r="G1093" s="309"/>
      <c r="H1093" s="607" t="s">
        <v>638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637</v>
      </c>
      <c r="C1094" s="160"/>
      <c r="D1094" s="249"/>
      <c r="E1094" s="310"/>
      <c r="F1094" s="192"/>
      <c r="G1094" s="309"/>
      <c r="H1094" s="607" t="s">
        <v>639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637</v>
      </c>
      <c r="C1095" s="160"/>
      <c r="D1095" s="249"/>
      <c r="E1095" s="310"/>
      <c r="F1095" s="192"/>
      <c r="G1095" s="309"/>
      <c r="H1095" s="607" t="s">
        <v>640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637</v>
      </c>
      <c r="C1096" s="160"/>
      <c r="D1096" s="249"/>
      <c r="E1096" s="310"/>
      <c r="F1096" s="192"/>
      <c r="G1096" s="309"/>
      <c r="H1096" s="607" t="s">
        <v>641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8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3.1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642</v>
      </c>
      <c r="C2" s="370" t="s">
        <v>643</v>
      </c>
      <c r="D2" s="370" t="s">
        <v>644</v>
      </c>
      <c r="E2" s="370" t="s">
        <v>645</v>
      </c>
      <c r="F2" s="370" t="s">
        <v>646</v>
      </c>
      <c r="G2" s="370" t="s">
        <v>647</v>
      </c>
      <c r="H2" s="370" t="s">
        <v>648</v>
      </c>
      <c r="I2" s="370" t="s">
        <v>649</v>
      </c>
      <c r="J2" s="370" t="s">
        <v>650</v>
      </c>
    </row>
    <row r="3" spans="2:10">
      <c r="B3" s="369" t="s">
        <v>305</v>
      </c>
      <c r="C3" s="369">
        <v>1</v>
      </c>
      <c r="D3" s="369" t="s">
        <v>6</v>
      </c>
      <c r="E3" s="369" t="s">
        <v>159</v>
      </c>
      <c r="F3" s="369" t="s">
        <v>221</v>
      </c>
      <c r="G3" s="369">
        <v>1</v>
      </c>
      <c r="H3" s="371">
        <v>45717</v>
      </c>
      <c r="I3" s="371">
        <v>45809</v>
      </c>
      <c r="J3" s="369" t="s">
        <v>649</v>
      </c>
    </row>
    <row r="4" spans="2:10">
      <c r="B4" s="369" t="s">
        <v>229</v>
      </c>
      <c r="C4" s="369">
        <v>1</v>
      </c>
      <c r="D4" s="369" t="s">
        <v>10</v>
      </c>
      <c r="E4" s="369" t="s">
        <v>159</v>
      </c>
      <c r="F4" s="369" t="s">
        <v>651</v>
      </c>
      <c r="G4" s="369">
        <v>1</v>
      </c>
      <c r="H4" s="371">
        <v>45809</v>
      </c>
      <c r="I4" s="371">
        <v>45809</v>
      </c>
      <c r="J4" s="369" t="s">
        <v>648</v>
      </c>
    </row>
    <row r="5" spans="2:10">
      <c r="B5" s="369" t="s">
        <v>229</v>
      </c>
      <c r="C5" s="369">
        <v>1</v>
      </c>
      <c r="D5" s="369" t="s">
        <v>10</v>
      </c>
      <c r="E5" s="369" t="s">
        <v>159</v>
      </c>
      <c r="F5" s="369" t="s">
        <v>652</v>
      </c>
      <c r="G5" s="369">
        <v>2</v>
      </c>
      <c r="H5" s="371">
        <v>45901</v>
      </c>
      <c r="I5" s="371">
        <v>45992</v>
      </c>
      <c r="J5" s="369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1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653</v>
      </c>
    </row>
    <row r="3" spans="1:12">
      <c r="B3" s="164" t="s">
        <v>654</v>
      </c>
      <c r="C3" s="164" t="s">
        <v>655</v>
      </c>
      <c r="F3" t="s">
        <v>656</v>
      </c>
      <c r="G3" s="165" t="s">
        <v>497</v>
      </c>
      <c r="H3" s="166">
        <v>5.6</v>
      </c>
      <c r="I3" s="166">
        <v>0.2</v>
      </c>
      <c r="J3" s="167" t="s">
        <v>657</v>
      </c>
      <c r="K3" s="168"/>
      <c r="L3" s="169"/>
    </row>
    <row r="4" spans="1:12">
      <c r="A4">
        <v>1</v>
      </c>
      <c r="B4" s="188" t="s">
        <v>658</v>
      </c>
      <c r="C4" s="162" t="s">
        <v>10</v>
      </c>
      <c r="D4" s="169" t="s">
        <v>659</v>
      </c>
      <c r="G4" s="170" t="s">
        <v>660</v>
      </c>
      <c r="H4" s="171">
        <v>11</v>
      </c>
      <c r="I4" s="166">
        <v>1.22</v>
      </c>
      <c r="J4" s="167" t="s">
        <v>661</v>
      </c>
      <c r="K4" s="168">
        <v>841</v>
      </c>
      <c r="L4" s="169" t="s">
        <v>662</v>
      </c>
    </row>
    <row r="5" spans="1:12">
      <c r="B5" s="188" t="s">
        <v>663</v>
      </c>
      <c r="C5" s="163" t="s">
        <v>664</v>
      </c>
      <c r="D5" s="169" t="s">
        <v>665</v>
      </c>
      <c r="G5" s="170" t="s">
        <v>666</v>
      </c>
      <c r="H5" s="166">
        <v>20</v>
      </c>
      <c r="I5" s="171">
        <v>0.49</v>
      </c>
      <c r="J5" s="167" t="s">
        <v>661</v>
      </c>
      <c r="K5" s="168">
        <v>326</v>
      </c>
      <c r="L5" s="169" t="s">
        <v>667</v>
      </c>
    </row>
    <row r="6" spans="1:12">
      <c r="B6" s="188" t="s">
        <v>668</v>
      </c>
      <c r="C6" s="163" t="s">
        <v>6</v>
      </c>
      <c r="D6" s="169" t="s">
        <v>667</v>
      </c>
      <c r="G6" s="170" t="s">
        <v>669</v>
      </c>
      <c r="H6" s="166">
        <v>5.14</v>
      </c>
      <c r="I6" s="171">
        <v>0.81</v>
      </c>
      <c r="J6" s="167" t="s">
        <v>661</v>
      </c>
      <c r="K6" s="168">
        <v>618</v>
      </c>
      <c r="L6" s="169" t="s">
        <v>662</v>
      </c>
    </row>
    <row r="7" spans="1:12">
      <c r="B7" s="188" t="s">
        <v>670</v>
      </c>
      <c r="C7" s="162" t="s">
        <v>437</v>
      </c>
      <c r="D7" s="182" t="s">
        <v>671</v>
      </c>
      <c r="G7" s="170" t="s">
        <v>672</v>
      </c>
      <c r="H7" s="166">
        <v>37</v>
      </c>
      <c r="I7" s="171">
        <v>4.88</v>
      </c>
      <c r="J7" s="167" t="s">
        <v>657</v>
      </c>
      <c r="K7" s="172">
        <v>5083</v>
      </c>
      <c r="L7" s="169" t="s">
        <v>673</v>
      </c>
    </row>
    <row r="8" spans="1:12">
      <c r="B8" s="188" t="s">
        <v>674</v>
      </c>
      <c r="C8" s="162" t="s">
        <v>10</v>
      </c>
      <c r="D8" s="169" t="s">
        <v>659</v>
      </c>
      <c r="E8" s="162" t="s">
        <v>675</v>
      </c>
      <c r="G8" s="165" t="s">
        <v>676</v>
      </c>
      <c r="H8" s="171">
        <v>20</v>
      </c>
      <c r="I8" s="171">
        <v>0.25</v>
      </c>
      <c r="J8" s="167" t="s">
        <v>657</v>
      </c>
      <c r="K8" s="168">
        <v>300</v>
      </c>
      <c r="L8" s="169"/>
    </row>
    <row r="9" spans="1:12">
      <c r="B9" s="188" t="s">
        <v>677</v>
      </c>
      <c r="C9" s="162" t="s">
        <v>437</v>
      </c>
      <c r="D9" s="182" t="s">
        <v>671</v>
      </c>
      <c r="G9" s="170" t="s">
        <v>678</v>
      </c>
      <c r="H9" s="166">
        <v>75.5</v>
      </c>
      <c r="I9" s="173">
        <v>7.29</v>
      </c>
      <c r="J9" s="167" t="s">
        <v>657</v>
      </c>
      <c r="K9" s="172">
        <v>7939</v>
      </c>
      <c r="L9" s="169" t="s">
        <v>673</v>
      </c>
    </row>
    <row r="10" spans="1:12">
      <c r="A10">
        <v>1</v>
      </c>
      <c r="B10" s="162" t="s">
        <v>679</v>
      </c>
      <c r="C10" s="187" t="s">
        <v>6</v>
      </c>
      <c r="D10" s="185"/>
      <c r="G10" s="170" t="s">
        <v>680</v>
      </c>
      <c r="H10" s="166">
        <v>3.77</v>
      </c>
      <c r="I10" s="166">
        <v>0.73</v>
      </c>
      <c r="J10" s="167" t="s">
        <v>657</v>
      </c>
      <c r="K10" s="168">
        <v>870</v>
      </c>
      <c r="L10" s="169" t="s">
        <v>662</v>
      </c>
    </row>
    <row r="11" spans="1:12">
      <c r="B11" s="188" t="s">
        <v>681</v>
      </c>
      <c r="C11" s="163" t="s">
        <v>437</v>
      </c>
      <c r="D11" s="182" t="s">
        <v>671</v>
      </c>
      <c r="G11" s="170" t="s">
        <v>682</v>
      </c>
      <c r="H11" s="171">
        <v>49.4</v>
      </c>
      <c r="I11" s="171">
        <v>1.1200000000000001</v>
      </c>
      <c r="J11" s="167" t="s">
        <v>657</v>
      </c>
      <c r="K11" s="172">
        <v>1372</v>
      </c>
      <c r="L11" s="169" t="s">
        <v>667</v>
      </c>
    </row>
    <row r="12" spans="1:12">
      <c r="B12" s="188" t="s">
        <v>683</v>
      </c>
      <c r="C12" s="163" t="s">
        <v>437</v>
      </c>
      <c r="D12" s="182" t="s">
        <v>671</v>
      </c>
      <c r="G12" s="165" t="s">
        <v>684</v>
      </c>
      <c r="H12" s="174">
        <v>176</v>
      </c>
      <c r="I12" s="174">
        <v>1.5</v>
      </c>
      <c r="J12" s="175" t="s">
        <v>657</v>
      </c>
      <c r="K12" s="176" t="s">
        <v>685</v>
      </c>
      <c r="L12" s="169"/>
    </row>
    <row r="13" spans="1:12">
      <c r="B13" s="188" t="s">
        <v>686</v>
      </c>
      <c r="C13" s="163" t="s">
        <v>437</v>
      </c>
      <c r="D13" s="182" t="s">
        <v>671</v>
      </c>
      <c r="G13" s="170" t="s">
        <v>687</v>
      </c>
      <c r="H13" s="174">
        <v>24</v>
      </c>
      <c r="I13" s="174">
        <v>0.3</v>
      </c>
      <c r="J13" s="177" t="s">
        <v>688</v>
      </c>
      <c r="K13" s="168">
        <v>232</v>
      </c>
      <c r="L13" s="169" t="s">
        <v>667</v>
      </c>
    </row>
    <row r="14" spans="1:12">
      <c r="A14">
        <v>1</v>
      </c>
      <c r="B14" s="188" t="s">
        <v>689</v>
      </c>
      <c r="C14" s="162" t="s">
        <v>10</v>
      </c>
      <c r="D14" s="182" t="s">
        <v>667</v>
      </c>
      <c r="G14" s="170" t="s">
        <v>690</v>
      </c>
      <c r="H14" s="173">
        <v>18</v>
      </c>
      <c r="I14" s="174">
        <v>1.94</v>
      </c>
      <c r="J14" s="175" t="s">
        <v>661</v>
      </c>
      <c r="K14" s="172">
        <v>2181</v>
      </c>
      <c r="L14" s="169" t="s">
        <v>662</v>
      </c>
    </row>
    <row r="15" spans="1:12">
      <c r="A15">
        <v>1</v>
      </c>
      <c r="B15" s="188" t="s">
        <v>691</v>
      </c>
      <c r="C15" s="162" t="s">
        <v>10</v>
      </c>
      <c r="D15" s="169" t="s">
        <v>673</v>
      </c>
      <c r="G15" s="170" t="s">
        <v>692</v>
      </c>
      <c r="H15" s="174">
        <v>72.7</v>
      </c>
      <c r="I15" s="173">
        <v>0.54</v>
      </c>
      <c r="J15" s="175" t="s">
        <v>661</v>
      </c>
      <c r="K15" s="168">
        <v>819</v>
      </c>
      <c r="L15" s="169" t="s">
        <v>667</v>
      </c>
    </row>
    <row r="16" spans="1:12">
      <c r="B16" s="188" t="s">
        <v>693</v>
      </c>
      <c r="C16" s="163" t="s">
        <v>664</v>
      </c>
      <c r="D16" s="169" t="s">
        <v>667</v>
      </c>
      <c r="G16" s="170" t="s">
        <v>694</v>
      </c>
      <c r="H16" s="173">
        <v>24</v>
      </c>
      <c r="I16" s="173">
        <v>3.62</v>
      </c>
      <c r="J16" s="177" t="s">
        <v>688</v>
      </c>
      <c r="K16" s="172">
        <v>1088</v>
      </c>
      <c r="L16" s="169" t="s">
        <v>659</v>
      </c>
    </row>
    <row r="17" spans="1:12">
      <c r="B17" s="188" t="s">
        <v>695</v>
      </c>
      <c r="C17" s="163" t="s">
        <v>664</v>
      </c>
      <c r="D17" s="169" t="s">
        <v>667</v>
      </c>
      <c r="G17" s="170" t="s">
        <v>696</v>
      </c>
      <c r="H17" s="174">
        <v>37</v>
      </c>
      <c r="I17" s="173">
        <v>0.89</v>
      </c>
      <c r="J17" s="175" t="s">
        <v>661</v>
      </c>
      <c r="K17" s="168">
        <v>961</v>
      </c>
      <c r="L17" s="169" t="s">
        <v>667</v>
      </c>
    </row>
    <row r="18" spans="1:12">
      <c r="B18" s="188" t="s">
        <v>697</v>
      </c>
      <c r="C18" s="163" t="s">
        <v>437</v>
      </c>
      <c r="D18" s="186" t="s">
        <v>671</v>
      </c>
      <c r="G18" s="170" t="s">
        <v>163</v>
      </c>
      <c r="H18" s="174">
        <v>40</v>
      </c>
      <c r="I18" s="173">
        <v>4.21</v>
      </c>
      <c r="J18" s="175" t="s">
        <v>657</v>
      </c>
      <c r="K18" s="172">
        <v>6819</v>
      </c>
      <c r="L18" s="169" t="s">
        <v>662</v>
      </c>
    </row>
    <row r="19" spans="1:12">
      <c r="B19" s="188" t="s">
        <v>698</v>
      </c>
      <c r="C19" s="163" t="s">
        <v>437</v>
      </c>
      <c r="D19" s="186" t="s">
        <v>671</v>
      </c>
      <c r="G19" s="170" t="s">
        <v>236</v>
      </c>
      <c r="H19" s="173">
        <v>63.5</v>
      </c>
      <c r="I19" s="173">
        <v>4.67</v>
      </c>
      <c r="J19" s="175" t="s">
        <v>661</v>
      </c>
      <c r="K19" s="172">
        <v>6923</v>
      </c>
      <c r="L19" s="169" t="s">
        <v>659</v>
      </c>
    </row>
    <row r="20" spans="1:12">
      <c r="A20">
        <v>1</v>
      </c>
      <c r="B20" s="188" t="s">
        <v>699</v>
      </c>
      <c r="C20" s="163" t="s">
        <v>664</v>
      </c>
      <c r="D20" s="169"/>
      <c r="G20" s="178" t="s">
        <v>700</v>
      </c>
      <c r="H20" s="173">
        <v>10</v>
      </c>
      <c r="I20" s="173">
        <v>0.23</v>
      </c>
      <c r="J20" s="177" t="s">
        <v>688</v>
      </c>
      <c r="K20" s="168">
        <v>27</v>
      </c>
      <c r="L20" s="169" t="s">
        <v>662</v>
      </c>
    </row>
    <row r="21" spans="1:12">
      <c r="A21">
        <v>1</v>
      </c>
      <c r="B21" s="188" t="s">
        <v>701</v>
      </c>
      <c r="C21" s="162" t="s">
        <v>10</v>
      </c>
      <c r="D21" s="186" t="s">
        <v>667</v>
      </c>
      <c r="G21" s="178" t="s">
        <v>702</v>
      </c>
      <c r="H21" s="173">
        <v>11.64</v>
      </c>
      <c r="I21" s="173">
        <v>2.14</v>
      </c>
      <c r="J21" s="175" t="s">
        <v>661</v>
      </c>
      <c r="K21" s="172">
        <v>2038</v>
      </c>
      <c r="L21" s="169" t="s">
        <v>665</v>
      </c>
    </row>
    <row r="22" spans="1:12">
      <c r="A22">
        <v>1</v>
      </c>
      <c r="B22" s="188" t="s">
        <v>703</v>
      </c>
      <c r="C22" s="162" t="s">
        <v>10</v>
      </c>
      <c r="D22" s="169" t="s">
        <v>662</v>
      </c>
      <c r="G22" s="178" t="s">
        <v>704</v>
      </c>
      <c r="H22" s="173">
        <v>35</v>
      </c>
      <c r="I22" s="173">
        <v>0.42</v>
      </c>
      <c r="J22" s="175" t="s">
        <v>661</v>
      </c>
      <c r="K22" s="168">
        <v>819</v>
      </c>
      <c r="L22" s="169" t="s">
        <v>667</v>
      </c>
    </row>
    <row r="23" spans="1:12">
      <c r="G23" s="178" t="s">
        <v>705</v>
      </c>
      <c r="H23" s="174">
        <v>36.799999999999997</v>
      </c>
      <c r="I23" s="174">
        <v>0.69</v>
      </c>
      <c r="J23" s="175" t="s">
        <v>661</v>
      </c>
      <c r="K23" s="180">
        <v>1313</v>
      </c>
      <c r="L23" s="181" t="s">
        <v>706</v>
      </c>
    </row>
    <row r="24" spans="1:12">
      <c r="G24" s="178" t="s">
        <v>707</v>
      </c>
      <c r="H24" s="174">
        <v>40</v>
      </c>
      <c r="I24" s="173">
        <v>4.7</v>
      </c>
      <c r="J24" s="175" t="s">
        <v>661</v>
      </c>
      <c r="K24" s="172">
        <v>5544</v>
      </c>
      <c r="L24" s="181" t="s">
        <v>706</v>
      </c>
    </row>
    <row r="25" spans="1:12">
      <c r="G25" s="178" t="s">
        <v>708</v>
      </c>
      <c r="H25" s="174">
        <v>45</v>
      </c>
      <c r="I25" s="173">
        <v>6.13</v>
      </c>
      <c r="J25" s="175" t="s">
        <v>661</v>
      </c>
      <c r="K25" s="172">
        <v>9170</v>
      </c>
      <c r="L25" s="181" t="s">
        <v>706</v>
      </c>
    </row>
    <row r="26" spans="1:12">
      <c r="G26" s="178" t="s">
        <v>709</v>
      </c>
      <c r="H26" s="174">
        <v>400</v>
      </c>
      <c r="I26" s="173">
        <v>8.98</v>
      </c>
      <c r="J26" s="175" t="s">
        <v>661</v>
      </c>
      <c r="K26" s="172">
        <v>4332</v>
      </c>
      <c r="L26" s="169" t="s">
        <v>665</v>
      </c>
    </row>
    <row r="27" spans="1:12">
      <c r="G27" s="178" t="s">
        <v>710</v>
      </c>
      <c r="H27" s="174">
        <v>80</v>
      </c>
      <c r="I27" s="173">
        <v>12.15</v>
      </c>
      <c r="J27" s="177" t="s">
        <v>688</v>
      </c>
      <c r="K27" s="172">
        <v>3007</v>
      </c>
      <c r="L27" s="169" t="s">
        <v>711</v>
      </c>
    </row>
    <row r="28" spans="1:12">
      <c r="G28" s="178" t="s">
        <v>712</v>
      </c>
      <c r="H28" s="173">
        <v>46</v>
      </c>
      <c r="I28" s="173">
        <v>0.32</v>
      </c>
      <c r="J28" s="175" t="s">
        <v>661</v>
      </c>
      <c r="K28" s="168">
        <v>587</v>
      </c>
      <c r="L28" s="169" t="s">
        <v>667</v>
      </c>
    </row>
    <row r="29" spans="1:12">
      <c r="G29" s="178" t="s">
        <v>506</v>
      </c>
      <c r="H29" s="174">
        <v>60</v>
      </c>
      <c r="I29" s="174">
        <v>1.57</v>
      </c>
      <c r="J29" s="175" t="s">
        <v>661</v>
      </c>
      <c r="K29" s="172">
        <v>2007</v>
      </c>
      <c r="L29" s="169" t="s">
        <v>667</v>
      </c>
    </row>
    <row r="30" spans="1:12">
      <c r="G30" s="178" t="s">
        <v>713</v>
      </c>
      <c r="H30" s="173">
        <v>15</v>
      </c>
      <c r="I30" s="173">
        <v>4.5</v>
      </c>
      <c r="J30" s="175" t="s">
        <v>657</v>
      </c>
      <c r="K30" s="172">
        <v>6084</v>
      </c>
      <c r="L30" s="169"/>
    </row>
    <row r="31" spans="1:12">
      <c r="G31" s="178" t="s">
        <v>714</v>
      </c>
      <c r="H31" s="173">
        <v>12.5</v>
      </c>
      <c r="I31" s="173">
        <v>0.26</v>
      </c>
      <c r="J31" s="175" t="s">
        <v>661</v>
      </c>
      <c r="K31" s="168">
        <v>479</v>
      </c>
      <c r="L31" s="169" t="s">
        <v>667</v>
      </c>
    </row>
    <row r="32" spans="1:12">
      <c r="G32" s="178" t="s">
        <v>715</v>
      </c>
      <c r="H32" s="174">
        <v>192</v>
      </c>
      <c r="I32" s="173">
        <v>7.96</v>
      </c>
      <c r="J32" s="175" t="s">
        <v>661</v>
      </c>
      <c r="K32" s="172">
        <v>9140</v>
      </c>
      <c r="L32" s="169" t="s">
        <v>659</v>
      </c>
    </row>
    <row r="33" spans="7:12">
      <c r="G33" s="178" t="s">
        <v>716</v>
      </c>
      <c r="H33" s="173">
        <v>1.42</v>
      </c>
      <c r="I33" s="173">
        <v>0.33</v>
      </c>
      <c r="J33" s="175" t="s">
        <v>688</v>
      </c>
      <c r="K33" s="168">
        <v>539</v>
      </c>
      <c r="L33" s="169" t="s">
        <v>662</v>
      </c>
    </row>
    <row r="34" spans="7:12">
      <c r="G34" s="178" t="s">
        <v>717</v>
      </c>
      <c r="H34" s="173">
        <v>20</v>
      </c>
      <c r="I34" s="173">
        <v>0.74</v>
      </c>
      <c r="J34" s="177" t="s">
        <v>688</v>
      </c>
      <c r="K34" s="168">
        <v>144</v>
      </c>
      <c r="L34" s="169" t="s">
        <v>667</v>
      </c>
    </row>
    <row r="35" spans="7:12">
      <c r="G35" s="178" t="s">
        <v>718</v>
      </c>
      <c r="H35" s="174">
        <v>200</v>
      </c>
      <c r="I35" s="171">
        <v>2.74</v>
      </c>
      <c r="J35" s="177" t="s">
        <v>688</v>
      </c>
      <c r="K35" s="179">
        <v>659</v>
      </c>
      <c r="L35" s="181" t="s">
        <v>667</v>
      </c>
    </row>
    <row r="39" spans="7:12">
      <c r="G39" s="170" t="s">
        <v>284</v>
      </c>
      <c r="H39" s="171">
        <v>93</v>
      </c>
      <c r="I39" s="171">
        <v>2.2200000000000002</v>
      </c>
      <c r="J39" s="167" t="s">
        <v>657</v>
      </c>
      <c r="K39" s="166">
        <v>665</v>
      </c>
      <c r="L39" s="182" t="s">
        <v>671</v>
      </c>
    </row>
    <row r="40" spans="7:12">
      <c r="G40" s="170" t="s">
        <v>719</v>
      </c>
      <c r="H40" s="173">
        <v>120</v>
      </c>
      <c r="I40" s="173">
        <v>2.64</v>
      </c>
      <c r="J40" s="175" t="s">
        <v>688</v>
      </c>
      <c r="K40" s="168">
        <v>209</v>
      </c>
      <c r="L40" s="182" t="s">
        <v>671</v>
      </c>
    </row>
    <row r="41" spans="7:12">
      <c r="G41" s="178" t="s">
        <v>720</v>
      </c>
      <c r="H41" s="174">
        <v>60</v>
      </c>
      <c r="I41" s="173">
        <v>6.53</v>
      </c>
      <c r="J41" s="177" t="s">
        <v>688</v>
      </c>
      <c r="K41" s="172">
        <v>1529</v>
      </c>
      <c r="L41" s="169"/>
    </row>
    <row r="42" spans="7:12">
      <c r="G42" s="170" t="s">
        <v>721</v>
      </c>
      <c r="H42" s="173">
        <v>70</v>
      </c>
      <c r="I42" s="173">
        <v>1.68</v>
      </c>
      <c r="J42" s="175" t="s">
        <v>661</v>
      </c>
      <c r="K42" s="168">
        <v>688</v>
      </c>
      <c r="L42" s="182" t="s">
        <v>671</v>
      </c>
    </row>
    <row r="43" spans="7:12">
      <c r="G43" s="170" t="s">
        <v>722</v>
      </c>
      <c r="H43" s="173">
        <v>30</v>
      </c>
      <c r="I43" s="173">
        <v>0.72</v>
      </c>
      <c r="J43" s="175" t="s">
        <v>661</v>
      </c>
      <c r="K43" s="168">
        <v>295</v>
      </c>
      <c r="L43" s="182" t="s">
        <v>671</v>
      </c>
    </row>
    <row r="44" spans="7:12">
      <c r="G44" s="178" t="s">
        <v>285</v>
      </c>
      <c r="H44" s="173">
        <v>150</v>
      </c>
      <c r="I44" s="171">
        <v>3.59</v>
      </c>
      <c r="J44" s="175" t="s">
        <v>661</v>
      </c>
      <c r="K44" s="172">
        <v>1405</v>
      </c>
      <c r="L44" s="182" t="s">
        <v>671</v>
      </c>
    </row>
    <row r="45" spans="7:12">
      <c r="G45" s="178" t="s">
        <v>723</v>
      </c>
      <c r="H45" s="174">
        <v>120</v>
      </c>
      <c r="I45" s="171">
        <v>2.87</v>
      </c>
      <c r="J45" s="175" t="s">
        <v>661</v>
      </c>
      <c r="K45" s="172">
        <v>1869</v>
      </c>
      <c r="L45" s="182" t="s">
        <v>671</v>
      </c>
    </row>
    <row r="46" spans="7:12">
      <c r="G46" s="178" t="s">
        <v>293</v>
      </c>
      <c r="H46" s="174">
        <v>100</v>
      </c>
      <c r="I46" s="171">
        <v>2.4</v>
      </c>
      <c r="J46" s="175" t="s">
        <v>661</v>
      </c>
      <c r="K46" s="172">
        <v>1497</v>
      </c>
      <c r="L46" s="182" t="s">
        <v>671</v>
      </c>
    </row>
    <row r="47" spans="7:12">
      <c r="G47" s="178" t="s">
        <v>724</v>
      </c>
      <c r="H47" s="174">
        <v>300</v>
      </c>
      <c r="I47" s="171">
        <v>7.19</v>
      </c>
      <c r="J47" s="175" t="s">
        <v>657</v>
      </c>
      <c r="K47" s="172">
        <v>5750</v>
      </c>
      <c r="L47" s="182" t="s">
        <v>671</v>
      </c>
    </row>
    <row r="48" spans="7:12">
      <c r="G48" s="178" t="s">
        <v>506</v>
      </c>
      <c r="H48" s="174">
        <v>185</v>
      </c>
      <c r="I48" s="174">
        <v>4.43</v>
      </c>
      <c r="J48" s="175" t="s">
        <v>661</v>
      </c>
      <c r="K48" s="183">
        <v>1551</v>
      </c>
      <c r="L48" s="182" t="s">
        <v>671</v>
      </c>
    </row>
    <row r="49" spans="7:12">
      <c r="G49" s="170" t="s">
        <v>163</v>
      </c>
      <c r="H49" s="174">
        <v>40</v>
      </c>
      <c r="I49" s="171">
        <v>0.96</v>
      </c>
      <c r="J49" s="175" t="s">
        <v>657</v>
      </c>
      <c r="K49" s="168">
        <v>575</v>
      </c>
      <c r="L49" s="182" t="s">
        <v>671</v>
      </c>
    </row>
    <row r="50" spans="7:12">
      <c r="G50" s="178" t="s">
        <v>725</v>
      </c>
      <c r="H50" s="173">
        <v>40</v>
      </c>
      <c r="I50" s="173">
        <v>0.96</v>
      </c>
      <c r="J50" s="175" t="s">
        <v>688</v>
      </c>
      <c r="K50" s="168">
        <v>77</v>
      </c>
      <c r="L50" s="182" t="s">
        <v>671</v>
      </c>
    </row>
    <row r="51" spans="7:12">
      <c r="G51" s="178" t="s">
        <v>718</v>
      </c>
      <c r="H51" s="174">
        <v>200</v>
      </c>
      <c r="I51" s="171">
        <v>4.79</v>
      </c>
      <c r="J51" s="175" t="s">
        <v>688</v>
      </c>
      <c r="K51" s="179">
        <v>383</v>
      </c>
      <c r="L51" s="184" t="s">
        <v>671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pane="bottomLeft" activeCell="B523" sqref="B523"/>
      <selection activeCell="H1" sqref="H1"/>
    </sheetView>
  </sheetViews>
  <sheetFormatPr defaultColWidth="11.5703125" defaultRowHeight="13.9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7.45">
      <c r="B2" s="59"/>
      <c r="C2" s="59"/>
      <c r="D2" s="51"/>
      <c r="E2" s="52"/>
      <c r="F2" s="51"/>
      <c r="G2" s="79" t="s">
        <v>726</v>
      </c>
      <c r="H2" s="51"/>
      <c r="I2" s="52"/>
      <c r="J2" s="51"/>
      <c r="K2" s="883" t="s">
        <v>1</v>
      </c>
      <c r="L2" s="883"/>
      <c r="M2" s="883"/>
      <c r="N2" s="883"/>
      <c r="O2" s="51"/>
      <c r="P2" s="52"/>
      <c r="Q2" s="51"/>
      <c r="R2" s="79" t="s">
        <v>727</v>
      </c>
      <c r="S2" s="51"/>
      <c r="T2" s="52"/>
      <c r="U2" s="51"/>
      <c r="V2" s="883" t="s">
        <v>151</v>
      </c>
      <c r="W2" s="883"/>
      <c r="X2" s="883"/>
      <c r="Y2" s="883"/>
    </row>
    <row r="3" spans="1:25" s="49" customFormat="1" ht="17.45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45">
      <c r="A5" s="58"/>
      <c r="B5" s="59" t="s">
        <v>728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153</v>
      </c>
      <c r="L5" s="64" t="s">
        <v>154</v>
      </c>
      <c r="M5" s="64" t="s">
        <v>155</v>
      </c>
      <c r="N5" s="64" t="s">
        <v>156</v>
      </c>
      <c r="O5" s="61"/>
      <c r="P5" s="52"/>
      <c r="Q5" s="61"/>
      <c r="R5" s="62">
        <v>2025</v>
      </c>
      <c r="S5" s="61"/>
      <c r="T5" s="52"/>
      <c r="U5" s="61"/>
      <c r="V5" s="64" t="s">
        <v>153</v>
      </c>
      <c r="W5" s="64" t="s">
        <v>154</v>
      </c>
      <c r="X5" s="64" t="s">
        <v>155</v>
      </c>
      <c r="Y5" s="64" t="s">
        <v>156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437</v>
      </c>
      <c r="C10" s="44" t="s">
        <v>438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729</v>
      </c>
      <c r="C12" s="44" t="s">
        <v>492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281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492</v>
      </c>
      <c r="H15" s="8"/>
      <c r="I15" s="90"/>
      <c r="J15" s="8"/>
      <c r="K15" s="29" t="s">
        <v>221</v>
      </c>
      <c r="L15" s="29"/>
      <c r="M15" s="141"/>
      <c r="N15" s="141"/>
      <c r="O15" s="8"/>
      <c r="P15" s="90"/>
      <c r="Q15" s="8"/>
      <c r="R15" s="33" t="s">
        <v>492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543</v>
      </c>
      <c r="L16" s="29"/>
      <c r="M16" s="141"/>
      <c r="N16" s="141"/>
      <c r="O16" s="8"/>
      <c r="P16" s="90"/>
      <c r="Q16" s="8"/>
      <c r="R16" s="33" t="s">
        <v>492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204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492</v>
      </c>
      <c r="H20" s="147"/>
      <c r="I20" s="148"/>
      <c r="J20" s="147"/>
      <c r="K20" s="141"/>
      <c r="L20" s="99" t="s">
        <v>206</v>
      </c>
      <c r="M20" s="139" t="s">
        <v>299</v>
      </c>
      <c r="N20" s="140"/>
      <c r="O20" s="147"/>
      <c r="P20" s="148"/>
      <c r="Q20" s="147"/>
      <c r="R20" s="118" t="s">
        <v>492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494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7.6" hidden="1" outlineLevel="3">
      <c r="B23" s="28"/>
      <c r="C23" s="29"/>
      <c r="D23" s="8"/>
      <c r="E23" s="90"/>
      <c r="F23" s="8"/>
      <c r="G23" s="118" t="s">
        <v>492</v>
      </c>
      <c r="H23" s="8"/>
      <c r="I23" s="90"/>
      <c r="J23" s="8"/>
      <c r="K23" s="25" t="s">
        <v>205</v>
      </c>
      <c r="L23" s="142" t="s">
        <v>206</v>
      </c>
      <c r="M23" s="139" t="s">
        <v>299</v>
      </c>
      <c r="N23" s="139" t="s">
        <v>209</v>
      </c>
      <c r="O23" s="8"/>
      <c r="P23" s="90"/>
      <c r="Q23" s="8"/>
      <c r="R23" s="33" t="s">
        <v>492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492</v>
      </c>
      <c r="H24" s="8"/>
      <c r="I24" s="90"/>
      <c r="J24" s="8"/>
      <c r="K24" s="25"/>
      <c r="L24" s="139" t="s">
        <v>208</v>
      </c>
      <c r="M24" s="139" t="s">
        <v>198</v>
      </c>
      <c r="N24" s="29"/>
      <c r="O24" s="8"/>
      <c r="P24" s="90"/>
      <c r="Q24" s="8"/>
      <c r="R24" s="33" t="s">
        <v>492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284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492</v>
      </c>
      <c r="H27" s="8"/>
      <c r="I27" s="90"/>
      <c r="J27" s="8"/>
      <c r="K27" s="99" t="s">
        <v>206</v>
      </c>
      <c r="L27" s="139" t="s">
        <v>299</v>
      </c>
      <c r="M27" s="40" t="s">
        <v>543</v>
      </c>
      <c r="N27" s="40" t="s">
        <v>221</v>
      </c>
      <c r="O27" s="8"/>
      <c r="P27" s="90"/>
      <c r="Q27" s="8"/>
      <c r="R27" s="33" t="s">
        <v>492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492</v>
      </c>
      <c r="H28" s="8"/>
      <c r="I28" s="90"/>
      <c r="J28" s="8"/>
      <c r="K28" s="139" t="s">
        <v>208</v>
      </c>
      <c r="L28" s="40" t="s">
        <v>219</v>
      </c>
      <c r="M28" s="140"/>
      <c r="N28" s="40"/>
      <c r="O28" s="8"/>
      <c r="P28" s="90"/>
      <c r="Q28" s="8"/>
      <c r="R28" s="33" t="s">
        <v>492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7.6" hidden="1" outlineLevel="3">
      <c r="B29" s="28"/>
      <c r="C29" s="29"/>
      <c r="D29" s="8"/>
      <c r="E29" s="90"/>
      <c r="F29" s="8"/>
      <c r="G29" s="118" t="s">
        <v>492</v>
      </c>
      <c r="H29" s="8"/>
      <c r="I29" s="90"/>
      <c r="J29" s="8"/>
      <c r="K29" s="139" t="s">
        <v>730</v>
      </c>
      <c r="L29" s="92"/>
      <c r="M29" s="140"/>
      <c r="N29" s="40"/>
      <c r="O29" s="8"/>
      <c r="P29" s="90"/>
      <c r="Q29" s="8"/>
      <c r="R29" s="33" t="s">
        <v>492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492</v>
      </c>
      <c r="H30" s="8"/>
      <c r="I30" s="90"/>
      <c r="J30" s="8"/>
      <c r="K30" s="139" t="s">
        <v>198</v>
      </c>
      <c r="L30" s="92"/>
      <c r="M30" s="140"/>
      <c r="N30" s="40"/>
      <c r="O30" s="8"/>
      <c r="P30" s="90"/>
      <c r="Q30" s="8"/>
      <c r="R30" s="33" t="s">
        <v>492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731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7.6" hidden="1" outlineLevel="3">
      <c r="B33" s="28"/>
      <c r="C33" s="29"/>
      <c r="D33" s="8"/>
      <c r="E33" s="90"/>
      <c r="F33" s="8"/>
      <c r="G33" s="118" t="s">
        <v>492</v>
      </c>
      <c r="H33" s="8"/>
      <c r="I33" s="90"/>
      <c r="J33" s="8"/>
      <c r="K33" s="35" t="s">
        <v>205</v>
      </c>
      <c r="L33" s="99" t="s">
        <v>206</v>
      </c>
      <c r="M33" s="42" t="s">
        <v>209</v>
      </c>
      <c r="N33" s="42" t="s">
        <v>299</v>
      </c>
      <c r="O33" s="8"/>
      <c r="P33" s="90"/>
      <c r="Q33" s="8"/>
      <c r="R33" s="33" t="s">
        <v>492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492</v>
      </c>
      <c r="H34" s="8"/>
      <c r="I34" s="90"/>
      <c r="J34" s="8"/>
      <c r="K34" s="35"/>
      <c r="L34" s="42" t="s">
        <v>208</v>
      </c>
      <c r="M34" s="42" t="s">
        <v>198</v>
      </c>
      <c r="N34" s="3"/>
      <c r="O34" s="8"/>
      <c r="P34" s="90"/>
      <c r="Q34" s="8"/>
      <c r="R34" s="33" t="s">
        <v>492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492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492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286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7.6" hidden="1" outlineLevel="3">
      <c r="B38" s="28"/>
      <c r="C38" s="29"/>
      <c r="D38" s="8"/>
      <c r="E38" s="90"/>
      <c r="F38" s="8"/>
      <c r="G38" s="118" t="s">
        <v>492</v>
      </c>
      <c r="H38" s="8"/>
      <c r="I38" s="90"/>
      <c r="J38" s="8"/>
      <c r="K38" s="35" t="s">
        <v>205</v>
      </c>
      <c r="L38" s="99" t="s">
        <v>206</v>
      </c>
      <c r="M38" s="42" t="s">
        <v>299</v>
      </c>
      <c r="N38" s="42" t="s">
        <v>209</v>
      </c>
      <c r="O38" s="8"/>
      <c r="P38" s="90"/>
      <c r="Q38" s="8"/>
      <c r="R38" s="33" t="s">
        <v>492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492</v>
      </c>
      <c r="H39" s="8"/>
      <c r="I39" s="90"/>
      <c r="J39" s="8"/>
      <c r="K39" s="35"/>
      <c r="L39" s="42" t="s">
        <v>208</v>
      </c>
      <c r="M39" s="42" t="s">
        <v>198</v>
      </c>
      <c r="N39" s="3"/>
      <c r="O39" s="8"/>
      <c r="P39" s="90"/>
      <c r="Q39" s="8"/>
      <c r="R39" s="33" t="s">
        <v>492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163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7.6" hidden="1" outlineLevel="3">
      <c r="B42" s="28"/>
      <c r="C42" s="29"/>
      <c r="D42" s="8"/>
      <c r="E42" s="90"/>
      <c r="F42" s="8"/>
      <c r="G42" s="118" t="s">
        <v>492</v>
      </c>
      <c r="H42" s="8"/>
      <c r="I42" s="90"/>
      <c r="J42" s="8"/>
      <c r="K42" s="35" t="s">
        <v>205</v>
      </c>
      <c r="L42" s="99" t="s">
        <v>206</v>
      </c>
      <c r="M42" s="42" t="s">
        <v>299</v>
      </c>
      <c r="N42" s="42" t="s">
        <v>209</v>
      </c>
      <c r="O42" s="8"/>
      <c r="P42" s="90"/>
      <c r="Q42" s="8"/>
      <c r="R42" s="33" t="s">
        <v>492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208</v>
      </c>
      <c r="M43" s="42" t="s">
        <v>198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496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492</v>
      </c>
      <c r="H46" s="8"/>
      <c r="I46" s="90"/>
      <c r="J46" s="8"/>
      <c r="K46" s="3"/>
      <c r="L46" s="36"/>
      <c r="M46" s="36" t="s">
        <v>206</v>
      </c>
      <c r="N46" s="36" t="s">
        <v>199</v>
      </c>
      <c r="O46" s="8"/>
      <c r="P46" s="90"/>
      <c r="Q46" s="8"/>
      <c r="R46" s="33" t="s">
        <v>492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492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721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492</v>
      </c>
      <c r="H50" s="8"/>
      <c r="I50" s="90"/>
      <c r="J50" s="8"/>
      <c r="K50" s="36" t="s">
        <v>205</v>
      </c>
      <c r="L50" s="36" t="s">
        <v>198</v>
      </c>
      <c r="M50" s="36" t="s">
        <v>199</v>
      </c>
      <c r="N50" s="36" t="s">
        <v>608</v>
      </c>
      <c r="O50" s="8"/>
      <c r="P50" s="90"/>
      <c r="Q50" s="8"/>
      <c r="R50" s="33" t="s">
        <v>492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492</v>
      </c>
      <c r="H51" s="8"/>
      <c r="I51" s="90"/>
      <c r="J51" s="8"/>
      <c r="K51" s="36" t="s">
        <v>206</v>
      </c>
      <c r="L51" s="36" t="s">
        <v>208</v>
      </c>
      <c r="M51" s="3"/>
      <c r="N51" s="3"/>
      <c r="O51" s="8"/>
      <c r="P51" s="90"/>
      <c r="Q51" s="8"/>
      <c r="R51" s="33" t="s">
        <v>492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610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492</v>
      </c>
      <c r="H54" s="8"/>
      <c r="I54" s="90"/>
      <c r="J54" s="8"/>
      <c r="K54" s="36" t="s">
        <v>205</v>
      </c>
      <c r="L54" s="36" t="s">
        <v>198</v>
      </c>
      <c r="M54" s="36" t="s">
        <v>199</v>
      </c>
      <c r="N54" s="36" t="s">
        <v>608</v>
      </c>
      <c r="O54" s="8"/>
      <c r="P54" s="90"/>
      <c r="Q54" s="8"/>
      <c r="R54" s="33" t="s">
        <v>492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492</v>
      </c>
      <c r="H55" s="8"/>
      <c r="I55" s="90"/>
      <c r="J55" s="8"/>
      <c r="K55" s="36" t="s">
        <v>206</v>
      </c>
      <c r="L55" s="36" t="s">
        <v>208</v>
      </c>
      <c r="M55" s="3"/>
      <c r="N55" s="3"/>
      <c r="O55" s="8"/>
      <c r="P55" s="90"/>
      <c r="Q55" s="8"/>
      <c r="R55" s="33" t="s">
        <v>492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732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492</v>
      </c>
      <c r="H58" s="8"/>
      <c r="I58" s="90"/>
      <c r="J58" s="8"/>
      <c r="K58" s="3"/>
      <c r="L58" s="36" t="s">
        <v>205</v>
      </c>
      <c r="M58" s="36" t="s">
        <v>206</v>
      </c>
      <c r="N58" s="36" t="s">
        <v>199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208</v>
      </c>
      <c r="N59" s="36" t="s">
        <v>198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492</v>
      </c>
      <c r="H60" s="8"/>
      <c r="I60" s="90"/>
      <c r="J60" s="8"/>
      <c r="K60" s="3"/>
      <c r="M60" s="3"/>
      <c r="N60" s="3" t="s">
        <v>608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293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492</v>
      </c>
      <c r="H63" s="8"/>
      <c r="I63" s="90"/>
      <c r="J63" s="8"/>
      <c r="K63" s="36" t="s">
        <v>205</v>
      </c>
      <c r="L63" s="36" t="s">
        <v>198</v>
      </c>
      <c r="M63" s="36" t="s">
        <v>199</v>
      </c>
      <c r="N63" s="36" t="s">
        <v>244</v>
      </c>
      <c r="O63" s="8"/>
      <c r="P63" s="90"/>
      <c r="Q63" s="8"/>
      <c r="R63" s="33" t="s">
        <v>492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492</v>
      </c>
      <c r="H64" s="8"/>
      <c r="I64" s="90"/>
      <c r="J64" s="8"/>
      <c r="K64" s="36" t="s">
        <v>206</v>
      </c>
      <c r="L64" s="36" t="s">
        <v>208</v>
      </c>
      <c r="M64" s="36" t="s">
        <v>608</v>
      </c>
      <c r="N64" s="36"/>
      <c r="O64" s="8"/>
      <c r="P64" s="90"/>
      <c r="Q64" s="8"/>
      <c r="R64" s="33" t="s">
        <v>492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733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492</v>
      </c>
      <c r="H67" s="8"/>
      <c r="I67" s="90"/>
      <c r="J67" s="8"/>
      <c r="K67" s="36" t="s">
        <v>205</v>
      </c>
      <c r="L67" s="36" t="s">
        <v>206</v>
      </c>
      <c r="M67" s="36" t="s">
        <v>208</v>
      </c>
      <c r="N67" s="36" t="s">
        <v>199</v>
      </c>
      <c r="O67" s="8"/>
      <c r="P67" s="90"/>
      <c r="Q67" s="8"/>
      <c r="R67" s="33" t="s">
        <v>492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734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492</v>
      </c>
      <c r="H70" s="8"/>
      <c r="I70" s="90"/>
      <c r="J70" s="8"/>
      <c r="K70" s="36" t="s">
        <v>205</v>
      </c>
      <c r="L70" s="36" t="s">
        <v>206</v>
      </c>
      <c r="M70" s="36" t="s">
        <v>208</v>
      </c>
      <c r="N70" s="36" t="s">
        <v>199</v>
      </c>
      <c r="O70" s="8"/>
      <c r="P70" s="90"/>
      <c r="Q70" s="8"/>
      <c r="R70" s="33" t="s">
        <v>492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735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492</v>
      </c>
      <c r="H73" s="8"/>
      <c r="I73" s="90"/>
      <c r="J73" s="8"/>
      <c r="K73" s="36" t="s">
        <v>205</v>
      </c>
      <c r="L73" s="36" t="s">
        <v>206</v>
      </c>
      <c r="M73" s="36" t="s">
        <v>199</v>
      </c>
      <c r="N73" s="36" t="s">
        <v>198</v>
      </c>
      <c r="O73" s="8"/>
      <c r="P73" s="90"/>
      <c r="Q73" s="8"/>
      <c r="R73" s="33" t="s">
        <v>492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7.6" hidden="1" outlineLevel="3">
      <c r="B74" s="28"/>
      <c r="C74" s="29"/>
      <c r="D74" s="8"/>
      <c r="E74" s="90"/>
      <c r="F74" s="8"/>
      <c r="G74" s="118" t="s">
        <v>492</v>
      </c>
      <c r="H74" s="8"/>
      <c r="I74" s="90"/>
      <c r="J74" s="8"/>
      <c r="K74" s="36"/>
      <c r="L74" s="36" t="s">
        <v>208</v>
      </c>
      <c r="M74" s="3"/>
      <c r="N74" s="36" t="s">
        <v>209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236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492</v>
      </c>
      <c r="H77" s="8"/>
      <c r="I77" s="90"/>
      <c r="J77" s="8"/>
      <c r="K77" s="36" t="s">
        <v>736</v>
      </c>
      <c r="L77" s="36" t="s">
        <v>206</v>
      </c>
      <c r="M77" s="3" t="s">
        <v>608</v>
      </c>
      <c r="N77" s="36" t="s">
        <v>199</v>
      </c>
      <c r="O77" s="8"/>
      <c r="P77" s="90"/>
      <c r="Q77" s="8"/>
      <c r="R77" s="33" t="s">
        <v>492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198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737</v>
      </c>
      <c r="C80" s="44" t="s">
        <v>441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440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437</v>
      </c>
      <c r="C83" s="29" t="s">
        <v>307</v>
      </c>
      <c r="D83" s="33"/>
      <c r="E83" s="6"/>
      <c r="F83" s="33"/>
      <c r="G83" s="119" t="s">
        <v>441</v>
      </c>
      <c r="H83" s="33"/>
      <c r="I83" s="6"/>
      <c r="J83" s="33"/>
      <c r="K83" s="35" t="s">
        <v>738</v>
      </c>
      <c r="L83" s="75"/>
      <c r="M83" s="75"/>
      <c r="N83" s="75"/>
      <c r="O83" s="33"/>
      <c r="P83" s="6"/>
      <c r="Q83" s="33"/>
      <c r="R83" s="34" t="s">
        <v>441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437</v>
      </c>
      <c r="C85" s="29" t="s">
        <v>311</v>
      </c>
      <c r="D85" s="33"/>
      <c r="E85" s="6"/>
      <c r="G85" s="119" t="s">
        <v>441</v>
      </c>
      <c r="I85" s="6"/>
      <c r="K85" s="35" t="s">
        <v>739</v>
      </c>
      <c r="L85" s="35" t="s">
        <v>738</v>
      </c>
      <c r="P85" s="6"/>
      <c r="R85" s="34" t="s">
        <v>441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437</v>
      </c>
      <c r="C86" s="29" t="s">
        <v>311</v>
      </c>
      <c r="D86" s="33"/>
      <c r="E86" s="6"/>
      <c r="G86" s="119" t="s">
        <v>441</v>
      </c>
      <c r="I86" s="6"/>
      <c r="K86" s="35" t="s">
        <v>442</v>
      </c>
      <c r="P86" s="6"/>
      <c r="R86" s="34" t="s">
        <v>441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368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437</v>
      </c>
      <c r="C89" s="29" t="s">
        <v>368</v>
      </c>
      <c r="D89" s="33"/>
      <c r="E89" s="6"/>
      <c r="G89" s="119" t="s">
        <v>441</v>
      </c>
      <c r="I89" s="6"/>
      <c r="K89" s="29" t="s">
        <v>740</v>
      </c>
      <c r="L89" s="29" t="s">
        <v>738</v>
      </c>
      <c r="M89" s="141"/>
      <c r="N89" s="141"/>
      <c r="P89" s="6"/>
      <c r="R89" s="34" t="s">
        <v>441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437</v>
      </c>
      <c r="C90" s="29" t="s">
        <v>368</v>
      </c>
      <c r="D90" s="33"/>
      <c r="E90" s="6"/>
      <c r="G90" s="119" t="s">
        <v>441</v>
      </c>
      <c r="I90" s="6"/>
      <c r="K90" s="29" t="s">
        <v>458</v>
      </c>
      <c r="L90" s="141"/>
      <c r="M90" s="141"/>
      <c r="N90" s="141"/>
      <c r="P90" s="6"/>
      <c r="R90" s="34" t="s">
        <v>441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437</v>
      </c>
      <c r="C91" s="29" t="s">
        <v>368</v>
      </c>
      <c r="D91" s="33"/>
      <c r="E91" s="6"/>
      <c r="G91" s="119" t="s">
        <v>441</v>
      </c>
      <c r="I91" s="6"/>
      <c r="K91" s="29" t="s">
        <v>741</v>
      </c>
      <c r="L91" s="141"/>
      <c r="M91" s="141"/>
      <c r="N91" s="141"/>
      <c r="P91" s="6"/>
      <c r="R91" s="34" t="s">
        <v>441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437</v>
      </c>
      <c r="C92" s="29" t="s">
        <v>368</v>
      </c>
      <c r="D92" s="33"/>
      <c r="E92" s="6"/>
      <c r="G92" s="119" t="s">
        <v>441</v>
      </c>
      <c r="I92" s="6"/>
      <c r="K92" s="29" t="s">
        <v>742</v>
      </c>
      <c r="L92" s="141"/>
      <c r="M92" s="141"/>
      <c r="N92" s="141"/>
      <c r="P92" s="6"/>
      <c r="R92" s="34" t="s">
        <v>441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437</v>
      </c>
      <c r="C93" s="29" t="s">
        <v>368</v>
      </c>
      <c r="D93" s="33"/>
      <c r="E93" s="6"/>
      <c r="G93" s="119" t="s">
        <v>441</v>
      </c>
      <c r="I93" s="6"/>
      <c r="K93" s="29" t="s">
        <v>459</v>
      </c>
      <c r="L93" s="141"/>
      <c r="M93" s="141"/>
      <c r="N93" s="141"/>
      <c r="P93" s="6"/>
      <c r="R93" s="34" t="s">
        <v>441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437</v>
      </c>
      <c r="C94" s="29" t="s">
        <v>368</v>
      </c>
      <c r="D94" s="33"/>
      <c r="E94" s="6"/>
      <c r="G94" s="119" t="s">
        <v>441</v>
      </c>
      <c r="I94" s="6"/>
      <c r="K94" s="29" t="s">
        <v>460</v>
      </c>
      <c r="L94" s="141"/>
      <c r="M94" s="141"/>
      <c r="N94" s="141"/>
      <c r="P94" s="6"/>
      <c r="R94" s="34" t="s">
        <v>441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437</v>
      </c>
      <c r="C95" s="29" t="s">
        <v>368</v>
      </c>
      <c r="D95" s="33"/>
      <c r="E95" s="6"/>
      <c r="G95" s="119" t="s">
        <v>441</v>
      </c>
      <c r="I95" s="6"/>
      <c r="K95" s="29" t="s">
        <v>452</v>
      </c>
      <c r="L95" s="141"/>
      <c r="M95" s="141"/>
      <c r="N95" s="141"/>
      <c r="P95" s="6"/>
      <c r="R95" s="34" t="s">
        <v>441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368</v>
      </c>
      <c r="D96" s="33"/>
      <c r="E96" s="6"/>
      <c r="G96" s="119" t="s">
        <v>441</v>
      </c>
      <c r="I96" s="6"/>
      <c r="K96" s="29" t="s">
        <v>442</v>
      </c>
      <c r="L96" s="141"/>
      <c r="M96" s="141"/>
      <c r="N96" s="141"/>
      <c r="P96" s="6"/>
      <c r="R96" s="34" t="s">
        <v>441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549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437</v>
      </c>
      <c r="C99" s="28" t="s">
        <v>549</v>
      </c>
      <c r="D99" s="33"/>
      <c r="E99" s="6"/>
      <c r="G99" s="119" t="s">
        <v>441</v>
      </c>
      <c r="I99" s="6"/>
      <c r="K99" s="35" t="s">
        <v>738</v>
      </c>
      <c r="P99" s="6"/>
      <c r="R99" s="34" t="s">
        <v>441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743</v>
      </c>
      <c r="I100" s="6"/>
      <c r="P100" s="6"/>
      <c r="R100" s="34" t="s">
        <v>743</v>
      </c>
      <c r="S100" s="5"/>
      <c r="T100" s="6"/>
      <c r="U100" s="5"/>
    </row>
    <row r="101" spans="1:25" s="21" customFormat="1" hidden="1" outlineLevel="2" collapsed="1">
      <c r="B101" s="22" t="s">
        <v>241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437</v>
      </c>
      <c r="C102" s="28" t="s">
        <v>241</v>
      </c>
      <c r="D102" s="33"/>
      <c r="E102" s="6"/>
      <c r="G102" s="119" t="s">
        <v>441</v>
      </c>
      <c r="I102" s="6"/>
      <c r="K102" s="35" t="s">
        <v>744</v>
      </c>
      <c r="L102" s="35" t="s">
        <v>745</v>
      </c>
      <c r="P102" s="6"/>
      <c r="R102" s="34" t="s">
        <v>441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437</v>
      </c>
      <c r="C103" s="28" t="s">
        <v>241</v>
      </c>
      <c r="D103" s="33"/>
      <c r="E103" s="6"/>
      <c r="G103" s="119" t="s">
        <v>441</v>
      </c>
      <c r="I103" s="6"/>
      <c r="K103" s="35" t="s">
        <v>442</v>
      </c>
      <c r="L103" s="35" t="s">
        <v>463</v>
      </c>
      <c r="P103" s="6"/>
      <c r="R103" s="34" t="s">
        <v>441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437</v>
      </c>
      <c r="C104" s="28" t="s">
        <v>241</v>
      </c>
      <c r="D104" s="33"/>
      <c r="E104" s="6"/>
      <c r="G104" s="119" t="s">
        <v>441</v>
      </c>
      <c r="I104" s="6"/>
      <c r="K104" s="35"/>
      <c r="L104" s="35" t="s">
        <v>738</v>
      </c>
      <c r="P104" s="6"/>
      <c r="R104" s="34" t="s">
        <v>441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437</v>
      </c>
      <c r="C105" s="28" t="s">
        <v>241</v>
      </c>
      <c r="D105" s="33"/>
      <c r="E105" s="6"/>
      <c r="G105" s="119" t="s">
        <v>441</v>
      </c>
      <c r="I105" s="6"/>
      <c r="K105" s="35" t="s">
        <v>462</v>
      </c>
      <c r="P105" s="6"/>
      <c r="R105" s="34" t="s">
        <v>441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437</v>
      </c>
      <c r="C106" s="28" t="s">
        <v>241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441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441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331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437</v>
      </c>
      <c r="C110" s="29" t="s">
        <v>333</v>
      </c>
      <c r="D110" s="33"/>
      <c r="E110" s="6"/>
      <c r="F110" s="33"/>
      <c r="G110" s="119" t="s">
        <v>441</v>
      </c>
      <c r="H110" s="33"/>
      <c r="I110" s="6"/>
      <c r="J110" s="33"/>
      <c r="K110" s="35" t="s">
        <v>746</v>
      </c>
      <c r="O110" s="33"/>
      <c r="P110" s="6"/>
      <c r="Q110" s="33"/>
      <c r="R110" s="34" t="s">
        <v>441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437</v>
      </c>
      <c r="C111" s="29" t="s">
        <v>333</v>
      </c>
      <c r="D111" s="33"/>
      <c r="E111" s="6"/>
      <c r="F111" s="33"/>
      <c r="G111" s="119" t="s">
        <v>441</v>
      </c>
      <c r="H111" s="33"/>
      <c r="I111" s="6"/>
      <c r="J111" s="33"/>
      <c r="K111" s="35" t="s">
        <v>747</v>
      </c>
      <c r="O111" s="33"/>
      <c r="P111" s="6"/>
      <c r="Q111" s="33"/>
      <c r="R111" s="34" t="s">
        <v>441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437</v>
      </c>
      <c r="C112" s="29" t="s">
        <v>333</v>
      </c>
      <c r="D112" s="33"/>
      <c r="E112" s="6"/>
      <c r="F112" s="33"/>
      <c r="G112" s="119" t="s">
        <v>441</v>
      </c>
      <c r="H112" s="33"/>
      <c r="I112" s="6"/>
      <c r="J112" s="33"/>
      <c r="K112" s="35" t="s">
        <v>748</v>
      </c>
      <c r="O112" s="33"/>
      <c r="P112" s="6"/>
      <c r="Q112" s="33"/>
      <c r="R112" s="34" t="s">
        <v>441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437</v>
      </c>
      <c r="C113" s="29" t="s">
        <v>333</v>
      </c>
      <c r="D113" s="33"/>
      <c r="E113" s="6"/>
      <c r="F113" s="33"/>
      <c r="G113" s="119" t="s">
        <v>441</v>
      </c>
      <c r="H113" s="33"/>
      <c r="I113" s="6"/>
      <c r="J113" s="33"/>
      <c r="K113" s="35" t="s">
        <v>749</v>
      </c>
      <c r="O113" s="33"/>
      <c r="P113" s="6"/>
      <c r="Q113" s="33"/>
      <c r="R113" s="34" t="s">
        <v>441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437</v>
      </c>
      <c r="C114" s="29" t="s">
        <v>333</v>
      </c>
      <c r="D114" s="33"/>
      <c r="E114" s="6"/>
      <c r="F114" s="33"/>
      <c r="G114" s="119" t="s">
        <v>441</v>
      </c>
      <c r="H114" s="33"/>
      <c r="I114" s="6"/>
      <c r="J114" s="33"/>
      <c r="K114" s="35" t="s">
        <v>464</v>
      </c>
      <c r="O114" s="33"/>
      <c r="P114" s="6"/>
      <c r="Q114" s="33"/>
      <c r="R114" s="34" t="s">
        <v>441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437</v>
      </c>
      <c r="C115" s="29" t="s">
        <v>333</v>
      </c>
      <c r="D115" s="33"/>
      <c r="E115" s="6"/>
      <c r="F115" s="33"/>
      <c r="G115" s="119" t="s">
        <v>441</v>
      </c>
      <c r="H115" s="33"/>
      <c r="I115" s="6"/>
      <c r="J115" s="33"/>
      <c r="K115" s="35"/>
      <c r="O115" s="33"/>
      <c r="P115" s="6"/>
      <c r="Q115" s="33"/>
      <c r="R115" s="34" t="s">
        <v>441</v>
      </c>
      <c r="S115" s="33"/>
      <c r="T115" s="6"/>
      <c r="U115" s="33"/>
      <c r="V115" s="35"/>
    </row>
    <row r="116" spans="2:24" ht="13.35" hidden="1" customHeight="1" outlineLevel="3">
      <c r="B116" s="24" t="s">
        <v>437</v>
      </c>
      <c r="C116" s="29" t="s">
        <v>333</v>
      </c>
      <c r="D116" s="33"/>
      <c r="E116" s="6"/>
      <c r="F116" s="33"/>
      <c r="G116" s="119" t="s">
        <v>441</v>
      </c>
      <c r="H116" s="33"/>
      <c r="I116" s="6"/>
      <c r="J116" s="33"/>
      <c r="K116" s="35" t="s">
        <v>334</v>
      </c>
      <c r="O116" s="33"/>
      <c r="P116" s="6"/>
      <c r="Q116" s="33"/>
      <c r="R116" s="34" t="s">
        <v>441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437</v>
      </c>
      <c r="C117" s="29" t="s">
        <v>333</v>
      </c>
      <c r="D117" s="33"/>
      <c r="E117" s="6"/>
      <c r="F117" s="33"/>
      <c r="G117" s="119" t="s">
        <v>441</v>
      </c>
      <c r="H117" s="33"/>
      <c r="I117" s="6"/>
      <c r="J117" s="33"/>
      <c r="K117" s="35" t="s">
        <v>335</v>
      </c>
      <c r="O117" s="33"/>
      <c r="P117" s="6"/>
      <c r="Q117" s="33"/>
      <c r="R117" s="34" t="s">
        <v>441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437</v>
      </c>
      <c r="C118" s="29" t="s">
        <v>333</v>
      </c>
      <c r="D118" s="33"/>
      <c r="E118" s="6"/>
      <c r="F118" s="33"/>
      <c r="G118" s="119" t="s">
        <v>441</v>
      </c>
      <c r="H118" s="33"/>
      <c r="I118" s="6"/>
      <c r="J118" s="33"/>
      <c r="K118" s="35" t="s">
        <v>336</v>
      </c>
      <c r="O118" s="33"/>
      <c r="P118" s="6"/>
      <c r="Q118" s="33"/>
      <c r="R118" s="34" t="s">
        <v>441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437</v>
      </c>
      <c r="C119" s="29" t="s">
        <v>333</v>
      </c>
      <c r="D119" s="33"/>
      <c r="E119" s="6"/>
      <c r="G119" s="119" t="s">
        <v>441</v>
      </c>
      <c r="I119" s="6"/>
      <c r="K119" s="35"/>
      <c r="P119" s="6"/>
      <c r="R119" s="34" t="s">
        <v>441</v>
      </c>
      <c r="S119" s="5"/>
      <c r="T119" s="6"/>
      <c r="U119" s="5"/>
      <c r="V119" s="35"/>
    </row>
    <row r="120" spans="2:24" ht="13.35" hidden="1" customHeight="1" outlineLevel="3">
      <c r="B120" s="24" t="s">
        <v>437</v>
      </c>
      <c r="C120" s="29" t="s">
        <v>333</v>
      </c>
      <c r="D120" s="33"/>
      <c r="E120" s="6"/>
      <c r="G120" s="119" t="s">
        <v>441</v>
      </c>
      <c r="I120" s="6"/>
      <c r="K120" s="35"/>
      <c r="P120" s="6"/>
      <c r="R120" s="34" t="s">
        <v>441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333</v>
      </c>
      <c r="D121" s="33"/>
      <c r="E121" s="6"/>
      <c r="G121" s="119" t="s">
        <v>441</v>
      </c>
      <c r="I121" s="6"/>
      <c r="K121" s="35"/>
      <c r="P121" s="6"/>
      <c r="R121" s="34" t="s">
        <v>441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333</v>
      </c>
      <c r="D122" s="33"/>
      <c r="E122" s="6"/>
      <c r="G122" s="119" t="s">
        <v>441</v>
      </c>
      <c r="I122" s="6"/>
      <c r="K122" s="35" t="s">
        <v>750</v>
      </c>
      <c r="P122" s="6"/>
      <c r="R122" s="34" t="s">
        <v>441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333</v>
      </c>
      <c r="D123" s="33"/>
      <c r="E123" s="6"/>
      <c r="G123" s="119" t="s">
        <v>441</v>
      </c>
      <c r="I123" s="6"/>
      <c r="K123" s="35" t="s">
        <v>245</v>
      </c>
      <c r="P123" s="6"/>
      <c r="R123" s="34" t="s">
        <v>441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333</v>
      </c>
      <c r="D124" s="33"/>
      <c r="E124" s="6"/>
      <c r="G124" s="119" t="s">
        <v>441</v>
      </c>
      <c r="I124" s="6"/>
      <c r="K124" s="35" t="s">
        <v>254</v>
      </c>
      <c r="P124" s="6"/>
      <c r="R124" s="34" t="s">
        <v>441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437</v>
      </c>
      <c r="C126" s="29" t="s">
        <v>341</v>
      </c>
      <c r="D126" s="33"/>
      <c r="E126" s="6"/>
      <c r="G126" s="119" t="s">
        <v>441</v>
      </c>
      <c r="I126" s="6"/>
      <c r="K126" s="35" t="s">
        <v>751</v>
      </c>
      <c r="L126" s="35" t="s">
        <v>752</v>
      </c>
      <c r="M126" s="35" t="s">
        <v>753</v>
      </c>
      <c r="P126" s="6"/>
      <c r="R126" s="34" t="s">
        <v>441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437</v>
      </c>
      <c r="C127" s="29" t="s">
        <v>341</v>
      </c>
      <c r="D127" s="33"/>
      <c r="E127" s="6"/>
      <c r="G127" s="119" t="s">
        <v>441</v>
      </c>
      <c r="I127" s="6"/>
      <c r="K127" s="35" t="s">
        <v>346</v>
      </c>
      <c r="L127" s="35" t="s">
        <v>754</v>
      </c>
      <c r="M127" s="74"/>
      <c r="P127" s="6"/>
      <c r="R127" s="34" t="s">
        <v>441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437</v>
      </c>
      <c r="C128" s="29" t="s">
        <v>341</v>
      </c>
      <c r="D128" s="33"/>
      <c r="E128" s="6"/>
      <c r="G128" s="119" t="s">
        <v>441</v>
      </c>
      <c r="I128" s="6"/>
      <c r="K128" s="35" t="s">
        <v>352</v>
      </c>
      <c r="L128" s="35" t="s">
        <v>755</v>
      </c>
      <c r="P128" s="6"/>
      <c r="R128" s="34" t="s">
        <v>441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437</v>
      </c>
      <c r="C129" s="29" t="s">
        <v>341</v>
      </c>
      <c r="D129" s="33"/>
      <c r="E129" s="6"/>
      <c r="G129" s="119" t="s">
        <v>441</v>
      </c>
      <c r="I129" s="6"/>
      <c r="K129" s="35" t="s">
        <v>353</v>
      </c>
      <c r="L129" s="35" t="s">
        <v>756</v>
      </c>
      <c r="P129" s="6"/>
      <c r="R129" s="34" t="s">
        <v>441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437</v>
      </c>
      <c r="C130" s="29" t="s">
        <v>341</v>
      </c>
      <c r="D130" s="33"/>
      <c r="E130" s="6"/>
      <c r="G130" s="119" t="s">
        <v>441</v>
      </c>
      <c r="I130" s="6"/>
      <c r="K130" s="76" t="s">
        <v>342</v>
      </c>
      <c r="L130" s="35" t="s">
        <v>757</v>
      </c>
      <c r="P130" s="6"/>
      <c r="R130" s="34" t="s">
        <v>441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437</v>
      </c>
      <c r="C131" s="29" t="s">
        <v>341</v>
      </c>
      <c r="D131" s="33"/>
      <c r="E131" s="6"/>
      <c r="G131" s="119" t="s">
        <v>441</v>
      </c>
      <c r="I131" s="6"/>
      <c r="K131" s="76" t="s">
        <v>546</v>
      </c>
      <c r="L131" s="35" t="s">
        <v>358</v>
      </c>
      <c r="P131" s="6"/>
      <c r="R131" s="34" t="s">
        <v>441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437</v>
      </c>
      <c r="C132" s="29" t="s">
        <v>341</v>
      </c>
      <c r="D132" s="33"/>
      <c r="E132" s="6"/>
      <c r="G132" s="119" t="s">
        <v>441</v>
      </c>
      <c r="I132" s="6"/>
      <c r="K132" s="76" t="s">
        <v>547</v>
      </c>
      <c r="L132" s="35" t="s">
        <v>357</v>
      </c>
      <c r="P132" s="6"/>
      <c r="R132" s="34" t="s">
        <v>441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437</v>
      </c>
      <c r="C133" s="29" t="s">
        <v>341</v>
      </c>
      <c r="D133" s="33"/>
      <c r="E133" s="6"/>
      <c r="G133" s="119" t="s">
        <v>441</v>
      </c>
      <c r="I133" s="6"/>
      <c r="K133" s="76" t="s">
        <v>345</v>
      </c>
      <c r="L133" s="74"/>
      <c r="P133" s="6"/>
      <c r="R133" s="34" t="s">
        <v>441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437</v>
      </c>
      <c r="C134" s="29" t="s">
        <v>341</v>
      </c>
      <c r="D134" s="33"/>
      <c r="E134" s="6"/>
      <c r="G134" s="119" t="s">
        <v>441</v>
      </c>
      <c r="I134" s="6"/>
      <c r="K134" s="35" t="s">
        <v>466</v>
      </c>
      <c r="L134" s="74"/>
      <c r="P134" s="6"/>
      <c r="R134" s="34" t="s">
        <v>441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437</v>
      </c>
      <c r="C135" s="29" t="s">
        <v>341</v>
      </c>
      <c r="D135" s="33"/>
      <c r="E135" s="6"/>
      <c r="G135" s="119" t="s">
        <v>441</v>
      </c>
      <c r="I135" s="6"/>
      <c r="K135" s="35" t="s">
        <v>467</v>
      </c>
      <c r="L135" s="74"/>
      <c r="P135" s="6"/>
      <c r="R135" s="34" t="s">
        <v>441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437</v>
      </c>
      <c r="C136" s="29" t="s">
        <v>341</v>
      </c>
      <c r="D136" s="33"/>
      <c r="E136" s="6"/>
      <c r="G136" s="119" t="s">
        <v>441</v>
      </c>
      <c r="I136" s="6"/>
      <c r="K136" s="35" t="s">
        <v>355</v>
      </c>
      <c r="L136" s="74"/>
      <c r="P136" s="6"/>
      <c r="R136" s="34" t="s">
        <v>441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437</v>
      </c>
      <c r="C137" s="29" t="s">
        <v>341</v>
      </c>
      <c r="D137" s="33"/>
      <c r="E137" s="6"/>
      <c r="G137" s="119" t="s">
        <v>441</v>
      </c>
      <c r="I137" s="6"/>
      <c r="K137" s="35" t="s">
        <v>351</v>
      </c>
      <c r="L137" s="35"/>
      <c r="P137" s="6"/>
      <c r="R137" s="34" t="s">
        <v>441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622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437</v>
      </c>
      <c r="C140" s="29" t="s">
        <v>758</v>
      </c>
      <c r="D140" s="33"/>
      <c r="E140" s="6"/>
      <c r="F140" s="33"/>
      <c r="G140" s="119" t="s">
        <v>441</v>
      </c>
      <c r="H140" s="33"/>
      <c r="I140" s="6"/>
      <c r="J140" s="33"/>
      <c r="K140" s="35" t="s">
        <v>759</v>
      </c>
      <c r="O140" s="33"/>
      <c r="P140" s="6"/>
      <c r="Q140" s="33"/>
      <c r="R140" s="34" t="s">
        <v>441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437</v>
      </c>
      <c r="C141" s="29" t="s">
        <v>760</v>
      </c>
      <c r="D141" s="33"/>
      <c r="E141" s="6"/>
      <c r="F141" s="33"/>
      <c r="G141" s="119" t="s">
        <v>441</v>
      </c>
      <c r="H141" s="33"/>
      <c r="I141" s="6"/>
      <c r="J141" s="33"/>
      <c r="K141" s="35" t="s">
        <v>759</v>
      </c>
      <c r="O141" s="33"/>
      <c r="P141" s="6"/>
      <c r="Q141" s="33"/>
      <c r="R141" s="34" t="s">
        <v>441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170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171</v>
      </c>
      <c r="D144" s="33"/>
      <c r="E144" s="6"/>
      <c r="F144" s="33"/>
      <c r="G144" s="120" t="s">
        <v>441</v>
      </c>
      <c r="H144" s="33"/>
      <c r="I144" s="6"/>
      <c r="J144" s="33"/>
      <c r="K144" s="126"/>
      <c r="L144" s="126" t="s">
        <v>759</v>
      </c>
      <c r="M144" s="127"/>
      <c r="N144" s="127"/>
      <c r="O144" s="33"/>
      <c r="P144" s="6"/>
      <c r="Q144" s="33"/>
      <c r="R144" s="38" t="s">
        <v>441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173</v>
      </c>
      <c r="D146" s="33"/>
      <c r="E146" s="6"/>
      <c r="F146" s="33"/>
      <c r="G146" s="120" t="s">
        <v>441</v>
      </c>
      <c r="H146" s="33"/>
      <c r="I146" s="6"/>
      <c r="J146" s="33"/>
      <c r="K146" s="126" t="s">
        <v>175</v>
      </c>
      <c r="L146" s="126" t="s">
        <v>759</v>
      </c>
      <c r="M146" s="127"/>
      <c r="N146" s="127"/>
      <c r="O146" s="33"/>
      <c r="P146" s="6"/>
      <c r="Q146" s="33"/>
      <c r="R146" s="38" t="s">
        <v>441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173</v>
      </c>
      <c r="D147" s="33"/>
      <c r="E147" s="6"/>
      <c r="F147" s="33"/>
      <c r="G147" s="120" t="s">
        <v>441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441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176</v>
      </c>
      <c r="D149" s="33"/>
      <c r="E149" s="6"/>
      <c r="F149" s="33"/>
      <c r="G149" s="120" t="s">
        <v>441</v>
      </c>
      <c r="H149" s="33"/>
      <c r="I149" s="6"/>
      <c r="J149" s="33"/>
      <c r="K149" s="126" t="s">
        <v>475</v>
      </c>
      <c r="L149" s="126" t="s">
        <v>761</v>
      </c>
      <c r="M149" s="126" t="s">
        <v>480</v>
      </c>
      <c r="N149" s="127"/>
      <c r="O149" s="33"/>
      <c r="P149" s="6"/>
      <c r="Q149" s="33"/>
      <c r="R149" s="38" t="s">
        <v>441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176</v>
      </c>
      <c r="D150" s="33"/>
      <c r="E150" s="6"/>
      <c r="F150" s="33"/>
      <c r="G150" s="120" t="s">
        <v>441</v>
      </c>
      <c r="H150" s="33"/>
      <c r="I150" s="6"/>
      <c r="J150" s="33"/>
      <c r="K150" s="126" t="s">
        <v>476</v>
      </c>
      <c r="L150" s="126" t="s">
        <v>762</v>
      </c>
      <c r="M150" s="126" t="s">
        <v>759</v>
      </c>
      <c r="N150" s="127"/>
      <c r="O150" s="33"/>
      <c r="P150" s="6"/>
      <c r="Q150" s="33"/>
      <c r="R150" s="38" t="s">
        <v>441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176</v>
      </c>
      <c r="D151" s="33"/>
      <c r="E151" s="6"/>
      <c r="F151" s="33"/>
      <c r="G151" s="120" t="s">
        <v>441</v>
      </c>
      <c r="H151" s="33"/>
      <c r="I151" s="6"/>
      <c r="J151" s="33"/>
      <c r="K151" s="126" t="s">
        <v>180</v>
      </c>
      <c r="L151" s="126" t="s">
        <v>478</v>
      </c>
      <c r="M151" s="127"/>
      <c r="N151" s="127"/>
      <c r="O151" s="33"/>
      <c r="P151" s="6"/>
      <c r="Q151" s="33"/>
      <c r="R151" s="38" t="s">
        <v>441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176</v>
      </c>
      <c r="D152" s="33"/>
      <c r="E152" s="6"/>
      <c r="F152" s="33"/>
      <c r="G152" s="120" t="s">
        <v>441</v>
      </c>
      <c r="H152" s="33"/>
      <c r="I152" s="6"/>
      <c r="J152" s="33"/>
      <c r="K152" s="126" t="s">
        <v>182</v>
      </c>
      <c r="L152" s="126" t="s">
        <v>479</v>
      </c>
      <c r="M152" s="127"/>
      <c r="N152" s="127"/>
      <c r="O152" s="33"/>
      <c r="P152" s="6"/>
      <c r="Q152" s="33"/>
      <c r="R152" s="38" t="s">
        <v>441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176</v>
      </c>
      <c r="D153" s="33"/>
      <c r="E153" s="6"/>
      <c r="F153" s="33"/>
      <c r="G153" s="120" t="s">
        <v>441</v>
      </c>
      <c r="H153" s="33"/>
      <c r="I153" s="6"/>
      <c r="J153" s="33"/>
      <c r="K153" s="126" t="s">
        <v>184</v>
      </c>
      <c r="L153" s="126" t="s">
        <v>763</v>
      </c>
      <c r="M153" s="127"/>
      <c r="N153" s="127"/>
      <c r="O153" s="33"/>
      <c r="P153" s="6"/>
      <c r="Q153" s="33"/>
      <c r="R153" s="38" t="s">
        <v>441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176</v>
      </c>
      <c r="D154" s="33"/>
      <c r="E154" s="6"/>
      <c r="F154" s="33"/>
      <c r="G154" s="120" t="s">
        <v>441</v>
      </c>
      <c r="H154" s="33"/>
      <c r="I154" s="6"/>
      <c r="J154" s="33"/>
      <c r="K154" s="126" t="s">
        <v>477</v>
      </c>
      <c r="L154" s="127"/>
      <c r="M154" s="127"/>
      <c r="N154" s="127"/>
      <c r="O154" s="33"/>
      <c r="P154" s="6"/>
      <c r="Q154" s="33"/>
      <c r="R154" s="38" t="s">
        <v>441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176</v>
      </c>
      <c r="D155" s="33"/>
      <c r="E155" s="6"/>
      <c r="G155" s="120" t="s">
        <v>441</v>
      </c>
      <c r="I155" s="6"/>
      <c r="L155" s="127"/>
      <c r="M155" s="127"/>
      <c r="N155" s="127"/>
      <c r="P155" s="6"/>
      <c r="R155" s="38" t="s">
        <v>441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176</v>
      </c>
      <c r="D156" s="33"/>
      <c r="E156" s="6"/>
      <c r="G156" s="120" t="s">
        <v>441</v>
      </c>
      <c r="I156" s="6"/>
      <c r="L156" s="127"/>
      <c r="M156" s="127"/>
      <c r="N156" s="127"/>
      <c r="P156" s="6"/>
      <c r="R156" s="38" t="s">
        <v>441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176</v>
      </c>
      <c r="D157" s="33"/>
      <c r="E157" s="6"/>
      <c r="G157" s="120" t="s">
        <v>441</v>
      </c>
      <c r="I157" s="6"/>
      <c r="K157" s="128"/>
      <c r="L157" s="127"/>
      <c r="M157" s="127"/>
      <c r="N157" s="127"/>
      <c r="P157" s="6"/>
      <c r="R157" s="38" t="s">
        <v>441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176</v>
      </c>
      <c r="D158" s="33"/>
      <c r="E158" s="6"/>
      <c r="G158" s="120" t="s">
        <v>441</v>
      </c>
      <c r="I158" s="6"/>
      <c r="K158" s="128"/>
      <c r="L158" s="127"/>
      <c r="M158" s="127"/>
      <c r="N158" s="127"/>
      <c r="P158" s="6"/>
      <c r="R158" s="38" t="s">
        <v>441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176</v>
      </c>
      <c r="D159" s="33"/>
      <c r="E159" s="6"/>
      <c r="G159" s="120" t="s">
        <v>441</v>
      </c>
      <c r="I159" s="6"/>
      <c r="K159" s="128"/>
      <c r="L159" s="127"/>
      <c r="M159" s="127"/>
      <c r="N159" s="127"/>
      <c r="P159" s="6"/>
      <c r="R159" s="38" t="s">
        <v>441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176</v>
      </c>
      <c r="D160" s="33"/>
      <c r="E160" s="6"/>
      <c r="G160" s="120" t="s">
        <v>441</v>
      </c>
      <c r="I160" s="6"/>
      <c r="K160" s="128"/>
      <c r="L160" s="127"/>
      <c r="M160" s="127"/>
      <c r="N160" s="127"/>
      <c r="P160" s="6"/>
      <c r="R160" s="38" t="s">
        <v>441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176</v>
      </c>
      <c r="D161" s="33"/>
      <c r="E161" s="6"/>
      <c r="G161" s="120" t="s">
        <v>441</v>
      </c>
      <c r="I161" s="6"/>
      <c r="K161" s="128"/>
      <c r="L161" s="127"/>
      <c r="M161" s="127"/>
      <c r="N161" s="127"/>
      <c r="P161" s="6"/>
      <c r="R161" s="38" t="s">
        <v>441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176</v>
      </c>
      <c r="D162" s="33"/>
      <c r="E162" s="6"/>
      <c r="G162" s="120" t="s">
        <v>441</v>
      </c>
      <c r="I162" s="6"/>
      <c r="K162" s="128"/>
      <c r="L162" s="127"/>
      <c r="M162" s="127"/>
      <c r="N162" s="127"/>
      <c r="P162" s="6"/>
      <c r="R162" s="38" t="s">
        <v>441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764</v>
      </c>
      <c r="D164" s="33"/>
      <c r="E164" s="6"/>
      <c r="G164" s="120" t="s">
        <v>441</v>
      </c>
      <c r="I164" s="6"/>
      <c r="K164" s="126" t="s">
        <v>206</v>
      </c>
      <c r="L164" s="126" t="s">
        <v>199</v>
      </c>
      <c r="M164" s="129" t="s">
        <v>765</v>
      </c>
      <c r="N164" s="129" t="s">
        <v>766</v>
      </c>
      <c r="P164" s="6"/>
      <c r="R164" s="38" t="s">
        <v>441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764</v>
      </c>
      <c r="D165" s="33"/>
      <c r="E165" s="6"/>
      <c r="G165" s="120" t="s">
        <v>441</v>
      </c>
      <c r="I165" s="6"/>
      <c r="K165" s="126" t="s">
        <v>208</v>
      </c>
      <c r="L165" s="126" t="s">
        <v>767</v>
      </c>
      <c r="M165" s="129" t="s">
        <v>768</v>
      </c>
      <c r="N165" s="126" t="s">
        <v>769</v>
      </c>
      <c r="P165" s="6"/>
      <c r="R165" s="38" t="s">
        <v>441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764</v>
      </c>
      <c r="D166" s="33"/>
      <c r="E166" s="6"/>
      <c r="G166" s="120" t="s">
        <v>441</v>
      </c>
      <c r="I166" s="6"/>
      <c r="K166" s="126" t="s">
        <v>770</v>
      </c>
      <c r="L166" s="126" t="s">
        <v>771</v>
      </c>
      <c r="M166" s="129" t="s">
        <v>772</v>
      </c>
      <c r="N166" s="126" t="s">
        <v>773</v>
      </c>
      <c r="P166" s="6"/>
      <c r="R166" s="38" t="s">
        <v>441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764</v>
      </c>
      <c r="D167" s="33"/>
      <c r="E167" s="6"/>
      <c r="G167" s="120" t="s">
        <v>441</v>
      </c>
      <c r="I167" s="6"/>
      <c r="K167" s="126" t="s">
        <v>774</v>
      </c>
      <c r="L167" s="126" t="s">
        <v>775</v>
      </c>
      <c r="M167" s="129" t="s">
        <v>776</v>
      </c>
      <c r="N167" s="126" t="s">
        <v>777</v>
      </c>
      <c r="P167" s="6"/>
      <c r="R167" s="38" t="s">
        <v>441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764</v>
      </c>
      <c r="D168" s="33"/>
      <c r="E168" s="6"/>
      <c r="G168" s="120" t="s">
        <v>441</v>
      </c>
      <c r="I168" s="6"/>
      <c r="K168" s="127"/>
      <c r="L168" s="126" t="s">
        <v>778</v>
      </c>
      <c r="M168" s="129" t="s">
        <v>779</v>
      </c>
      <c r="N168" s="128" t="s">
        <v>780</v>
      </c>
      <c r="P168" s="6"/>
      <c r="R168" s="38" t="s">
        <v>441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764</v>
      </c>
      <c r="D169" s="33"/>
      <c r="E169" s="6"/>
      <c r="G169" s="120" t="s">
        <v>441</v>
      </c>
      <c r="I169" s="6"/>
      <c r="K169" s="127"/>
      <c r="L169" s="126" t="s">
        <v>781</v>
      </c>
      <c r="M169" s="129" t="s">
        <v>782</v>
      </c>
      <c r="N169" s="128" t="s">
        <v>783</v>
      </c>
      <c r="P169" s="6"/>
      <c r="R169" s="38" t="s">
        <v>441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764</v>
      </c>
      <c r="D170" s="33"/>
      <c r="E170" s="6"/>
      <c r="G170" s="120" t="s">
        <v>441</v>
      </c>
      <c r="I170" s="6"/>
      <c r="K170" s="127"/>
      <c r="L170" s="126" t="s">
        <v>784</v>
      </c>
      <c r="M170" s="129" t="s">
        <v>785</v>
      </c>
      <c r="N170" s="128" t="s">
        <v>350</v>
      </c>
      <c r="P170" s="6"/>
      <c r="R170" s="38" t="s">
        <v>441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764</v>
      </c>
      <c r="D171" s="33"/>
      <c r="E171" s="6"/>
      <c r="G171" s="120" t="s">
        <v>441</v>
      </c>
      <c r="I171" s="6"/>
      <c r="K171" s="127"/>
      <c r="L171" s="129" t="s">
        <v>786</v>
      </c>
      <c r="M171" s="129" t="s">
        <v>787</v>
      </c>
      <c r="N171" s="130" t="s">
        <v>788</v>
      </c>
      <c r="P171" s="6"/>
      <c r="R171" s="38" t="s">
        <v>441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764</v>
      </c>
      <c r="D172" s="33"/>
      <c r="E172" s="6"/>
      <c r="G172" s="120" t="s">
        <v>441</v>
      </c>
      <c r="I172" s="6"/>
      <c r="K172" s="127"/>
      <c r="L172" s="129" t="s">
        <v>789</v>
      </c>
      <c r="M172" s="126" t="s">
        <v>790</v>
      </c>
      <c r="N172" s="130" t="s">
        <v>791</v>
      </c>
      <c r="P172" s="6"/>
      <c r="R172" s="38" t="s">
        <v>441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764</v>
      </c>
      <c r="D173" s="33"/>
      <c r="E173" s="6"/>
      <c r="G173" s="120" t="s">
        <v>441</v>
      </c>
      <c r="I173" s="6"/>
      <c r="K173" s="126"/>
      <c r="L173" s="129" t="s">
        <v>792</v>
      </c>
      <c r="M173" s="126" t="s">
        <v>793</v>
      </c>
      <c r="N173" s="130" t="s">
        <v>794</v>
      </c>
      <c r="P173" s="6"/>
      <c r="R173" s="38" t="s">
        <v>441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764</v>
      </c>
      <c r="D174" s="33"/>
      <c r="E174" s="6"/>
      <c r="G174" s="120" t="s">
        <v>441</v>
      </c>
      <c r="I174" s="6"/>
      <c r="K174" s="128"/>
      <c r="L174" s="129" t="s">
        <v>795</v>
      </c>
      <c r="M174" s="126" t="s">
        <v>796</v>
      </c>
      <c r="N174" s="130" t="s">
        <v>797</v>
      </c>
      <c r="P174" s="6"/>
      <c r="R174" s="38" t="s">
        <v>441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764</v>
      </c>
      <c r="D175" s="33"/>
      <c r="E175" s="6"/>
      <c r="G175" s="120" t="s">
        <v>441</v>
      </c>
      <c r="I175" s="6"/>
      <c r="K175" s="128"/>
      <c r="L175" s="126" t="s">
        <v>798</v>
      </c>
      <c r="M175" s="126" t="s">
        <v>799</v>
      </c>
      <c r="N175" s="130" t="s">
        <v>759</v>
      </c>
      <c r="P175" s="6"/>
      <c r="R175" s="38" t="s">
        <v>441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764</v>
      </c>
      <c r="D176" s="33"/>
      <c r="E176" s="6"/>
      <c r="G176" s="120" t="s">
        <v>441</v>
      </c>
      <c r="I176" s="6"/>
      <c r="K176" s="128"/>
      <c r="L176" s="127"/>
      <c r="M176" s="129" t="s">
        <v>480</v>
      </c>
      <c r="N176" s="131" t="s">
        <v>800</v>
      </c>
      <c r="P176" s="6"/>
      <c r="R176" s="38" t="s">
        <v>441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764</v>
      </c>
      <c r="D177" s="33"/>
      <c r="E177" s="6"/>
      <c r="G177" s="120" t="s">
        <v>441</v>
      </c>
      <c r="I177" s="6"/>
      <c r="K177" s="126"/>
      <c r="L177" s="127"/>
      <c r="M177" s="128"/>
      <c r="N177" s="131" t="s">
        <v>801</v>
      </c>
      <c r="P177" s="6"/>
      <c r="R177" s="38" t="s">
        <v>441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764</v>
      </c>
      <c r="D178" s="33"/>
      <c r="E178" s="6"/>
      <c r="G178" s="120" t="s">
        <v>441</v>
      </c>
      <c r="I178" s="6"/>
      <c r="K178" s="72"/>
      <c r="L178" s="129"/>
      <c r="M178" s="128"/>
      <c r="N178" s="131" t="s">
        <v>802</v>
      </c>
      <c r="P178" s="6"/>
      <c r="R178" s="38" t="s">
        <v>441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764</v>
      </c>
      <c r="D179" s="33"/>
      <c r="E179" s="6"/>
      <c r="G179" s="120" t="s">
        <v>441</v>
      </c>
      <c r="I179" s="6"/>
      <c r="K179" s="72"/>
      <c r="L179" s="129"/>
      <c r="M179" s="127"/>
      <c r="N179" s="131" t="s">
        <v>803</v>
      </c>
      <c r="P179" s="6"/>
      <c r="R179" s="38" t="s">
        <v>441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764</v>
      </c>
      <c r="D180" s="33"/>
      <c r="E180" s="6"/>
      <c r="G180" s="120" t="s">
        <v>441</v>
      </c>
      <c r="I180" s="6"/>
      <c r="K180" s="127"/>
      <c r="L180" s="127"/>
      <c r="M180" s="127"/>
      <c r="N180" s="127"/>
      <c r="P180" s="6"/>
      <c r="R180" s="38" t="s">
        <v>441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764</v>
      </c>
      <c r="D181" s="33"/>
      <c r="E181" s="6"/>
      <c r="G181" s="120" t="s">
        <v>441</v>
      </c>
      <c r="I181" s="6"/>
      <c r="K181" s="127"/>
      <c r="L181" s="127"/>
      <c r="M181" s="127"/>
      <c r="N181" s="127"/>
      <c r="P181" s="6"/>
      <c r="R181" s="38" t="s">
        <v>441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764</v>
      </c>
      <c r="D182" s="33"/>
      <c r="E182" s="6"/>
      <c r="G182" s="120" t="s">
        <v>441</v>
      </c>
      <c r="I182" s="6"/>
      <c r="K182" s="127"/>
      <c r="L182" s="127"/>
      <c r="M182" s="127"/>
      <c r="N182" s="127"/>
      <c r="P182" s="6"/>
      <c r="R182" s="38" t="s">
        <v>441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764</v>
      </c>
      <c r="D183" s="33"/>
      <c r="E183" s="6"/>
      <c r="G183" s="120" t="s">
        <v>441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764</v>
      </c>
      <c r="D184" s="33"/>
      <c r="E184" s="6"/>
      <c r="G184" s="120" t="s">
        <v>441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764</v>
      </c>
      <c r="D185" s="33"/>
      <c r="E185" s="6"/>
      <c r="G185" s="120" t="s">
        <v>441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764</v>
      </c>
      <c r="D186" s="33"/>
      <c r="E186" s="6"/>
      <c r="G186" s="120" t="s">
        <v>441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764</v>
      </c>
      <c r="D187" s="33"/>
      <c r="E187" s="6"/>
      <c r="G187" s="120" t="s">
        <v>441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764</v>
      </c>
      <c r="D188" s="33"/>
      <c r="E188" s="6"/>
      <c r="G188" s="120" t="s">
        <v>441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764</v>
      </c>
      <c r="D189" s="33"/>
      <c r="E189" s="6"/>
      <c r="G189" s="120" t="s">
        <v>441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764</v>
      </c>
      <c r="D190" s="33"/>
      <c r="E190" s="6"/>
      <c r="G190" s="120" t="s">
        <v>441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764</v>
      </c>
      <c r="D191" s="33"/>
      <c r="E191" s="6"/>
      <c r="G191" s="120" t="s">
        <v>441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764</v>
      </c>
      <c r="D192" s="33"/>
      <c r="E192" s="6"/>
      <c r="G192" s="120" t="s">
        <v>441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764</v>
      </c>
      <c r="D193" s="33"/>
      <c r="E193" s="6"/>
      <c r="G193" s="120" t="s">
        <v>441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764</v>
      </c>
      <c r="D194" s="33"/>
      <c r="E194" s="6"/>
      <c r="G194" s="120" t="s">
        <v>441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764</v>
      </c>
      <c r="D195" s="33"/>
      <c r="E195" s="6"/>
      <c r="G195" s="121" t="s">
        <v>441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764</v>
      </c>
      <c r="D196" s="33"/>
      <c r="E196" s="6"/>
      <c r="G196" s="121" t="s">
        <v>441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482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441</v>
      </c>
      <c r="H199" s="33"/>
      <c r="I199" s="6"/>
      <c r="J199" s="33"/>
      <c r="K199" s="42" t="s">
        <v>804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393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441</v>
      </c>
      <c r="H202" s="33"/>
      <c r="I202" s="6"/>
      <c r="J202" s="33"/>
      <c r="K202" s="78" t="s">
        <v>483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484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441</v>
      </c>
      <c r="H205" s="33"/>
      <c r="I205" s="6"/>
      <c r="J205" s="33"/>
      <c r="K205" s="42" t="s">
        <v>805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486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441</v>
      </c>
      <c r="H208" s="33"/>
      <c r="I208" s="6"/>
      <c r="J208" s="33"/>
      <c r="K208" s="42" t="s">
        <v>366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488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7.6" hidden="1" outlineLevel="3">
      <c r="B211" s="28"/>
      <c r="C211" s="29"/>
      <c r="D211" s="33"/>
      <c r="E211" s="6"/>
      <c r="F211" s="33"/>
      <c r="G211" s="118" t="s">
        <v>441</v>
      </c>
      <c r="H211" s="33"/>
      <c r="I211" s="6"/>
      <c r="J211" s="33"/>
      <c r="K211" s="42" t="s">
        <v>806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316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1.45" hidden="1" outlineLevel="3">
      <c r="B214" s="28"/>
      <c r="C214" s="29" t="s">
        <v>443</v>
      </c>
      <c r="D214" s="8"/>
      <c r="E214" s="90"/>
      <c r="F214" s="8"/>
      <c r="G214" s="118" t="s">
        <v>441</v>
      </c>
      <c r="H214" s="8"/>
      <c r="I214" s="90"/>
      <c r="J214" s="8"/>
      <c r="K214" s="144" t="s">
        <v>807</v>
      </c>
      <c r="L214" s="144" t="s">
        <v>808</v>
      </c>
      <c r="M214" s="144" t="s">
        <v>809</v>
      </c>
      <c r="N214" s="144" t="s">
        <v>810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1.45" hidden="1" outlineLevel="3">
      <c r="B215" s="28"/>
      <c r="C215" s="29" t="s">
        <v>443</v>
      </c>
      <c r="D215" s="8"/>
      <c r="E215" s="90"/>
      <c r="F215" s="8"/>
      <c r="G215" s="118" t="s">
        <v>441</v>
      </c>
      <c r="H215" s="8"/>
      <c r="I215" s="90"/>
      <c r="J215" s="8"/>
      <c r="K215" s="144"/>
      <c r="L215" s="144"/>
      <c r="M215" s="144" t="s">
        <v>811</v>
      </c>
      <c r="N215" s="144" t="s">
        <v>812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1.45" hidden="1" outlineLevel="3">
      <c r="B216" s="28"/>
      <c r="C216" s="29" t="s">
        <v>443</v>
      </c>
      <c r="D216" s="8"/>
      <c r="E216" s="90"/>
      <c r="F216" s="8"/>
      <c r="G216" s="118" t="s">
        <v>441</v>
      </c>
      <c r="H216" s="8"/>
      <c r="I216" s="90"/>
      <c r="J216" s="8"/>
      <c r="K216" s="137"/>
      <c r="L216" s="137"/>
      <c r="M216" s="144" t="s">
        <v>813</v>
      </c>
      <c r="N216" s="144" t="s">
        <v>814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1.45" hidden="1" outlineLevel="3">
      <c r="B217" s="28"/>
      <c r="C217" s="29" t="s">
        <v>443</v>
      </c>
      <c r="D217" s="8"/>
      <c r="E217" s="90"/>
      <c r="F217" s="8"/>
      <c r="G217" s="118" t="s">
        <v>441</v>
      </c>
      <c r="H217" s="8"/>
      <c r="I217" s="90"/>
      <c r="J217" s="8"/>
      <c r="K217" s="137"/>
      <c r="L217" s="137"/>
      <c r="M217" s="144" t="s">
        <v>451</v>
      </c>
      <c r="N217" s="144" t="s">
        <v>815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7.6" hidden="1" outlineLevel="3">
      <c r="B218" s="28"/>
      <c r="C218" s="29" t="s">
        <v>443</v>
      </c>
      <c r="D218" s="8"/>
      <c r="E218" s="90"/>
      <c r="F218" s="8"/>
      <c r="G218" s="118" t="s">
        <v>441</v>
      </c>
      <c r="H218" s="8"/>
      <c r="I218" s="90"/>
      <c r="J218" s="8"/>
      <c r="K218" s="137"/>
      <c r="L218" s="137"/>
      <c r="M218" s="144" t="s">
        <v>452</v>
      </c>
      <c r="N218" s="144" t="s">
        <v>816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1.45" hidden="1" outlineLevel="3">
      <c r="B219" s="28"/>
      <c r="C219" s="29" t="s">
        <v>443</v>
      </c>
      <c r="D219" s="8"/>
      <c r="E219" s="90"/>
      <c r="F219" s="8"/>
      <c r="G219" s="118" t="s">
        <v>441</v>
      </c>
      <c r="H219" s="8"/>
      <c r="I219" s="90"/>
      <c r="J219" s="8"/>
      <c r="K219" s="137"/>
      <c r="L219" s="137"/>
      <c r="M219" s="144"/>
      <c r="N219" s="144" t="s">
        <v>817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1.45" hidden="1" outlineLevel="3">
      <c r="B220" s="28"/>
      <c r="C220" s="29" t="s">
        <v>443</v>
      </c>
      <c r="D220" s="8"/>
      <c r="E220" s="90"/>
      <c r="F220" s="8"/>
      <c r="G220" s="118" t="s">
        <v>441</v>
      </c>
      <c r="H220" s="8"/>
      <c r="I220" s="90"/>
      <c r="J220" s="8"/>
      <c r="K220" s="137"/>
      <c r="L220" s="137"/>
      <c r="M220" s="144"/>
      <c r="N220" s="144" t="s">
        <v>818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7.6" hidden="1" outlineLevel="3">
      <c r="B221" s="28"/>
      <c r="C221" s="29" t="s">
        <v>443</v>
      </c>
      <c r="D221" s="8"/>
      <c r="E221" s="90"/>
      <c r="F221" s="8"/>
      <c r="G221" s="118" t="s">
        <v>441</v>
      </c>
      <c r="H221" s="8"/>
      <c r="I221" s="90"/>
      <c r="J221" s="8"/>
      <c r="K221" s="137"/>
      <c r="L221" s="137"/>
      <c r="M221" s="144"/>
      <c r="N221" s="144" t="s">
        <v>819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1.45" hidden="1" outlineLevel="3">
      <c r="B222" s="28"/>
      <c r="C222" s="29" t="s">
        <v>443</v>
      </c>
      <c r="D222" s="8"/>
      <c r="E222" s="90"/>
      <c r="F222" s="8"/>
      <c r="G222" s="118" t="s">
        <v>441</v>
      </c>
      <c r="H222" s="8"/>
      <c r="I222" s="90"/>
      <c r="J222" s="8"/>
      <c r="K222" s="137"/>
      <c r="L222" s="137"/>
      <c r="M222" s="144"/>
      <c r="N222" s="144" t="s">
        <v>820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1.45" hidden="1" outlineLevel="3">
      <c r="B223" s="28"/>
      <c r="C223" s="29" t="s">
        <v>443</v>
      </c>
      <c r="D223" s="8"/>
      <c r="E223" s="90"/>
      <c r="F223" s="8"/>
      <c r="G223" s="118" t="s">
        <v>441</v>
      </c>
      <c r="H223" s="8"/>
      <c r="I223" s="90"/>
      <c r="J223" s="8"/>
      <c r="K223" s="137"/>
      <c r="L223" s="137"/>
      <c r="M223" s="144"/>
      <c r="N223" s="144" t="s">
        <v>449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7.6" hidden="1" outlineLevel="3">
      <c r="B224" s="28"/>
      <c r="C224" s="29" t="s">
        <v>443</v>
      </c>
      <c r="D224" s="8"/>
      <c r="E224" s="90"/>
      <c r="F224" s="8"/>
      <c r="G224" s="118" t="s">
        <v>441</v>
      </c>
      <c r="H224" s="8"/>
      <c r="I224" s="90"/>
      <c r="J224" s="8"/>
      <c r="K224" s="137"/>
      <c r="L224" s="137"/>
      <c r="M224" s="144"/>
      <c r="N224" s="144" t="s">
        <v>821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1.45" hidden="1" outlineLevel="3">
      <c r="B225" s="28"/>
      <c r="C225" s="29" t="s">
        <v>443</v>
      </c>
      <c r="D225" s="8"/>
      <c r="E225" s="90"/>
      <c r="F225" s="8"/>
      <c r="G225" s="118" t="s">
        <v>441</v>
      </c>
      <c r="H225" s="8"/>
      <c r="I225" s="90"/>
      <c r="J225" s="8"/>
      <c r="K225" s="137"/>
      <c r="L225" s="137"/>
      <c r="M225" s="144"/>
      <c r="N225" s="144" t="s">
        <v>822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252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5.15" hidden="1" outlineLevel="3">
      <c r="B228" s="28"/>
      <c r="C228" s="29"/>
      <c r="D228" s="8"/>
      <c r="E228" s="90"/>
      <c r="F228" s="8"/>
      <c r="G228" s="118" t="s">
        <v>441</v>
      </c>
      <c r="H228" s="8"/>
      <c r="I228" s="90"/>
      <c r="J228" s="8"/>
      <c r="K228" s="29" t="s">
        <v>199</v>
      </c>
      <c r="L228" s="29" t="s">
        <v>823</v>
      </c>
      <c r="M228" s="29" t="s">
        <v>824</v>
      </c>
      <c r="N228" s="29" t="s">
        <v>247</v>
      </c>
      <c r="O228" s="8"/>
      <c r="P228" s="90"/>
      <c r="Q228" s="8"/>
      <c r="R228" s="33" t="s">
        <v>441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7.6" hidden="1" outlineLevel="3">
      <c r="B229" s="28"/>
      <c r="C229" s="29"/>
      <c r="D229" s="8"/>
      <c r="E229" s="90"/>
      <c r="F229" s="8"/>
      <c r="G229" s="118" t="s">
        <v>441</v>
      </c>
      <c r="H229" s="8"/>
      <c r="I229" s="90"/>
      <c r="J229" s="8"/>
      <c r="K229" s="29" t="s">
        <v>825</v>
      </c>
      <c r="L229" s="29" t="s">
        <v>826</v>
      </c>
      <c r="M229" s="29" t="s">
        <v>271</v>
      </c>
      <c r="N229" s="29" t="s">
        <v>249</v>
      </c>
      <c r="O229" s="8"/>
      <c r="P229" s="90"/>
      <c r="Q229" s="8"/>
      <c r="R229" s="33" t="s">
        <v>441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5.15" hidden="1" outlineLevel="3">
      <c r="B230" s="28"/>
      <c r="C230" s="29"/>
      <c r="D230" s="8"/>
      <c r="E230" s="90"/>
      <c r="F230" s="8"/>
      <c r="G230" s="118" t="s">
        <v>441</v>
      </c>
      <c r="H230" s="8"/>
      <c r="I230" s="90"/>
      <c r="J230" s="8"/>
      <c r="K230" s="29" t="s">
        <v>827</v>
      </c>
      <c r="L230" s="29" t="s">
        <v>828</v>
      </c>
      <c r="M230" s="29" t="s">
        <v>829</v>
      </c>
      <c r="N230" s="25" t="s">
        <v>254</v>
      </c>
      <c r="O230" s="8"/>
      <c r="P230" s="90"/>
      <c r="Q230" s="8"/>
      <c r="R230" s="33" t="s">
        <v>441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7.6" hidden="1" outlineLevel="3">
      <c r="B231" s="28"/>
      <c r="C231" s="29"/>
      <c r="D231" s="8"/>
      <c r="E231" s="90"/>
      <c r="F231" s="8"/>
      <c r="G231" s="118" t="s">
        <v>441</v>
      </c>
      <c r="H231" s="8"/>
      <c r="I231" s="90"/>
      <c r="J231" s="8"/>
      <c r="K231" s="29" t="s">
        <v>830</v>
      </c>
      <c r="L231" s="29" t="s">
        <v>831</v>
      </c>
      <c r="M231" s="29" t="s">
        <v>273</v>
      </c>
      <c r="N231" s="29" t="s">
        <v>255</v>
      </c>
      <c r="O231" s="8"/>
      <c r="P231" s="90"/>
      <c r="Q231" s="8"/>
      <c r="R231" s="33" t="s">
        <v>441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5.15" hidden="1" outlineLevel="3">
      <c r="B232" s="28"/>
      <c r="C232" s="29"/>
      <c r="D232" s="8"/>
      <c r="E232" s="90"/>
      <c r="F232" s="8"/>
      <c r="G232" s="118" t="s">
        <v>441</v>
      </c>
      <c r="H232" s="8"/>
      <c r="I232" s="90"/>
      <c r="J232" s="8"/>
      <c r="K232" s="29" t="s">
        <v>832</v>
      </c>
      <c r="L232" s="29" t="s">
        <v>833</v>
      </c>
      <c r="M232" s="29" t="s">
        <v>834</v>
      </c>
      <c r="N232" s="29" t="s">
        <v>258</v>
      </c>
      <c r="O232" s="8"/>
      <c r="P232" s="90"/>
      <c r="Q232" s="8"/>
      <c r="R232" s="33" t="s">
        <v>441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5.15" hidden="1" outlineLevel="3">
      <c r="B233" s="28"/>
      <c r="C233" s="29"/>
      <c r="D233" s="8"/>
      <c r="E233" s="90"/>
      <c r="F233" s="8"/>
      <c r="G233" s="118" t="s">
        <v>441</v>
      </c>
      <c r="H233" s="8"/>
      <c r="I233" s="90"/>
      <c r="J233" s="8"/>
      <c r="K233" s="29" t="s">
        <v>264</v>
      </c>
      <c r="L233" s="29" t="s">
        <v>835</v>
      </c>
      <c r="M233" s="29" t="s">
        <v>275</v>
      </c>
      <c r="N233" s="29" t="s">
        <v>261</v>
      </c>
      <c r="O233" s="8"/>
      <c r="P233" s="90"/>
      <c r="Q233" s="8"/>
      <c r="R233" s="33" t="s">
        <v>441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5.15" hidden="1" outlineLevel="3">
      <c r="B234" s="28"/>
      <c r="C234" s="29"/>
      <c r="D234" s="8"/>
      <c r="E234" s="90"/>
      <c r="F234" s="8"/>
      <c r="G234" s="118" t="s">
        <v>441</v>
      </c>
      <c r="H234" s="8"/>
      <c r="I234" s="90"/>
      <c r="J234" s="8"/>
      <c r="K234" s="29" t="s">
        <v>265</v>
      </c>
      <c r="L234" s="29" t="s">
        <v>242</v>
      </c>
      <c r="M234" s="29" t="s">
        <v>836</v>
      </c>
      <c r="N234" s="29" t="s">
        <v>262</v>
      </c>
      <c r="O234" s="8"/>
      <c r="P234" s="90"/>
      <c r="Q234" s="8"/>
      <c r="R234" s="33" t="s">
        <v>441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7.6" hidden="1" outlineLevel="3">
      <c r="B235" s="28"/>
      <c r="C235" s="29"/>
      <c r="D235" s="8"/>
      <c r="E235" s="90"/>
      <c r="F235" s="8"/>
      <c r="G235" s="118" t="s">
        <v>441</v>
      </c>
      <c r="H235" s="8"/>
      <c r="I235" s="90"/>
      <c r="J235" s="8"/>
      <c r="K235" s="29" t="s">
        <v>837</v>
      </c>
      <c r="L235" s="29" t="s">
        <v>266</v>
      </c>
      <c r="M235" s="29" t="s">
        <v>277</v>
      </c>
      <c r="N235" s="92"/>
      <c r="O235" s="8"/>
      <c r="P235" s="90"/>
      <c r="Q235" s="8"/>
      <c r="R235" s="33" t="s">
        <v>441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5.15" hidden="1" outlineLevel="3">
      <c r="B236" s="28"/>
      <c r="C236" s="29"/>
      <c r="D236" s="8"/>
      <c r="E236" s="90"/>
      <c r="F236" s="8"/>
      <c r="G236" s="118" t="s">
        <v>441</v>
      </c>
      <c r="H236" s="8"/>
      <c r="I236" s="90"/>
      <c r="J236" s="8"/>
      <c r="K236" s="29" t="s">
        <v>838</v>
      </c>
      <c r="L236" s="29" t="s">
        <v>267</v>
      </c>
      <c r="M236" s="29" t="s">
        <v>839</v>
      </c>
      <c r="N236" s="92"/>
      <c r="O236" s="8"/>
      <c r="P236" s="90"/>
      <c r="Q236" s="8"/>
      <c r="R236" s="33" t="s">
        <v>441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7.6" hidden="1" outlineLevel="3">
      <c r="B237" s="28"/>
      <c r="C237" s="29"/>
      <c r="D237" s="8"/>
      <c r="E237" s="90"/>
      <c r="F237" s="8"/>
      <c r="G237" s="118" t="s">
        <v>441</v>
      </c>
      <c r="H237" s="8"/>
      <c r="I237" s="90"/>
      <c r="J237" s="8"/>
      <c r="K237" s="141"/>
      <c r="L237" s="29" t="s">
        <v>268</v>
      </c>
      <c r="M237" s="29" t="s">
        <v>279</v>
      </c>
      <c r="N237" s="92"/>
      <c r="O237" s="8"/>
      <c r="P237" s="90"/>
      <c r="Q237" s="8"/>
      <c r="R237" s="33" t="s">
        <v>441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7.6" hidden="1" outlineLevel="3">
      <c r="B238" s="28"/>
      <c r="C238" s="29"/>
      <c r="D238" s="8"/>
      <c r="E238" s="90"/>
      <c r="F238" s="8"/>
      <c r="G238" s="118" t="s">
        <v>441</v>
      </c>
      <c r="H238" s="8"/>
      <c r="I238" s="90"/>
      <c r="J238" s="8"/>
      <c r="K238" s="141"/>
      <c r="L238" s="29" t="s">
        <v>269</v>
      </c>
      <c r="M238" s="29" t="s">
        <v>489</v>
      </c>
      <c r="N238" s="29"/>
      <c r="O238" s="8"/>
      <c r="P238" s="90"/>
      <c r="Q238" s="8"/>
      <c r="R238" s="33" t="s">
        <v>441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7.6" hidden="1" outlineLevel="3">
      <c r="B239" s="28"/>
      <c r="C239" s="29"/>
      <c r="D239" s="8"/>
      <c r="E239" s="90"/>
      <c r="F239" s="8"/>
      <c r="G239" s="118" t="s">
        <v>441</v>
      </c>
      <c r="H239" s="8"/>
      <c r="I239" s="90"/>
      <c r="J239" s="8"/>
      <c r="K239" s="141"/>
      <c r="L239" s="29" t="s">
        <v>270</v>
      </c>
      <c r="M239" s="29" t="s">
        <v>243</v>
      </c>
      <c r="N239" s="29"/>
      <c r="O239" s="8"/>
      <c r="P239" s="90"/>
      <c r="Q239" s="8"/>
      <c r="R239" s="33" t="s">
        <v>441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7.6" hidden="1" outlineLevel="3">
      <c r="B240" s="28"/>
      <c r="C240" s="29"/>
      <c r="D240" s="8"/>
      <c r="E240" s="90"/>
      <c r="F240" s="8"/>
      <c r="G240" s="118" t="s">
        <v>441</v>
      </c>
      <c r="H240" s="8"/>
      <c r="I240" s="90"/>
      <c r="J240" s="8"/>
      <c r="K240" s="141"/>
      <c r="L240" s="29" t="s">
        <v>840</v>
      </c>
      <c r="M240" s="143" t="s">
        <v>245</v>
      </c>
      <c r="N240" s="29"/>
      <c r="O240" s="8"/>
      <c r="P240" s="90"/>
      <c r="Q240" s="8"/>
      <c r="R240" s="33" t="s">
        <v>441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281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7.6" hidden="1" outlineLevel="4">
      <c r="B243" s="28"/>
      <c r="C243" s="29"/>
      <c r="D243" s="8"/>
      <c r="E243" s="90"/>
      <c r="F243" s="8"/>
      <c r="G243" s="118" t="s">
        <v>441</v>
      </c>
      <c r="H243" s="8"/>
      <c r="I243" s="90"/>
      <c r="J243" s="8"/>
      <c r="K243" s="29" t="s">
        <v>841</v>
      </c>
      <c r="L243" s="29" t="s">
        <v>249</v>
      </c>
      <c r="M243" s="141"/>
      <c r="N243" s="141"/>
      <c r="O243" s="8"/>
      <c r="P243" s="90"/>
      <c r="Q243" s="8"/>
      <c r="R243" s="33" t="s">
        <v>441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7.6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243</v>
      </c>
      <c r="L244" s="29" t="s">
        <v>254</v>
      </c>
      <c r="M244" s="141"/>
      <c r="N244" s="141"/>
      <c r="O244" s="8"/>
      <c r="P244" s="90"/>
      <c r="Q244" s="8"/>
      <c r="R244" s="33" t="s">
        <v>441</v>
      </c>
      <c r="S244" s="8"/>
      <c r="T244" s="90"/>
      <c r="U244" s="8"/>
      <c r="V244" s="35">
        <v>0.48</v>
      </c>
      <c r="W244" s="35">
        <v>0.02</v>
      </c>
    </row>
    <row r="245" spans="2:25" ht="27.6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245</v>
      </c>
      <c r="L245" s="141"/>
      <c r="M245" s="141"/>
      <c r="N245" s="141"/>
      <c r="O245" s="8"/>
      <c r="P245" s="90"/>
      <c r="Q245" s="8"/>
      <c r="R245" s="33" t="s">
        <v>441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441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842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441</v>
      </c>
      <c r="H249" s="8"/>
      <c r="I249" s="90"/>
      <c r="J249" s="8"/>
      <c r="L249" s="99" t="s">
        <v>206</v>
      </c>
      <c r="M249" s="42" t="s">
        <v>299</v>
      </c>
      <c r="N249" s="42"/>
      <c r="O249" s="8"/>
      <c r="P249" s="90"/>
      <c r="Q249" s="8"/>
      <c r="R249" s="33" t="s">
        <v>441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7.6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208</v>
      </c>
      <c r="M250" s="42" t="s">
        <v>209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494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7.6" hidden="1" outlineLevel="3">
      <c r="B253" s="28"/>
      <c r="C253" s="29"/>
      <c r="D253" s="8"/>
      <c r="E253" s="90"/>
      <c r="F253" s="8"/>
      <c r="G253" s="118" t="s">
        <v>441</v>
      </c>
      <c r="H253" s="8"/>
      <c r="I253" s="90"/>
      <c r="J253" s="8"/>
      <c r="K253" s="25"/>
      <c r="L253" s="142" t="s">
        <v>206</v>
      </c>
      <c r="M253" s="139" t="s">
        <v>299</v>
      </c>
      <c r="N253" s="139" t="s">
        <v>209</v>
      </c>
      <c r="O253" s="8"/>
      <c r="P253" s="90"/>
      <c r="Q253" s="8"/>
      <c r="R253" s="33" t="s">
        <v>441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441</v>
      </c>
      <c r="H254" s="8"/>
      <c r="I254" s="90"/>
      <c r="J254" s="8"/>
      <c r="K254" s="25"/>
      <c r="L254" s="139" t="s">
        <v>208</v>
      </c>
      <c r="M254" s="139"/>
      <c r="N254" s="29"/>
      <c r="O254" s="8"/>
      <c r="P254" s="90"/>
      <c r="Q254" s="8"/>
      <c r="R254" s="33" t="s">
        <v>441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284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7.6" hidden="1" outlineLevel="3">
      <c r="B257" s="28"/>
      <c r="C257" s="29"/>
      <c r="D257" s="8"/>
      <c r="E257" s="90"/>
      <c r="F257" s="8"/>
      <c r="G257" s="118" t="s">
        <v>441</v>
      </c>
      <c r="H257" s="8"/>
      <c r="I257" s="90"/>
      <c r="J257" s="8"/>
      <c r="K257" s="99" t="s">
        <v>206</v>
      </c>
      <c r="L257" s="139" t="s">
        <v>299</v>
      </c>
      <c r="M257" s="40" t="s">
        <v>243</v>
      </c>
      <c r="N257" s="40" t="s">
        <v>249</v>
      </c>
      <c r="O257" s="8"/>
      <c r="P257" s="90"/>
      <c r="Q257" s="8"/>
      <c r="R257" s="33" t="s">
        <v>441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7.6" hidden="1" outlineLevel="3">
      <c r="B258" s="28"/>
      <c r="C258" s="29"/>
      <c r="D258" s="8"/>
      <c r="E258" s="90"/>
      <c r="F258" s="8"/>
      <c r="G258" s="118" t="s">
        <v>441</v>
      </c>
      <c r="H258" s="8"/>
      <c r="I258" s="90"/>
      <c r="J258" s="8"/>
      <c r="K258" s="139" t="s">
        <v>208</v>
      </c>
      <c r="L258" s="40" t="s">
        <v>219</v>
      </c>
      <c r="M258" s="92"/>
      <c r="N258" s="40" t="s">
        <v>245</v>
      </c>
      <c r="O258" s="8"/>
      <c r="P258" s="90"/>
      <c r="Q258" s="8"/>
      <c r="R258" s="33" t="s">
        <v>441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7.6" hidden="1" outlineLevel="3">
      <c r="B259" s="28"/>
      <c r="C259" s="29"/>
      <c r="D259" s="8"/>
      <c r="E259" s="90"/>
      <c r="F259" s="8"/>
      <c r="G259" s="118" t="s">
        <v>441</v>
      </c>
      <c r="H259" s="8"/>
      <c r="I259" s="90"/>
      <c r="J259" s="8"/>
      <c r="K259" s="139" t="s">
        <v>209</v>
      </c>
      <c r="L259" s="139"/>
      <c r="M259" s="41"/>
      <c r="N259" s="40" t="s">
        <v>221</v>
      </c>
      <c r="O259" s="8"/>
      <c r="P259" s="90"/>
      <c r="Q259" s="8"/>
      <c r="R259" s="33" t="s">
        <v>441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731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7.6" hidden="1" outlineLevel="3">
      <c r="B262" s="28"/>
      <c r="C262" s="29"/>
      <c r="D262" s="8"/>
      <c r="E262" s="90"/>
      <c r="F262" s="8"/>
      <c r="G262" s="118" t="s">
        <v>441</v>
      </c>
      <c r="H262" s="8"/>
      <c r="I262" s="90"/>
      <c r="J262" s="8"/>
      <c r="K262" s="35"/>
      <c r="L262" s="99" t="s">
        <v>206</v>
      </c>
      <c r="M262" s="42" t="s">
        <v>209</v>
      </c>
      <c r="N262" s="42" t="s">
        <v>299</v>
      </c>
      <c r="O262" s="8"/>
      <c r="P262" s="90"/>
      <c r="Q262" s="8"/>
      <c r="R262" s="33" t="s">
        <v>441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441</v>
      </c>
      <c r="H263" s="8"/>
      <c r="I263" s="90"/>
      <c r="J263" s="8"/>
      <c r="K263" s="35"/>
      <c r="L263" s="42" t="s">
        <v>208</v>
      </c>
      <c r="M263" s="3"/>
      <c r="N263" s="75"/>
      <c r="O263" s="8"/>
      <c r="P263" s="90"/>
      <c r="Q263" s="8"/>
      <c r="R263" s="33" t="s">
        <v>441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286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7.6" hidden="1" outlineLevel="3">
      <c r="B266" s="28"/>
      <c r="C266" s="29"/>
      <c r="D266" s="8"/>
      <c r="E266" s="90"/>
      <c r="F266" s="8"/>
      <c r="G266" s="118" t="s">
        <v>441</v>
      </c>
      <c r="H266" s="8"/>
      <c r="I266" s="90"/>
      <c r="J266" s="8"/>
      <c r="K266" s="35"/>
      <c r="L266" s="99" t="s">
        <v>206</v>
      </c>
      <c r="M266" s="42" t="s">
        <v>299</v>
      </c>
      <c r="N266" s="42" t="s">
        <v>209</v>
      </c>
      <c r="O266" s="8"/>
      <c r="P266" s="90"/>
      <c r="Q266" s="8"/>
      <c r="R266" s="33" t="s">
        <v>441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441</v>
      </c>
      <c r="H267" s="8"/>
      <c r="I267" s="90"/>
      <c r="J267" s="8"/>
      <c r="K267" s="35"/>
      <c r="L267" s="42" t="s">
        <v>208</v>
      </c>
      <c r="M267" s="3"/>
      <c r="N267" s="75"/>
      <c r="O267" s="8"/>
      <c r="P267" s="90"/>
      <c r="Q267" s="8"/>
      <c r="R267" s="33" t="s">
        <v>441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163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7.6" hidden="1" outlineLevel="3">
      <c r="B270" s="28"/>
      <c r="C270" s="29"/>
      <c r="D270" s="8"/>
      <c r="E270" s="90"/>
      <c r="F270" s="8"/>
      <c r="G270" s="118" t="s">
        <v>441</v>
      </c>
      <c r="H270" s="8"/>
      <c r="I270" s="90"/>
      <c r="J270" s="8"/>
      <c r="K270" s="35"/>
      <c r="L270" s="99" t="s">
        <v>206</v>
      </c>
      <c r="M270" s="42" t="s">
        <v>299</v>
      </c>
      <c r="N270" s="42" t="s">
        <v>209</v>
      </c>
      <c r="O270" s="8"/>
      <c r="P270" s="90"/>
      <c r="Q270" s="8"/>
      <c r="R270" s="33" t="s">
        <v>441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208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496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441</v>
      </c>
      <c r="H274" s="8"/>
      <c r="I274" s="90"/>
      <c r="J274" s="8"/>
      <c r="K274" s="35"/>
      <c r="M274" s="36" t="s">
        <v>206</v>
      </c>
      <c r="N274" s="36" t="s">
        <v>199</v>
      </c>
      <c r="O274" s="8"/>
      <c r="P274" s="90"/>
      <c r="Q274" s="8"/>
      <c r="R274" s="33" t="s">
        <v>441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441</v>
      </c>
      <c r="H275" s="8"/>
      <c r="I275" s="90"/>
      <c r="J275" s="8"/>
      <c r="K275" s="113"/>
      <c r="M275" s="73" t="s">
        <v>208</v>
      </c>
      <c r="N275" s="36" t="s">
        <v>608</v>
      </c>
      <c r="O275" s="8"/>
      <c r="P275" s="90"/>
      <c r="Q275" s="8"/>
      <c r="R275" s="33" t="s">
        <v>441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843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7.6" hidden="1" outlineLevel="3">
      <c r="B278" s="19"/>
      <c r="C278" s="20"/>
      <c r="D278" s="8"/>
      <c r="E278" s="90"/>
      <c r="F278" s="8"/>
      <c r="G278" s="118" t="s">
        <v>441</v>
      </c>
      <c r="H278" s="8"/>
      <c r="I278" s="90"/>
      <c r="J278" s="8"/>
      <c r="K278" s="36" t="s">
        <v>206</v>
      </c>
      <c r="L278" s="36" t="s">
        <v>199</v>
      </c>
      <c r="M278" s="36" t="s">
        <v>209</v>
      </c>
      <c r="N278" s="104" t="s">
        <v>844</v>
      </c>
      <c r="O278" s="8"/>
      <c r="P278" s="90"/>
      <c r="Q278" s="8"/>
      <c r="R278" s="33" t="s">
        <v>441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441</v>
      </c>
      <c r="H279" s="8"/>
      <c r="I279" s="90"/>
      <c r="J279" s="8"/>
      <c r="K279" s="36" t="s">
        <v>208</v>
      </c>
      <c r="L279" s="36"/>
      <c r="M279" s="3"/>
      <c r="N279" s="36"/>
      <c r="O279" s="8"/>
      <c r="P279" s="90"/>
      <c r="Q279" s="8"/>
      <c r="R279" s="33" t="s">
        <v>441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845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7.6" hidden="1" outlineLevel="3">
      <c r="B282" s="19"/>
      <c r="C282" s="20"/>
      <c r="D282" s="8"/>
      <c r="E282" s="90"/>
      <c r="F282" s="8"/>
      <c r="G282" s="118" t="s">
        <v>441</v>
      </c>
      <c r="H282" s="8"/>
      <c r="I282" s="90"/>
      <c r="J282" s="8"/>
      <c r="K282" s="36" t="s">
        <v>206</v>
      </c>
      <c r="L282" s="36" t="s">
        <v>199</v>
      </c>
      <c r="M282" s="36" t="s">
        <v>209</v>
      </c>
      <c r="N282" s="104" t="s">
        <v>846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441</v>
      </c>
      <c r="H283" s="8"/>
      <c r="I283" s="90"/>
      <c r="J283" s="8"/>
      <c r="K283" s="36" t="s">
        <v>208</v>
      </c>
      <c r="L283" s="36"/>
      <c r="M283" s="3"/>
      <c r="N283" s="104" t="s">
        <v>847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7.6" hidden="1" outlineLevel="3">
      <c r="B284" s="19"/>
      <c r="C284" s="20"/>
      <c r="D284" s="8"/>
      <c r="E284" s="90"/>
      <c r="F284" s="8"/>
      <c r="G284" s="118" t="s">
        <v>441</v>
      </c>
      <c r="H284" s="8"/>
      <c r="I284" s="90"/>
      <c r="J284" s="8"/>
      <c r="K284" s="3"/>
      <c r="L284" s="36"/>
      <c r="M284" s="74"/>
      <c r="N284" s="104" t="s">
        <v>848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214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441</v>
      </c>
      <c r="H287" s="8"/>
      <c r="I287" s="90"/>
      <c r="J287" s="8"/>
      <c r="K287" s="42" t="s">
        <v>221</v>
      </c>
      <c r="L287" s="42" t="s">
        <v>759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453</v>
      </c>
      <c r="H289" s="8"/>
      <c r="I289" s="90"/>
      <c r="J289" s="8"/>
      <c r="K289" s="74" t="s">
        <v>199</v>
      </c>
      <c r="L289" s="42" t="s">
        <v>759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453</v>
      </c>
      <c r="H290" s="8"/>
      <c r="I290" s="90"/>
      <c r="J290" s="8"/>
      <c r="K290" s="74" t="s">
        <v>219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453</v>
      </c>
      <c r="H291" s="8"/>
      <c r="I291" s="90"/>
      <c r="J291" s="8"/>
      <c r="K291" s="42" t="s">
        <v>222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7.6" hidden="1" outlineLevel="3">
      <c r="B292" s="24"/>
      <c r="C292" s="25"/>
      <c r="D292" s="8"/>
      <c r="E292" s="90"/>
      <c r="F292" s="8"/>
      <c r="G292" s="118" t="s">
        <v>453</v>
      </c>
      <c r="H292" s="8"/>
      <c r="I292" s="90"/>
      <c r="J292" s="8"/>
      <c r="K292" s="74" t="s">
        <v>283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377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7.6" hidden="1" outlineLevel="3">
      <c r="B295" s="19"/>
      <c r="C295" s="20"/>
      <c r="D295" s="8"/>
      <c r="E295" s="90"/>
      <c r="F295" s="8"/>
      <c r="G295" s="118" t="s">
        <v>441</v>
      </c>
      <c r="H295" s="8"/>
      <c r="I295" s="90"/>
      <c r="J295" s="8"/>
      <c r="K295" s="36" t="s">
        <v>849</v>
      </c>
      <c r="L295" s="36" t="s">
        <v>850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7.6" hidden="1" outlineLevel="3">
      <c r="B296" s="19"/>
      <c r="C296" s="20"/>
      <c r="D296" s="8"/>
      <c r="E296" s="90"/>
      <c r="F296" s="8"/>
      <c r="G296" s="118" t="s">
        <v>441</v>
      </c>
      <c r="H296" s="8"/>
      <c r="I296" s="90"/>
      <c r="J296" s="8"/>
      <c r="K296" s="36" t="s">
        <v>851</v>
      </c>
      <c r="L296" s="36" t="s">
        <v>852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7.6" hidden="1" outlineLevel="3">
      <c r="B297" s="19"/>
      <c r="C297" s="20"/>
      <c r="D297" s="8"/>
      <c r="E297" s="90"/>
      <c r="F297" s="8"/>
      <c r="G297" s="118" t="s">
        <v>441</v>
      </c>
      <c r="H297" s="8"/>
      <c r="I297" s="90"/>
      <c r="J297" s="8"/>
      <c r="K297" s="36" t="s">
        <v>853</v>
      </c>
      <c r="L297" s="36" t="s">
        <v>854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855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441</v>
      </c>
      <c r="H300" s="8"/>
      <c r="I300" s="90"/>
      <c r="J300" s="8"/>
      <c r="K300" s="73"/>
      <c r="L300" s="74" t="s">
        <v>298</v>
      </c>
      <c r="M300" s="74" t="s">
        <v>856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224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441</v>
      </c>
      <c r="H303" s="8"/>
      <c r="I303" s="90"/>
      <c r="J303" s="8"/>
      <c r="K303" s="42"/>
      <c r="L303" s="91" t="s">
        <v>206</v>
      </c>
      <c r="M303" s="92" t="s">
        <v>299</v>
      </c>
      <c r="N303" s="92" t="s">
        <v>857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441</v>
      </c>
      <c r="H304" s="8"/>
      <c r="I304" s="90"/>
      <c r="J304" s="8"/>
      <c r="K304" s="42"/>
      <c r="M304" s="92" t="s">
        <v>208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858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441</v>
      </c>
      <c r="H307" s="8"/>
      <c r="I307" s="90"/>
      <c r="J307" s="8"/>
      <c r="L307" s="91" t="s">
        <v>206</v>
      </c>
      <c r="M307" s="92" t="s">
        <v>299</v>
      </c>
      <c r="N307" s="92" t="s">
        <v>857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441</v>
      </c>
      <c r="H308" s="8"/>
      <c r="I308" s="90"/>
      <c r="J308" s="8"/>
      <c r="M308" s="92" t="s">
        <v>208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859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441</v>
      </c>
      <c r="H311" s="8"/>
      <c r="I311" s="90"/>
      <c r="J311" s="8"/>
      <c r="L311" s="91" t="s">
        <v>206</v>
      </c>
      <c r="M311" s="92" t="s">
        <v>299</v>
      </c>
      <c r="N311" s="92" t="s">
        <v>857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441</v>
      </c>
      <c r="H312" s="8"/>
      <c r="I312" s="90"/>
      <c r="J312" s="8"/>
      <c r="M312" s="92" t="s">
        <v>208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721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441</v>
      </c>
      <c r="H315" s="8"/>
      <c r="I315" s="90"/>
      <c r="J315" s="8"/>
      <c r="K315" s="36" t="s">
        <v>206</v>
      </c>
      <c r="L315" s="3"/>
      <c r="M315" s="36" t="s">
        <v>199</v>
      </c>
      <c r="N315" s="36" t="s">
        <v>608</v>
      </c>
      <c r="O315" s="8"/>
      <c r="P315" s="90"/>
      <c r="Q315" s="8"/>
      <c r="R315" s="33" t="s">
        <v>441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441</v>
      </c>
      <c r="H316" s="8"/>
      <c r="I316" s="90"/>
      <c r="J316" s="8"/>
      <c r="L316" s="36" t="s">
        <v>208</v>
      </c>
      <c r="M316" s="3"/>
      <c r="N316" s="3"/>
      <c r="O316" s="8"/>
      <c r="P316" s="90"/>
      <c r="Q316" s="8"/>
      <c r="R316" s="33" t="s">
        <v>441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610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441</v>
      </c>
      <c r="H319" s="8"/>
      <c r="I319" s="90"/>
      <c r="J319" s="8"/>
      <c r="K319" s="36" t="s">
        <v>206</v>
      </c>
      <c r="L319" s="3"/>
      <c r="M319" s="36" t="s">
        <v>199</v>
      </c>
      <c r="N319" s="36" t="s">
        <v>608</v>
      </c>
      <c r="O319" s="8"/>
      <c r="P319" s="90"/>
      <c r="Q319" s="8"/>
      <c r="R319" s="33" t="s">
        <v>441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441</v>
      </c>
      <c r="H320" s="8"/>
      <c r="I320" s="90"/>
      <c r="J320" s="8"/>
      <c r="L320" s="36" t="s">
        <v>208</v>
      </c>
      <c r="M320" s="3"/>
      <c r="N320" s="3"/>
      <c r="O320" s="8"/>
      <c r="P320" s="90"/>
      <c r="Q320" s="8"/>
      <c r="R320" s="33" t="s">
        <v>441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732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441</v>
      </c>
      <c r="H323" s="8"/>
      <c r="I323" s="90"/>
      <c r="J323" s="8"/>
      <c r="K323" s="3"/>
      <c r="M323" s="36" t="s">
        <v>206</v>
      </c>
      <c r="N323" s="36" t="s">
        <v>199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441</v>
      </c>
      <c r="H324" s="8"/>
      <c r="I324" s="90"/>
      <c r="J324" s="8"/>
      <c r="K324" s="3"/>
      <c r="M324" s="36" t="s">
        <v>208</v>
      </c>
      <c r="N324" s="3" t="s">
        <v>608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293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441</v>
      </c>
      <c r="H327" s="8"/>
      <c r="I327" s="90"/>
      <c r="J327" s="8"/>
      <c r="K327" s="36" t="s">
        <v>206</v>
      </c>
      <c r="L327" s="3"/>
      <c r="M327" s="36" t="s">
        <v>199</v>
      </c>
      <c r="N327" s="36" t="s">
        <v>244</v>
      </c>
      <c r="O327" s="8"/>
      <c r="P327" s="90"/>
      <c r="Q327" s="8"/>
      <c r="R327" s="33" t="s">
        <v>441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441</v>
      </c>
      <c r="H328" s="8"/>
      <c r="I328" s="90"/>
      <c r="J328" s="8"/>
      <c r="K328" s="113"/>
      <c r="L328" s="36" t="s">
        <v>208</v>
      </c>
      <c r="M328" s="36" t="s">
        <v>608</v>
      </c>
      <c r="N328" s="36"/>
      <c r="O328" s="8"/>
      <c r="P328" s="90"/>
      <c r="Q328" s="8"/>
      <c r="R328" s="33" t="s">
        <v>441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733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441</v>
      </c>
      <c r="H331" s="8"/>
      <c r="I331" s="90"/>
      <c r="J331" s="8"/>
      <c r="K331" s="35"/>
      <c r="L331" s="36" t="s">
        <v>206</v>
      </c>
      <c r="M331" s="36" t="s">
        <v>208</v>
      </c>
      <c r="N331" s="36" t="s">
        <v>199</v>
      </c>
      <c r="O331" s="8"/>
      <c r="P331" s="90"/>
      <c r="Q331" s="8"/>
      <c r="R331" s="33" t="s">
        <v>441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734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441</v>
      </c>
      <c r="H334" s="8"/>
      <c r="I334" s="90"/>
      <c r="J334" s="8"/>
      <c r="K334" s="35"/>
      <c r="L334" s="36" t="s">
        <v>206</v>
      </c>
      <c r="M334" s="36" t="s">
        <v>208</v>
      </c>
      <c r="N334" s="36" t="s">
        <v>199</v>
      </c>
      <c r="O334" s="8"/>
      <c r="P334" s="90"/>
      <c r="Q334" s="8"/>
      <c r="R334" s="33" t="s">
        <v>441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735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441</v>
      </c>
      <c r="H337" s="8"/>
      <c r="I337" s="90"/>
      <c r="J337" s="8"/>
      <c r="K337" s="35"/>
      <c r="L337" s="36" t="s">
        <v>206</v>
      </c>
      <c r="M337" s="36" t="s">
        <v>199</v>
      </c>
      <c r="N337" s="36"/>
      <c r="O337" s="8"/>
      <c r="P337" s="90"/>
      <c r="Q337" s="8"/>
      <c r="R337" s="33" t="s">
        <v>441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441</v>
      </c>
      <c r="H338" s="8"/>
      <c r="I338" s="90"/>
      <c r="J338" s="8"/>
      <c r="K338" s="113"/>
      <c r="L338" s="36" t="s">
        <v>208</v>
      </c>
      <c r="N338" s="3"/>
      <c r="O338" s="8"/>
      <c r="P338" s="90"/>
      <c r="Q338" s="8"/>
      <c r="R338" s="33" t="s">
        <v>441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236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441</v>
      </c>
      <c r="H341" s="8"/>
      <c r="I341" s="90"/>
      <c r="J341" s="8"/>
      <c r="K341" s="35"/>
      <c r="L341" s="36" t="s">
        <v>206</v>
      </c>
      <c r="M341" s="3" t="s">
        <v>608</v>
      </c>
      <c r="N341" s="36" t="s">
        <v>199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441</v>
      </c>
      <c r="H342" s="8"/>
      <c r="I342" s="90"/>
      <c r="J342" s="8"/>
      <c r="K342" s="113"/>
      <c r="L342" s="36" t="s">
        <v>208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860</v>
      </c>
      <c r="C344" s="44" t="s">
        <v>453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440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437</v>
      </c>
      <c r="C347" s="29" t="s">
        <v>307</v>
      </c>
      <c r="D347" s="33"/>
      <c r="E347" s="6"/>
      <c r="G347" s="119" t="s">
        <v>461</v>
      </c>
      <c r="I347" s="6"/>
      <c r="K347" s="35" t="s">
        <v>861</v>
      </c>
      <c r="P347" s="6"/>
      <c r="R347" s="34" t="s">
        <v>461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437</v>
      </c>
      <c r="C348" s="29" t="s">
        <v>307</v>
      </c>
      <c r="D348" s="33"/>
      <c r="E348" s="6"/>
      <c r="G348" s="119" t="s">
        <v>461</v>
      </c>
      <c r="I348" s="6"/>
      <c r="K348" s="35" t="s">
        <v>862</v>
      </c>
      <c r="P348" s="6"/>
      <c r="R348" s="34" t="s">
        <v>461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437</v>
      </c>
      <c r="C350" s="29" t="s">
        <v>311</v>
      </c>
      <c r="D350" s="33"/>
      <c r="E350" s="6"/>
      <c r="G350" s="119" t="s">
        <v>461</v>
      </c>
      <c r="I350" s="6"/>
      <c r="L350" s="35" t="s">
        <v>862</v>
      </c>
      <c r="P350" s="6"/>
      <c r="R350" s="34" t="s">
        <v>461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368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437</v>
      </c>
      <c r="C353" s="29" t="s">
        <v>368</v>
      </c>
      <c r="D353" s="33"/>
      <c r="E353" s="6"/>
      <c r="G353" s="119" t="s">
        <v>461</v>
      </c>
      <c r="I353" s="6"/>
      <c r="K353" s="29" t="s">
        <v>456</v>
      </c>
      <c r="L353" s="29" t="s">
        <v>862</v>
      </c>
      <c r="M353" s="141"/>
      <c r="N353" s="141"/>
      <c r="P353" s="6"/>
      <c r="R353" s="34" t="s">
        <v>461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437</v>
      </c>
      <c r="C354" s="29" t="s">
        <v>368</v>
      </c>
      <c r="D354" s="33"/>
      <c r="E354" s="6"/>
      <c r="G354" s="119" t="s">
        <v>461</v>
      </c>
      <c r="I354" s="6"/>
      <c r="K354" s="29" t="s">
        <v>457</v>
      </c>
      <c r="L354" s="141"/>
      <c r="M354" s="141"/>
      <c r="N354" s="141"/>
      <c r="P354" s="6"/>
      <c r="R354" s="34" t="s">
        <v>461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437</v>
      </c>
      <c r="C355" s="29" t="s">
        <v>368</v>
      </c>
      <c r="D355" s="33"/>
      <c r="E355" s="6"/>
      <c r="G355" s="119" t="s">
        <v>461</v>
      </c>
      <c r="I355" s="6"/>
      <c r="K355" s="29" t="s">
        <v>863</v>
      </c>
      <c r="L355" s="141"/>
      <c r="M355" s="141"/>
      <c r="N355" s="141"/>
      <c r="P355" s="6"/>
      <c r="R355" s="34" t="s">
        <v>461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549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437</v>
      </c>
      <c r="C358" s="28" t="s">
        <v>549</v>
      </c>
      <c r="D358" s="33"/>
      <c r="E358" s="6"/>
      <c r="G358" s="119" t="s">
        <v>461</v>
      </c>
      <c r="I358" s="6"/>
      <c r="K358" s="35" t="s">
        <v>862</v>
      </c>
      <c r="P358" s="6"/>
      <c r="R358" s="34" t="s">
        <v>461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743</v>
      </c>
      <c r="I359" s="6"/>
      <c r="P359" s="6"/>
      <c r="R359" s="34" t="s">
        <v>743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241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241</v>
      </c>
      <c r="D361" s="33"/>
      <c r="E361" s="6"/>
      <c r="F361" s="33"/>
      <c r="G361" s="119" t="s">
        <v>461</v>
      </c>
      <c r="H361" s="33"/>
      <c r="I361" s="6"/>
      <c r="J361" s="33"/>
      <c r="K361" s="35" t="s">
        <v>864</v>
      </c>
      <c r="L361" s="35" t="s">
        <v>865</v>
      </c>
      <c r="O361" s="33"/>
      <c r="P361" s="6"/>
      <c r="Q361" s="33"/>
      <c r="R361" s="34" t="s">
        <v>461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241</v>
      </c>
      <c r="D362" s="33"/>
      <c r="E362" s="6"/>
      <c r="F362" s="33"/>
      <c r="G362" s="119" t="s">
        <v>461</v>
      </c>
      <c r="H362" s="33"/>
      <c r="I362" s="6"/>
      <c r="J362" s="33"/>
      <c r="K362" s="35" t="s">
        <v>866</v>
      </c>
      <c r="L362" s="35" t="s">
        <v>867</v>
      </c>
      <c r="O362" s="33"/>
      <c r="P362" s="6"/>
      <c r="Q362" s="33"/>
      <c r="R362" s="34" t="s">
        <v>461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241</v>
      </c>
      <c r="D363" s="33"/>
      <c r="E363" s="6"/>
      <c r="F363" s="33"/>
      <c r="G363" s="119" t="s">
        <v>461</v>
      </c>
      <c r="H363" s="33"/>
      <c r="I363" s="6"/>
      <c r="J363" s="33"/>
      <c r="K363" s="35" t="s">
        <v>868</v>
      </c>
      <c r="L363" s="35" t="s">
        <v>862</v>
      </c>
      <c r="O363" s="33"/>
      <c r="P363" s="6"/>
      <c r="Q363" s="33"/>
      <c r="R363" s="34" t="s">
        <v>461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331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437</v>
      </c>
      <c r="C366" s="36" t="s">
        <v>331</v>
      </c>
      <c r="D366" s="33"/>
      <c r="E366" s="6"/>
      <c r="F366" s="33"/>
      <c r="G366" s="119" t="s">
        <v>453</v>
      </c>
      <c r="H366" s="33"/>
      <c r="I366" s="6"/>
      <c r="J366" s="33"/>
      <c r="K366" s="35" t="s">
        <v>869</v>
      </c>
      <c r="L366" s="35" t="s">
        <v>870</v>
      </c>
      <c r="O366" s="33"/>
      <c r="P366" s="6"/>
      <c r="Q366" s="33"/>
      <c r="R366" s="34" t="s">
        <v>453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437</v>
      </c>
      <c r="C368" s="36" t="s">
        <v>469</v>
      </c>
      <c r="D368" s="33"/>
      <c r="E368" s="6"/>
      <c r="F368" s="33"/>
      <c r="G368" s="119" t="s">
        <v>453</v>
      </c>
      <c r="H368" s="33"/>
      <c r="I368" s="6"/>
      <c r="J368" s="33"/>
      <c r="K368" s="35"/>
      <c r="L368" s="35" t="s">
        <v>871</v>
      </c>
      <c r="M368" s="35" t="s">
        <v>872</v>
      </c>
      <c r="O368" s="33"/>
      <c r="P368" s="6"/>
      <c r="Q368" s="33"/>
      <c r="R368" s="34" t="s">
        <v>453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437</v>
      </c>
      <c r="C369" s="36" t="s">
        <v>469</v>
      </c>
      <c r="D369" s="33"/>
      <c r="E369" s="6"/>
      <c r="F369" s="33"/>
      <c r="G369" s="119" t="s">
        <v>453</v>
      </c>
      <c r="H369" s="33"/>
      <c r="I369" s="6"/>
      <c r="J369" s="33"/>
      <c r="K369" s="35"/>
      <c r="L369" s="35" t="s">
        <v>873</v>
      </c>
      <c r="O369" s="33"/>
      <c r="P369" s="6"/>
      <c r="Q369" s="33"/>
      <c r="R369" s="34" t="s">
        <v>453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437</v>
      </c>
      <c r="C370" s="36" t="s">
        <v>469</v>
      </c>
      <c r="D370" s="33"/>
      <c r="E370" s="6"/>
      <c r="F370" s="33"/>
      <c r="G370" s="119" t="s">
        <v>453</v>
      </c>
      <c r="H370" s="33"/>
      <c r="I370" s="6"/>
      <c r="J370" s="33"/>
      <c r="K370" s="35"/>
      <c r="L370" s="35" t="s">
        <v>874</v>
      </c>
      <c r="O370" s="33"/>
      <c r="P370" s="6"/>
      <c r="Q370" s="33"/>
      <c r="R370" s="34" t="s">
        <v>453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437</v>
      </c>
      <c r="C371" s="36" t="s">
        <v>469</v>
      </c>
      <c r="D371" s="33"/>
      <c r="E371" s="6"/>
      <c r="F371" s="33"/>
      <c r="G371" s="119" t="s">
        <v>453</v>
      </c>
      <c r="H371" s="33"/>
      <c r="I371" s="6"/>
      <c r="J371" s="33"/>
      <c r="K371" s="35" t="s">
        <v>470</v>
      </c>
      <c r="L371" s="35" t="s">
        <v>875</v>
      </c>
      <c r="O371" s="33"/>
      <c r="P371" s="6"/>
      <c r="Q371" s="33"/>
      <c r="R371" s="34" t="s">
        <v>453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437</v>
      </c>
      <c r="C372" s="36" t="s">
        <v>469</v>
      </c>
      <c r="D372" s="33"/>
      <c r="E372" s="6"/>
      <c r="F372" s="33"/>
      <c r="G372" s="119" t="s">
        <v>453</v>
      </c>
      <c r="H372" s="33"/>
      <c r="I372" s="6"/>
      <c r="J372" s="33"/>
      <c r="K372" s="35" t="s">
        <v>472</v>
      </c>
      <c r="L372" s="35" t="s">
        <v>473</v>
      </c>
      <c r="O372" s="33"/>
      <c r="P372" s="6"/>
      <c r="Q372" s="33"/>
      <c r="R372" s="34" t="s">
        <v>453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437</v>
      </c>
      <c r="C373" s="36" t="s">
        <v>469</v>
      </c>
      <c r="D373" s="33"/>
      <c r="E373" s="6"/>
      <c r="F373" s="33"/>
      <c r="G373" s="119" t="s">
        <v>453</v>
      </c>
      <c r="H373" s="33"/>
      <c r="I373" s="6"/>
      <c r="J373" s="33"/>
      <c r="K373" s="74"/>
      <c r="L373" s="35" t="s">
        <v>474</v>
      </c>
      <c r="O373" s="33"/>
      <c r="P373" s="6"/>
      <c r="Q373" s="33"/>
      <c r="R373" s="34" t="s">
        <v>453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622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437</v>
      </c>
      <c r="C376" s="29" t="s">
        <v>758</v>
      </c>
      <c r="D376" s="33"/>
      <c r="E376" s="6"/>
      <c r="F376" s="33"/>
      <c r="G376" s="119" t="s">
        <v>453</v>
      </c>
      <c r="H376" s="33"/>
      <c r="I376" s="6"/>
      <c r="J376" s="33"/>
      <c r="K376" s="35" t="s">
        <v>759</v>
      </c>
      <c r="O376" s="33"/>
      <c r="P376" s="6"/>
      <c r="Q376" s="33"/>
      <c r="R376" s="34" t="s">
        <v>453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437</v>
      </c>
      <c r="C377" s="29" t="s">
        <v>760</v>
      </c>
      <c r="D377" s="33"/>
      <c r="E377" s="6"/>
      <c r="F377" s="33"/>
      <c r="G377" s="119" t="s">
        <v>453</v>
      </c>
      <c r="H377" s="33"/>
      <c r="I377" s="6"/>
      <c r="J377" s="33"/>
      <c r="K377" s="35" t="s">
        <v>759</v>
      </c>
      <c r="O377" s="33"/>
      <c r="P377" s="6"/>
      <c r="Q377" s="33"/>
      <c r="R377" s="34" t="s">
        <v>453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170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171</v>
      </c>
      <c r="D380" s="33"/>
      <c r="E380" s="6"/>
      <c r="G380" s="120" t="s">
        <v>453</v>
      </c>
      <c r="I380" s="6"/>
      <c r="K380" s="127"/>
      <c r="L380" s="126" t="s">
        <v>759</v>
      </c>
      <c r="M380" s="127"/>
      <c r="N380" s="127"/>
      <c r="P380" s="6"/>
      <c r="R380" s="38" t="s">
        <v>453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173</v>
      </c>
      <c r="D382" s="33"/>
      <c r="E382" s="6"/>
      <c r="F382" s="33"/>
      <c r="G382" s="120" t="s">
        <v>453</v>
      </c>
      <c r="H382" s="33"/>
      <c r="I382" s="6"/>
      <c r="J382" s="33"/>
      <c r="K382" s="128"/>
      <c r="L382" s="126" t="s">
        <v>759</v>
      </c>
      <c r="M382" s="127"/>
      <c r="N382" s="127"/>
      <c r="O382" s="33"/>
      <c r="P382" s="6"/>
      <c r="Q382" s="33"/>
      <c r="R382" s="38" t="s">
        <v>453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176</v>
      </c>
      <c r="D384" s="33"/>
      <c r="E384" s="6"/>
      <c r="F384" s="33"/>
      <c r="G384" s="120" t="s">
        <v>453</v>
      </c>
      <c r="H384" s="33"/>
      <c r="I384" s="6"/>
      <c r="J384" s="33"/>
      <c r="K384" s="126" t="s">
        <v>477</v>
      </c>
      <c r="L384" s="127"/>
      <c r="M384" s="126" t="s">
        <v>876</v>
      </c>
      <c r="N384" s="127"/>
      <c r="O384" s="33"/>
      <c r="P384" s="6"/>
      <c r="Q384" s="33"/>
      <c r="R384" s="38" t="s">
        <v>453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176</v>
      </c>
      <c r="D385" s="33"/>
      <c r="E385" s="6"/>
      <c r="F385" s="33"/>
      <c r="G385" s="120" t="s">
        <v>453</v>
      </c>
      <c r="H385" s="33"/>
      <c r="I385" s="6"/>
      <c r="J385" s="33"/>
      <c r="K385" s="128"/>
      <c r="L385" s="127"/>
      <c r="M385" s="126" t="s">
        <v>862</v>
      </c>
      <c r="N385" s="127"/>
      <c r="O385" s="33"/>
      <c r="P385" s="6"/>
      <c r="Q385" s="33"/>
      <c r="R385" s="38" t="s">
        <v>453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764</v>
      </c>
      <c r="D387" s="33"/>
      <c r="E387" s="6"/>
      <c r="F387" s="33"/>
      <c r="G387" s="120" t="s">
        <v>453</v>
      </c>
      <c r="H387" s="33"/>
      <c r="I387" s="6"/>
      <c r="J387" s="33"/>
      <c r="K387" s="126" t="s">
        <v>206</v>
      </c>
      <c r="L387" s="126" t="s">
        <v>199</v>
      </c>
      <c r="M387" s="127"/>
      <c r="N387" s="127" t="s">
        <v>780</v>
      </c>
      <c r="O387" s="33"/>
      <c r="P387" s="6"/>
      <c r="Q387" s="33"/>
      <c r="R387" s="38" t="s">
        <v>453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764</v>
      </c>
      <c r="D388" s="33"/>
      <c r="E388" s="6"/>
      <c r="F388" s="33"/>
      <c r="G388" s="120" t="s">
        <v>453</v>
      </c>
      <c r="H388" s="33"/>
      <c r="I388" s="6"/>
      <c r="J388" s="33"/>
      <c r="K388" s="126" t="s">
        <v>208</v>
      </c>
      <c r="L388" s="127"/>
      <c r="M388" s="127"/>
      <c r="N388" s="127" t="s">
        <v>783</v>
      </c>
      <c r="O388" s="33"/>
      <c r="P388" s="6"/>
      <c r="Q388" s="33"/>
      <c r="R388" s="38" t="s">
        <v>453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764</v>
      </c>
      <c r="D389" s="33"/>
      <c r="E389" s="6"/>
      <c r="F389" s="33"/>
      <c r="G389" s="120" t="s">
        <v>453</v>
      </c>
      <c r="H389" s="33"/>
      <c r="I389" s="6"/>
      <c r="J389" s="33"/>
      <c r="K389" s="126" t="s">
        <v>198</v>
      </c>
      <c r="L389" s="127"/>
      <c r="M389" s="127"/>
      <c r="N389" s="127" t="s">
        <v>350</v>
      </c>
      <c r="O389" s="33"/>
      <c r="P389" s="6"/>
      <c r="Q389" s="33"/>
      <c r="R389" s="38" t="s">
        <v>453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764</v>
      </c>
      <c r="D390" s="33"/>
      <c r="E390" s="6"/>
      <c r="F390" s="33"/>
      <c r="G390" s="120" t="s">
        <v>453</v>
      </c>
      <c r="H390" s="33"/>
      <c r="I390" s="6"/>
      <c r="J390" s="33"/>
      <c r="K390" s="126"/>
      <c r="L390" s="127"/>
      <c r="M390" s="127"/>
      <c r="N390" s="127" t="s">
        <v>876</v>
      </c>
      <c r="O390" s="33"/>
      <c r="P390" s="6"/>
      <c r="Q390" s="33"/>
      <c r="R390" s="38" t="s">
        <v>453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764</v>
      </c>
      <c r="D391" s="33"/>
      <c r="E391" s="6"/>
      <c r="F391" s="33"/>
      <c r="G391" s="120" t="s">
        <v>453</v>
      </c>
      <c r="H391" s="33"/>
      <c r="I391" s="6"/>
      <c r="J391" s="33"/>
      <c r="K391" s="127"/>
      <c r="L391" s="127"/>
      <c r="M391" s="127"/>
      <c r="N391" s="127" t="s">
        <v>877</v>
      </c>
      <c r="O391" s="33"/>
      <c r="P391" s="6"/>
      <c r="Q391" s="33"/>
      <c r="R391" s="38" t="s">
        <v>453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393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453</v>
      </c>
      <c r="H394" s="33"/>
      <c r="I394" s="6"/>
      <c r="J394" s="33"/>
      <c r="K394" s="78" t="s">
        <v>483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484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453</v>
      </c>
      <c r="H397" s="33"/>
      <c r="I397" s="6"/>
      <c r="J397" s="33"/>
      <c r="K397" s="42" t="s">
        <v>366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486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453</v>
      </c>
      <c r="H400" s="33"/>
      <c r="I400" s="6"/>
      <c r="J400" s="33"/>
      <c r="K400" s="42" t="s">
        <v>366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316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1.45" hidden="1" outlineLevel="3">
      <c r="B403" s="28"/>
      <c r="C403" s="29" t="s">
        <v>443</v>
      </c>
      <c r="D403" s="8"/>
      <c r="E403" s="90"/>
      <c r="F403" s="8"/>
      <c r="G403" s="118"/>
      <c r="H403" s="8"/>
      <c r="I403" s="90"/>
      <c r="J403" s="8"/>
      <c r="K403" s="144"/>
      <c r="L403" s="144" t="s">
        <v>878</v>
      </c>
      <c r="M403" s="144" t="s">
        <v>879</v>
      </c>
      <c r="N403" s="144" t="s">
        <v>880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1.45" hidden="1" outlineLevel="3">
      <c r="B404" s="28"/>
      <c r="C404" s="29" t="s">
        <v>443</v>
      </c>
      <c r="D404" s="8"/>
      <c r="E404" s="90"/>
      <c r="F404" s="8"/>
      <c r="G404" s="118"/>
      <c r="H404" s="8"/>
      <c r="I404" s="90"/>
      <c r="J404" s="8"/>
      <c r="K404" s="144"/>
      <c r="L404" s="144" t="s">
        <v>881</v>
      </c>
      <c r="M404" s="144" t="s">
        <v>882</v>
      </c>
      <c r="N404" s="144" t="s">
        <v>883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1.45" hidden="1" outlineLevel="3">
      <c r="B405" s="28"/>
      <c r="C405" s="29" t="s">
        <v>443</v>
      </c>
      <c r="D405" s="8"/>
      <c r="E405" s="90"/>
      <c r="F405" s="8"/>
      <c r="G405" s="118"/>
      <c r="H405" s="8"/>
      <c r="I405" s="90"/>
      <c r="J405" s="8"/>
      <c r="K405" s="145"/>
      <c r="L405" s="144" t="s">
        <v>884</v>
      </c>
      <c r="M405" s="144" t="s">
        <v>885</v>
      </c>
      <c r="N405" s="144" t="s">
        <v>886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1.45" hidden="1" outlineLevel="3">
      <c r="B406" s="28"/>
      <c r="C406" s="29" t="s">
        <v>443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455</v>
      </c>
      <c r="N406" s="144" t="s">
        <v>887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7.6" hidden="1" outlineLevel="3">
      <c r="B407" s="28"/>
      <c r="C407" s="29" t="s">
        <v>443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456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252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7.6" hidden="1" outlineLevel="3">
      <c r="B410" s="28"/>
      <c r="C410" s="29"/>
      <c r="D410" s="8"/>
      <c r="E410" s="90"/>
      <c r="F410" s="8"/>
      <c r="G410" s="118" t="s">
        <v>453</v>
      </c>
      <c r="H410" s="8"/>
      <c r="I410" s="90"/>
      <c r="J410" s="8"/>
      <c r="K410" s="29" t="s">
        <v>199</v>
      </c>
      <c r="L410" s="29" t="s">
        <v>269</v>
      </c>
      <c r="M410" s="29" t="s">
        <v>490</v>
      </c>
      <c r="N410" s="29" t="s">
        <v>248</v>
      </c>
      <c r="O410" s="8"/>
      <c r="P410" s="90"/>
      <c r="Q410" s="8"/>
      <c r="R410" s="33" t="s">
        <v>453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7.6" hidden="1" outlineLevel="3">
      <c r="B411" s="28"/>
      <c r="C411" s="29"/>
      <c r="D411" s="8"/>
      <c r="E411" s="90"/>
      <c r="F411" s="8"/>
      <c r="G411" s="118" t="s">
        <v>453</v>
      </c>
      <c r="H411" s="8"/>
      <c r="I411" s="90"/>
      <c r="J411" s="8"/>
      <c r="K411" s="29" t="s">
        <v>888</v>
      </c>
      <c r="L411" s="29" t="s">
        <v>270</v>
      </c>
      <c r="M411" s="143" t="s">
        <v>245</v>
      </c>
      <c r="N411" s="29" t="s">
        <v>249</v>
      </c>
      <c r="O411" s="8"/>
      <c r="P411" s="90"/>
      <c r="Q411" s="8"/>
      <c r="R411" s="33" t="s">
        <v>453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7.6" hidden="1" outlineLevel="3">
      <c r="B412" s="28"/>
      <c r="C412" s="29"/>
      <c r="D412" s="8"/>
      <c r="E412" s="90"/>
      <c r="F412" s="8"/>
      <c r="G412" s="118" t="s">
        <v>453</v>
      </c>
      <c r="H412" s="8"/>
      <c r="I412" s="90"/>
      <c r="J412" s="8"/>
      <c r="K412" s="29"/>
      <c r="L412" s="29" t="s">
        <v>840</v>
      </c>
      <c r="M412" s="141"/>
      <c r="N412" s="143" t="s">
        <v>253</v>
      </c>
      <c r="O412" s="8"/>
      <c r="P412" s="90"/>
      <c r="Q412" s="8"/>
      <c r="R412" s="33" t="s">
        <v>453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281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7.6" hidden="1" outlineLevel="3">
      <c r="B415" s="28"/>
      <c r="C415" s="29"/>
      <c r="D415" s="8"/>
      <c r="E415" s="90"/>
      <c r="F415" s="8"/>
      <c r="G415" s="118" t="s">
        <v>453</v>
      </c>
      <c r="H415" s="8"/>
      <c r="I415" s="90"/>
      <c r="J415" s="8"/>
      <c r="K415" s="29" t="s">
        <v>245</v>
      </c>
      <c r="L415" s="29" t="s">
        <v>249</v>
      </c>
      <c r="M415" s="141"/>
      <c r="N415" s="141"/>
      <c r="O415" s="8"/>
      <c r="P415" s="90"/>
      <c r="Q415" s="8"/>
      <c r="R415" s="33" t="s">
        <v>453</v>
      </c>
      <c r="S415" s="8"/>
      <c r="T415" s="90"/>
      <c r="U415" s="8"/>
      <c r="V415" s="35">
        <v>0.06</v>
      </c>
      <c r="W415" s="35">
        <v>0.03</v>
      </c>
    </row>
    <row r="416" spans="2:25" ht="27.6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283</v>
      </c>
      <c r="M416" s="141"/>
      <c r="N416" s="141"/>
      <c r="O416" s="8"/>
      <c r="P416" s="90"/>
      <c r="Q416" s="8"/>
      <c r="R416" s="33" t="s">
        <v>453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204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453</v>
      </c>
      <c r="H419" s="8"/>
      <c r="I419" s="90"/>
      <c r="J419" s="8"/>
      <c r="L419" s="99" t="s">
        <v>206</v>
      </c>
      <c r="M419" s="42" t="s">
        <v>299</v>
      </c>
      <c r="N419" s="42" t="s">
        <v>198</v>
      </c>
      <c r="O419" s="8"/>
      <c r="P419" s="90"/>
      <c r="Q419" s="8"/>
      <c r="R419" s="33" t="s">
        <v>453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7.6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208</v>
      </c>
      <c r="M420" s="42" t="s">
        <v>209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494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7.6" hidden="1" outlineLevel="3">
      <c r="B423" s="28"/>
      <c r="C423" s="29"/>
      <c r="D423" s="8"/>
      <c r="E423" s="90"/>
      <c r="F423" s="8"/>
      <c r="G423" s="118" t="s">
        <v>453</v>
      </c>
      <c r="H423" s="8"/>
      <c r="I423" s="90"/>
      <c r="J423" s="8"/>
      <c r="K423" s="25"/>
      <c r="L423" s="142" t="s">
        <v>206</v>
      </c>
      <c r="M423" s="139" t="s">
        <v>299</v>
      </c>
      <c r="N423" s="139" t="s">
        <v>209</v>
      </c>
      <c r="O423" s="8"/>
      <c r="P423" s="90"/>
      <c r="Q423" s="8"/>
      <c r="R423" s="33" t="s">
        <v>453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453</v>
      </c>
      <c r="H424" s="8"/>
      <c r="I424" s="90"/>
      <c r="J424" s="8"/>
      <c r="K424" s="25"/>
      <c r="L424" s="139" t="s">
        <v>208</v>
      </c>
      <c r="M424" s="139"/>
      <c r="N424" s="25"/>
      <c r="O424" s="8"/>
      <c r="P424" s="90"/>
      <c r="Q424" s="8"/>
      <c r="R424" s="33" t="s">
        <v>453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284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7.6" hidden="1" outlineLevel="3">
      <c r="B427" s="28"/>
      <c r="C427" s="29"/>
      <c r="D427" s="8"/>
      <c r="E427" s="90"/>
      <c r="F427" s="8"/>
      <c r="G427" s="118" t="s">
        <v>453</v>
      </c>
      <c r="H427" s="8"/>
      <c r="I427" s="90"/>
      <c r="J427" s="8"/>
      <c r="K427" s="99" t="s">
        <v>206</v>
      </c>
      <c r="L427" s="139" t="s">
        <v>299</v>
      </c>
      <c r="M427" s="92"/>
      <c r="N427" s="40" t="s">
        <v>249</v>
      </c>
      <c r="O427" s="8"/>
      <c r="P427" s="90"/>
      <c r="Q427" s="8"/>
      <c r="R427" s="33" t="s">
        <v>453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7.6" hidden="1" outlineLevel="3">
      <c r="B428" s="28"/>
      <c r="C428" s="29"/>
      <c r="D428" s="8"/>
      <c r="E428" s="90"/>
      <c r="F428" s="8"/>
      <c r="G428" s="118" t="s">
        <v>453</v>
      </c>
      <c r="H428" s="8"/>
      <c r="I428" s="90"/>
      <c r="J428" s="8"/>
      <c r="K428" s="139" t="s">
        <v>208</v>
      </c>
      <c r="L428" s="40" t="s">
        <v>219</v>
      </c>
      <c r="M428" s="141"/>
      <c r="N428" s="40" t="s">
        <v>245</v>
      </c>
      <c r="O428" s="8"/>
      <c r="P428" s="90"/>
      <c r="Q428" s="8"/>
      <c r="R428" s="33" t="s">
        <v>453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453</v>
      </c>
      <c r="H429" s="8"/>
      <c r="I429" s="90"/>
      <c r="J429" s="8"/>
      <c r="K429" s="139" t="s">
        <v>198</v>
      </c>
      <c r="L429" s="139"/>
      <c r="M429" s="141"/>
      <c r="N429" s="40"/>
      <c r="O429" s="8"/>
      <c r="P429" s="90"/>
      <c r="Q429" s="8"/>
      <c r="R429" s="33" t="s">
        <v>453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7.6" hidden="1" outlineLevel="3">
      <c r="B430" s="28"/>
      <c r="C430" s="29"/>
      <c r="D430" s="8"/>
      <c r="E430" s="90"/>
      <c r="F430" s="8"/>
      <c r="G430" s="118" t="s">
        <v>453</v>
      </c>
      <c r="H430" s="8"/>
      <c r="I430" s="90"/>
      <c r="J430" s="8"/>
      <c r="K430" s="139" t="s">
        <v>209</v>
      </c>
      <c r="L430" s="92"/>
      <c r="M430" s="141"/>
      <c r="N430" s="141"/>
      <c r="O430" s="8"/>
      <c r="P430" s="90"/>
      <c r="Q430" s="8"/>
      <c r="R430" s="33" t="s">
        <v>453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731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7.6" hidden="1" outlineLevel="3">
      <c r="B433" s="28"/>
      <c r="C433" s="29"/>
      <c r="D433" s="8"/>
      <c r="E433" s="90"/>
      <c r="F433" s="8"/>
      <c r="G433" s="118" t="s">
        <v>453</v>
      </c>
      <c r="H433" s="8"/>
      <c r="I433" s="90"/>
      <c r="J433" s="8"/>
      <c r="K433" s="35"/>
      <c r="L433" s="99" t="s">
        <v>206</v>
      </c>
      <c r="M433" s="42" t="s">
        <v>209</v>
      </c>
      <c r="N433" s="42" t="s">
        <v>299</v>
      </c>
      <c r="O433" s="8"/>
      <c r="P433" s="90"/>
      <c r="Q433" s="8"/>
      <c r="R433" s="33" t="s">
        <v>453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453</v>
      </c>
      <c r="H434" s="8"/>
      <c r="I434" s="90"/>
      <c r="J434" s="8"/>
      <c r="K434" s="35"/>
      <c r="L434" s="42" t="s">
        <v>208</v>
      </c>
      <c r="M434" s="42" t="s">
        <v>198</v>
      </c>
      <c r="N434" s="3"/>
      <c r="O434" s="8"/>
      <c r="P434" s="90"/>
      <c r="Q434" s="8"/>
      <c r="R434" s="33" t="s">
        <v>453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286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7.6" hidden="1" outlineLevel="3">
      <c r="B437" s="28"/>
      <c r="C437" s="29"/>
      <c r="D437" s="8"/>
      <c r="E437" s="90"/>
      <c r="F437" s="8"/>
      <c r="G437" s="118" t="s">
        <v>453</v>
      </c>
      <c r="H437" s="8"/>
      <c r="I437" s="90"/>
      <c r="J437" s="8"/>
      <c r="K437" s="35"/>
      <c r="L437" s="99" t="s">
        <v>206</v>
      </c>
      <c r="M437" s="42" t="s">
        <v>299</v>
      </c>
      <c r="N437" s="42" t="s">
        <v>209</v>
      </c>
      <c r="O437" s="8"/>
      <c r="P437" s="90"/>
      <c r="Q437" s="8"/>
      <c r="R437" s="33" t="s">
        <v>453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453</v>
      </c>
      <c r="H438" s="8"/>
      <c r="I438" s="90"/>
      <c r="J438" s="8"/>
      <c r="K438" s="35"/>
      <c r="L438" s="42" t="s">
        <v>208</v>
      </c>
      <c r="M438" s="42" t="s">
        <v>198</v>
      </c>
      <c r="N438" s="3"/>
      <c r="O438" s="8"/>
      <c r="P438" s="90"/>
      <c r="Q438" s="8"/>
      <c r="R438" s="33" t="s">
        <v>453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163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7.6" hidden="1" outlineLevel="3">
      <c r="B441" s="28"/>
      <c r="C441" s="29"/>
      <c r="D441" s="8"/>
      <c r="E441" s="90"/>
      <c r="F441" s="8"/>
      <c r="G441" s="118" t="s">
        <v>453</v>
      </c>
      <c r="H441" s="8"/>
      <c r="I441" s="90"/>
      <c r="J441" s="8"/>
      <c r="K441" s="35"/>
      <c r="L441" s="99" t="s">
        <v>206</v>
      </c>
      <c r="M441" s="42" t="s">
        <v>299</v>
      </c>
      <c r="N441" s="42" t="s">
        <v>209</v>
      </c>
      <c r="O441" s="8"/>
      <c r="P441" s="90"/>
      <c r="Q441" s="8"/>
      <c r="R441" s="33" t="s">
        <v>453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208</v>
      </c>
      <c r="M442" s="42" t="s">
        <v>198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496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453</v>
      </c>
      <c r="H445" s="8"/>
      <c r="I445" s="90"/>
      <c r="J445" s="8"/>
      <c r="K445" s="74"/>
      <c r="M445" s="36" t="s">
        <v>206</v>
      </c>
      <c r="N445" s="36" t="s">
        <v>199</v>
      </c>
      <c r="O445" s="8"/>
      <c r="P445" s="90"/>
      <c r="Q445" s="8"/>
      <c r="R445" s="33" t="s">
        <v>453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453</v>
      </c>
      <c r="H446" s="8"/>
      <c r="I446" s="90"/>
      <c r="J446" s="8"/>
      <c r="K446" s="74"/>
      <c r="M446" s="73" t="s">
        <v>208</v>
      </c>
      <c r="N446" s="36" t="s">
        <v>608</v>
      </c>
      <c r="O446" s="8"/>
      <c r="P446" s="90"/>
      <c r="Q446" s="8"/>
      <c r="R446" s="33" t="s">
        <v>453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843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7.6" hidden="1" outlineLevel="3">
      <c r="A449" s="18"/>
      <c r="B449" s="19"/>
      <c r="C449" s="20"/>
      <c r="D449" s="8"/>
      <c r="E449" s="90"/>
      <c r="F449" s="8"/>
      <c r="G449" s="118" t="s">
        <v>453</v>
      </c>
      <c r="H449" s="8"/>
      <c r="I449" s="90"/>
      <c r="J449" s="8"/>
      <c r="K449" s="36" t="s">
        <v>206</v>
      </c>
      <c r="L449" s="36" t="s">
        <v>199</v>
      </c>
      <c r="M449" s="36" t="s">
        <v>209</v>
      </c>
      <c r="N449" s="36"/>
      <c r="O449" s="8"/>
      <c r="P449" s="90"/>
      <c r="Q449" s="8"/>
      <c r="R449" s="33" t="s">
        <v>453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453</v>
      </c>
      <c r="H450" s="8"/>
      <c r="I450" s="90"/>
      <c r="J450" s="8"/>
      <c r="K450" s="36" t="s">
        <v>208</v>
      </c>
      <c r="L450" s="36"/>
      <c r="M450" s="36"/>
      <c r="N450" s="3"/>
      <c r="O450" s="8"/>
      <c r="P450" s="90"/>
      <c r="Q450" s="8"/>
      <c r="R450" s="33" t="s">
        <v>453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845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7.6" hidden="1" outlineLevel="3">
      <c r="A453" s="18"/>
      <c r="B453" s="19"/>
      <c r="C453" s="20"/>
      <c r="D453" s="8"/>
      <c r="E453" s="90"/>
      <c r="F453" s="8"/>
      <c r="G453" s="118" t="s">
        <v>453</v>
      </c>
      <c r="H453" s="8"/>
      <c r="I453" s="90"/>
      <c r="J453" s="8"/>
      <c r="K453" s="36" t="s">
        <v>206</v>
      </c>
      <c r="L453" s="36" t="s">
        <v>199</v>
      </c>
      <c r="M453" s="36" t="s">
        <v>209</v>
      </c>
      <c r="N453" s="104" t="s">
        <v>848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453</v>
      </c>
      <c r="H454" s="8"/>
      <c r="I454" s="90"/>
      <c r="J454" s="8"/>
      <c r="K454" s="36" t="s">
        <v>208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214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453</v>
      </c>
      <c r="H457" s="8"/>
      <c r="I457" s="90"/>
      <c r="J457" s="8"/>
      <c r="K457" s="74" t="s">
        <v>199</v>
      </c>
      <c r="L457" s="42" t="s">
        <v>759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453</v>
      </c>
      <c r="H458" s="8"/>
      <c r="I458" s="90"/>
      <c r="J458" s="8"/>
      <c r="K458" s="74" t="s">
        <v>219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453</v>
      </c>
      <c r="H459" s="8"/>
      <c r="I459" s="90"/>
      <c r="J459" s="8"/>
      <c r="K459" s="42" t="s">
        <v>222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7.6" hidden="1" outlineLevel="3">
      <c r="B460" s="24"/>
      <c r="C460" s="25"/>
      <c r="D460" s="8"/>
      <c r="E460" s="90"/>
      <c r="F460" s="8"/>
      <c r="G460" s="118" t="s">
        <v>453</v>
      </c>
      <c r="H460" s="8"/>
      <c r="I460" s="90"/>
      <c r="J460" s="8"/>
      <c r="K460" s="74" t="s">
        <v>283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377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7.6" hidden="1" outlineLevel="3">
      <c r="A463" s="146"/>
      <c r="B463" s="19"/>
      <c r="C463" s="20"/>
      <c r="D463" s="147"/>
      <c r="E463" s="148"/>
      <c r="F463" s="147"/>
      <c r="G463" s="118" t="s">
        <v>453</v>
      </c>
      <c r="H463" s="147"/>
      <c r="I463" s="148"/>
      <c r="J463" s="147"/>
      <c r="K463" s="36"/>
      <c r="L463" s="36" t="s">
        <v>850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7.6" hidden="1" outlineLevel="3">
      <c r="A464" s="146"/>
      <c r="B464" s="19"/>
      <c r="C464" s="20"/>
      <c r="D464" s="147"/>
      <c r="E464" s="148"/>
      <c r="F464" s="147"/>
      <c r="G464" s="118" t="s">
        <v>453</v>
      </c>
      <c r="H464" s="147"/>
      <c r="I464" s="148"/>
      <c r="J464" s="147"/>
      <c r="K464" s="36"/>
      <c r="L464" s="36" t="s">
        <v>852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7.6" hidden="1" outlineLevel="3">
      <c r="A465" s="146"/>
      <c r="B465" s="19"/>
      <c r="C465" s="20"/>
      <c r="D465" s="147"/>
      <c r="E465" s="148"/>
      <c r="F465" s="147"/>
      <c r="G465" s="118" t="s">
        <v>453</v>
      </c>
      <c r="H465" s="147"/>
      <c r="I465" s="148"/>
      <c r="J465" s="147"/>
      <c r="K465" s="36"/>
      <c r="L465" s="36" t="s">
        <v>854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855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453</v>
      </c>
      <c r="H468" s="8"/>
      <c r="I468" s="90"/>
      <c r="J468" s="8"/>
      <c r="K468" s="73"/>
      <c r="L468" s="74" t="s">
        <v>298</v>
      </c>
      <c r="M468" s="35" t="s">
        <v>208</v>
      </c>
      <c r="N468" s="35" t="s">
        <v>889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224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453</v>
      </c>
      <c r="H471" s="8"/>
      <c r="I471" s="90"/>
      <c r="J471" s="8"/>
      <c r="K471" s="42"/>
      <c r="L471" s="91" t="s">
        <v>206</v>
      </c>
      <c r="M471" s="92" t="s">
        <v>299</v>
      </c>
      <c r="N471" s="92" t="s">
        <v>857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453</v>
      </c>
      <c r="H472" s="8"/>
      <c r="I472" s="90"/>
      <c r="J472" s="8"/>
      <c r="K472" s="42"/>
      <c r="M472" s="92" t="s">
        <v>208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858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453</v>
      </c>
      <c r="H475" s="8"/>
      <c r="I475" s="90"/>
      <c r="J475" s="8"/>
      <c r="L475" s="91" t="s">
        <v>206</v>
      </c>
      <c r="M475" s="92" t="s">
        <v>299</v>
      </c>
      <c r="N475" s="92" t="s">
        <v>857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453</v>
      </c>
      <c r="H476" s="8"/>
      <c r="I476" s="90"/>
      <c r="J476" s="8"/>
      <c r="M476" s="92" t="s">
        <v>208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859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453</v>
      </c>
      <c r="H479" s="8"/>
      <c r="I479" s="90"/>
      <c r="J479" s="8"/>
      <c r="L479" s="91" t="s">
        <v>206</v>
      </c>
      <c r="M479" s="92" t="s">
        <v>299</v>
      </c>
      <c r="N479" s="92" t="s">
        <v>857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453</v>
      </c>
      <c r="H480" s="8"/>
      <c r="I480" s="90"/>
      <c r="J480" s="8"/>
      <c r="M480" s="92" t="s">
        <v>208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721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453</v>
      </c>
      <c r="H483" s="8"/>
      <c r="I483" s="90"/>
      <c r="J483" s="8"/>
      <c r="K483" s="36" t="s">
        <v>206</v>
      </c>
      <c r="L483" s="36" t="s">
        <v>198</v>
      </c>
      <c r="M483" s="36" t="s">
        <v>199</v>
      </c>
      <c r="N483" s="3"/>
      <c r="O483" s="8"/>
      <c r="P483" s="90"/>
      <c r="Q483" s="8"/>
      <c r="R483" s="33" t="s">
        <v>453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453</v>
      </c>
      <c r="H484" s="8"/>
      <c r="I484" s="90"/>
      <c r="J484" s="8"/>
      <c r="L484" s="36" t="s">
        <v>208</v>
      </c>
      <c r="M484" s="3"/>
      <c r="N484" s="36" t="s">
        <v>608</v>
      </c>
      <c r="O484" s="8"/>
      <c r="P484" s="90"/>
      <c r="Q484" s="8"/>
      <c r="R484" s="33" t="s">
        <v>453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610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453</v>
      </c>
      <c r="H487" s="8"/>
      <c r="I487" s="90"/>
      <c r="J487" s="8"/>
      <c r="K487" s="36" t="s">
        <v>206</v>
      </c>
      <c r="L487" s="36" t="s">
        <v>198</v>
      </c>
      <c r="M487" s="36" t="s">
        <v>199</v>
      </c>
      <c r="N487" s="3"/>
      <c r="O487" s="8"/>
      <c r="P487" s="90"/>
      <c r="Q487" s="8"/>
      <c r="R487" s="33" t="s">
        <v>453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453</v>
      </c>
      <c r="H488" s="8"/>
      <c r="I488" s="90"/>
      <c r="J488" s="8"/>
      <c r="L488" s="36" t="s">
        <v>208</v>
      </c>
      <c r="M488" s="3"/>
      <c r="N488" s="36" t="s">
        <v>608</v>
      </c>
      <c r="O488" s="8"/>
      <c r="P488" s="90"/>
      <c r="Q488" s="8"/>
      <c r="R488" s="33" t="s">
        <v>453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732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453</v>
      </c>
      <c r="H491" s="8"/>
      <c r="I491" s="90"/>
      <c r="J491" s="8"/>
      <c r="K491" s="3"/>
      <c r="M491" s="36" t="s">
        <v>206</v>
      </c>
      <c r="N491" s="36" t="s">
        <v>199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453</v>
      </c>
      <c r="H492" s="8"/>
      <c r="I492" s="90"/>
      <c r="J492" s="8"/>
      <c r="K492" s="3"/>
      <c r="M492" s="36" t="s">
        <v>208</v>
      </c>
      <c r="N492" s="36" t="s">
        <v>198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293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453</v>
      </c>
      <c r="H495" s="8"/>
      <c r="I495" s="90"/>
      <c r="J495" s="8"/>
      <c r="K495" s="36" t="s">
        <v>206</v>
      </c>
      <c r="L495" s="3"/>
      <c r="M495" s="36" t="s">
        <v>199</v>
      </c>
      <c r="N495" s="36" t="s">
        <v>244</v>
      </c>
      <c r="O495" s="8"/>
      <c r="P495" s="90"/>
      <c r="Q495" s="8"/>
      <c r="R495" s="33" t="s">
        <v>453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453</v>
      </c>
      <c r="H496" s="8"/>
      <c r="I496" s="90"/>
      <c r="J496" s="8"/>
      <c r="K496" s="74"/>
      <c r="L496" s="36" t="s">
        <v>208</v>
      </c>
      <c r="M496" s="36" t="s">
        <v>608</v>
      </c>
      <c r="N496" s="36"/>
      <c r="O496" s="8"/>
      <c r="P496" s="90"/>
      <c r="Q496" s="8"/>
      <c r="R496" s="33" t="s">
        <v>453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733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453</v>
      </c>
      <c r="H499" s="8"/>
      <c r="I499" s="90"/>
      <c r="J499" s="8"/>
      <c r="K499" s="74"/>
      <c r="L499" s="36" t="s">
        <v>206</v>
      </c>
      <c r="M499" s="36" t="s">
        <v>208</v>
      </c>
      <c r="N499" s="36" t="s">
        <v>199</v>
      </c>
      <c r="O499" s="8"/>
      <c r="P499" s="90"/>
      <c r="Q499" s="8"/>
      <c r="R499" s="33" t="s">
        <v>453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734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453</v>
      </c>
      <c r="H502" s="8"/>
      <c r="I502" s="90"/>
      <c r="J502" s="8"/>
      <c r="K502" s="74"/>
      <c r="L502" s="36" t="s">
        <v>206</v>
      </c>
      <c r="M502" s="36" t="s">
        <v>208</v>
      </c>
      <c r="N502" s="36" t="s">
        <v>199</v>
      </c>
      <c r="O502" s="8"/>
      <c r="P502" s="90"/>
      <c r="Q502" s="8"/>
      <c r="R502" s="33" t="s">
        <v>453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735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7.6" hidden="1" outlineLevel="3">
      <c r="B505" s="28"/>
      <c r="C505" s="29"/>
      <c r="D505" s="8"/>
      <c r="E505" s="90"/>
      <c r="F505" s="8"/>
      <c r="G505" s="118" t="s">
        <v>453</v>
      </c>
      <c r="H505" s="8"/>
      <c r="I505" s="90"/>
      <c r="J505" s="8"/>
      <c r="K505" s="74"/>
      <c r="L505" s="36" t="s">
        <v>206</v>
      </c>
      <c r="M505" s="36" t="s">
        <v>199</v>
      </c>
      <c r="N505" s="36" t="s">
        <v>209</v>
      </c>
      <c r="O505" s="8"/>
      <c r="P505" s="90"/>
      <c r="Q505" s="8"/>
      <c r="R505" s="33" t="s">
        <v>453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453</v>
      </c>
      <c r="H506" s="8"/>
      <c r="I506" s="90"/>
      <c r="J506" s="8"/>
      <c r="K506" s="74"/>
      <c r="L506" s="36" t="s">
        <v>208</v>
      </c>
      <c r="M506" s="3"/>
      <c r="N506" s="3"/>
      <c r="O506" s="8"/>
      <c r="P506" s="90"/>
      <c r="Q506" s="8"/>
      <c r="R506" s="33" t="s">
        <v>453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236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453</v>
      </c>
      <c r="H509" s="8"/>
      <c r="I509" s="90"/>
      <c r="J509" s="8"/>
      <c r="K509" s="74"/>
      <c r="L509" s="36" t="s">
        <v>206</v>
      </c>
      <c r="M509" s="3" t="s">
        <v>608</v>
      </c>
      <c r="N509" s="36" t="s">
        <v>199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453</v>
      </c>
      <c r="H510" s="8"/>
      <c r="I510" s="90"/>
      <c r="J510" s="8"/>
      <c r="K510" s="74"/>
      <c r="L510" s="36" t="s">
        <v>208</v>
      </c>
      <c r="M510" s="3"/>
      <c r="N510" s="36" t="s">
        <v>198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3.1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890</v>
      </c>
      <c r="B3" s="369" t="s">
        <v>891</v>
      </c>
      <c r="C3" s="401">
        <v>1</v>
      </c>
    </row>
    <row r="4" spans="1:3">
      <c r="B4" s="369" t="s">
        <v>892</v>
      </c>
      <c r="C4" s="401">
        <v>1</v>
      </c>
    </row>
    <row r="5" spans="1:3">
      <c r="B5" s="369" t="s">
        <v>893</v>
      </c>
      <c r="C5" s="401">
        <v>1</v>
      </c>
    </row>
    <row r="6" spans="1:3">
      <c r="B6" s="369" t="s">
        <v>894</v>
      </c>
      <c r="C6" s="401">
        <v>1</v>
      </c>
    </row>
    <row r="7" spans="1:3">
      <c r="B7" s="369" t="s">
        <v>469</v>
      </c>
      <c r="C7" s="401">
        <v>1</v>
      </c>
    </row>
    <row r="8" spans="1:3">
      <c r="B8" s="369" t="s">
        <v>895</v>
      </c>
    </row>
    <row r="9" spans="1:3">
      <c r="B9" s="369" t="s">
        <v>896</v>
      </c>
      <c r="C9" s="401">
        <v>1</v>
      </c>
    </row>
    <row r="10" spans="1:3">
      <c r="B10" s="369" t="s">
        <v>897</v>
      </c>
      <c r="C10" s="401">
        <v>1</v>
      </c>
    </row>
    <row r="11" spans="1:3">
      <c r="B11" s="369" t="s">
        <v>898</v>
      </c>
      <c r="C11" s="401">
        <v>1</v>
      </c>
    </row>
    <row r="12" spans="1:3">
      <c r="B12" s="369" t="s">
        <v>899</v>
      </c>
      <c r="C12" s="401">
        <v>1</v>
      </c>
    </row>
    <row r="13" spans="1:3">
      <c r="B13" s="369" t="s">
        <v>900</v>
      </c>
      <c r="C13" s="401">
        <v>1</v>
      </c>
    </row>
    <row r="14" spans="1:3">
      <c r="B14" s="369" t="s">
        <v>901</v>
      </c>
      <c r="C14" s="401">
        <v>1</v>
      </c>
    </row>
    <row r="15" spans="1:3">
      <c r="B15" s="369" t="s">
        <v>902</v>
      </c>
      <c r="C15" s="401">
        <v>1</v>
      </c>
    </row>
    <row r="16" spans="1:3">
      <c r="B16" s="369" t="s">
        <v>548</v>
      </c>
      <c r="C16" s="401">
        <v>1</v>
      </c>
    </row>
    <row r="17" spans="1:4">
      <c r="B17" s="369" t="s">
        <v>252</v>
      </c>
      <c r="C17" s="401">
        <v>1</v>
      </c>
    </row>
    <row r="18" spans="1:4">
      <c r="B18" s="369" t="s">
        <v>622</v>
      </c>
      <c r="C18" s="401">
        <v>1</v>
      </c>
    </row>
    <row r="19" spans="1:4">
      <c r="B19" s="369" t="s">
        <v>621</v>
      </c>
      <c r="C19" s="401">
        <v>1</v>
      </c>
    </row>
    <row r="20" spans="1:4">
      <c r="B20" s="369" t="s">
        <v>903</v>
      </c>
      <c r="C20" s="401">
        <v>1</v>
      </c>
    </row>
    <row r="21" spans="1:4">
      <c r="B21" s="369" t="s">
        <v>904</v>
      </c>
      <c r="C21" s="401">
        <v>1</v>
      </c>
    </row>
    <row r="22" spans="1:4">
      <c r="B22" s="369" t="s">
        <v>369</v>
      </c>
    </row>
    <row r="23" spans="1:4">
      <c r="B23" s="369" t="s">
        <v>905</v>
      </c>
    </row>
    <row r="24" spans="1:4">
      <c r="B24" s="369" t="s">
        <v>906</v>
      </c>
    </row>
    <row r="26" spans="1:4">
      <c r="A26" s="369" t="s">
        <v>907</v>
      </c>
      <c r="B26" s="369" t="s">
        <v>236</v>
      </c>
      <c r="C26" s="401">
        <v>1</v>
      </c>
    </row>
    <row r="27" spans="1:4">
      <c r="B27" s="369" t="s">
        <v>908</v>
      </c>
      <c r="C27" s="401">
        <v>1</v>
      </c>
    </row>
    <row r="28" spans="1:4">
      <c r="B28" s="369" t="s">
        <v>909</v>
      </c>
    </row>
    <row r="29" spans="1:4">
      <c r="B29" s="369" t="s">
        <v>910</v>
      </c>
    </row>
    <row r="30" spans="1:4">
      <c r="B30" s="369" t="s">
        <v>162</v>
      </c>
      <c r="C30" s="401">
        <v>1</v>
      </c>
    </row>
    <row r="31" spans="1:4">
      <c r="B31" s="369" t="s">
        <v>284</v>
      </c>
      <c r="C31" s="401">
        <v>1</v>
      </c>
      <c r="D31" s="369" t="s">
        <v>911</v>
      </c>
    </row>
    <row r="32" spans="1:4">
      <c r="B32" s="369" t="s">
        <v>163</v>
      </c>
      <c r="C32" s="401">
        <v>1</v>
      </c>
    </row>
    <row r="33" spans="1:3">
      <c r="B33" s="369" t="s">
        <v>609</v>
      </c>
      <c r="C33" s="401">
        <v>1</v>
      </c>
    </row>
    <row r="34" spans="1:3">
      <c r="B34" s="369" t="s">
        <v>293</v>
      </c>
      <c r="C34" s="401">
        <v>1</v>
      </c>
    </row>
    <row r="35" spans="1:3">
      <c r="B35" s="369" t="s">
        <v>285</v>
      </c>
      <c r="C35" s="401">
        <v>1</v>
      </c>
    </row>
    <row r="36" spans="1:3">
      <c r="B36" s="369" t="s">
        <v>723</v>
      </c>
      <c r="C36" s="401">
        <v>1</v>
      </c>
    </row>
    <row r="37" spans="1:3">
      <c r="B37" s="369" t="s">
        <v>300</v>
      </c>
      <c r="C37" s="401">
        <v>1</v>
      </c>
    </row>
    <row r="38" spans="1:3">
      <c r="B38" s="369" t="s">
        <v>165</v>
      </c>
      <c r="C38" s="401">
        <v>1</v>
      </c>
    </row>
    <row r="39" spans="1:3">
      <c r="B39" s="369" t="s">
        <v>506</v>
      </c>
      <c r="C39" s="401">
        <v>1</v>
      </c>
    </row>
    <row r="40" spans="1:3">
      <c r="B40" s="369" t="s">
        <v>507</v>
      </c>
    </row>
    <row r="41" spans="1:3">
      <c r="B41" s="369" t="s">
        <v>912</v>
      </c>
      <c r="C41" s="401">
        <v>1</v>
      </c>
    </row>
    <row r="42" spans="1:3">
      <c r="B42" s="369" t="s">
        <v>509</v>
      </c>
      <c r="C42" s="401">
        <v>1</v>
      </c>
    </row>
    <row r="43" spans="1:3">
      <c r="B43" s="369" t="s">
        <v>913</v>
      </c>
      <c r="C43" s="401">
        <v>1</v>
      </c>
    </row>
    <row r="44" spans="1:3">
      <c r="B44" s="369" t="s">
        <v>914</v>
      </c>
      <c r="C44" s="401">
        <v>1</v>
      </c>
    </row>
    <row r="45" spans="1:3">
      <c r="B45" s="369" t="s">
        <v>915</v>
      </c>
      <c r="C45" s="401">
        <v>1</v>
      </c>
    </row>
    <row r="46" spans="1:3">
      <c r="B46" s="369" t="s">
        <v>916</v>
      </c>
      <c r="C46" s="401">
        <v>1</v>
      </c>
    </row>
    <row r="48" spans="1:3">
      <c r="A48" s="369" t="s">
        <v>917</v>
      </c>
      <c r="B48" s="369" t="s">
        <v>225</v>
      </c>
      <c r="C48" s="401">
        <v>1</v>
      </c>
    </row>
    <row r="49" spans="1:5">
      <c r="B49" s="369" t="s">
        <v>229</v>
      </c>
      <c r="C49" s="401">
        <v>1</v>
      </c>
    </row>
    <row r="50" spans="1:5">
      <c r="B50" s="369" t="s">
        <v>498</v>
      </c>
      <c r="C50" s="401">
        <v>1</v>
      </c>
    </row>
    <row r="51" spans="1:5">
      <c r="B51" s="369" t="s">
        <v>918</v>
      </c>
      <c r="C51" s="401">
        <v>1</v>
      </c>
    </row>
    <row r="52" spans="1:5">
      <c r="B52" s="435" t="s">
        <v>919</v>
      </c>
      <c r="C52" s="401">
        <v>1</v>
      </c>
      <c r="D52" s="369" t="s">
        <v>911</v>
      </c>
    </row>
    <row r="53" spans="1:5">
      <c r="B53" s="369" t="s">
        <v>385</v>
      </c>
      <c r="C53" s="401">
        <v>1</v>
      </c>
    </row>
    <row r="54" spans="1:5">
      <c r="B54" s="369" t="s">
        <v>296</v>
      </c>
      <c r="C54" s="401">
        <v>1</v>
      </c>
    </row>
    <row r="55" spans="1:5">
      <c r="B55" s="369" t="s">
        <v>414</v>
      </c>
      <c r="C55" s="401">
        <v>1</v>
      </c>
    </row>
    <row r="56" spans="1:5">
      <c r="B56" s="369" t="s">
        <v>612</v>
      </c>
      <c r="C56" s="401">
        <v>1</v>
      </c>
    </row>
    <row r="57" spans="1:5">
      <c r="B57" s="369" t="s">
        <v>920</v>
      </c>
      <c r="C57" s="401">
        <v>1</v>
      </c>
      <c r="E57" s="369" t="s">
        <v>921</v>
      </c>
    </row>
    <row r="58" spans="1:5">
      <c r="B58" s="369" t="s">
        <v>922</v>
      </c>
      <c r="C58" s="401">
        <v>1</v>
      </c>
      <c r="E58" s="369" t="s">
        <v>921</v>
      </c>
    </row>
    <row r="60" spans="1:5">
      <c r="A60" s="369" t="s">
        <v>923</v>
      </c>
      <c r="B60" s="369" t="s">
        <v>422</v>
      </c>
    </row>
    <row r="61" spans="1:5">
      <c r="B61" s="369" t="s">
        <v>924</v>
      </c>
      <c r="C61" s="401">
        <v>1</v>
      </c>
    </row>
    <row r="62" spans="1:5">
      <c r="B62" s="369" t="s">
        <v>925</v>
      </c>
    </row>
    <row r="63" spans="1:5">
      <c r="B63" s="369" t="s">
        <v>926</v>
      </c>
      <c r="C63" s="401">
        <v>1</v>
      </c>
    </row>
    <row r="65" spans="1:3">
      <c r="A65" s="369" t="s">
        <v>927</v>
      </c>
      <c r="B65" s="369" t="s">
        <v>928</v>
      </c>
      <c r="C65" s="401">
        <v>1</v>
      </c>
    </row>
    <row r="66" spans="1:3">
      <c r="B66" s="369" t="s">
        <v>929</v>
      </c>
      <c r="C66" s="401">
        <v>1</v>
      </c>
    </row>
    <row r="67" spans="1:3">
      <c r="B67" s="369" t="s">
        <v>930</v>
      </c>
      <c r="C67" s="401">
        <v>1</v>
      </c>
    </row>
    <row r="68" spans="1:3">
      <c r="B68" s="369" t="s">
        <v>931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3.1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932</v>
      </c>
    </row>
    <row r="5" spans="2:2">
      <c r="B5" t="s">
        <v>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7109375" defaultRowHeight="13.15"/>
  <cols>
    <col min="1" max="1" width="0.7109375" style="369" customWidth="1"/>
    <col min="2" max="2" width="31.28515625" style="369" bestFit="1" customWidth="1"/>
    <col min="3" max="3" width="120.7109375" style="369" customWidth="1"/>
    <col min="4" max="4" width="0.7109375" style="369" customWidth="1"/>
    <col min="5" max="8" width="8.7109375" style="369"/>
    <col min="9" max="9" width="63.7109375" style="369" bestFit="1" customWidth="1"/>
    <col min="10" max="16384" width="8.7109375" style="369"/>
  </cols>
  <sheetData>
    <row r="2" spans="2:3">
      <c r="B2" s="788" t="s">
        <v>642</v>
      </c>
      <c r="C2" s="788" t="s">
        <v>934</v>
      </c>
    </row>
    <row r="3" spans="2:3" ht="3" customHeight="1">
      <c r="B3" s="773"/>
      <c r="C3" s="773"/>
    </row>
    <row r="4" spans="2:3">
      <c r="B4" s="788" t="s">
        <v>935</v>
      </c>
      <c r="C4" s="788" t="s">
        <v>936</v>
      </c>
    </row>
    <row r="5" spans="2:3" ht="26.45">
      <c r="B5" s="773" t="s">
        <v>937</v>
      </c>
      <c r="C5" s="786" t="s">
        <v>938</v>
      </c>
    </row>
    <row r="6" spans="2:3" ht="52.9">
      <c r="B6" s="773" t="s">
        <v>939</v>
      </c>
      <c r="C6" s="786" t="s">
        <v>940</v>
      </c>
    </row>
    <row r="7" spans="2:3" ht="39.6">
      <c r="B7" s="773" t="s">
        <v>893</v>
      </c>
      <c r="C7" s="786" t="s">
        <v>941</v>
      </c>
    </row>
    <row r="8" spans="2:3" ht="26.45">
      <c r="B8" s="773" t="s">
        <v>894</v>
      </c>
      <c r="C8" s="786" t="s">
        <v>942</v>
      </c>
    </row>
    <row r="9" spans="2:3" ht="26.45">
      <c r="B9" s="773" t="s">
        <v>469</v>
      </c>
      <c r="C9" s="786" t="s">
        <v>943</v>
      </c>
    </row>
    <row r="10" spans="2:3">
      <c r="B10" s="773" t="s">
        <v>897</v>
      </c>
      <c r="C10" s="773" t="s">
        <v>944</v>
      </c>
    </row>
    <row r="11" spans="2:3">
      <c r="B11" s="773" t="s">
        <v>899</v>
      </c>
      <c r="C11" s="773" t="s">
        <v>945</v>
      </c>
    </row>
    <row r="12" spans="2:3">
      <c r="B12" s="773" t="s">
        <v>946</v>
      </c>
      <c r="C12" s="786" t="s">
        <v>947</v>
      </c>
    </row>
    <row r="13" spans="2:3">
      <c r="B13" s="773" t="s">
        <v>901</v>
      </c>
      <c r="C13" s="773" t="s">
        <v>948</v>
      </c>
    </row>
    <row r="14" spans="2:3">
      <c r="B14" s="773" t="s">
        <v>162</v>
      </c>
      <c r="C14" s="789" t="s">
        <v>949</v>
      </c>
    </row>
    <row r="15" spans="2:3" ht="39.6">
      <c r="B15" s="773" t="s">
        <v>252</v>
      </c>
      <c r="C15" s="786" t="s">
        <v>950</v>
      </c>
    </row>
    <row r="16" spans="2:3" ht="39.6">
      <c r="B16" s="773" t="s">
        <v>903</v>
      </c>
      <c r="C16" s="786" t="s">
        <v>951</v>
      </c>
    </row>
    <row r="17" spans="2:6">
      <c r="B17" s="773" t="s">
        <v>502</v>
      </c>
      <c r="C17" s="773" t="s">
        <v>952</v>
      </c>
      <c r="D17" s="772"/>
    </row>
    <row r="18" spans="2:6">
      <c r="B18" s="773" t="s">
        <v>612</v>
      </c>
      <c r="C18" s="773" t="s">
        <v>953</v>
      </c>
      <c r="D18" s="772"/>
    </row>
    <row r="19" spans="2:6">
      <c r="B19" s="773" t="s">
        <v>225</v>
      </c>
      <c r="C19" s="773" t="s">
        <v>954</v>
      </c>
      <c r="D19" s="772"/>
    </row>
    <row r="20" spans="2:6">
      <c r="B20" s="773" t="s">
        <v>229</v>
      </c>
      <c r="C20" s="773" t="s">
        <v>955</v>
      </c>
      <c r="D20" s="772"/>
    </row>
    <row r="21" spans="2:6">
      <c r="B21" s="773" t="s">
        <v>918</v>
      </c>
      <c r="C21" s="773" t="s">
        <v>956</v>
      </c>
      <c r="D21" s="772"/>
    </row>
    <row r="22" spans="2:6">
      <c r="B22" s="773" t="s">
        <v>498</v>
      </c>
      <c r="C22" s="773" t="s">
        <v>957</v>
      </c>
      <c r="D22" s="772"/>
    </row>
    <row r="23" spans="2:6">
      <c r="B23" s="773" t="s">
        <v>958</v>
      </c>
      <c r="C23" s="773" t="s">
        <v>959</v>
      </c>
      <c r="D23" s="772"/>
      <c r="E23" s="369" t="s">
        <v>960</v>
      </c>
      <c r="F23" s="369" t="s">
        <v>961</v>
      </c>
    </row>
    <row r="24" spans="2:6" ht="3" customHeight="1">
      <c r="B24" s="773"/>
      <c r="C24" s="773"/>
      <c r="D24" s="772"/>
    </row>
    <row r="25" spans="2:6">
      <c r="B25" s="788" t="s">
        <v>962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902</v>
      </c>
      <c r="C27" s="773" t="s">
        <v>963</v>
      </c>
      <c r="D27" s="772"/>
    </row>
    <row r="28" spans="2:6">
      <c r="B28" s="773" t="s">
        <v>964</v>
      </c>
      <c r="C28" s="773" t="s">
        <v>965</v>
      </c>
      <c r="D28" s="772"/>
    </row>
    <row r="29" spans="2:6">
      <c r="B29" s="773" t="s">
        <v>966</v>
      </c>
      <c r="C29" s="773" t="s">
        <v>967</v>
      </c>
      <c r="D29" s="772"/>
    </row>
    <row r="30" spans="2:6">
      <c r="B30" s="773" t="s">
        <v>968</v>
      </c>
      <c r="C30" s="773" t="s">
        <v>969</v>
      </c>
      <c r="D30" s="772"/>
    </row>
    <row r="31" spans="2:6">
      <c r="B31" s="773" t="s">
        <v>970</v>
      </c>
      <c r="C31" s="773" t="s">
        <v>971</v>
      </c>
      <c r="D31" s="772"/>
    </row>
    <row r="32" spans="2:6">
      <c r="B32" s="773" t="s">
        <v>972</v>
      </c>
      <c r="C32" s="773" t="s">
        <v>971</v>
      </c>
      <c r="D32" s="772"/>
    </row>
    <row r="33" spans="2:3">
      <c r="B33" s="773" t="s">
        <v>973</v>
      </c>
      <c r="C33" s="773" t="s">
        <v>974</v>
      </c>
    </row>
    <row r="34" spans="2:3">
      <c r="B34" s="773" t="s">
        <v>975</v>
      </c>
      <c r="C34" s="773" t="s">
        <v>976</v>
      </c>
    </row>
    <row r="35" spans="2:3">
      <c r="B35" s="773" t="s">
        <v>977</v>
      </c>
      <c r="C35" s="773" t="s">
        <v>978</v>
      </c>
    </row>
    <row r="36" spans="2:3">
      <c r="B36" s="773" t="s">
        <v>979</v>
      </c>
      <c r="C36" s="608" t="s">
        <v>980</v>
      </c>
    </row>
    <row r="37" spans="2:3">
      <c r="B37" s="773" t="s">
        <v>979</v>
      </c>
      <c r="C37" s="608" t="s">
        <v>981</v>
      </c>
    </row>
    <row r="38" spans="2:3">
      <c r="B38" s="773" t="s">
        <v>982</v>
      </c>
      <c r="C38" s="608" t="s">
        <v>983</v>
      </c>
    </row>
    <row r="39" spans="2:3">
      <c r="B39" s="773" t="s">
        <v>984</v>
      </c>
      <c r="C39" s="773" t="s">
        <v>952</v>
      </c>
    </row>
    <row r="40" spans="2:3">
      <c r="B40" s="773" t="s">
        <v>912</v>
      </c>
      <c r="C40" s="773" t="s">
        <v>952</v>
      </c>
    </row>
    <row r="41" spans="2:3">
      <c r="B41" s="773" t="s">
        <v>985</v>
      </c>
      <c r="C41" s="773" t="s">
        <v>986</v>
      </c>
    </row>
    <row r="42" spans="2:3">
      <c r="B42" s="773" t="s">
        <v>497</v>
      </c>
      <c r="C42" s="773" t="s">
        <v>987</v>
      </c>
    </row>
    <row r="43" spans="2:3">
      <c r="B43" s="773" t="s">
        <v>988</v>
      </c>
      <c r="C43" s="773" t="s">
        <v>952</v>
      </c>
    </row>
    <row r="44" spans="2:3">
      <c r="B44" s="773" t="s">
        <v>989</v>
      </c>
      <c r="C44" s="773" t="s">
        <v>965</v>
      </c>
    </row>
    <row r="45" spans="2:3">
      <c r="B45" s="773" t="s">
        <v>507</v>
      </c>
      <c r="C45" s="773" t="s">
        <v>952</v>
      </c>
    </row>
    <row r="46" spans="2:3">
      <c r="B46" s="773" t="s">
        <v>236</v>
      </c>
      <c r="C46" s="773" t="s">
        <v>952</v>
      </c>
    </row>
    <row r="47" spans="2:3">
      <c r="B47" s="773" t="s">
        <v>990</v>
      </c>
      <c r="C47" s="773" t="s">
        <v>971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AD61"/>
  <sheetViews>
    <sheetView tabSelected="1" zoomScale="90" zoomScaleNormal="90" workbookViewId="0">
      <pane xSplit="2" ySplit="4" topLeftCell="C27" activePane="bottomRight" state="frozen"/>
      <selection pane="bottomRight" activeCell="A43" sqref="A43:XFD43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64" style="749" customWidth="1"/>
    <col min="4" max="4" width="14.42578125" style="809" customWidth="1"/>
    <col min="5" max="5" width="17.5703125" style="416" customWidth="1"/>
    <col min="6" max="6" width="32.140625" style="416" customWidth="1" collapsed="1"/>
    <col min="7" max="9" width="0.5703125" style="416" hidden="1" customWidth="1" outlineLevel="1"/>
    <col min="10" max="10" width="13.28515625" style="416" hidden="1" customWidth="1" outlineLevel="1"/>
    <col min="11" max="11" width="9.5703125" style="416" hidden="1" customWidth="1" outlineLevel="1"/>
    <col min="12" max="12" width="16.28515625" style="416" hidden="1" customWidth="1" outlineLevel="1"/>
    <col min="13" max="13" width="14.28515625" style="416" hidden="1" customWidth="1" outlineLevel="1"/>
    <col min="14" max="16" width="0.5703125" style="416" hidden="1" customWidth="1" outlineLevel="1"/>
    <col min="17" max="23" width="14.42578125" style="416" hidden="1" customWidth="1" outlineLevel="1"/>
    <col min="24" max="26" width="0.5703125" style="416" customWidth="1"/>
    <col min="27" max="29" width="9.42578125" style="416"/>
    <col min="30" max="30" width="9.42578125" style="416" bestFit="1" customWidth="1"/>
    <col min="31" max="16384" width="9.42578125" style="416"/>
  </cols>
  <sheetData>
    <row r="2" spans="1:30" ht="17.45">
      <c r="A2" s="376"/>
      <c r="B2" s="418" t="s">
        <v>991</v>
      </c>
      <c r="C2" s="423"/>
      <c r="D2" s="805"/>
      <c r="E2" s="418"/>
      <c r="F2" s="418"/>
      <c r="H2" s="751"/>
      <c r="J2" s="689">
        <f>SUBTOTAL(9,J6:J59)</f>
        <v>0.89393453926302535</v>
      </c>
      <c r="K2" s="690">
        <f>SUBTOTAL(9,K6:K60)</f>
        <v>14</v>
      </c>
      <c r="L2" s="689">
        <f>SUBTOTAL(9,L6:L59)</f>
        <v>0</v>
      </c>
      <c r="M2" s="764">
        <f>SUBTOTAL(9,M6:M59)</f>
        <v>0</v>
      </c>
      <c r="N2" s="626"/>
      <c r="O2" s="751"/>
      <c r="Q2" s="418"/>
      <c r="R2" s="418"/>
      <c r="S2" s="418"/>
      <c r="T2" s="418"/>
      <c r="U2" s="418"/>
      <c r="V2" s="418"/>
      <c r="W2" s="418"/>
      <c r="Y2" s="751"/>
      <c r="AA2" s="610"/>
      <c r="AB2" s="610"/>
    </row>
    <row r="3" spans="1:30" ht="3" customHeight="1">
      <c r="A3" s="376"/>
      <c r="B3" s="376"/>
      <c r="C3" s="608"/>
      <c r="D3" s="806"/>
      <c r="E3" s="376"/>
      <c r="F3" s="376"/>
      <c r="H3" s="751"/>
      <c r="J3" s="376"/>
      <c r="K3" s="376"/>
      <c r="L3" s="376"/>
      <c r="M3" s="376"/>
      <c r="N3" s="626"/>
      <c r="O3" s="751"/>
      <c r="Q3" s="376"/>
      <c r="R3" s="376"/>
      <c r="S3" s="376"/>
      <c r="T3" s="376"/>
      <c r="U3" s="376"/>
      <c r="V3" s="376"/>
      <c r="W3" s="376"/>
      <c r="Y3" s="751"/>
    </row>
    <row r="4" spans="1:30" s="442" customFormat="1" ht="30">
      <c r="A4" s="528"/>
      <c r="B4" s="621" t="s">
        <v>642</v>
      </c>
      <c r="C4" s="693" t="s">
        <v>992</v>
      </c>
      <c r="D4" s="804" t="s">
        <v>993</v>
      </c>
      <c r="E4" s="621" t="s">
        <v>994</v>
      </c>
      <c r="F4" s="621" t="s">
        <v>5</v>
      </c>
      <c r="H4" s="752"/>
      <c r="J4" s="693" t="s">
        <v>995</v>
      </c>
      <c r="K4" s="693" t="s">
        <v>996</v>
      </c>
      <c r="L4" s="621" t="s">
        <v>997</v>
      </c>
      <c r="M4" s="693" t="s">
        <v>998</v>
      </c>
      <c r="N4" s="694"/>
      <c r="O4" s="752"/>
      <c r="Q4" s="621" t="s">
        <v>0</v>
      </c>
      <c r="R4" s="621" t="s">
        <v>999</v>
      </c>
      <c r="S4" s="621" t="s">
        <v>1000</v>
      </c>
      <c r="T4" s="621" t="s">
        <v>1001</v>
      </c>
      <c r="U4" s="621" t="s">
        <v>1002</v>
      </c>
      <c r="V4" s="621" t="s">
        <v>1003</v>
      </c>
      <c r="W4" s="621" t="s">
        <v>5</v>
      </c>
      <c r="Y4" s="752"/>
      <c r="AA4" s="763"/>
      <c r="AB4" s="763"/>
      <c r="AC4" s="416"/>
    </row>
    <row r="5" spans="1:30" ht="3" customHeight="1">
      <c r="A5" s="376"/>
      <c r="B5" s="376"/>
      <c r="C5" s="608"/>
      <c r="D5" s="806"/>
      <c r="E5" s="376"/>
      <c r="F5" s="376"/>
      <c r="H5" s="751"/>
      <c r="J5" s="695"/>
      <c r="K5" s="696"/>
      <c r="L5" s="695"/>
      <c r="M5" s="696"/>
      <c r="N5" s="626"/>
      <c r="O5" s="751"/>
      <c r="Q5" s="376"/>
      <c r="R5" s="376"/>
      <c r="S5" s="376"/>
      <c r="T5" s="376"/>
      <c r="U5" s="376"/>
      <c r="V5" s="376"/>
      <c r="W5" s="376"/>
      <c r="Y5" s="751"/>
      <c r="AA5" s="610"/>
      <c r="AB5" s="610"/>
      <c r="AC5" s="610"/>
      <c r="AD5" s="610"/>
    </row>
    <row r="6" spans="1:30" ht="15">
      <c r="A6" s="376"/>
      <c r="B6" s="430" t="s">
        <v>903</v>
      </c>
      <c r="C6" s="697" t="s">
        <v>1004</v>
      </c>
      <c r="D6" s="807"/>
      <c r="E6" s="430"/>
      <c r="F6" s="430"/>
      <c r="H6" s="751"/>
      <c r="J6" s="698">
        <f>SUBTOTAL(9,J8:J57)</f>
        <v>0.89393453926302535</v>
      </c>
      <c r="K6" s="699">
        <f>SUBTOTAL(9,K8:K57)</f>
        <v>14</v>
      </c>
      <c r="L6" s="698">
        <f>SUBTOTAL(9,L8:L57)</f>
        <v>0</v>
      </c>
      <c r="M6" s="699">
        <f>SUBTOTAL(9,M8:M57)</f>
        <v>0</v>
      </c>
      <c r="N6" s="626"/>
      <c r="O6" s="751"/>
      <c r="Q6" s="430"/>
      <c r="R6" s="430"/>
      <c r="S6" s="430"/>
      <c r="T6" s="430"/>
      <c r="U6" s="430"/>
      <c r="V6" s="430"/>
      <c r="W6" s="430"/>
      <c r="Y6" s="751"/>
      <c r="AA6" s="610"/>
      <c r="AB6" s="610"/>
      <c r="AC6" s="610"/>
      <c r="AD6" s="610"/>
    </row>
    <row r="7" spans="1:30" ht="2.1" customHeight="1" outlineLevel="1">
      <c r="A7" s="376"/>
      <c r="B7" s="376"/>
      <c r="C7" s="608"/>
      <c r="D7" s="806"/>
      <c r="E7" s="376"/>
      <c r="F7" s="376"/>
      <c r="H7" s="751"/>
      <c r="J7" s="695"/>
      <c r="K7" s="700"/>
      <c r="L7" s="695"/>
      <c r="M7" s="700"/>
      <c r="N7" s="626"/>
      <c r="O7" s="751"/>
      <c r="Q7" s="376"/>
      <c r="R7" s="376"/>
      <c r="S7" s="376"/>
      <c r="T7" s="376"/>
      <c r="U7" s="376"/>
      <c r="V7" s="376"/>
      <c r="W7" s="376"/>
      <c r="Y7" s="751"/>
      <c r="AA7" s="610"/>
      <c r="AB7" s="610"/>
      <c r="AC7" s="610"/>
      <c r="AD7" s="610"/>
    </row>
    <row r="8" spans="1:30" ht="16.149999999999999" customHeight="1" outlineLevel="1">
      <c r="A8" s="376"/>
      <c r="B8" s="665" t="s">
        <v>159</v>
      </c>
      <c r="C8" s="681" t="s">
        <v>1005</v>
      </c>
      <c r="D8" s="808"/>
      <c r="E8" s="665"/>
      <c r="F8" s="665"/>
      <c r="H8" s="751"/>
      <c r="J8" s="701">
        <f>SUBTOTAL(9,J18:J27)</f>
        <v>0.40189940473544994</v>
      </c>
      <c r="K8" s="702">
        <f>SUBTOTAL(9,K18:K27)</f>
        <v>4</v>
      </c>
      <c r="L8" s="701">
        <f>SUBTOTAL(9,L18:L27)</f>
        <v>0</v>
      </c>
      <c r="M8" s="702">
        <f>SUBTOTAL(9,M18:M27)</f>
        <v>0</v>
      </c>
      <c r="N8" s="626"/>
      <c r="O8" s="751"/>
      <c r="Q8" s="665"/>
      <c r="R8" s="665"/>
      <c r="S8" s="665"/>
      <c r="T8" s="665"/>
      <c r="U8" s="665"/>
      <c r="V8" s="665"/>
      <c r="W8" s="665"/>
      <c r="Y8" s="751"/>
    </row>
    <row r="9" spans="1:30" outlineLevel="2">
      <c r="A9" s="376"/>
      <c r="B9" s="376" t="s">
        <v>903</v>
      </c>
      <c r="C9" s="608" t="s">
        <v>1006</v>
      </c>
      <c r="D9" s="806">
        <v>46295</v>
      </c>
      <c r="E9" s="376" t="s">
        <v>1007</v>
      </c>
      <c r="F9" s="376"/>
      <c r="H9" s="751"/>
      <c r="J9" s="695">
        <v>0.18696938245168926</v>
      </c>
      <c r="K9" s="700">
        <v>1</v>
      </c>
      <c r="L9" s="609">
        <f>IF(M9=1,J9,0)</f>
        <v>0</v>
      </c>
      <c r="M9" s="700"/>
      <c r="N9" s="626"/>
      <c r="O9" s="751"/>
      <c r="Q9" s="376" t="s">
        <v>1007</v>
      </c>
      <c r="R9" s="376" t="s">
        <v>1008</v>
      </c>
      <c r="S9" s="376" t="s">
        <v>1009</v>
      </c>
      <c r="T9" s="376" t="s">
        <v>1010</v>
      </c>
      <c r="U9" s="376"/>
      <c r="V9" s="376"/>
      <c r="W9" s="376"/>
      <c r="Y9" s="751"/>
    </row>
    <row r="10" spans="1:30" s="815" customFormat="1" outlineLevel="3">
      <c r="A10" s="810"/>
      <c r="B10" s="811" t="s">
        <v>1011</v>
      </c>
      <c r="C10" s="812" t="s">
        <v>1012</v>
      </c>
      <c r="D10" s="813">
        <v>46310</v>
      </c>
      <c r="E10" s="814" t="s">
        <v>1013</v>
      </c>
      <c r="F10" s="810"/>
      <c r="H10" s="816"/>
      <c r="J10" s="817"/>
      <c r="K10" s="818"/>
      <c r="L10" s="819"/>
      <c r="M10" s="818"/>
      <c r="N10" s="820"/>
      <c r="O10" s="816"/>
      <c r="Q10" s="810"/>
      <c r="R10" s="810"/>
      <c r="S10" s="810"/>
      <c r="T10" s="810"/>
      <c r="U10" s="810"/>
      <c r="V10" s="810"/>
      <c r="W10" s="820"/>
      <c r="X10" s="416"/>
      <c r="Y10" s="751"/>
      <c r="Z10" s="416"/>
      <c r="AA10" s="821"/>
    </row>
    <row r="11" spans="1:30" s="815" customFormat="1" outlineLevel="3">
      <c r="A11" s="810"/>
      <c r="B11" s="811" t="s">
        <v>1014</v>
      </c>
      <c r="C11" s="812" t="s">
        <v>1015</v>
      </c>
      <c r="D11" s="813">
        <v>46325</v>
      </c>
      <c r="E11" s="814" t="s">
        <v>1016</v>
      </c>
      <c r="F11" s="810"/>
      <c r="H11" s="816"/>
      <c r="J11" s="817"/>
      <c r="K11" s="818"/>
      <c r="L11" s="819"/>
      <c r="M11" s="818"/>
      <c r="N11" s="820"/>
      <c r="O11" s="816"/>
      <c r="Q11" s="810"/>
      <c r="R11" s="810"/>
      <c r="S11" s="810"/>
      <c r="T11" s="810"/>
      <c r="U11" s="810"/>
      <c r="V11" s="810"/>
      <c r="W11" s="820"/>
      <c r="X11" s="416"/>
      <c r="Y11" s="751"/>
      <c r="Z11" s="416"/>
    </row>
    <row r="12" spans="1:30" outlineLevel="2">
      <c r="A12" s="376"/>
      <c r="B12" s="376" t="s">
        <v>903</v>
      </c>
      <c r="C12" s="608" t="s">
        <v>1017</v>
      </c>
      <c r="D12" s="806">
        <v>46305</v>
      </c>
      <c r="E12" s="376" t="s">
        <v>1007</v>
      </c>
      <c r="F12" s="376"/>
      <c r="H12" s="751"/>
      <c r="J12" s="695">
        <v>2.7188049454872507E-2</v>
      </c>
      <c r="K12" s="700">
        <v>1</v>
      </c>
      <c r="L12" s="609">
        <f>IF(M12=1,J12,0)</f>
        <v>0</v>
      </c>
      <c r="M12" s="700"/>
      <c r="N12" s="626"/>
      <c r="O12" s="751"/>
      <c r="Q12" s="376" t="s">
        <v>1007</v>
      </c>
      <c r="R12" s="376" t="s">
        <v>1008</v>
      </c>
      <c r="S12" s="376" t="s">
        <v>1009</v>
      </c>
      <c r="T12" s="376" t="s">
        <v>1010</v>
      </c>
      <c r="U12" s="376"/>
      <c r="V12" s="376"/>
      <c r="W12" s="376"/>
      <c r="Y12" s="751"/>
    </row>
    <row r="13" spans="1:30" s="815" customFormat="1" outlineLevel="3">
      <c r="A13" s="810"/>
      <c r="B13" s="811" t="s">
        <v>1011</v>
      </c>
      <c r="C13" s="812" t="s">
        <v>1012</v>
      </c>
      <c r="D13" s="813">
        <v>46310</v>
      </c>
      <c r="E13" s="814" t="s">
        <v>1013</v>
      </c>
      <c r="F13" s="810"/>
      <c r="H13" s="816"/>
      <c r="J13" s="817"/>
      <c r="K13" s="818"/>
      <c r="L13" s="819"/>
      <c r="M13" s="818"/>
      <c r="N13" s="820"/>
      <c r="O13" s="816"/>
      <c r="Q13" s="810"/>
      <c r="R13" s="810"/>
      <c r="S13" s="810"/>
      <c r="T13" s="810"/>
      <c r="U13" s="810"/>
      <c r="V13" s="810"/>
      <c r="W13" s="820"/>
      <c r="X13" s="416"/>
      <c r="Y13" s="751"/>
      <c r="Z13" s="416"/>
      <c r="AA13" s="821"/>
    </row>
    <row r="14" spans="1:30" s="815" customFormat="1" outlineLevel="3">
      <c r="A14" s="810"/>
      <c r="B14" s="811" t="s">
        <v>1014</v>
      </c>
      <c r="C14" s="812" t="s">
        <v>1015</v>
      </c>
      <c r="D14" s="813">
        <v>46325</v>
      </c>
      <c r="E14" s="814" t="s">
        <v>1016</v>
      </c>
      <c r="F14" s="810"/>
      <c r="H14" s="816"/>
      <c r="J14" s="817"/>
      <c r="K14" s="818"/>
      <c r="L14" s="819"/>
      <c r="M14" s="818"/>
      <c r="N14" s="820"/>
      <c r="O14" s="816"/>
      <c r="Q14" s="810"/>
      <c r="R14" s="810"/>
      <c r="S14" s="810"/>
      <c r="T14" s="810"/>
      <c r="U14" s="810"/>
      <c r="V14" s="810"/>
      <c r="W14" s="820"/>
      <c r="X14" s="416"/>
      <c r="Y14" s="751"/>
      <c r="Z14" s="416"/>
    </row>
    <row r="15" spans="1:30" outlineLevel="2">
      <c r="A15" s="376"/>
      <c r="B15" s="376" t="s">
        <v>903</v>
      </c>
      <c r="C15" s="608" t="s">
        <v>1018</v>
      </c>
      <c r="D15" s="806">
        <v>46310</v>
      </c>
      <c r="E15" s="376" t="s">
        <v>1007</v>
      </c>
      <c r="F15" s="376"/>
      <c r="H15" s="751"/>
      <c r="J15" s="695">
        <v>0.11218162947101355</v>
      </c>
      <c r="K15" s="700">
        <v>1</v>
      </c>
      <c r="L15" s="609">
        <f>IF(M15=1,J15,0)</f>
        <v>0</v>
      </c>
      <c r="M15" s="700"/>
      <c r="N15" s="626"/>
      <c r="O15" s="751"/>
      <c r="Q15" s="376" t="s">
        <v>1007</v>
      </c>
      <c r="R15" s="376" t="s">
        <v>1008</v>
      </c>
      <c r="S15" s="376" t="s">
        <v>1009</v>
      </c>
      <c r="T15" s="376" t="s">
        <v>1010</v>
      </c>
      <c r="U15" s="376"/>
      <c r="V15" s="376"/>
      <c r="W15" s="376"/>
      <c r="Y15" s="751"/>
    </row>
    <row r="16" spans="1:30" s="815" customFormat="1" outlineLevel="3">
      <c r="A16" s="810"/>
      <c r="B16" s="811" t="s">
        <v>1011</v>
      </c>
      <c r="C16" s="812" t="s">
        <v>1012</v>
      </c>
      <c r="D16" s="813">
        <v>46310</v>
      </c>
      <c r="E16" s="814" t="s">
        <v>1013</v>
      </c>
      <c r="F16" s="810"/>
      <c r="H16" s="816"/>
      <c r="J16" s="817"/>
      <c r="K16" s="818"/>
      <c r="L16" s="819"/>
      <c r="M16" s="818"/>
      <c r="N16" s="820"/>
      <c r="O16" s="816"/>
      <c r="Q16" s="810"/>
      <c r="R16" s="810"/>
      <c r="S16" s="810"/>
      <c r="T16" s="810"/>
      <c r="U16" s="810"/>
      <c r="V16" s="810"/>
      <c r="W16" s="820"/>
      <c r="X16" s="416"/>
      <c r="Y16" s="751"/>
      <c r="Z16" s="416"/>
      <c r="AA16" s="821"/>
    </row>
    <row r="17" spans="1:27" s="815" customFormat="1" outlineLevel="3">
      <c r="A17" s="810"/>
      <c r="B17" s="811" t="s">
        <v>1014</v>
      </c>
      <c r="C17" s="812" t="s">
        <v>1015</v>
      </c>
      <c r="D17" s="813">
        <v>46325</v>
      </c>
      <c r="E17" s="814" t="s">
        <v>1016</v>
      </c>
      <c r="F17" s="810"/>
      <c r="H17" s="816"/>
      <c r="J17" s="817"/>
      <c r="K17" s="818"/>
      <c r="L17" s="819"/>
      <c r="M17" s="818"/>
      <c r="N17" s="820"/>
      <c r="O17" s="816"/>
      <c r="Q17" s="810"/>
      <c r="R17" s="810"/>
      <c r="S17" s="810"/>
      <c r="T17" s="810"/>
      <c r="U17" s="810"/>
      <c r="V17" s="810"/>
      <c r="W17" s="820"/>
      <c r="X17" s="416"/>
      <c r="Y17" s="751"/>
      <c r="Z17" s="416"/>
    </row>
    <row r="18" spans="1:27" outlineLevel="2">
      <c r="A18" s="376"/>
      <c r="B18" s="376" t="s">
        <v>903</v>
      </c>
      <c r="C18" s="705" t="s">
        <v>1019</v>
      </c>
      <c r="D18" s="806">
        <v>46325</v>
      </c>
      <c r="E18" s="376" t="s">
        <v>1007</v>
      </c>
      <c r="F18" s="376"/>
      <c r="H18" s="751"/>
      <c r="J18" s="695">
        <v>0.25575333042562204</v>
      </c>
      <c r="K18" s="700">
        <v>1</v>
      </c>
      <c r="L18" s="609">
        <f>IF(M18=1,J18,0)</f>
        <v>0</v>
      </c>
      <c r="M18" s="700"/>
      <c r="N18" s="626"/>
      <c r="O18" s="751"/>
      <c r="Q18" s="376" t="s">
        <v>1007</v>
      </c>
      <c r="R18" s="376" t="s">
        <v>1008</v>
      </c>
      <c r="S18" s="376" t="s">
        <v>1009</v>
      </c>
      <c r="T18" s="376" t="s">
        <v>1010</v>
      </c>
      <c r="U18" s="376"/>
      <c r="V18" s="376"/>
      <c r="W18" s="376"/>
      <c r="Y18" s="751"/>
    </row>
    <row r="19" spans="1:27" s="815" customFormat="1" outlineLevel="3">
      <c r="A19" s="810"/>
      <c r="B19" s="811" t="s">
        <v>1011</v>
      </c>
      <c r="C19" s="812" t="s">
        <v>1012</v>
      </c>
      <c r="D19" s="813">
        <v>46310</v>
      </c>
      <c r="E19" s="814" t="s">
        <v>1013</v>
      </c>
      <c r="F19" s="810"/>
      <c r="H19" s="816"/>
      <c r="J19" s="817"/>
      <c r="K19" s="818"/>
      <c r="L19" s="819"/>
      <c r="M19" s="818"/>
      <c r="N19" s="820"/>
      <c r="O19" s="816"/>
      <c r="Q19" s="810"/>
      <c r="R19" s="810"/>
      <c r="S19" s="810"/>
      <c r="T19" s="810"/>
      <c r="U19" s="810"/>
      <c r="V19" s="810"/>
      <c r="W19" s="820"/>
      <c r="X19" s="416"/>
      <c r="Y19" s="751"/>
      <c r="Z19" s="416"/>
      <c r="AA19" s="821"/>
    </row>
    <row r="20" spans="1:27" s="815" customFormat="1" outlineLevel="3">
      <c r="A20" s="810"/>
      <c r="B20" s="811" t="s">
        <v>1014</v>
      </c>
      <c r="C20" s="812" t="s">
        <v>1015</v>
      </c>
      <c r="D20" s="813">
        <v>46325</v>
      </c>
      <c r="E20" s="814" t="s">
        <v>1016</v>
      </c>
      <c r="F20" s="810"/>
      <c r="H20" s="816"/>
      <c r="J20" s="817"/>
      <c r="K20" s="818"/>
      <c r="L20" s="819"/>
      <c r="M20" s="818"/>
      <c r="N20" s="820"/>
      <c r="O20" s="816"/>
      <c r="Q20" s="810"/>
      <c r="R20" s="810"/>
      <c r="S20" s="810"/>
      <c r="T20" s="810"/>
      <c r="U20" s="810"/>
      <c r="V20" s="810"/>
      <c r="W20" s="820"/>
      <c r="X20" s="416"/>
      <c r="Y20" s="751"/>
      <c r="Z20" s="416"/>
    </row>
    <row r="21" spans="1:27" outlineLevel="2">
      <c r="A21" s="376"/>
      <c r="B21" s="376" t="s">
        <v>903</v>
      </c>
      <c r="C21" s="608" t="s">
        <v>1020</v>
      </c>
      <c r="D21" s="806">
        <v>46325</v>
      </c>
      <c r="E21" s="376" t="s">
        <v>1007</v>
      </c>
      <c r="F21" s="376"/>
      <c r="H21" s="751"/>
      <c r="J21" s="695">
        <v>8.1564148364617506E-2</v>
      </c>
      <c r="K21" s="700">
        <v>1</v>
      </c>
      <c r="L21" s="609">
        <f>IF(M21=1,J21,0)</f>
        <v>0</v>
      </c>
      <c r="M21" s="700"/>
      <c r="N21" s="626"/>
      <c r="O21" s="751"/>
      <c r="Q21" s="376" t="s">
        <v>1007</v>
      </c>
      <c r="R21" s="376" t="s">
        <v>1008</v>
      </c>
      <c r="S21" s="376" t="s">
        <v>1009</v>
      </c>
      <c r="T21" s="376" t="s">
        <v>1010</v>
      </c>
      <c r="U21" s="376"/>
      <c r="V21" s="376"/>
      <c r="W21" s="376"/>
      <c r="Y21" s="751"/>
    </row>
    <row r="22" spans="1:27" s="815" customFormat="1" outlineLevel="3">
      <c r="A22" s="810"/>
      <c r="B22" s="811" t="s">
        <v>1011</v>
      </c>
      <c r="C22" s="812" t="s">
        <v>1012</v>
      </c>
      <c r="D22" s="813">
        <v>46310</v>
      </c>
      <c r="E22" s="814" t="s">
        <v>1013</v>
      </c>
      <c r="F22" s="810"/>
      <c r="H22" s="816"/>
      <c r="J22" s="817"/>
      <c r="K22" s="818"/>
      <c r="L22" s="819"/>
      <c r="M22" s="818"/>
      <c r="N22" s="820"/>
      <c r="O22" s="816"/>
      <c r="Q22" s="810"/>
      <c r="R22" s="810"/>
      <c r="S22" s="810"/>
      <c r="T22" s="810"/>
      <c r="U22" s="810"/>
      <c r="V22" s="810"/>
      <c r="W22" s="820"/>
      <c r="X22" s="416"/>
      <c r="Y22" s="751"/>
      <c r="Z22" s="416"/>
      <c r="AA22" s="821"/>
    </row>
    <row r="23" spans="1:27" s="815" customFormat="1" outlineLevel="3">
      <c r="A23" s="810"/>
      <c r="B23" s="811" t="s">
        <v>1014</v>
      </c>
      <c r="C23" s="812" t="s">
        <v>1015</v>
      </c>
      <c r="D23" s="813">
        <v>46325</v>
      </c>
      <c r="E23" s="814" t="s">
        <v>1016</v>
      </c>
      <c r="F23" s="810"/>
      <c r="H23" s="816"/>
      <c r="J23" s="817"/>
      <c r="K23" s="818"/>
      <c r="L23" s="819"/>
      <c r="M23" s="818"/>
      <c r="N23" s="820"/>
      <c r="O23" s="816"/>
      <c r="Q23" s="810"/>
      <c r="R23" s="810"/>
      <c r="S23" s="810"/>
      <c r="T23" s="810"/>
      <c r="U23" s="810"/>
      <c r="V23" s="810"/>
      <c r="W23" s="820"/>
      <c r="X23" s="416"/>
      <c r="Y23" s="751"/>
      <c r="Z23" s="416"/>
    </row>
    <row r="24" spans="1:27" outlineLevel="2">
      <c r="A24" s="376"/>
      <c r="B24" s="376" t="s">
        <v>903</v>
      </c>
      <c r="C24" s="608" t="s">
        <v>1021</v>
      </c>
      <c r="D24" s="806">
        <v>46325</v>
      </c>
      <c r="E24" s="376" t="s">
        <v>1007</v>
      </c>
      <c r="F24" s="376"/>
      <c r="H24" s="751"/>
      <c r="J24" s="695">
        <v>3.7393876490337853E-2</v>
      </c>
      <c r="K24" s="700">
        <v>1</v>
      </c>
      <c r="L24" s="609">
        <f>IF(M24=1,J24,0)</f>
        <v>0</v>
      </c>
      <c r="M24" s="700"/>
      <c r="N24" s="626"/>
      <c r="O24" s="751"/>
      <c r="Q24" s="376" t="s">
        <v>1007</v>
      </c>
      <c r="R24" s="376" t="s">
        <v>1008</v>
      </c>
      <c r="S24" s="376" t="s">
        <v>1009</v>
      </c>
      <c r="T24" s="376" t="s">
        <v>1010</v>
      </c>
      <c r="U24" s="376"/>
      <c r="V24" s="376"/>
      <c r="W24" s="376"/>
      <c r="Y24" s="751"/>
    </row>
    <row r="25" spans="1:27" s="815" customFormat="1" outlineLevel="3">
      <c r="A25" s="810"/>
      <c r="B25" s="811" t="s">
        <v>1011</v>
      </c>
      <c r="C25" s="812" t="s">
        <v>1012</v>
      </c>
      <c r="D25" s="813">
        <v>46310</v>
      </c>
      <c r="E25" s="814" t="s">
        <v>1013</v>
      </c>
      <c r="F25" s="810"/>
      <c r="H25" s="816"/>
      <c r="J25" s="817"/>
      <c r="K25" s="818"/>
      <c r="L25" s="819"/>
      <c r="M25" s="818"/>
      <c r="N25" s="820"/>
      <c r="O25" s="816"/>
      <c r="Q25" s="810"/>
      <c r="R25" s="810"/>
      <c r="S25" s="810"/>
      <c r="T25" s="810"/>
      <c r="U25" s="810"/>
      <c r="V25" s="810"/>
      <c r="W25" s="820"/>
      <c r="X25" s="416"/>
      <c r="Y25" s="751"/>
      <c r="Z25" s="416"/>
      <c r="AA25" s="821"/>
    </row>
    <row r="26" spans="1:27" s="815" customFormat="1" outlineLevel="3">
      <c r="A26" s="810"/>
      <c r="B26" s="811" t="s">
        <v>1014</v>
      </c>
      <c r="C26" s="812" t="s">
        <v>1015</v>
      </c>
      <c r="D26" s="813">
        <v>46325</v>
      </c>
      <c r="E26" s="814" t="s">
        <v>1016</v>
      </c>
      <c r="F26" s="810"/>
      <c r="H26" s="816"/>
      <c r="J26" s="817"/>
      <c r="K26" s="818"/>
      <c r="L26" s="819"/>
      <c r="M26" s="818"/>
      <c r="N26" s="820"/>
      <c r="O26" s="816"/>
      <c r="Q26" s="810"/>
      <c r="R26" s="810"/>
      <c r="S26" s="810"/>
      <c r="T26" s="810"/>
      <c r="U26" s="810"/>
      <c r="V26" s="810"/>
      <c r="W26" s="820"/>
      <c r="X26" s="416"/>
      <c r="Y26" s="751"/>
      <c r="Z26" s="416"/>
    </row>
    <row r="27" spans="1:27" outlineLevel="2">
      <c r="A27" s="376"/>
      <c r="B27" s="376" t="s">
        <v>903</v>
      </c>
      <c r="C27" s="608" t="s">
        <v>1022</v>
      </c>
      <c r="D27" s="806">
        <v>46356</v>
      </c>
      <c r="E27" s="376" t="s">
        <v>1007</v>
      </c>
      <c r="F27" s="376"/>
      <c r="H27" s="751"/>
      <c r="J27" s="695">
        <v>2.7188049454872507E-2</v>
      </c>
      <c r="K27" s="700">
        <v>1</v>
      </c>
      <c r="L27" s="609">
        <f>IF(M27=1,J27,0)</f>
        <v>0</v>
      </c>
      <c r="M27" s="700"/>
      <c r="N27" s="626"/>
      <c r="O27" s="751"/>
      <c r="Q27" s="376" t="s">
        <v>1007</v>
      </c>
      <c r="R27" s="376" t="s">
        <v>1008</v>
      </c>
      <c r="S27" s="376" t="s">
        <v>1009</v>
      </c>
      <c r="T27" s="376" t="s">
        <v>1010</v>
      </c>
      <c r="U27" s="376"/>
      <c r="V27" s="376"/>
      <c r="W27" s="376"/>
      <c r="Y27" s="751"/>
    </row>
    <row r="28" spans="1:27" s="815" customFormat="1" outlineLevel="3">
      <c r="A28" s="810"/>
      <c r="B28" s="811" t="s">
        <v>1011</v>
      </c>
      <c r="C28" s="812" t="s">
        <v>1012</v>
      </c>
      <c r="D28" s="813">
        <v>46310</v>
      </c>
      <c r="E28" s="814" t="s">
        <v>1013</v>
      </c>
      <c r="F28" s="810"/>
      <c r="H28" s="816"/>
      <c r="J28" s="817"/>
      <c r="K28" s="818"/>
      <c r="L28" s="819"/>
      <c r="M28" s="818"/>
      <c r="N28" s="820"/>
      <c r="O28" s="816"/>
      <c r="Q28" s="810"/>
      <c r="R28" s="810"/>
      <c r="S28" s="810"/>
      <c r="T28" s="810"/>
      <c r="U28" s="810"/>
      <c r="V28" s="810"/>
      <c r="W28" s="820"/>
      <c r="X28" s="416"/>
      <c r="Y28" s="751"/>
      <c r="Z28" s="416"/>
      <c r="AA28" s="821"/>
    </row>
    <row r="29" spans="1:27" s="815" customFormat="1" outlineLevel="3">
      <c r="A29" s="810"/>
      <c r="B29" s="811" t="s">
        <v>1014</v>
      </c>
      <c r="C29" s="812" t="s">
        <v>1015</v>
      </c>
      <c r="D29" s="813">
        <v>46325</v>
      </c>
      <c r="E29" s="814" t="s">
        <v>1016</v>
      </c>
      <c r="F29" s="810"/>
      <c r="H29" s="816"/>
      <c r="J29" s="817"/>
      <c r="K29" s="818"/>
      <c r="L29" s="819"/>
      <c r="M29" s="818"/>
      <c r="N29" s="820"/>
      <c r="O29" s="816"/>
      <c r="Q29" s="810"/>
      <c r="R29" s="810"/>
      <c r="S29" s="810"/>
      <c r="T29" s="810"/>
      <c r="U29" s="810"/>
      <c r="V29" s="810"/>
      <c r="W29" s="820"/>
      <c r="X29" s="416"/>
      <c r="Y29" s="751"/>
      <c r="Z29" s="416"/>
    </row>
    <row r="30" spans="1:27" ht="16.149999999999999" customHeight="1" outlineLevel="1">
      <c r="A30" s="376"/>
      <c r="B30" s="665" t="s">
        <v>518</v>
      </c>
      <c r="C30" s="681" t="s">
        <v>1023</v>
      </c>
      <c r="D30" s="808"/>
      <c r="E30" s="665"/>
      <c r="F30" s="665"/>
      <c r="H30" s="751"/>
      <c r="J30" s="701">
        <f>SUBTOTAL(9,J40:J49)</f>
        <v>0.11088342720000001</v>
      </c>
      <c r="K30" s="702">
        <f>SUBTOTAL(9,K40:K49)</f>
        <v>3</v>
      </c>
      <c r="L30" s="701">
        <f>SUBTOTAL(9,L40:L49)</f>
        <v>0</v>
      </c>
      <c r="M30" s="702">
        <f>SUBTOTAL(9,M40:M49)</f>
        <v>0</v>
      </c>
      <c r="N30" s="626"/>
      <c r="O30" s="751"/>
      <c r="Q30" s="665"/>
      <c r="R30" s="665"/>
      <c r="S30" s="665"/>
      <c r="T30" s="665"/>
      <c r="U30" s="665"/>
      <c r="V30" s="665"/>
      <c r="W30" s="665"/>
      <c r="Y30" s="751"/>
    </row>
    <row r="31" spans="1:27" outlineLevel="2">
      <c r="A31" s="376"/>
      <c r="B31" s="376" t="s">
        <v>903</v>
      </c>
      <c r="C31" s="608" t="s">
        <v>1020</v>
      </c>
      <c r="D31" s="806">
        <v>46295</v>
      </c>
      <c r="E31" s="376" t="s">
        <v>56</v>
      </c>
      <c r="F31" s="376"/>
      <c r="H31" s="751"/>
      <c r="J31" s="695">
        <v>2.5989279749999997E-2</v>
      </c>
      <c r="K31" s="692">
        <v>1</v>
      </c>
      <c r="L31" s="609">
        <f>IF(M31=1,J31,0)</f>
        <v>0</v>
      </c>
      <c r="M31" s="692"/>
      <c r="N31" s="626"/>
      <c r="O31" s="751"/>
      <c r="Q31" s="376" t="s">
        <v>56</v>
      </c>
      <c r="R31" s="376" t="s">
        <v>1024</v>
      </c>
      <c r="S31" s="376" t="s">
        <v>1025</v>
      </c>
      <c r="T31" s="376"/>
      <c r="U31" s="376" t="s">
        <v>1026</v>
      </c>
      <c r="V31" s="376"/>
      <c r="W31" s="376">
        <v>0</v>
      </c>
      <c r="Y31" s="751"/>
    </row>
    <row r="32" spans="1:27" s="815" customFormat="1" ht="12.75" outlineLevel="3">
      <c r="A32" s="810"/>
      <c r="B32" s="811" t="s">
        <v>1011</v>
      </c>
      <c r="C32" s="812" t="s">
        <v>1027</v>
      </c>
      <c r="D32" s="813">
        <v>46281</v>
      </c>
      <c r="E32" s="814" t="s">
        <v>1028</v>
      </c>
      <c r="F32" s="810"/>
      <c r="H32" s="816"/>
      <c r="J32" s="817"/>
      <c r="K32" s="818"/>
      <c r="L32" s="819"/>
      <c r="M32" s="818"/>
      <c r="N32" s="820"/>
      <c r="O32" s="816"/>
      <c r="Q32" s="810"/>
      <c r="R32" s="810"/>
      <c r="S32" s="810"/>
      <c r="T32" s="810"/>
      <c r="U32" s="810"/>
      <c r="V32" s="810"/>
      <c r="W32" s="820"/>
      <c r="X32" s="416"/>
      <c r="Y32" s="751"/>
      <c r="Z32" s="416"/>
      <c r="AA32" s="821"/>
    </row>
    <row r="33" spans="1:27" s="815" customFormat="1" ht="12.75" outlineLevel="3">
      <c r="A33" s="810"/>
      <c r="B33" s="811" t="s">
        <v>1014</v>
      </c>
      <c r="C33" s="812" t="s">
        <v>1029</v>
      </c>
      <c r="D33" s="813">
        <v>46325</v>
      </c>
      <c r="E33" s="814" t="s">
        <v>1030</v>
      </c>
      <c r="F33" s="810"/>
      <c r="H33" s="816"/>
      <c r="J33" s="817"/>
      <c r="K33" s="818"/>
      <c r="L33" s="819"/>
      <c r="M33" s="818"/>
      <c r="N33" s="820"/>
      <c r="O33" s="816"/>
      <c r="Q33" s="810"/>
      <c r="R33" s="810"/>
      <c r="S33" s="810"/>
      <c r="T33" s="810"/>
      <c r="U33" s="810"/>
      <c r="V33" s="810"/>
      <c r="W33" s="820"/>
      <c r="X33" s="416"/>
      <c r="Y33" s="751"/>
      <c r="Z33" s="416"/>
    </row>
    <row r="34" spans="1:27" s="815" customFormat="1" ht="12.75" outlineLevel="3">
      <c r="A34" s="810"/>
      <c r="B34" s="811"/>
      <c r="C34" s="812"/>
      <c r="D34" s="813"/>
      <c r="E34" s="814"/>
      <c r="F34" s="810"/>
      <c r="H34" s="816"/>
      <c r="J34" s="817"/>
      <c r="K34" s="818"/>
      <c r="L34" s="819"/>
      <c r="M34" s="818"/>
      <c r="N34" s="820"/>
      <c r="O34" s="816"/>
      <c r="Q34" s="810"/>
      <c r="R34" s="810"/>
      <c r="S34" s="810"/>
      <c r="T34" s="810"/>
      <c r="U34" s="810"/>
      <c r="V34" s="810"/>
      <c r="W34" s="820"/>
      <c r="X34" s="416"/>
      <c r="Y34" s="751"/>
      <c r="Z34" s="416"/>
    </row>
    <row r="35" spans="1:27" outlineLevel="2">
      <c r="A35" s="376"/>
      <c r="B35" s="376" t="s">
        <v>903</v>
      </c>
      <c r="C35" s="608" t="s">
        <v>1017</v>
      </c>
      <c r="D35" s="806">
        <v>46305</v>
      </c>
      <c r="E35" s="376" t="s">
        <v>56</v>
      </c>
      <c r="F35" s="376"/>
      <c r="H35" s="751"/>
      <c r="J35" s="695">
        <v>7.4255085000000005E-3</v>
      </c>
      <c r="K35" s="692">
        <v>1</v>
      </c>
      <c r="L35" s="609">
        <f>IF(M35=1,J35,0)</f>
        <v>0</v>
      </c>
      <c r="M35" s="692"/>
      <c r="N35" s="626"/>
      <c r="O35" s="751"/>
      <c r="Q35" s="376" t="s">
        <v>56</v>
      </c>
      <c r="R35" s="376" t="s">
        <v>1024</v>
      </c>
      <c r="S35" s="376" t="s">
        <v>1031</v>
      </c>
      <c r="T35" s="376"/>
      <c r="U35" s="376" t="s">
        <v>1026</v>
      </c>
      <c r="V35" s="376"/>
      <c r="W35" s="376">
        <v>0</v>
      </c>
      <c r="Y35" s="751"/>
    </row>
    <row r="36" spans="1:27" s="815" customFormat="1" ht="12.75" outlineLevel="3">
      <c r="A36" s="810"/>
      <c r="B36" s="811" t="s">
        <v>1011</v>
      </c>
      <c r="C36" s="812" t="s">
        <v>1032</v>
      </c>
      <c r="D36" s="813">
        <v>46387</v>
      </c>
      <c r="E36" s="814" t="s">
        <v>1033</v>
      </c>
      <c r="F36" s="810" t="s">
        <v>1034</v>
      </c>
      <c r="H36" s="816"/>
      <c r="J36" s="817"/>
      <c r="K36" s="818"/>
      <c r="L36" s="819"/>
      <c r="M36" s="818"/>
      <c r="N36" s="820"/>
      <c r="O36" s="816"/>
      <c r="Q36" s="810"/>
      <c r="R36" s="810"/>
      <c r="S36" s="810"/>
      <c r="T36" s="810"/>
      <c r="U36" s="810"/>
      <c r="V36" s="810"/>
      <c r="W36" s="820"/>
      <c r="X36" s="416"/>
      <c r="Y36" s="751"/>
      <c r="Z36" s="416"/>
      <c r="AA36" s="821"/>
    </row>
    <row r="37" spans="1:27" s="815" customFormat="1" ht="12.75" outlineLevel="3">
      <c r="A37" s="810"/>
      <c r="B37" s="811"/>
      <c r="C37" s="812" t="s">
        <v>1035</v>
      </c>
      <c r="D37" s="813">
        <v>46418</v>
      </c>
      <c r="E37" s="814" t="s">
        <v>1033</v>
      </c>
      <c r="F37" s="810"/>
      <c r="H37" s="816"/>
      <c r="J37" s="817"/>
      <c r="K37" s="818"/>
      <c r="L37" s="819"/>
      <c r="M37" s="818"/>
      <c r="N37" s="820"/>
      <c r="O37" s="816"/>
      <c r="Q37" s="810"/>
      <c r="R37" s="810"/>
      <c r="S37" s="810"/>
      <c r="T37" s="810"/>
      <c r="U37" s="810"/>
      <c r="V37" s="810"/>
      <c r="W37" s="820"/>
      <c r="X37" s="416"/>
      <c r="Y37" s="751"/>
      <c r="Z37" s="416"/>
      <c r="AA37" s="821"/>
    </row>
    <row r="38" spans="1:27" s="815" customFormat="1" ht="12.75" outlineLevel="3">
      <c r="A38" s="810"/>
      <c r="B38" s="811" t="s">
        <v>1014</v>
      </c>
      <c r="C38" s="812" t="s">
        <v>1036</v>
      </c>
      <c r="D38" s="813">
        <v>46446</v>
      </c>
      <c r="E38" s="814" t="s">
        <v>1033</v>
      </c>
      <c r="F38" s="810"/>
      <c r="H38" s="816"/>
      <c r="J38" s="817"/>
      <c r="K38" s="818"/>
      <c r="L38" s="819"/>
      <c r="M38" s="818"/>
      <c r="N38" s="820"/>
      <c r="O38" s="816"/>
      <c r="Q38" s="810"/>
      <c r="R38" s="810"/>
      <c r="S38" s="810"/>
      <c r="T38" s="810"/>
      <c r="U38" s="810"/>
      <c r="V38" s="810"/>
      <c r="W38" s="820"/>
      <c r="X38" s="416"/>
      <c r="Y38" s="751"/>
      <c r="Z38" s="416"/>
    </row>
    <row r="39" spans="1:27" s="815" customFormat="1" ht="12.75" outlineLevel="3">
      <c r="A39" s="810"/>
      <c r="B39" s="811"/>
      <c r="C39" s="812"/>
      <c r="D39" s="813"/>
      <c r="E39" s="814"/>
      <c r="F39" s="810"/>
      <c r="H39" s="816"/>
      <c r="J39" s="817"/>
      <c r="K39" s="818"/>
      <c r="L39" s="819"/>
      <c r="M39" s="818"/>
      <c r="N39" s="820"/>
      <c r="O39" s="816"/>
      <c r="Q39" s="810"/>
      <c r="R39" s="810"/>
      <c r="S39" s="810"/>
      <c r="T39" s="810"/>
      <c r="U39" s="810"/>
      <c r="V39" s="810"/>
      <c r="W39" s="820"/>
      <c r="X39" s="416"/>
      <c r="Y39" s="751"/>
      <c r="Z39" s="416"/>
    </row>
    <row r="40" spans="1:27" outlineLevel="2">
      <c r="A40" s="376"/>
      <c r="B40" s="376" t="s">
        <v>903</v>
      </c>
      <c r="C40" s="608" t="s">
        <v>1018</v>
      </c>
      <c r="D40" s="806">
        <v>46310</v>
      </c>
      <c r="E40" s="376" t="s">
        <v>56</v>
      </c>
      <c r="F40" s="376"/>
      <c r="H40" s="751"/>
      <c r="J40" s="695">
        <v>5.8456730700000001E-2</v>
      </c>
      <c r="K40" s="692">
        <v>1</v>
      </c>
      <c r="L40" s="609">
        <f>IF(M40=1,J40,0)</f>
        <v>0</v>
      </c>
      <c r="M40" s="692"/>
      <c r="N40" s="626"/>
      <c r="O40" s="751"/>
      <c r="Q40" s="376" t="s">
        <v>56</v>
      </c>
      <c r="R40" s="376" t="s">
        <v>1024</v>
      </c>
      <c r="S40" s="376" t="s">
        <v>1037</v>
      </c>
      <c r="T40" s="376"/>
      <c r="U40" s="376" t="s">
        <v>1038</v>
      </c>
      <c r="V40" s="376"/>
      <c r="W40" s="376">
        <v>0</v>
      </c>
      <c r="Y40" s="751"/>
    </row>
    <row r="41" spans="1:27" s="815" customFormat="1" ht="12.75" outlineLevel="3">
      <c r="A41" s="810"/>
      <c r="B41" s="811" t="s">
        <v>1011</v>
      </c>
      <c r="C41" s="812" t="s">
        <v>1039</v>
      </c>
      <c r="D41" s="813"/>
      <c r="E41" s="814"/>
      <c r="F41" s="810"/>
      <c r="H41" s="816"/>
      <c r="J41" s="817"/>
      <c r="K41" s="818"/>
      <c r="L41" s="819"/>
      <c r="M41" s="818"/>
      <c r="N41" s="820"/>
      <c r="O41" s="816"/>
      <c r="Q41" s="810"/>
      <c r="R41" s="810"/>
      <c r="S41" s="810"/>
      <c r="T41" s="810"/>
      <c r="U41" s="810"/>
      <c r="V41" s="810"/>
      <c r="W41" s="820"/>
      <c r="X41" s="416"/>
      <c r="Y41" s="751"/>
      <c r="Z41" s="416"/>
      <c r="AA41" s="821"/>
    </row>
    <row r="42" spans="1:27" s="815" customFormat="1" ht="12.75" outlineLevel="3">
      <c r="A42" s="810"/>
      <c r="B42" s="811"/>
      <c r="C42" s="812" t="s">
        <v>1040</v>
      </c>
      <c r="D42" s="813"/>
      <c r="E42" s="814"/>
      <c r="F42" s="810"/>
      <c r="H42" s="816"/>
      <c r="J42" s="817"/>
      <c r="K42" s="818"/>
      <c r="L42" s="819"/>
      <c r="M42" s="818"/>
      <c r="N42" s="820"/>
      <c r="O42" s="816"/>
      <c r="Q42" s="810"/>
      <c r="R42" s="810"/>
      <c r="S42" s="810"/>
      <c r="T42" s="810"/>
      <c r="U42" s="810"/>
      <c r="V42" s="810"/>
      <c r="W42" s="820"/>
      <c r="X42" s="416"/>
      <c r="Y42" s="751"/>
      <c r="Z42" s="416"/>
      <c r="AA42" s="821"/>
    </row>
    <row r="43" spans="1:27" s="815" customFormat="1" ht="12.75" outlineLevel="3">
      <c r="A43" s="810"/>
      <c r="B43" s="811"/>
      <c r="C43" s="812"/>
      <c r="D43" s="813"/>
      <c r="E43" s="814"/>
      <c r="F43" s="810"/>
      <c r="H43" s="816"/>
      <c r="J43" s="817"/>
      <c r="K43" s="818"/>
      <c r="L43" s="819"/>
      <c r="M43" s="818"/>
      <c r="N43" s="820"/>
      <c r="O43" s="816"/>
      <c r="Q43" s="810"/>
      <c r="R43" s="810"/>
      <c r="S43" s="810"/>
      <c r="T43" s="810"/>
      <c r="U43" s="810"/>
      <c r="V43" s="810"/>
      <c r="W43" s="820"/>
      <c r="X43" s="416"/>
      <c r="Y43" s="751"/>
      <c r="Z43" s="416"/>
    </row>
    <row r="44" spans="1:27" s="815" customFormat="1" ht="13.5" outlineLevel="3">
      <c r="A44" s="810"/>
      <c r="B44" s="376" t="s">
        <v>903</v>
      </c>
      <c r="C44" s="608" t="s">
        <v>1021</v>
      </c>
      <c r="D44" s="806">
        <v>46325</v>
      </c>
      <c r="E44" s="376" t="s">
        <v>56</v>
      </c>
      <c r="F44" s="376"/>
      <c r="H44" s="816"/>
      <c r="J44" s="817"/>
      <c r="K44" s="818"/>
      <c r="L44" s="819"/>
      <c r="M44" s="818"/>
      <c r="N44" s="820"/>
      <c r="O44" s="816"/>
      <c r="Q44" s="810"/>
      <c r="R44" s="810"/>
      <c r="S44" s="810"/>
      <c r="T44" s="810"/>
      <c r="U44" s="810"/>
      <c r="V44" s="810"/>
      <c r="W44" s="820"/>
      <c r="X44" s="416"/>
      <c r="Y44" s="751"/>
      <c r="Z44" s="416"/>
    </row>
    <row r="45" spans="1:27" ht="12.75" outlineLevel="2">
      <c r="A45" s="376"/>
      <c r="B45" s="811" t="s">
        <v>1011</v>
      </c>
      <c r="C45" s="812" t="s">
        <v>1041</v>
      </c>
      <c r="D45" s="813"/>
      <c r="E45" s="814"/>
      <c r="F45" s="810"/>
      <c r="H45" s="751"/>
      <c r="J45" s="695">
        <v>4.8713942250000003E-2</v>
      </c>
      <c r="K45" s="692">
        <v>1</v>
      </c>
      <c r="L45" s="609">
        <f>IF(M45=1,J45,0)</f>
        <v>0</v>
      </c>
      <c r="M45" s="692"/>
      <c r="N45" s="626"/>
      <c r="O45" s="751"/>
      <c r="Q45" s="376" t="s">
        <v>56</v>
      </c>
      <c r="R45" s="376" t="s">
        <v>1024</v>
      </c>
      <c r="S45" s="376" t="s">
        <v>1037</v>
      </c>
      <c r="T45" s="376"/>
      <c r="U45" s="376" t="s">
        <v>1038</v>
      </c>
      <c r="V45" s="376"/>
      <c r="W45" s="376">
        <v>0</v>
      </c>
      <c r="Y45" s="751"/>
    </row>
    <row r="46" spans="1:27" s="815" customFormat="1" ht="12.75" outlineLevel="3">
      <c r="A46" s="810"/>
      <c r="B46" s="811"/>
      <c r="C46" s="812"/>
      <c r="D46" s="813"/>
      <c r="E46" s="814"/>
      <c r="F46" s="810"/>
      <c r="H46" s="816"/>
      <c r="J46" s="817"/>
      <c r="K46" s="818"/>
      <c r="L46" s="819"/>
      <c r="M46" s="818"/>
      <c r="N46" s="820"/>
      <c r="O46" s="816"/>
      <c r="Q46" s="810"/>
      <c r="R46" s="810"/>
      <c r="S46" s="810"/>
      <c r="T46" s="810"/>
      <c r="U46" s="810"/>
      <c r="V46" s="810"/>
      <c r="W46" s="820"/>
      <c r="X46" s="416"/>
      <c r="Y46" s="751"/>
      <c r="Z46" s="416"/>
      <c r="AA46" s="821"/>
    </row>
    <row r="47" spans="1:27" s="815" customFormat="1" ht="13.5" outlineLevel="3">
      <c r="A47" s="810"/>
      <c r="B47" s="376" t="s">
        <v>903</v>
      </c>
      <c r="C47" s="608" t="s">
        <v>1022</v>
      </c>
      <c r="D47" s="806">
        <v>46356</v>
      </c>
      <c r="E47" s="376" t="s">
        <v>56</v>
      </c>
      <c r="F47" s="376"/>
      <c r="H47" s="816"/>
      <c r="J47" s="817"/>
      <c r="K47" s="818"/>
      <c r="L47" s="819"/>
      <c r="M47" s="818"/>
      <c r="N47" s="820"/>
      <c r="O47" s="816"/>
      <c r="Q47" s="810"/>
      <c r="R47" s="810"/>
      <c r="S47" s="810"/>
      <c r="T47" s="810"/>
      <c r="U47" s="810"/>
      <c r="V47" s="810"/>
      <c r="W47" s="820"/>
      <c r="X47" s="416"/>
      <c r="Y47" s="751"/>
      <c r="Z47" s="416"/>
    </row>
    <row r="48" spans="1:27" s="815" customFormat="1" ht="12.75" outlineLevel="3">
      <c r="A48" s="810"/>
      <c r="B48" s="811" t="s">
        <v>1011</v>
      </c>
      <c r="C48" s="812" t="s">
        <v>1042</v>
      </c>
      <c r="D48" s="813">
        <v>46310</v>
      </c>
      <c r="E48" s="814" t="s">
        <v>1013</v>
      </c>
      <c r="F48" s="810"/>
      <c r="H48" s="816"/>
      <c r="J48" s="817"/>
      <c r="K48" s="818"/>
      <c r="L48" s="819"/>
      <c r="M48" s="818"/>
      <c r="N48" s="820"/>
      <c r="O48" s="816"/>
      <c r="Q48" s="810"/>
      <c r="R48" s="810"/>
      <c r="S48" s="810"/>
      <c r="T48" s="810"/>
      <c r="U48" s="810"/>
      <c r="V48" s="810"/>
      <c r="W48" s="820"/>
      <c r="X48" s="416"/>
      <c r="Y48" s="751"/>
      <c r="Z48" s="416"/>
    </row>
    <row r="49" spans="1:27" ht="12.75" outlineLevel="2">
      <c r="A49" s="376"/>
      <c r="B49" s="811"/>
      <c r="C49" s="812"/>
      <c r="D49" s="813"/>
      <c r="E49" s="814"/>
      <c r="F49" s="810"/>
      <c r="H49" s="751"/>
      <c r="J49" s="695">
        <v>3.7127542499999998E-3</v>
      </c>
      <c r="K49" s="692">
        <v>1</v>
      </c>
      <c r="L49" s="609">
        <f>IF(M49=1,J49,0)</f>
        <v>0</v>
      </c>
      <c r="M49" s="692"/>
      <c r="N49" s="626"/>
      <c r="O49" s="751"/>
      <c r="Q49" s="376" t="s">
        <v>56</v>
      </c>
      <c r="R49" s="376" t="s">
        <v>1024</v>
      </c>
      <c r="S49" s="376" t="s">
        <v>1043</v>
      </c>
      <c r="T49" s="376"/>
      <c r="U49" s="376" t="s">
        <v>1026</v>
      </c>
      <c r="V49" s="376"/>
      <c r="W49" s="376">
        <v>0</v>
      </c>
      <c r="Y49" s="751"/>
    </row>
    <row r="50" spans="1:27" s="815" customFormat="1" ht="13.5" outlineLevel="3">
      <c r="A50" s="810"/>
      <c r="B50" s="665" t="s">
        <v>441</v>
      </c>
      <c r="C50" s="681" t="s">
        <v>1023</v>
      </c>
      <c r="D50" s="808"/>
      <c r="E50" s="665"/>
      <c r="F50" s="665"/>
      <c r="H50" s="816"/>
      <c r="J50" s="817"/>
      <c r="K50" s="818"/>
      <c r="L50" s="819"/>
      <c r="M50" s="818"/>
      <c r="N50" s="820"/>
      <c r="O50" s="816"/>
      <c r="Q50" s="810"/>
      <c r="R50" s="810"/>
      <c r="S50" s="810"/>
      <c r="T50" s="810"/>
      <c r="U50" s="810"/>
      <c r="V50" s="810"/>
      <c r="W50" s="820"/>
      <c r="X50" s="416"/>
      <c r="Y50" s="751"/>
      <c r="Z50" s="416"/>
      <c r="AA50" s="821"/>
    </row>
    <row r="51" spans="1:27" s="815" customFormat="1" ht="13.5" outlineLevel="3">
      <c r="A51" s="810"/>
      <c r="B51" s="376" t="s">
        <v>903</v>
      </c>
      <c r="C51" s="608" t="s">
        <v>1021</v>
      </c>
      <c r="D51" s="806">
        <v>46325</v>
      </c>
      <c r="E51" s="376" t="s">
        <v>437</v>
      </c>
      <c r="F51" s="376"/>
      <c r="H51" s="816"/>
      <c r="J51" s="817"/>
      <c r="K51" s="818"/>
      <c r="L51" s="819"/>
      <c r="M51" s="818"/>
      <c r="N51" s="820"/>
      <c r="O51" s="816"/>
      <c r="Q51" s="810"/>
      <c r="R51" s="810"/>
      <c r="S51" s="810"/>
      <c r="T51" s="810"/>
      <c r="U51" s="810"/>
      <c r="V51" s="810"/>
      <c r="W51" s="820"/>
      <c r="X51" s="416"/>
      <c r="Y51" s="751"/>
      <c r="Z51" s="416"/>
      <c r="AA51" s="821"/>
    </row>
    <row r="52" spans="1:27" s="815" customFormat="1" ht="25.5" outlineLevel="3">
      <c r="A52" s="810"/>
      <c r="B52" s="811" t="s">
        <v>1011</v>
      </c>
      <c r="C52" s="812" t="s">
        <v>1044</v>
      </c>
      <c r="D52" s="813">
        <v>46310</v>
      </c>
      <c r="E52" s="814" t="s">
        <v>1013</v>
      </c>
      <c r="F52" s="882" t="s">
        <v>1045</v>
      </c>
      <c r="H52" s="816"/>
      <c r="J52" s="817"/>
      <c r="K52" s="818"/>
      <c r="L52" s="819"/>
      <c r="M52" s="818"/>
      <c r="N52" s="820"/>
      <c r="O52" s="816"/>
      <c r="Q52" s="810"/>
      <c r="R52" s="810"/>
      <c r="S52" s="810"/>
      <c r="T52" s="810"/>
      <c r="U52" s="810"/>
      <c r="V52" s="810"/>
      <c r="W52" s="820"/>
      <c r="X52" s="416"/>
      <c r="Y52" s="751"/>
      <c r="Z52" s="416"/>
    </row>
    <row r="53" spans="1:27" ht="16.149999999999999" customHeight="1" outlineLevel="1">
      <c r="A53" s="376"/>
      <c r="B53" s="811" t="s">
        <v>1014</v>
      </c>
      <c r="C53" s="812" t="s">
        <v>1015</v>
      </c>
      <c r="D53" s="813">
        <v>46325</v>
      </c>
      <c r="E53" s="814" t="s">
        <v>1016</v>
      </c>
      <c r="F53" s="882"/>
      <c r="H53" s="751"/>
      <c r="J53" s="701">
        <f>SUBTOTAL(9,J54:J57)</f>
        <v>2.1397857699999998E-2</v>
      </c>
      <c r="K53" s="702">
        <f>SUBTOTAL(9,K54:K57)</f>
        <v>2</v>
      </c>
      <c r="L53" s="701">
        <f>SUBTOTAL(9,L54:L57)</f>
        <v>0</v>
      </c>
      <c r="M53" s="702">
        <f>SUBTOTAL(9,M54:M57)</f>
        <v>0</v>
      </c>
      <c r="N53" s="626"/>
      <c r="O53" s="751"/>
      <c r="Q53" s="665"/>
      <c r="R53" s="665"/>
      <c r="S53" s="665"/>
      <c r="T53" s="665"/>
      <c r="U53" s="665"/>
      <c r="V53" s="665"/>
      <c r="W53" s="665"/>
      <c r="Y53" s="751"/>
    </row>
    <row r="54" spans="1:27" ht="13.5" outlineLevel="2">
      <c r="A54" s="376"/>
      <c r="B54" s="376" t="s">
        <v>903</v>
      </c>
      <c r="C54" s="608" t="s">
        <v>1017</v>
      </c>
      <c r="D54" s="806">
        <v>46325</v>
      </c>
      <c r="E54" s="376" t="s">
        <v>437</v>
      </c>
      <c r="F54" s="376"/>
      <c r="H54" s="751"/>
      <c r="J54" s="729">
        <v>2.0842521999999999E-2</v>
      </c>
      <c r="K54" s="700">
        <v>1</v>
      </c>
      <c r="L54" s="609">
        <f>IF(M54=1,J54,0)</f>
        <v>0</v>
      </c>
      <c r="M54" s="700"/>
      <c r="N54" s="626"/>
      <c r="O54" s="751"/>
      <c r="Q54" s="376" t="s">
        <v>437</v>
      </c>
      <c r="R54" s="376" t="s">
        <v>1046</v>
      </c>
      <c r="S54" s="376" t="s">
        <v>1047</v>
      </c>
      <c r="T54" s="376" t="s">
        <v>1048</v>
      </c>
      <c r="U54" s="376"/>
      <c r="V54" s="376"/>
      <c r="W54" s="376"/>
      <c r="Y54" s="751"/>
    </row>
    <row r="55" spans="1:27" s="815" customFormat="1" ht="25.5" outlineLevel="3">
      <c r="A55" s="810"/>
      <c r="B55" s="811" t="s">
        <v>1011</v>
      </c>
      <c r="C55" s="812" t="s">
        <v>1049</v>
      </c>
      <c r="D55" s="813">
        <v>46326</v>
      </c>
      <c r="E55" s="814" t="s">
        <v>1050</v>
      </c>
      <c r="F55" s="882" t="s">
        <v>1051</v>
      </c>
      <c r="H55" s="816"/>
      <c r="J55" s="817"/>
      <c r="K55" s="818"/>
      <c r="L55" s="819"/>
      <c r="M55" s="818"/>
      <c r="N55" s="820"/>
      <c r="O55" s="816"/>
      <c r="Q55" s="810"/>
      <c r="R55" s="810"/>
      <c r="S55" s="810"/>
      <c r="T55" s="810"/>
      <c r="U55" s="810"/>
      <c r="V55" s="810"/>
      <c r="W55" s="820"/>
      <c r="X55" s="416"/>
      <c r="Y55" s="751"/>
      <c r="Z55" s="416"/>
      <c r="AA55" s="821"/>
    </row>
    <row r="56" spans="1:27" s="815" customFormat="1" ht="25.5" outlineLevel="3">
      <c r="A56" s="810"/>
      <c r="B56" s="811" t="s">
        <v>1014</v>
      </c>
      <c r="C56" s="812" t="s">
        <v>1052</v>
      </c>
      <c r="D56" s="813">
        <v>46326</v>
      </c>
      <c r="E56" s="814" t="s">
        <v>1050</v>
      </c>
      <c r="F56" s="882" t="s">
        <v>1051</v>
      </c>
      <c r="H56" s="816"/>
      <c r="J56" s="817"/>
      <c r="K56" s="818"/>
      <c r="L56" s="819"/>
      <c r="M56" s="818"/>
      <c r="N56" s="820"/>
      <c r="O56" s="816"/>
      <c r="Q56" s="810"/>
      <c r="R56" s="810"/>
      <c r="S56" s="810"/>
      <c r="T56" s="810"/>
      <c r="U56" s="810"/>
      <c r="V56" s="810"/>
      <c r="W56" s="820"/>
      <c r="X56" s="416"/>
      <c r="Y56" s="751"/>
      <c r="Z56" s="416"/>
    </row>
    <row r="57" spans="1:27" ht="25.5" outlineLevel="2">
      <c r="A57" s="376"/>
      <c r="B57" s="811" t="s">
        <v>1053</v>
      </c>
      <c r="C57" s="812" t="s">
        <v>1054</v>
      </c>
      <c r="D57" s="813"/>
      <c r="E57" s="814"/>
      <c r="F57" s="882" t="s">
        <v>1055</v>
      </c>
      <c r="H57" s="751"/>
      <c r="J57" s="729">
        <v>5.5533570000000003E-4</v>
      </c>
      <c r="K57" s="700">
        <v>1</v>
      </c>
      <c r="L57" s="609">
        <f>IF(M57=1,J57,0)</f>
        <v>0</v>
      </c>
      <c r="M57" s="700"/>
      <c r="N57" s="626"/>
      <c r="O57" s="751"/>
      <c r="Q57" s="376" t="s">
        <v>437</v>
      </c>
      <c r="R57" s="376" t="s">
        <v>1046</v>
      </c>
      <c r="S57" s="376" t="s">
        <v>1047</v>
      </c>
      <c r="T57" s="376" t="s">
        <v>1048</v>
      </c>
      <c r="U57" s="376"/>
      <c r="V57" s="376"/>
      <c r="W57" s="376"/>
      <c r="Y57" s="751"/>
    </row>
    <row r="58" spans="1:27" s="815" customFormat="1" ht="12.75" outlineLevel="3">
      <c r="A58" s="810"/>
      <c r="B58" s="416"/>
      <c r="C58" s="749"/>
      <c r="D58" s="809"/>
      <c r="E58" s="416"/>
      <c r="F58" s="416"/>
      <c r="H58" s="816"/>
      <c r="J58" s="817"/>
      <c r="K58" s="818"/>
      <c r="L58" s="819"/>
      <c r="M58" s="818"/>
      <c r="N58" s="820"/>
      <c r="O58" s="816"/>
      <c r="Q58" s="810"/>
      <c r="R58" s="810"/>
      <c r="S58" s="810"/>
      <c r="T58" s="810"/>
      <c r="U58" s="810"/>
      <c r="V58" s="810"/>
      <c r="W58" s="820"/>
      <c r="X58" s="416"/>
      <c r="Y58" s="751"/>
      <c r="Z58" s="416"/>
      <c r="AA58" s="821"/>
    </row>
    <row r="59" spans="1:27" s="815" customFormat="1" ht="12.75" outlineLevel="3">
      <c r="A59" s="810"/>
      <c r="B59" s="416"/>
      <c r="C59" s="749"/>
      <c r="D59" s="809"/>
      <c r="E59" s="416"/>
      <c r="F59" s="416"/>
      <c r="H59" s="816"/>
      <c r="J59" s="817"/>
      <c r="K59" s="818"/>
      <c r="L59" s="819"/>
      <c r="M59" s="818"/>
      <c r="N59" s="820"/>
      <c r="O59" s="816"/>
      <c r="Q59" s="810"/>
      <c r="R59" s="810"/>
      <c r="S59" s="810"/>
      <c r="T59" s="810"/>
      <c r="U59" s="810"/>
      <c r="V59" s="810"/>
      <c r="W59" s="820"/>
      <c r="X59" s="416"/>
      <c r="Y59" s="751"/>
      <c r="Z59" s="416"/>
    </row>
    <row r="60" spans="1:27" ht="30.75" customHeight="1">
      <c r="A60" s="376"/>
      <c r="H60" s="751"/>
      <c r="J60" s="609"/>
      <c r="K60" s="692"/>
      <c r="L60" s="609"/>
      <c r="M60" s="692"/>
      <c r="N60" s="626"/>
      <c r="O60" s="751"/>
      <c r="Q60" s="376"/>
      <c r="R60" s="376"/>
      <c r="S60" s="376"/>
      <c r="T60" s="376"/>
      <c r="U60" s="376"/>
      <c r="V60" s="376"/>
      <c r="W60" s="376"/>
      <c r="Y60" s="751"/>
    </row>
    <row r="61" spans="1:27" ht="12.75"/>
  </sheetData>
  <autoFilter ref="B4:Z5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4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829D-8938-4BDA-A6E4-DA4AABEDC9EA}">
  <sheetPr>
    <outlinePr summaryBelow="0" summaryRight="0"/>
    <pageSetUpPr fitToPage="1"/>
  </sheetPr>
  <dimension ref="A1:Z109"/>
  <sheetViews>
    <sheetView zoomScaleNormal="100" zoomScaleSheetLayoutView="35" workbookViewId="0">
      <pane xSplit="5" ySplit="7" topLeftCell="F30" activePane="bottomRight" state="frozen"/>
      <selection pane="bottomRight" activeCell="D68" sqref="D68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28" customWidth="1"/>
    <col min="2" max="2" width="7.7109375" style="862" bestFit="1" customWidth="1"/>
    <col min="3" max="3" width="5.42578125" style="879" bestFit="1" customWidth="1"/>
    <col min="4" max="4" width="69.42578125" style="880" bestFit="1" customWidth="1"/>
    <col min="5" max="5" width="0.42578125" style="828" customWidth="1"/>
    <col min="6" max="6" width="7.5703125" style="864" customWidth="1"/>
    <col min="7" max="7" width="0.42578125" style="865" customWidth="1"/>
    <col min="8" max="8" width="7.5703125" style="864" customWidth="1"/>
    <col min="9" max="9" width="0.42578125" style="865" customWidth="1"/>
    <col min="10" max="10" width="7.5703125" style="864" customWidth="1"/>
    <col min="11" max="11" width="0.42578125" style="865" customWidth="1"/>
    <col min="12" max="12" width="7.5703125" style="864" customWidth="1"/>
    <col min="13" max="13" width="0.42578125" style="865" customWidth="1"/>
    <col min="14" max="16384" width="11.42578125" style="828"/>
  </cols>
  <sheetData>
    <row r="1" spans="1:16" ht="3" customHeight="1">
      <c r="A1" s="822"/>
      <c r="B1" s="823"/>
      <c r="C1" s="824"/>
      <c r="D1" s="825"/>
      <c r="E1" s="822"/>
      <c r="F1" s="826"/>
      <c r="G1" s="827"/>
      <c r="H1" s="826"/>
      <c r="I1" s="827"/>
      <c r="J1" s="826"/>
      <c r="K1" s="827"/>
      <c r="L1" s="826"/>
      <c r="M1" s="827"/>
    </row>
    <row r="2" spans="1:16" s="834" customFormat="1" ht="17.45">
      <c r="A2" s="829"/>
      <c r="B2" s="830"/>
      <c r="C2" s="884" t="s">
        <v>1056</v>
      </c>
      <c r="D2" s="884"/>
      <c r="E2" s="831"/>
      <c r="F2" s="832" t="s">
        <v>1057</v>
      </c>
      <c r="G2" s="833"/>
      <c r="H2" s="832" t="s">
        <v>1058</v>
      </c>
      <c r="I2" s="833"/>
      <c r="J2" s="832" t="s">
        <v>441</v>
      </c>
      <c r="K2" s="833"/>
      <c r="L2" s="832" t="s">
        <v>453</v>
      </c>
      <c r="M2" s="833"/>
      <c r="O2" s="835">
        <v>1</v>
      </c>
      <c r="P2" s="830" t="s">
        <v>1059</v>
      </c>
    </row>
    <row r="3" spans="1:16" s="840" customFormat="1" ht="15.6">
      <c r="A3" s="836"/>
      <c r="B3" s="837"/>
      <c r="C3" s="838"/>
      <c r="D3" s="839" t="s">
        <v>1060</v>
      </c>
      <c r="E3" s="836"/>
      <c r="F3" s="836">
        <f>COUNTA(F$8:F$84)</f>
        <v>48</v>
      </c>
      <c r="G3" s="836"/>
      <c r="H3" s="836">
        <f>COUNTA(H$8:H$84)</f>
        <v>30</v>
      </c>
      <c r="I3" s="836"/>
      <c r="J3" s="836">
        <f>COUNTA(J$8:J$84)</f>
        <v>27</v>
      </c>
      <c r="K3" s="836"/>
      <c r="L3" s="836">
        <f>COUNTA(L$8:L$84)</f>
        <v>13</v>
      </c>
      <c r="M3" s="836"/>
      <c r="O3" s="835">
        <v>-1</v>
      </c>
      <c r="P3" s="830" t="s">
        <v>1061</v>
      </c>
    </row>
    <row r="4" spans="1:16" s="840" customFormat="1" ht="15.6">
      <c r="A4" s="836"/>
      <c r="B4" s="837"/>
      <c r="C4" s="838"/>
      <c r="D4" s="839" t="s">
        <v>3</v>
      </c>
      <c r="E4" s="836"/>
      <c r="F4" s="836">
        <f>COUNTIF(F$8:F$84,1)</f>
        <v>33</v>
      </c>
      <c r="G4" s="836"/>
      <c r="H4" s="836">
        <f>COUNTIF(H$8:H$84,1)</f>
        <v>22</v>
      </c>
      <c r="I4" s="836"/>
      <c r="J4" s="836">
        <f>COUNTIF(J$8:J$84,1)</f>
        <v>24</v>
      </c>
      <c r="K4" s="836"/>
      <c r="L4" s="836">
        <f>COUNTIF(L$8:L$84,1)</f>
        <v>11</v>
      </c>
      <c r="M4" s="836"/>
      <c r="O4" s="830"/>
      <c r="P4" s="830" t="s">
        <v>1062</v>
      </c>
    </row>
    <row r="5" spans="1:16" ht="3" customHeight="1">
      <c r="A5" s="822"/>
      <c r="B5" s="823"/>
      <c r="C5" s="824"/>
      <c r="D5" s="841"/>
      <c r="E5" s="842"/>
      <c r="F5" s="826"/>
      <c r="G5" s="843"/>
      <c r="H5" s="826"/>
      <c r="I5" s="843"/>
      <c r="J5" s="826"/>
      <c r="K5" s="843"/>
      <c r="L5" s="826"/>
      <c r="M5" s="843"/>
    </row>
    <row r="6" spans="1:16" ht="3" customHeight="1">
      <c r="A6" s="822"/>
      <c r="B6" s="844"/>
      <c r="C6" s="845"/>
      <c r="D6" s="846"/>
      <c r="E6" s="847"/>
      <c r="F6" s="848"/>
      <c r="G6" s="848"/>
      <c r="H6" s="848"/>
      <c r="I6" s="848"/>
      <c r="J6" s="848"/>
      <c r="K6" s="848"/>
      <c r="L6" s="848"/>
      <c r="M6" s="848"/>
    </row>
    <row r="7" spans="1:16" ht="3.6" customHeight="1">
      <c r="A7" s="822"/>
      <c r="B7" s="823"/>
      <c r="C7" s="824"/>
      <c r="D7" s="841"/>
      <c r="E7" s="842"/>
      <c r="F7" s="849"/>
      <c r="G7" s="843"/>
      <c r="H7" s="849"/>
      <c r="I7" s="843"/>
      <c r="J7" s="849"/>
      <c r="K7" s="843"/>
      <c r="L7" s="849"/>
      <c r="M7" s="843"/>
    </row>
    <row r="8" spans="1:16" ht="17.45" customHeight="1">
      <c r="A8" s="822"/>
      <c r="B8" s="773"/>
      <c r="C8" s="885" t="s">
        <v>1063</v>
      </c>
      <c r="D8" s="885"/>
      <c r="E8" s="842"/>
      <c r="F8" s="850"/>
      <c r="G8" s="851"/>
      <c r="H8" s="850"/>
      <c r="I8" s="851"/>
      <c r="J8" s="850"/>
      <c r="K8" s="851"/>
      <c r="L8" s="850"/>
      <c r="M8" s="851"/>
    </row>
    <row r="9" spans="1:16" ht="3" customHeight="1" outlineLevel="1">
      <c r="A9" s="822"/>
      <c r="B9" s="823"/>
      <c r="C9" s="823"/>
      <c r="D9" s="852"/>
      <c r="E9" s="842"/>
      <c r="F9" s="849"/>
      <c r="G9" s="853"/>
      <c r="H9" s="849"/>
      <c r="I9" s="853"/>
      <c r="J9" s="849"/>
      <c r="K9" s="853"/>
      <c r="L9" s="849"/>
      <c r="M9" s="853"/>
    </row>
    <row r="10" spans="1:16" ht="13.15" outlineLevel="1">
      <c r="A10" s="822"/>
      <c r="B10" s="881" t="s">
        <v>1064</v>
      </c>
      <c r="C10" s="854">
        <v>1</v>
      </c>
      <c r="D10" s="855" t="s">
        <v>205</v>
      </c>
      <c r="E10" s="856"/>
      <c r="F10" s="857">
        <v>1</v>
      </c>
      <c r="G10" s="858"/>
      <c r="H10" s="857"/>
      <c r="I10" s="858"/>
      <c r="J10" s="857"/>
      <c r="K10" s="858"/>
      <c r="L10" s="857"/>
      <c r="M10" s="859"/>
    </row>
    <row r="11" spans="1:16" ht="14.45" outlineLevel="1">
      <c r="A11" s="822"/>
      <c r="B11" s="881" t="s">
        <v>1065</v>
      </c>
      <c r="C11" s="854">
        <v>2</v>
      </c>
      <c r="D11" s="855" t="s">
        <v>206</v>
      </c>
      <c r="E11" s="856"/>
      <c r="F11" s="857">
        <v>1</v>
      </c>
      <c r="G11" s="858"/>
      <c r="H11" s="857">
        <v>1</v>
      </c>
      <c r="I11" s="858"/>
      <c r="J11" s="857">
        <v>1</v>
      </c>
      <c r="K11" s="858"/>
      <c r="L11" s="857">
        <v>1</v>
      </c>
      <c r="M11" s="859"/>
    </row>
    <row r="12" spans="1:16" ht="14.45" outlineLevel="1">
      <c r="B12" s="881" t="s">
        <v>1066</v>
      </c>
      <c r="C12" s="854">
        <v>3</v>
      </c>
      <c r="D12" s="855" t="s">
        <v>199</v>
      </c>
      <c r="E12" s="856"/>
      <c r="F12" s="857">
        <v>1</v>
      </c>
      <c r="G12" s="860"/>
      <c r="H12" s="857">
        <v>1</v>
      </c>
      <c r="I12" s="860"/>
      <c r="J12" s="857">
        <v>1</v>
      </c>
      <c r="K12" s="860"/>
      <c r="L12" s="857">
        <v>1</v>
      </c>
      <c r="M12" s="861"/>
    </row>
    <row r="13" spans="1:16" ht="14.45" outlineLevel="1">
      <c r="B13" s="881" t="s">
        <v>1067</v>
      </c>
      <c r="C13" s="854">
        <v>4</v>
      </c>
      <c r="D13" s="855" t="s">
        <v>208</v>
      </c>
      <c r="E13" s="856"/>
      <c r="F13" s="857">
        <v>1</v>
      </c>
      <c r="G13" s="860"/>
      <c r="H13" s="857"/>
      <c r="I13" s="860"/>
      <c r="J13" s="857">
        <v>1</v>
      </c>
      <c r="K13" s="860"/>
      <c r="L13" s="857">
        <v>1</v>
      </c>
      <c r="M13" s="861"/>
    </row>
    <row r="14" spans="1:16" ht="14.45" outlineLevel="1">
      <c r="B14" s="881" t="s">
        <v>1068</v>
      </c>
      <c r="C14" s="854">
        <v>5</v>
      </c>
      <c r="D14" s="855" t="s">
        <v>198</v>
      </c>
      <c r="E14" s="856"/>
      <c r="F14" s="857">
        <v>1</v>
      </c>
      <c r="G14" s="860"/>
      <c r="H14" s="857"/>
      <c r="I14" s="860"/>
      <c r="J14" s="857"/>
      <c r="K14" s="860"/>
      <c r="L14" s="857">
        <v>1</v>
      </c>
      <c r="M14" s="861"/>
    </row>
    <row r="15" spans="1:16" ht="3" customHeight="1">
      <c r="A15" s="822"/>
      <c r="B15" s="823"/>
      <c r="C15" s="823"/>
      <c r="D15" s="852"/>
      <c r="E15" s="842"/>
      <c r="F15" s="849"/>
      <c r="G15" s="853"/>
      <c r="H15" s="849"/>
      <c r="I15" s="853"/>
      <c r="J15" s="849"/>
      <c r="K15" s="853"/>
      <c r="L15" s="849"/>
      <c r="M15" s="853"/>
    </row>
    <row r="16" spans="1:16" ht="17.45" customHeight="1">
      <c r="B16" s="773"/>
      <c r="C16" s="885" t="s">
        <v>1069</v>
      </c>
      <c r="D16" s="885"/>
      <c r="E16" s="842"/>
      <c r="F16" s="850"/>
      <c r="G16" s="851"/>
      <c r="H16" s="850"/>
      <c r="I16" s="851"/>
      <c r="J16" s="850"/>
      <c r="K16" s="851"/>
      <c r="L16" s="850"/>
      <c r="M16" s="851"/>
    </row>
    <row r="17" spans="2:26" ht="3" customHeight="1" outlineLevel="1">
      <c r="C17" s="862"/>
      <c r="D17" s="863"/>
    </row>
    <row r="18" spans="2:26" ht="13.15" outlineLevel="1" collapsed="1">
      <c r="B18" s="881" t="s">
        <v>1070</v>
      </c>
      <c r="C18" s="854">
        <v>1</v>
      </c>
      <c r="D18" s="855" t="s">
        <v>1071</v>
      </c>
      <c r="E18" s="856"/>
      <c r="F18" s="859"/>
      <c r="G18" s="859"/>
      <c r="H18" s="859"/>
      <c r="I18" s="859"/>
      <c r="J18" s="859"/>
      <c r="K18" s="859"/>
      <c r="L18" s="859"/>
      <c r="M18" s="859"/>
    </row>
    <row r="19" spans="2:26" ht="13.15" hidden="1" outlineLevel="2">
      <c r="B19" s="866" t="s">
        <v>1072</v>
      </c>
      <c r="C19" s="866">
        <v>1</v>
      </c>
      <c r="D19" s="773" t="s">
        <v>844</v>
      </c>
      <c r="E19" s="822"/>
      <c r="F19" s="857">
        <v>1</v>
      </c>
      <c r="G19" s="857"/>
      <c r="H19" s="857">
        <v>1</v>
      </c>
      <c r="I19" s="857"/>
      <c r="J19" s="857">
        <v>1</v>
      </c>
      <c r="K19" s="857"/>
      <c r="L19" s="857"/>
      <c r="M19" s="867"/>
    </row>
    <row r="20" spans="2:26" ht="13.15" hidden="1" outlineLevel="2">
      <c r="B20" s="866" t="s">
        <v>1073</v>
      </c>
      <c r="C20" s="866">
        <v>2</v>
      </c>
      <c r="D20" s="773" t="s">
        <v>1074</v>
      </c>
      <c r="E20" s="822"/>
      <c r="F20" s="857">
        <v>1</v>
      </c>
      <c r="G20" s="857"/>
      <c r="H20" s="857">
        <v>1</v>
      </c>
      <c r="I20" s="857"/>
      <c r="J20" s="857"/>
      <c r="K20" s="857"/>
      <c r="L20" s="857"/>
      <c r="M20" s="867"/>
    </row>
    <row r="21" spans="2:26" ht="13.15" hidden="1" outlineLevel="2">
      <c r="B21" s="866" t="s">
        <v>1075</v>
      </c>
      <c r="C21" s="866">
        <v>3</v>
      </c>
      <c r="D21" s="773" t="s">
        <v>1076</v>
      </c>
      <c r="E21" s="822"/>
      <c r="F21" s="857">
        <v>1</v>
      </c>
      <c r="G21" s="857"/>
      <c r="H21" s="857"/>
      <c r="I21" s="857"/>
      <c r="J21" s="857"/>
      <c r="K21" s="857"/>
      <c r="L21" s="857"/>
      <c r="M21" s="867"/>
    </row>
    <row r="22" spans="2:26" ht="13.15" hidden="1" outlineLevel="2">
      <c r="B22" s="866" t="s">
        <v>1077</v>
      </c>
      <c r="C22" s="866">
        <v>4</v>
      </c>
      <c r="D22" s="773" t="s">
        <v>1078</v>
      </c>
      <c r="E22" s="822"/>
      <c r="F22" s="857">
        <v>1</v>
      </c>
      <c r="G22" s="857"/>
      <c r="H22" s="857">
        <v>1</v>
      </c>
      <c r="I22" s="857"/>
      <c r="J22" s="857">
        <v>1</v>
      </c>
      <c r="K22" s="857"/>
      <c r="L22" s="857"/>
      <c r="M22" s="867"/>
    </row>
    <row r="23" spans="2:26" ht="13.15" hidden="1" outlineLevel="2">
      <c r="B23" s="866" t="s">
        <v>1079</v>
      </c>
      <c r="C23" s="866">
        <v>5</v>
      </c>
      <c r="D23" s="773" t="s">
        <v>1080</v>
      </c>
      <c r="E23" s="822"/>
      <c r="F23" s="857">
        <v>1</v>
      </c>
      <c r="G23" s="857"/>
      <c r="H23" s="857">
        <v>1</v>
      </c>
      <c r="I23" s="857"/>
      <c r="J23" s="857"/>
      <c r="K23" s="857"/>
      <c r="L23" s="857"/>
      <c r="M23" s="867"/>
    </row>
    <row r="24" spans="2:26" ht="13.15" hidden="1" outlineLevel="2">
      <c r="B24" s="866" t="s">
        <v>1081</v>
      </c>
      <c r="C24" s="866">
        <v>6</v>
      </c>
      <c r="D24" s="773" t="s">
        <v>1082</v>
      </c>
      <c r="E24" s="822"/>
      <c r="F24" s="857">
        <v>1</v>
      </c>
      <c r="G24" s="857"/>
      <c r="H24" s="857">
        <v>1</v>
      </c>
      <c r="I24" s="857"/>
      <c r="J24" s="857"/>
      <c r="K24" s="857"/>
      <c r="L24" s="857"/>
      <c r="M24" s="867"/>
    </row>
    <row r="25" spans="2:26" s="872" customFormat="1" ht="13.15" hidden="1" outlineLevel="2">
      <c r="B25" s="866" t="s">
        <v>1083</v>
      </c>
      <c r="C25" s="868">
        <v>7</v>
      </c>
      <c r="D25" s="869" t="s">
        <v>1084</v>
      </c>
      <c r="E25" s="870"/>
      <c r="F25" s="857">
        <v>1</v>
      </c>
      <c r="G25" s="857"/>
      <c r="H25" s="857"/>
      <c r="I25" s="857"/>
      <c r="J25" s="857">
        <v>1</v>
      </c>
      <c r="K25" s="857"/>
      <c r="L25" s="857"/>
      <c r="M25" s="871"/>
      <c r="Z25" s="872" t="s">
        <v>1085</v>
      </c>
    </row>
    <row r="26" spans="2:26" ht="13.15" hidden="1" outlineLevel="2">
      <c r="B26" s="866" t="s">
        <v>1086</v>
      </c>
      <c r="C26" s="866">
        <v>8</v>
      </c>
      <c r="D26" s="773" t="s">
        <v>544</v>
      </c>
      <c r="E26" s="822"/>
      <c r="F26" s="857"/>
      <c r="G26" s="857"/>
      <c r="H26" s="857"/>
      <c r="I26" s="857"/>
      <c r="J26" s="857"/>
      <c r="K26" s="857"/>
      <c r="L26" s="857"/>
      <c r="M26" s="867"/>
    </row>
    <row r="27" spans="2:26" s="872" customFormat="1" ht="13.15" hidden="1" outlineLevel="2">
      <c r="B27" s="866" t="s">
        <v>1087</v>
      </c>
      <c r="C27" s="868">
        <v>9</v>
      </c>
      <c r="D27" s="869" t="s">
        <v>545</v>
      </c>
      <c r="E27" s="870"/>
      <c r="F27" s="857">
        <v>1</v>
      </c>
      <c r="G27" s="857"/>
      <c r="H27" s="857">
        <v>1</v>
      </c>
      <c r="I27" s="857"/>
      <c r="J27" s="857">
        <v>1</v>
      </c>
      <c r="K27" s="857"/>
      <c r="L27" s="857"/>
      <c r="M27" s="871"/>
    </row>
    <row r="28" spans="2:26" s="872" customFormat="1" ht="13.15" hidden="1" outlineLevel="2">
      <c r="B28" s="866" t="s">
        <v>1088</v>
      </c>
      <c r="C28" s="868">
        <v>10</v>
      </c>
      <c r="D28" s="869" t="s">
        <v>1089</v>
      </c>
      <c r="E28" s="870"/>
      <c r="F28" s="857">
        <v>1</v>
      </c>
      <c r="G28" s="857"/>
      <c r="H28" s="857"/>
      <c r="I28" s="857"/>
      <c r="J28" s="857"/>
      <c r="K28" s="857"/>
      <c r="L28" s="857"/>
      <c r="M28" s="871"/>
    </row>
    <row r="29" spans="2:26" ht="3" customHeight="1" outlineLevel="1">
      <c r="B29" s="873"/>
      <c r="C29" s="873"/>
      <c r="D29" s="773"/>
      <c r="E29" s="822"/>
      <c r="F29" s="858"/>
      <c r="G29" s="858"/>
      <c r="H29" s="858"/>
      <c r="I29" s="858"/>
      <c r="J29" s="858"/>
      <c r="K29" s="858"/>
      <c r="L29" s="858"/>
      <c r="M29" s="858"/>
    </row>
    <row r="30" spans="2:26" ht="13.15" outlineLevel="1" collapsed="1">
      <c r="B30" s="881" t="s">
        <v>1090</v>
      </c>
      <c r="C30" s="854">
        <v>2</v>
      </c>
      <c r="D30" s="855" t="s">
        <v>1091</v>
      </c>
      <c r="E30" s="856"/>
      <c r="F30" s="859"/>
      <c r="G30" s="859"/>
      <c r="H30" s="859"/>
      <c r="I30" s="859"/>
      <c r="J30" s="859"/>
      <c r="K30" s="859"/>
      <c r="L30" s="859"/>
      <c r="M30" s="859"/>
    </row>
    <row r="31" spans="2:26" ht="13.15" hidden="1" outlineLevel="2">
      <c r="B31" s="866" t="s">
        <v>1092</v>
      </c>
      <c r="C31" s="866">
        <v>1</v>
      </c>
      <c r="D31" s="773" t="s">
        <v>844</v>
      </c>
      <c r="E31" s="822"/>
      <c r="F31" s="857">
        <v>1</v>
      </c>
      <c r="G31" s="857"/>
      <c r="H31" s="857">
        <v>1</v>
      </c>
      <c r="I31" s="857"/>
      <c r="J31" s="857">
        <v>1</v>
      </c>
      <c r="K31" s="857"/>
      <c r="L31" s="857"/>
      <c r="M31" s="867"/>
    </row>
    <row r="32" spans="2:26" ht="13.15" hidden="1" outlineLevel="2">
      <c r="B32" s="866" t="s">
        <v>1093</v>
      </c>
      <c r="C32" s="866">
        <v>2</v>
      </c>
      <c r="D32" s="773" t="s">
        <v>1074</v>
      </c>
      <c r="E32" s="822"/>
      <c r="F32" s="857">
        <v>1</v>
      </c>
      <c r="G32" s="857"/>
      <c r="H32" s="857">
        <v>1</v>
      </c>
      <c r="I32" s="857"/>
      <c r="J32" s="857"/>
      <c r="K32" s="857"/>
      <c r="L32" s="857"/>
      <c r="M32" s="867"/>
    </row>
    <row r="33" spans="2:13" s="872" customFormat="1" ht="13.15" hidden="1" outlineLevel="2">
      <c r="B33" s="866" t="s">
        <v>1094</v>
      </c>
      <c r="C33" s="868">
        <v>3</v>
      </c>
      <c r="D33" s="869" t="s">
        <v>1076</v>
      </c>
      <c r="E33" s="870"/>
      <c r="F33" s="857">
        <v>1</v>
      </c>
      <c r="G33" s="857"/>
      <c r="H33" s="857"/>
      <c r="I33" s="857"/>
      <c r="J33" s="857"/>
      <c r="K33" s="857"/>
      <c r="L33" s="857"/>
      <c r="M33" s="871"/>
    </row>
    <row r="34" spans="2:13" ht="13.15" hidden="1" outlineLevel="2">
      <c r="B34" s="866" t="s">
        <v>1095</v>
      </c>
      <c r="C34" s="866">
        <v>4</v>
      </c>
      <c r="D34" s="773" t="s">
        <v>1078</v>
      </c>
      <c r="E34" s="822"/>
      <c r="F34" s="857">
        <v>1</v>
      </c>
      <c r="G34" s="857"/>
      <c r="H34" s="857">
        <v>1</v>
      </c>
      <c r="I34" s="857"/>
      <c r="J34" s="857">
        <v>1</v>
      </c>
      <c r="K34" s="857"/>
      <c r="L34" s="857"/>
      <c r="M34" s="867"/>
    </row>
    <row r="35" spans="2:13" ht="13.15" hidden="1" outlineLevel="2">
      <c r="B35" s="866" t="s">
        <v>1096</v>
      </c>
      <c r="C35" s="866">
        <v>5</v>
      </c>
      <c r="D35" s="773" t="s">
        <v>1080</v>
      </c>
      <c r="E35" s="822"/>
      <c r="F35" s="857">
        <v>1</v>
      </c>
      <c r="G35" s="857"/>
      <c r="H35" s="857">
        <v>1</v>
      </c>
      <c r="I35" s="857"/>
      <c r="J35" s="857"/>
      <c r="K35" s="857"/>
      <c r="L35" s="857"/>
      <c r="M35" s="867"/>
    </row>
    <row r="36" spans="2:13" ht="13.15" hidden="1" outlineLevel="2">
      <c r="B36" s="866" t="s">
        <v>1097</v>
      </c>
      <c r="C36" s="866">
        <v>6</v>
      </c>
      <c r="D36" s="773" t="s">
        <v>1082</v>
      </c>
      <c r="E36" s="822"/>
      <c r="F36" s="857">
        <v>1</v>
      </c>
      <c r="G36" s="857"/>
      <c r="H36" s="857">
        <v>1</v>
      </c>
      <c r="I36" s="857"/>
      <c r="J36" s="857"/>
      <c r="K36" s="857"/>
      <c r="L36" s="857"/>
      <c r="M36" s="867"/>
    </row>
    <row r="37" spans="2:13" s="872" customFormat="1" ht="13.15" hidden="1" outlineLevel="2">
      <c r="B37" s="866" t="s">
        <v>1098</v>
      </c>
      <c r="C37" s="868">
        <v>7</v>
      </c>
      <c r="D37" s="869" t="s">
        <v>1084</v>
      </c>
      <c r="E37" s="870"/>
      <c r="F37" s="857">
        <v>1</v>
      </c>
      <c r="G37" s="857"/>
      <c r="H37" s="857"/>
      <c r="I37" s="857"/>
      <c r="J37" s="857">
        <v>1</v>
      </c>
      <c r="K37" s="857"/>
      <c r="L37" s="857"/>
      <c r="M37" s="871"/>
    </row>
    <row r="38" spans="2:13" ht="13.15" hidden="1" outlineLevel="2">
      <c r="B38" s="866" t="s">
        <v>1099</v>
      </c>
      <c r="C38" s="866">
        <v>8</v>
      </c>
      <c r="D38" s="773" t="s">
        <v>544</v>
      </c>
      <c r="E38" s="822"/>
      <c r="F38" s="857"/>
      <c r="G38" s="857"/>
      <c r="H38" s="857"/>
      <c r="I38" s="857"/>
      <c r="J38" s="857"/>
      <c r="K38" s="857"/>
      <c r="L38" s="857"/>
      <c r="M38" s="867"/>
    </row>
    <row r="39" spans="2:13" ht="13.15" hidden="1" outlineLevel="2">
      <c r="B39" s="866" t="s">
        <v>1100</v>
      </c>
      <c r="C39" s="866">
        <v>9</v>
      </c>
      <c r="D39" s="869" t="s">
        <v>545</v>
      </c>
      <c r="E39" s="822"/>
      <c r="F39" s="835">
        <v>-1</v>
      </c>
      <c r="G39" s="857"/>
      <c r="H39" s="835">
        <v>-1</v>
      </c>
      <c r="I39" s="857"/>
      <c r="J39" s="857">
        <v>1</v>
      </c>
      <c r="K39" s="857"/>
      <c r="L39" s="857"/>
      <c r="M39" s="867"/>
    </row>
    <row r="40" spans="2:13" ht="13.15" hidden="1" outlineLevel="2">
      <c r="B40" s="866" t="s">
        <v>1101</v>
      </c>
      <c r="C40" s="866">
        <v>10</v>
      </c>
      <c r="D40" s="773" t="s">
        <v>1089</v>
      </c>
      <c r="E40" s="822"/>
      <c r="F40" s="857">
        <v>1</v>
      </c>
      <c r="G40" s="857"/>
      <c r="H40" s="857"/>
      <c r="I40" s="857"/>
      <c r="J40" s="857"/>
      <c r="K40" s="857"/>
      <c r="L40" s="857"/>
      <c r="M40" s="867"/>
    </row>
    <row r="41" spans="2:13" ht="3" customHeight="1" outlineLevel="1">
      <c r="B41" s="873"/>
      <c r="C41" s="873"/>
      <c r="D41" s="773"/>
      <c r="E41" s="822"/>
      <c r="F41" s="858"/>
      <c r="G41" s="858"/>
      <c r="H41" s="858"/>
      <c r="I41" s="858"/>
      <c r="J41" s="858"/>
      <c r="K41" s="858"/>
      <c r="L41" s="858"/>
      <c r="M41" s="858"/>
    </row>
    <row r="42" spans="2:13" ht="13.15" outlineLevel="1" collapsed="1">
      <c r="B42" s="881" t="s">
        <v>1102</v>
      </c>
      <c r="C42" s="854">
        <v>3</v>
      </c>
      <c r="D42" s="855" t="s">
        <v>1103</v>
      </c>
      <c r="E42" s="856"/>
      <c r="F42" s="859"/>
      <c r="G42" s="859"/>
      <c r="H42" s="859"/>
      <c r="I42" s="859"/>
      <c r="J42" s="859"/>
      <c r="K42" s="859"/>
      <c r="L42" s="859"/>
      <c r="M42" s="859"/>
    </row>
    <row r="43" spans="2:13" ht="13.15" hidden="1" outlineLevel="2">
      <c r="B43" s="866" t="s">
        <v>1104</v>
      </c>
      <c r="C43" s="866">
        <v>1</v>
      </c>
      <c r="D43" s="773" t="s">
        <v>844</v>
      </c>
      <c r="E43" s="822"/>
      <c r="F43" s="857">
        <v>1</v>
      </c>
      <c r="G43" s="857"/>
      <c r="H43" s="857">
        <v>1</v>
      </c>
      <c r="I43" s="857"/>
      <c r="J43" s="857">
        <v>1</v>
      </c>
      <c r="K43" s="857"/>
      <c r="L43" s="857"/>
      <c r="M43" s="867"/>
    </row>
    <row r="44" spans="2:13" ht="13.15" hidden="1" outlineLevel="2">
      <c r="B44" s="866" t="s">
        <v>1105</v>
      </c>
      <c r="C44" s="866">
        <v>2</v>
      </c>
      <c r="D44" s="773" t="s">
        <v>1074</v>
      </c>
      <c r="E44" s="822"/>
      <c r="F44" s="857">
        <v>1</v>
      </c>
      <c r="G44" s="857"/>
      <c r="H44" s="857">
        <v>1</v>
      </c>
      <c r="I44" s="857"/>
      <c r="J44" s="857"/>
      <c r="K44" s="857"/>
      <c r="L44" s="857"/>
      <c r="M44" s="867"/>
    </row>
    <row r="45" spans="2:13" s="872" customFormat="1" ht="13.15" hidden="1" outlineLevel="2">
      <c r="B45" s="866" t="s">
        <v>1106</v>
      </c>
      <c r="C45" s="868">
        <v>3</v>
      </c>
      <c r="D45" s="869" t="s">
        <v>1076</v>
      </c>
      <c r="E45" s="870"/>
      <c r="F45" s="835">
        <v>-1</v>
      </c>
      <c r="G45" s="857"/>
      <c r="H45" s="857"/>
      <c r="I45" s="857"/>
      <c r="J45" s="857"/>
      <c r="K45" s="857"/>
      <c r="L45" s="857"/>
      <c r="M45" s="871"/>
    </row>
    <row r="46" spans="2:13" ht="13.15" hidden="1" outlineLevel="2">
      <c r="B46" s="866" t="s">
        <v>1107</v>
      </c>
      <c r="C46" s="866">
        <v>4</v>
      </c>
      <c r="D46" s="773" t="s">
        <v>1078</v>
      </c>
      <c r="E46" s="822"/>
      <c r="F46" s="857">
        <v>1</v>
      </c>
      <c r="G46" s="857"/>
      <c r="H46" s="857">
        <v>1</v>
      </c>
      <c r="I46" s="857"/>
      <c r="J46" s="857">
        <v>1</v>
      </c>
      <c r="K46" s="857"/>
      <c r="L46" s="857"/>
      <c r="M46" s="867"/>
    </row>
    <row r="47" spans="2:13" ht="13.15" hidden="1" outlineLevel="2">
      <c r="B47" s="866" t="s">
        <v>1108</v>
      </c>
      <c r="C47" s="866">
        <v>5</v>
      </c>
      <c r="D47" s="773" t="s">
        <v>1080</v>
      </c>
      <c r="E47" s="822"/>
      <c r="F47" s="857">
        <v>1</v>
      </c>
      <c r="G47" s="857"/>
      <c r="H47" s="857">
        <v>1</v>
      </c>
      <c r="I47" s="857"/>
      <c r="J47" s="857"/>
      <c r="K47" s="857"/>
      <c r="L47" s="857"/>
      <c r="M47" s="867"/>
    </row>
    <row r="48" spans="2:13" ht="13.15" hidden="1" outlineLevel="2">
      <c r="B48" s="866" t="s">
        <v>1109</v>
      </c>
      <c r="C48" s="866">
        <v>6</v>
      </c>
      <c r="D48" s="773" t="s">
        <v>1082</v>
      </c>
      <c r="E48" s="822"/>
      <c r="F48" s="857">
        <v>1</v>
      </c>
      <c r="G48" s="857"/>
      <c r="H48" s="857">
        <v>1</v>
      </c>
      <c r="I48" s="857"/>
      <c r="J48" s="857"/>
      <c r="K48" s="857"/>
      <c r="L48" s="857"/>
      <c r="M48" s="867"/>
    </row>
    <row r="49" spans="1:13" s="872" customFormat="1" ht="13.15" hidden="1" outlineLevel="2">
      <c r="B49" s="866" t="s">
        <v>1110</v>
      </c>
      <c r="C49" s="868">
        <v>7</v>
      </c>
      <c r="D49" s="869" t="s">
        <v>1084</v>
      </c>
      <c r="E49" s="870"/>
      <c r="F49" s="835">
        <v>-1</v>
      </c>
      <c r="G49" s="857"/>
      <c r="H49" s="857"/>
      <c r="I49" s="857"/>
      <c r="J49" s="857">
        <v>1</v>
      </c>
      <c r="K49" s="857"/>
      <c r="L49" s="857"/>
      <c r="M49" s="871"/>
    </row>
    <row r="50" spans="1:13" ht="13.15" hidden="1" outlineLevel="2">
      <c r="B50" s="866" t="s">
        <v>1111</v>
      </c>
      <c r="C50" s="866">
        <v>8</v>
      </c>
      <c r="D50" s="773" t="s">
        <v>544</v>
      </c>
      <c r="E50" s="822"/>
      <c r="F50" s="857"/>
      <c r="G50" s="857"/>
      <c r="H50" s="857"/>
      <c r="I50" s="857"/>
      <c r="J50" s="857"/>
      <c r="K50" s="857"/>
      <c r="L50" s="857"/>
      <c r="M50" s="867"/>
    </row>
    <row r="51" spans="1:13" ht="13.15" hidden="1" outlineLevel="2">
      <c r="B51" s="866" t="s">
        <v>1112</v>
      </c>
      <c r="C51" s="866">
        <v>9</v>
      </c>
      <c r="D51" s="869" t="s">
        <v>545</v>
      </c>
      <c r="E51" s="822"/>
      <c r="F51" s="857">
        <v>1</v>
      </c>
      <c r="G51" s="857"/>
      <c r="H51" s="857">
        <v>1</v>
      </c>
      <c r="I51" s="857"/>
      <c r="J51" s="857">
        <v>1</v>
      </c>
      <c r="K51" s="857"/>
      <c r="L51" s="857"/>
      <c r="M51" s="867"/>
    </row>
    <row r="52" spans="1:13" ht="13.15" hidden="1" outlineLevel="2">
      <c r="B52" s="866" t="s">
        <v>1113</v>
      </c>
      <c r="C52" s="866">
        <v>10</v>
      </c>
      <c r="D52" s="773" t="s">
        <v>1089</v>
      </c>
      <c r="E52" s="822"/>
      <c r="F52" s="857">
        <v>1</v>
      </c>
      <c r="G52" s="857"/>
      <c r="H52" s="857"/>
      <c r="I52" s="857"/>
      <c r="J52" s="857"/>
      <c r="K52" s="857"/>
      <c r="L52" s="857"/>
      <c r="M52" s="867"/>
    </row>
    <row r="53" spans="1:13" ht="3" customHeight="1" outlineLevel="1">
      <c r="B53" s="873"/>
      <c r="C53" s="873"/>
      <c r="D53" s="773"/>
      <c r="E53" s="822"/>
      <c r="F53" s="874"/>
      <c r="G53" s="867"/>
      <c r="H53" s="874"/>
      <c r="I53" s="867"/>
      <c r="J53" s="874"/>
      <c r="K53" s="867"/>
      <c r="L53" s="874"/>
      <c r="M53" s="867"/>
    </row>
    <row r="54" spans="1:13" ht="13.15" outlineLevel="1" collapsed="1">
      <c r="B54" s="881" t="s">
        <v>1114</v>
      </c>
      <c r="C54" s="854">
        <v>4</v>
      </c>
      <c r="D54" s="855" t="s">
        <v>1115</v>
      </c>
      <c r="E54" s="856"/>
      <c r="F54" s="859"/>
      <c r="G54" s="859"/>
      <c r="H54" s="859"/>
      <c r="I54" s="859"/>
      <c r="J54" s="859"/>
      <c r="K54" s="859"/>
      <c r="L54" s="859"/>
      <c r="M54" s="859"/>
    </row>
    <row r="55" spans="1:13" ht="13.15" hidden="1" outlineLevel="2">
      <c r="B55" s="866" t="s">
        <v>1116</v>
      </c>
      <c r="C55" s="866">
        <v>1</v>
      </c>
      <c r="D55" s="773" t="s">
        <v>1117</v>
      </c>
      <c r="E55" s="822"/>
      <c r="F55" s="874"/>
      <c r="G55" s="867"/>
      <c r="H55" s="857">
        <v>1</v>
      </c>
      <c r="I55" s="867"/>
      <c r="J55" s="874"/>
      <c r="K55" s="867"/>
      <c r="L55" s="874"/>
      <c r="M55" s="867"/>
    </row>
    <row r="56" spans="1:13" ht="13.15" hidden="1" outlineLevel="2">
      <c r="B56" s="866" t="s">
        <v>1118</v>
      </c>
      <c r="C56" s="866">
        <v>2</v>
      </c>
      <c r="D56" s="773" t="s">
        <v>575</v>
      </c>
      <c r="E56" s="822"/>
      <c r="F56" s="857">
        <v>1</v>
      </c>
      <c r="G56" s="867"/>
      <c r="H56" s="857">
        <v>1</v>
      </c>
      <c r="I56" s="867"/>
      <c r="J56" s="857">
        <v>1</v>
      </c>
      <c r="K56" s="867"/>
      <c r="L56" s="874"/>
      <c r="M56" s="867"/>
    </row>
    <row r="57" spans="1:13" s="872" customFormat="1" ht="13.15" hidden="1" outlineLevel="2">
      <c r="B57" s="866" t="s">
        <v>1119</v>
      </c>
      <c r="C57" s="868">
        <v>3</v>
      </c>
      <c r="D57" s="869" t="s">
        <v>1120</v>
      </c>
      <c r="E57" s="870"/>
      <c r="F57" s="857"/>
      <c r="G57" s="871"/>
      <c r="H57" s="875"/>
      <c r="I57" s="871"/>
      <c r="J57" s="857"/>
      <c r="K57" s="871"/>
      <c r="L57" s="875"/>
      <c r="M57" s="871"/>
    </row>
    <row r="58" spans="1:13" ht="13.15" hidden="1" outlineLevel="2">
      <c r="B58" s="866" t="s">
        <v>1121</v>
      </c>
      <c r="C58" s="866">
        <v>4</v>
      </c>
      <c r="D58" s="773" t="s">
        <v>577</v>
      </c>
      <c r="E58" s="822"/>
      <c r="F58" s="835">
        <v>-1</v>
      </c>
      <c r="G58" s="867"/>
      <c r="H58" s="857">
        <v>1</v>
      </c>
      <c r="I58" s="867"/>
      <c r="J58" s="857">
        <v>1</v>
      </c>
      <c r="K58" s="867"/>
      <c r="L58" s="874"/>
      <c r="M58" s="867"/>
    </row>
    <row r="59" spans="1:13" ht="13.15" hidden="1" outlineLevel="2">
      <c r="B59" s="866" t="s">
        <v>1122</v>
      </c>
      <c r="C59" s="866">
        <v>4</v>
      </c>
      <c r="D59" s="773" t="s">
        <v>1123</v>
      </c>
      <c r="E59" s="822"/>
      <c r="F59" s="835">
        <v>-1</v>
      </c>
      <c r="G59" s="867"/>
      <c r="H59" s="874"/>
      <c r="I59" s="867"/>
      <c r="J59" s="857"/>
      <c r="K59" s="867"/>
      <c r="L59" s="874"/>
      <c r="M59" s="867"/>
    </row>
    <row r="60" spans="1:13" ht="3" customHeight="1" outlineLevel="1">
      <c r="B60" s="866"/>
      <c r="C60" s="866"/>
      <c r="D60" s="773"/>
      <c r="E60" s="822"/>
      <c r="F60" s="876"/>
      <c r="G60" s="867"/>
      <c r="H60" s="876"/>
      <c r="I60" s="867"/>
      <c r="J60" s="876"/>
      <c r="K60" s="867"/>
      <c r="L60" s="876"/>
      <c r="M60" s="867"/>
    </row>
    <row r="61" spans="1:13" ht="13.15" outlineLevel="1" collapsed="1">
      <c r="B61" s="881" t="s">
        <v>1124</v>
      </c>
      <c r="C61" s="854">
        <v>5</v>
      </c>
      <c r="D61" s="855" t="s">
        <v>1125</v>
      </c>
      <c r="E61" s="856"/>
      <c r="F61" s="859"/>
      <c r="G61" s="859"/>
      <c r="H61" s="859"/>
      <c r="I61" s="859"/>
      <c r="J61" s="859"/>
      <c r="K61" s="859"/>
      <c r="L61" s="859"/>
      <c r="M61" s="859"/>
    </row>
    <row r="62" spans="1:13" ht="13.15" hidden="1" outlineLevel="2">
      <c r="B62" s="866" t="s">
        <v>1126</v>
      </c>
      <c r="C62" s="866">
        <v>1</v>
      </c>
      <c r="D62" s="869" t="s">
        <v>349</v>
      </c>
      <c r="E62" s="822"/>
      <c r="F62" s="857">
        <v>1</v>
      </c>
      <c r="G62" s="867"/>
      <c r="H62" s="874"/>
      <c r="I62" s="867"/>
      <c r="J62" s="857">
        <v>1</v>
      </c>
      <c r="K62" s="867"/>
      <c r="L62" s="874">
        <v>1</v>
      </c>
      <c r="M62" s="867"/>
    </row>
    <row r="63" spans="1:13" ht="13.15" hidden="1" outlineLevel="2">
      <c r="B63" s="866" t="s">
        <v>1127</v>
      </c>
      <c r="C63" s="866">
        <v>2</v>
      </c>
      <c r="D63" s="869" t="s">
        <v>350</v>
      </c>
      <c r="E63" s="822"/>
      <c r="F63" s="857">
        <v>1</v>
      </c>
      <c r="G63" s="867"/>
      <c r="H63" s="874"/>
      <c r="I63" s="867"/>
      <c r="J63" s="857">
        <v>1</v>
      </c>
      <c r="K63" s="867"/>
      <c r="L63" s="874">
        <v>1</v>
      </c>
      <c r="M63" s="867"/>
    </row>
    <row r="64" spans="1:13" ht="13.15" hidden="1" outlineLevel="2">
      <c r="A64" s="822"/>
      <c r="B64" s="866" t="s">
        <v>1128</v>
      </c>
      <c r="C64" s="866">
        <v>3</v>
      </c>
      <c r="D64" s="869" t="s">
        <v>1129</v>
      </c>
      <c r="E64" s="822"/>
      <c r="F64" s="857">
        <v>1</v>
      </c>
      <c r="G64" s="867"/>
      <c r="H64" s="874"/>
      <c r="I64" s="867"/>
      <c r="J64" s="857">
        <v>1</v>
      </c>
      <c r="K64" s="867"/>
      <c r="L64" s="874">
        <v>1</v>
      </c>
      <c r="M64" s="867"/>
    </row>
    <row r="65" spans="1:13" ht="3" customHeight="1" outlineLevel="1">
      <c r="A65" s="822"/>
      <c r="B65" s="823"/>
      <c r="C65" s="823"/>
      <c r="D65" s="773"/>
      <c r="E65" s="822"/>
      <c r="F65" s="874"/>
      <c r="G65" s="867"/>
      <c r="H65" s="874"/>
      <c r="I65" s="867"/>
      <c r="J65" s="874"/>
      <c r="K65" s="867"/>
      <c r="L65" s="874"/>
      <c r="M65" s="867"/>
    </row>
    <row r="66" spans="1:13" ht="13.15" outlineLevel="1">
      <c r="A66" s="822"/>
      <c r="B66" s="881" t="s">
        <v>492</v>
      </c>
      <c r="C66" s="854">
        <v>6</v>
      </c>
      <c r="D66" s="855" t="s">
        <v>1130</v>
      </c>
      <c r="E66" s="856"/>
      <c r="F66" s="859"/>
      <c r="G66" s="859"/>
      <c r="H66" s="859"/>
      <c r="I66" s="859"/>
      <c r="J66" s="859"/>
      <c r="K66" s="859"/>
      <c r="L66" s="859"/>
      <c r="M66" s="859"/>
    </row>
    <row r="67" spans="1:13" ht="13.15" outlineLevel="2">
      <c r="A67" s="822"/>
      <c r="B67" s="866" t="s">
        <v>1131</v>
      </c>
      <c r="C67" s="866">
        <v>1</v>
      </c>
      <c r="D67" s="773" t="s">
        <v>244</v>
      </c>
      <c r="E67" s="822"/>
      <c r="F67" s="874">
        <v>-1</v>
      </c>
      <c r="G67" s="867"/>
      <c r="H67" s="874"/>
      <c r="I67" s="867"/>
      <c r="J67" s="874">
        <v>1</v>
      </c>
      <c r="K67" s="867"/>
      <c r="L67" s="874">
        <v>1</v>
      </c>
      <c r="M67" s="867"/>
    </row>
    <row r="68" spans="1:13" ht="13.15" outlineLevel="2">
      <c r="A68" s="822"/>
      <c r="B68" s="866" t="s">
        <v>1132</v>
      </c>
      <c r="C68" s="866">
        <v>2</v>
      </c>
      <c r="D68" s="773" t="s">
        <v>543</v>
      </c>
      <c r="E68" s="822"/>
      <c r="F68" s="874">
        <v>-1</v>
      </c>
      <c r="G68" s="867"/>
      <c r="H68" s="874">
        <v>-1</v>
      </c>
      <c r="I68" s="867"/>
      <c r="J68" s="874"/>
      <c r="K68" s="867"/>
      <c r="L68" s="874"/>
      <c r="M68" s="867"/>
    </row>
    <row r="69" spans="1:13" ht="13.15" outlineLevel="2">
      <c r="A69" s="822"/>
      <c r="B69" s="866" t="s">
        <v>1133</v>
      </c>
      <c r="C69" s="866">
        <v>3</v>
      </c>
      <c r="D69" s="773" t="s">
        <v>221</v>
      </c>
      <c r="E69" s="822"/>
      <c r="F69" s="874">
        <v>-1</v>
      </c>
      <c r="G69" s="867"/>
      <c r="H69" s="874">
        <v>-1</v>
      </c>
      <c r="I69" s="867"/>
      <c r="J69" s="874">
        <v>-1</v>
      </c>
      <c r="K69" s="867"/>
      <c r="L69" s="874"/>
      <c r="M69" s="867"/>
    </row>
    <row r="70" spans="1:13" ht="13.15" outlineLevel="2">
      <c r="A70" s="822"/>
      <c r="B70" s="866" t="s">
        <v>1134</v>
      </c>
      <c r="C70" s="866">
        <v>4</v>
      </c>
      <c r="D70" s="773" t="s">
        <v>222</v>
      </c>
      <c r="E70" s="822"/>
      <c r="F70" s="874">
        <v>-1</v>
      </c>
      <c r="G70" s="867"/>
      <c r="H70" s="874"/>
      <c r="I70" s="867"/>
      <c r="J70" s="874"/>
      <c r="K70" s="867"/>
      <c r="L70" s="874">
        <v>1</v>
      </c>
      <c r="M70" s="867"/>
    </row>
    <row r="71" spans="1:13" ht="3" customHeight="1" outlineLevel="1">
      <c r="A71" s="822"/>
      <c r="B71" s="823"/>
      <c r="C71" s="823"/>
      <c r="D71" s="773"/>
      <c r="E71" s="822"/>
      <c r="F71" s="874"/>
      <c r="G71" s="867"/>
      <c r="H71" s="874"/>
      <c r="I71" s="867"/>
      <c r="J71" s="874"/>
      <c r="K71" s="867"/>
      <c r="L71" s="874"/>
      <c r="M71" s="867"/>
    </row>
    <row r="72" spans="1:13" ht="13.15" outlineLevel="1">
      <c r="A72" s="822"/>
      <c r="B72" s="881" t="s">
        <v>1135</v>
      </c>
      <c r="C72" s="854">
        <v>7</v>
      </c>
      <c r="D72" s="855" t="s">
        <v>1136</v>
      </c>
      <c r="E72" s="856"/>
      <c r="F72" s="859"/>
      <c r="G72" s="859"/>
      <c r="H72" s="859"/>
      <c r="I72" s="859"/>
      <c r="J72" s="859"/>
      <c r="K72" s="859"/>
      <c r="L72" s="859"/>
      <c r="M72" s="859"/>
    </row>
    <row r="73" spans="1:13" ht="13.15" outlineLevel="2">
      <c r="A73" s="822" t="str">
        <f>"Amenities &amp; Facilities - "&amp;D73</f>
        <v>Amenities &amp; Facilities - Clubhouse—Structure and Envelope</v>
      </c>
      <c r="B73" s="866" t="s">
        <v>1137</v>
      </c>
      <c r="C73" s="866">
        <v>1</v>
      </c>
      <c r="D73" s="869" t="s">
        <v>243</v>
      </c>
      <c r="E73" s="822"/>
      <c r="F73" s="874">
        <v>-1</v>
      </c>
      <c r="G73" s="867"/>
      <c r="H73" s="874">
        <v>-1</v>
      </c>
      <c r="I73" s="867"/>
      <c r="J73" s="874">
        <v>1</v>
      </c>
      <c r="K73" s="867"/>
      <c r="L73" s="874"/>
      <c r="M73" s="867"/>
    </row>
    <row r="74" spans="1:13" ht="13.15" outlineLevel="2">
      <c r="A74" s="822" t="str">
        <f t="shared" ref="A74:A77" si="0">"Amenities &amp; Facilities - "&amp;D74</f>
        <v>Amenities &amp; Facilities - Clubhouse—Interiors and Facilities</v>
      </c>
      <c r="B74" s="866" t="s">
        <v>1138</v>
      </c>
      <c r="C74" s="866">
        <v>2</v>
      </c>
      <c r="D74" s="869" t="s">
        <v>249</v>
      </c>
      <c r="E74" s="822"/>
      <c r="F74" s="874">
        <v>-1</v>
      </c>
      <c r="G74" s="867"/>
      <c r="H74" s="874"/>
      <c r="I74" s="867"/>
      <c r="J74" s="874">
        <v>1</v>
      </c>
      <c r="K74" s="867"/>
      <c r="L74" s="874">
        <v>1</v>
      </c>
      <c r="M74" s="867"/>
    </row>
    <row r="75" spans="1:13" s="872" customFormat="1" ht="13.15" outlineLevel="2">
      <c r="A75" s="822" t="str">
        <f t="shared" si="0"/>
        <v>Amenities &amp; Facilities - Clubhouse—Outdoor Spaces and Pool</v>
      </c>
      <c r="B75" s="866" t="s">
        <v>1139</v>
      </c>
      <c r="C75" s="866">
        <v>3</v>
      </c>
      <c r="D75" s="869" t="s">
        <v>245</v>
      </c>
      <c r="E75" s="870"/>
      <c r="F75" s="874">
        <v>-1</v>
      </c>
      <c r="G75" s="871"/>
      <c r="H75" s="874">
        <v>-1</v>
      </c>
      <c r="I75" s="871"/>
      <c r="J75" s="875">
        <v>1</v>
      </c>
      <c r="K75" s="871"/>
      <c r="L75" s="875">
        <v>1</v>
      </c>
      <c r="M75" s="871"/>
    </row>
    <row r="76" spans="1:13" ht="13.15" outlineLevel="2">
      <c r="A76" s="822" t="str">
        <f t="shared" si="0"/>
        <v>Amenities &amp; Facilities - Community spaces [Board Walk, Children play area]</v>
      </c>
      <c r="B76" s="866" t="s">
        <v>1140</v>
      </c>
      <c r="C76" s="866">
        <v>4</v>
      </c>
      <c r="D76" s="869" t="s">
        <v>283</v>
      </c>
      <c r="E76" s="822"/>
      <c r="F76" s="874">
        <v>-1</v>
      </c>
      <c r="G76" s="867"/>
      <c r="H76" s="874">
        <v>-1</v>
      </c>
      <c r="I76" s="867"/>
      <c r="J76" s="874"/>
      <c r="K76" s="867"/>
      <c r="L76" s="874">
        <v>-1</v>
      </c>
      <c r="M76" s="867"/>
    </row>
    <row r="77" spans="1:13" ht="13.15" outlineLevel="2">
      <c r="A77" s="822" t="str">
        <f t="shared" si="0"/>
        <v>Amenities &amp; Facilities - Sporting Facilities</v>
      </c>
      <c r="B77" s="866" t="s">
        <v>1141</v>
      </c>
      <c r="C77" s="866">
        <v>5</v>
      </c>
      <c r="D77" s="869" t="s">
        <v>254</v>
      </c>
      <c r="E77" s="822"/>
      <c r="F77" s="874">
        <v>-1</v>
      </c>
      <c r="G77" s="867"/>
      <c r="H77" s="874">
        <v>-1</v>
      </c>
      <c r="I77" s="867"/>
      <c r="J77" s="874">
        <v>-1</v>
      </c>
      <c r="K77" s="867"/>
      <c r="L77" s="874"/>
      <c r="M77" s="867"/>
    </row>
    <row r="78" spans="1:13" ht="3" customHeight="1">
      <c r="A78" s="822"/>
      <c r="B78" s="823"/>
      <c r="C78" s="823"/>
      <c r="D78" s="852"/>
      <c r="E78" s="842"/>
      <c r="F78" s="849"/>
      <c r="G78" s="853"/>
      <c r="H78" s="849"/>
      <c r="I78" s="853"/>
      <c r="J78" s="849"/>
      <c r="K78" s="853"/>
      <c r="L78" s="849"/>
      <c r="M78" s="853"/>
    </row>
    <row r="79" spans="1:13" ht="17.45">
      <c r="A79" s="822"/>
      <c r="B79" s="773"/>
      <c r="C79" s="886" t="s">
        <v>1142</v>
      </c>
      <c r="D79" s="886"/>
      <c r="E79" s="842"/>
      <c r="F79" s="850"/>
      <c r="G79" s="851"/>
      <c r="H79" s="850"/>
      <c r="I79" s="851"/>
      <c r="J79" s="850"/>
      <c r="K79" s="851"/>
      <c r="L79" s="850"/>
      <c r="M79" s="851"/>
    </row>
    <row r="80" spans="1:13" ht="3" customHeight="1" outlineLevel="1">
      <c r="A80" s="822"/>
      <c r="B80" s="823"/>
      <c r="C80" s="823"/>
      <c r="D80" s="877"/>
      <c r="E80" s="842"/>
      <c r="F80" s="849"/>
      <c r="G80" s="853"/>
      <c r="H80" s="849"/>
      <c r="I80" s="853"/>
      <c r="J80" s="849"/>
      <c r="K80" s="853"/>
      <c r="L80" s="849"/>
      <c r="M80" s="853"/>
    </row>
    <row r="81" spans="1:13" ht="13.15" outlineLevel="1">
      <c r="A81" s="822"/>
      <c r="B81" s="881" t="s">
        <v>1143</v>
      </c>
      <c r="C81" s="854">
        <v>1</v>
      </c>
      <c r="D81" s="855" t="s">
        <v>652</v>
      </c>
      <c r="E81" s="856"/>
      <c r="F81" s="859"/>
      <c r="G81" s="859"/>
      <c r="H81" s="859"/>
      <c r="I81" s="859"/>
      <c r="J81" s="859"/>
      <c r="K81" s="859"/>
      <c r="L81" s="859"/>
      <c r="M81" s="859"/>
    </row>
    <row r="82" spans="1:13" ht="13.15" outlineLevel="2">
      <c r="A82" s="822"/>
      <c r="B82" s="866">
        <v>1</v>
      </c>
      <c r="C82" s="866">
        <v>1</v>
      </c>
      <c r="D82" s="786" t="s">
        <v>1144</v>
      </c>
      <c r="E82" s="825"/>
      <c r="F82" s="874">
        <v>-1</v>
      </c>
      <c r="G82" s="878"/>
      <c r="H82" s="874">
        <v>-1</v>
      </c>
      <c r="I82" s="878"/>
      <c r="J82" s="874">
        <v>-1</v>
      </c>
      <c r="K82" s="878"/>
      <c r="L82" s="874">
        <v>-1</v>
      </c>
      <c r="M82" s="878"/>
    </row>
    <row r="83" spans="1:13" ht="3" customHeight="1">
      <c r="A83" s="822"/>
      <c r="B83" s="866"/>
      <c r="C83" s="866"/>
      <c r="D83" s="786"/>
      <c r="E83" s="825"/>
      <c r="F83" s="874"/>
      <c r="G83" s="878"/>
      <c r="H83" s="874"/>
      <c r="I83" s="878"/>
      <c r="J83" s="874"/>
      <c r="K83" s="878"/>
      <c r="L83" s="874"/>
      <c r="M83" s="878"/>
    </row>
    <row r="84" spans="1:13" ht="17.45" hidden="1">
      <c r="A84" s="822"/>
      <c r="B84" s="773"/>
      <c r="C84" s="886" t="s">
        <v>1145</v>
      </c>
      <c r="D84" s="886"/>
      <c r="E84" s="842"/>
      <c r="F84" s="850"/>
      <c r="G84" s="851"/>
      <c r="H84" s="850"/>
      <c r="I84" s="851"/>
      <c r="J84" s="850"/>
      <c r="K84" s="851"/>
      <c r="L84" s="850"/>
      <c r="M84" s="851"/>
    </row>
    <row r="85" spans="1:13" ht="13.15"/>
    <row r="86" spans="1:13" ht="13.15"/>
    <row r="87" spans="1:13" ht="13.15"/>
    <row r="88" spans="1:13" ht="13.15"/>
    <row r="89" spans="1:13" ht="13.15"/>
    <row r="90" spans="1:13" ht="13.15"/>
    <row r="91" spans="1:13" ht="13.15"/>
    <row r="92" spans="1:13" ht="13.15"/>
    <row r="93" spans="1:13" ht="13.15"/>
    <row r="94" spans="1:13" ht="13.15"/>
    <row r="95" spans="1:13" ht="13.15"/>
    <row r="96" spans="1:13" ht="3" customHeight="1"/>
    <row r="106" spans="1:26" s="864" customFormat="1" ht="11.85" customHeight="1">
      <c r="A106" s="828"/>
      <c r="B106" s="828"/>
      <c r="C106" s="828"/>
      <c r="D106" s="828"/>
      <c r="E106" s="828"/>
      <c r="F106" s="828"/>
      <c r="G106" s="828"/>
      <c r="H106" s="828"/>
      <c r="I106" s="828"/>
      <c r="K106" s="865"/>
      <c r="M106" s="865"/>
      <c r="N106" s="828"/>
      <c r="O106" s="828"/>
      <c r="P106" s="828"/>
      <c r="Q106" s="828"/>
      <c r="R106" s="828"/>
      <c r="S106" s="828"/>
      <c r="T106" s="828"/>
      <c r="U106" s="828"/>
      <c r="V106" s="828"/>
      <c r="W106" s="828"/>
      <c r="X106" s="828"/>
      <c r="Y106" s="828"/>
      <c r="Z106" s="828"/>
    </row>
    <row r="107" spans="1:26" s="864" customFormat="1" ht="11.85" customHeight="1">
      <c r="A107" s="828"/>
      <c r="B107" s="828"/>
      <c r="C107" s="828"/>
      <c r="D107" s="828"/>
      <c r="E107" s="828"/>
      <c r="F107" s="828"/>
      <c r="G107" s="828"/>
      <c r="H107" s="828"/>
      <c r="I107" s="828"/>
      <c r="K107" s="865"/>
      <c r="M107" s="865"/>
      <c r="N107" s="828"/>
      <c r="O107" s="828"/>
      <c r="P107" s="828"/>
      <c r="Q107" s="828"/>
      <c r="R107" s="828"/>
      <c r="S107" s="828"/>
      <c r="T107" s="828"/>
      <c r="U107" s="828"/>
      <c r="V107" s="828"/>
      <c r="W107" s="828"/>
      <c r="X107" s="828"/>
      <c r="Y107" s="828"/>
      <c r="Z107" s="828"/>
    </row>
    <row r="109" spans="1:26" s="864" customFormat="1" ht="11.85" customHeight="1">
      <c r="A109" s="828"/>
      <c r="B109" s="828"/>
      <c r="C109" s="828"/>
      <c r="D109" s="828"/>
      <c r="E109" s="828"/>
      <c r="F109" s="828"/>
      <c r="G109" s="828"/>
      <c r="H109" s="828"/>
      <c r="I109" s="828"/>
      <c r="K109" s="865"/>
      <c r="M109" s="865"/>
      <c r="N109" s="828"/>
      <c r="O109" s="828"/>
      <c r="P109" s="828"/>
      <c r="Q109" s="828"/>
      <c r="R109" s="828"/>
      <c r="S109" s="828"/>
      <c r="T109" s="828"/>
      <c r="U109" s="828"/>
      <c r="V109" s="828"/>
      <c r="W109" s="828"/>
      <c r="X109" s="828"/>
      <c r="Y109" s="828"/>
      <c r="Z109" s="828"/>
    </row>
  </sheetData>
  <mergeCells count="5">
    <mergeCell ref="C2:D2"/>
    <mergeCell ref="C8:D8"/>
    <mergeCell ref="C16:D16"/>
    <mergeCell ref="C79:D79"/>
    <mergeCell ref="C84:D84"/>
  </mergeCells>
  <phoneticPr fontId="8" type="noConversion"/>
  <conditionalFormatting sqref="F10">
    <cfRule type="iconSet" priority="136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135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134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133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132">
      <iconSet iconSet="3Symbols2" showValue="0">
        <cfvo type="percent" val="0"/>
        <cfvo type="num" val="0"/>
        <cfvo type="num" val="1"/>
      </iconSet>
    </cfRule>
  </conditionalFormatting>
  <conditionalFormatting sqref="F39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F45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F49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F56:F57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F58:F59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F62:F64">
    <cfRule type="iconSet" priority="190">
      <iconSet iconSet="3Symbols2" showValue="0">
        <cfvo type="percent" val="0"/>
        <cfvo type="num" val="0"/>
        <cfvo type="num" val="1"/>
      </iconSet>
    </cfRule>
  </conditionalFormatting>
  <conditionalFormatting sqref="F62:L64 F82:L82 F55:L57 G58:L58 F67:L70 F73:L77">
    <cfRule type="iconSet" priority="137">
      <iconSet iconSet="3Symbols2" showValue="0">
        <cfvo type="percent" val="0"/>
        <cfvo type="num" val="0"/>
        <cfvo type="num" val="1"/>
      </iconSet>
    </cfRule>
  </conditionalFormatting>
  <conditionalFormatting sqref="G59:L59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131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130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129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128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127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H20:H28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113">
      <iconSet iconSet="3Symbols2" showValue="0">
        <cfvo type="percent" val="0"/>
        <cfvo type="num" val="0"/>
        <cfvo type="num" val="1"/>
      </iconSet>
    </cfRule>
  </conditionalFormatting>
  <conditionalFormatting sqref="H23">
    <cfRule type="iconSet" priority="112">
      <iconSet iconSet="3Symbols2" showValue="0">
        <cfvo type="percent" val="0"/>
        <cfvo type="num" val="0"/>
        <cfvo type="num" val="1"/>
      </iconSet>
    </cfRule>
  </conditionalFormatting>
  <conditionalFormatting sqref="H24">
    <cfRule type="iconSet" priority="111">
      <iconSet iconSet="3Symbols2" showValue="0">
        <cfvo type="percent" val="0"/>
        <cfvo type="num" val="0"/>
        <cfvo type="num" val="1"/>
      </iconSet>
    </cfRule>
  </conditionalFormatting>
  <conditionalFormatting sqref="H26:H27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H31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H32:H38 H40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H34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H35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H36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H38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H39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43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H44:H52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H46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H47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H48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H50:H51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H55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H56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H58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126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125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124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123">
      <iconSet iconSet="3Symbols2" showValue="0">
        <cfvo type="percent" val="0"/>
        <cfvo type="num" val="0"/>
        <cfvo type="num" val="1"/>
      </iconSet>
    </cfRule>
  </conditionalFormatting>
  <conditionalFormatting sqref="J14">
    <cfRule type="iconSet" priority="122">
      <iconSet iconSet="3Symbols2" showValue="0">
        <cfvo type="percent" val="0"/>
        <cfvo type="num" val="0"/>
        <cfvo type="num" val="1"/>
      </iconSet>
    </cfRule>
  </conditionalFormatting>
  <conditionalFormatting sqref="J19">
    <cfRule type="iconSet" priority="106">
      <iconSet iconSet="3Symbols2" showValue="0">
        <cfvo type="percent" val="0"/>
        <cfvo type="num" val="0"/>
        <cfvo type="num" val="1"/>
      </iconSet>
    </cfRule>
  </conditionalFormatting>
  <conditionalFormatting sqref="J20:J21 J23:J24 J28">
    <cfRule type="expression" dxfId="2" priority="107">
      <formula>OR(CELL("col")=COLUMN(),CELL("rom")=ROW())</formula>
    </cfRule>
  </conditionalFormatting>
  <conditionalFormatting sqref="J20:J28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J22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J25:J27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J31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J32:J33 J35:J36 J40">
    <cfRule type="expression" dxfId="1" priority="17">
      <formula>OR(CELL("col")=COLUMN(),CELL("rom")=ROW())</formula>
    </cfRule>
  </conditionalFormatting>
  <conditionalFormatting sqref="J32:J38 J40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J34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J37:J38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J39">
    <cfRule type="iconSet" priority="7">
      <iconSet iconSet="3Symbols2" showValue="0">
        <cfvo type="percent" val="0"/>
        <cfvo type="num" val="0"/>
        <cfvo type="num" val="1"/>
      </iconSet>
    </cfRule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J43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J44:J45 J47:J48 J52">
    <cfRule type="expression" dxfId="0" priority="41">
      <formula>OR(CELL("col")=COLUMN(),CELL("rom")=ROW())</formula>
    </cfRule>
  </conditionalFormatting>
  <conditionalFormatting sqref="J44:J52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J46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J49:J51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J56:J59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J62:J64">
    <cfRule type="iconSet" priority="196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121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120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119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117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08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scale="57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6" id="{B3C3A012-26A0-4C85-9039-C56C020507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F19:L28</xm:sqref>
        </x14:conditionalFormatting>
        <x14:conditionalFormatting xmlns:xm="http://schemas.microsoft.com/office/excel/2006/main">
          <x14:cfRule type="iconSet" priority="24" id="{318ADEE8-DC68-41F9-A979-3CF90922D0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F31:L38 F40:L40 G39 I39 K39:L39</xm:sqref>
        </x14:conditionalFormatting>
        <x14:conditionalFormatting xmlns:xm="http://schemas.microsoft.com/office/excel/2006/main">
          <x14:cfRule type="iconSet" priority="48" id="{DBC038C2-B316-404E-8392-99F8267A6A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F43:L44 F46:L48 G45:L45 F50:L52 G49:L49</xm:sqref>
        </x14:conditionalFormatting>
        <x14:conditionalFormatting xmlns:xm="http://schemas.microsoft.com/office/excel/2006/main">
          <x14:cfRule type="iconSet" priority="9" id="{21E5FFA7-0504-4F3D-AE66-CAD67DBE44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J39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3.15"/>
  <cols>
    <col min="2" max="2" width="37.7109375" bestFit="1" customWidth="1"/>
    <col min="3" max="3" width="24.5703125" bestFit="1" customWidth="1"/>
    <col min="4" max="4" width="20.28515625" bestFit="1" customWidth="1"/>
    <col min="5" max="5" width="11.42578125" bestFit="1" customWidth="1"/>
    <col min="6" max="6" width="5.710937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28515625" bestFit="1" customWidth="1"/>
    <col min="27" max="28" width="4.28515625" bestFit="1" customWidth="1"/>
    <col min="29" max="29" width="7.28515625" bestFit="1" customWidth="1"/>
    <col min="30" max="30" width="11.28515625" bestFit="1" customWidth="1"/>
  </cols>
  <sheetData>
    <row r="2" spans="2:20">
      <c r="K2" s="778" t="s">
        <v>1146</v>
      </c>
      <c r="L2" s="778" t="s">
        <v>1147</v>
      </c>
      <c r="M2" s="778"/>
      <c r="N2" s="778"/>
    </row>
    <row r="3" spans="2:20">
      <c r="B3" s="657" t="s">
        <v>1148</v>
      </c>
      <c r="C3" s="776" t="s">
        <v>1149</v>
      </c>
      <c r="D3" t="s">
        <v>1150</v>
      </c>
      <c r="K3" s="778"/>
      <c r="L3" s="778" t="s">
        <v>1151</v>
      </c>
      <c r="M3" s="778" t="s">
        <v>1152</v>
      </c>
      <c r="N3" s="778"/>
      <c r="S3" t="s">
        <v>1153</v>
      </c>
      <c r="T3" t="s">
        <v>1154</v>
      </c>
    </row>
    <row r="4" spans="2:20">
      <c r="B4" s="658" t="s">
        <v>47</v>
      </c>
      <c r="C4">
        <v>0.349304</v>
      </c>
      <c r="D4">
        <v>26</v>
      </c>
      <c r="K4" s="779" t="s">
        <v>1155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>
      <c r="B5" s="774" t="s">
        <v>159</v>
      </c>
      <c r="D5">
        <v>25</v>
      </c>
      <c r="K5" s="779" t="s">
        <v>1156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>
      <c r="B6" s="777" t="s">
        <v>163</v>
      </c>
      <c r="D6">
        <v>6</v>
      </c>
      <c r="K6" s="779" t="s">
        <v>1157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973</v>
      </c>
      <c r="D7">
        <v>4</v>
      </c>
      <c r="K7" s="780" t="s">
        <v>1158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165</v>
      </c>
      <c r="D8">
        <v>1</v>
      </c>
      <c r="K8" s="780" t="s">
        <v>1159</v>
      </c>
      <c r="L8" s="783">
        <v>86</v>
      </c>
      <c r="M8" s="784">
        <f>2%*T8</f>
        <v>0.55859999999999999</v>
      </c>
      <c r="N8" s="778"/>
      <c r="S8" t="s">
        <v>953</v>
      </c>
      <c r="T8">
        <v>27.93</v>
      </c>
    </row>
    <row r="9" spans="2:20">
      <c r="B9" s="777" t="s">
        <v>162</v>
      </c>
      <c r="D9">
        <v>8</v>
      </c>
      <c r="K9" s="780" t="s">
        <v>1160</v>
      </c>
      <c r="L9" s="783">
        <v>6</v>
      </c>
      <c r="M9" s="783">
        <v>0</v>
      </c>
      <c r="S9" t="s">
        <v>953</v>
      </c>
      <c r="T9">
        <v>0</v>
      </c>
    </row>
    <row r="10" spans="2:20">
      <c r="B10" s="777" t="s">
        <v>164</v>
      </c>
      <c r="D10">
        <v>6</v>
      </c>
    </row>
    <row r="11" spans="2:20">
      <c r="B11" s="774" t="s">
        <v>617</v>
      </c>
      <c r="C11">
        <v>0.349304</v>
      </c>
      <c r="D11">
        <v>1</v>
      </c>
    </row>
    <row r="12" spans="2:20">
      <c r="B12" s="777" t="s">
        <v>1161</v>
      </c>
      <c r="C12">
        <v>0.349304</v>
      </c>
      <c r="D12">
        <v>1</v>
      </c>
    </row>
    <row r="13" spans="2:20">
      <c r="B13" s="658" t="s">
        <v>1162</v>
      </c>
      <c r="C13" s="775">
        <v>50.335277761675314</v>
      </c>
      <c r="D13">
        <v>40</v>
      </c>
    </row>
    <row r="14" spans="2:20">
      <c r="B14" s="774" t="s">
        <v>159</v>
      </c>
      <c r="C14" s="775">
        <v>50.335277761675314</v>
      </c>
      <c r="D14">
        <v>40</v>
      </c>
    </row>
    <row r="15" spans="2:20">
      <c r="B15" s="777" t="s">
        <v>899</v>
      </c>
      <c r="C15" s="775">
        <v>1.9100000000000001</v>
      </c>
      <c r="D15">
        <v>11</v>
      </c>
    </row>
    <row r="16" spans="2:20">
      <c r="B16" s="777" t="s">
        <v>946</v>
      </c>
      <c r="C16" s="775">
        <v>0.30105801900000001</v>
      </c>
      <c r="D16">
        <v>3</v>
      </c>
    </row>
    <row r="17" spans="2:4">
      <c r="B17" s="777" t="s">
        <v>966</v>
      </c>
      <c r="C17" s="775">
        <v>8.7813947704253064</v>
      </c>
      <c r="D17">
        <v>3</v>
      </c>
    </row>
    <row r="18" spans="2:4">
      <c r="B18" s="777" t="s">
        <v>225</v>
      </c>
      <c r="C18" s="775">
        <v>0.189</v>
      </c>
      <c r="D18">
        <v>3</v>
      </c>
    </row>
    <row r="19" spans="2:4">
      <c r="B19" s="777" t="s">
        <v>229</v>
      </c>
      <c r="C19" s="775">
        <v>0.77993999999999997</v>
      </c>
      <c r="D19">
        <v>4</v>
      </c>
    </row>
    <row r="20" spans="2:4">
      <c r="B20" s="777" t="s">
        <v>498</v>
      </c>
      <c r="C20" s="775">
        <v>0.43996002400000001</v>
      </c>
      <c r="D20">
        <v>2</v>
      </c>
    </row>
    <row r="21" spans="2:4">
      <c r="B21" s="777" t="s">
        <v>901</v>
      </c>
      <c r="C21" s="775">
        <v>0.39</v>
      </c>
      <c r="D21">
        <v>2</v>
      </c>
    </row>
    <row r="22" spans="2:4">
      <c r="B22" s="777" t="s">
        <v>902</v>
      </c>
      <c r="C22" s="775">
        <v>1.18</v>
      </c>
      <c r="D22">
        <v>3</v>
      </c>
    </row>
    <row r="23" spans="2:4">
      <c r="B23" s="777" t="s">
        <v>1163</v>
      </c>
      <c r="C23" s="775">
        <v>20.561850000000003</v>
      </c>
      <c r="D23">
        <v>6</v>
      </c>
    </row>
    <row r="24" spans="2:4">
      <c r="B24" s="777" t="s">
        <v>236</v>
      </c>
      <c r="C24" s="775">
        <v>15.802074948250002</v>
      </c>
      <c r="D24">
        <v>3</v>
      </c>
    </row>
    <row r="25" spans="2:4">
      <c r="B25" s="658" t="s">
        <v>437</v>
      </c>
      <c r="C25" s="775">
        <v>39.562446115799972</v>
      </c>
      <c r="D25">
        <v>156</v>
      </c>
    </row>
    <row r="26" spans="2:4">
      <c r="B26" s="774" t="s">
        <v>860</v>
      </c>
      <c r="C26" s="775">
        <v>5.9085529076757348</v>
      </c>
      <c r="D26">
        <v>56</v>
      </c>
    </row>
    <row r="27" spans="2:4">
      <c r="B27" s="777" t="s">
        <v>891</v>
      </c>
      <c r="C27" s="775">
        <v>0.14067281118400704</v>
      </c>
      <c r="D27">
        <v>3</v>
      </c>
    </row>
    <row r="28" spans="2:4">
      <c r="B28" s="777" t="s">
        <v>989</v>
      </c>
      <c r="C28" s="775">
        <v>0.79096480000000002</v>
      </c>
      <c r="D28">
        <v>3</v>
      </c>
    </row>
    <row r="29" spans="2:4">
      <c r="B29" s="777" t="s">
        <v>975</v>
      </c>
      <c r="C29" s="775">
        <v>0.28215000000000001</v>
      </c>
      <c r="D29">
        <v>2</v>
      </c>
    </row>
    <row r="30" spans="2:4">
      <c r="B30" s="777" t="s">
        <v>497</v>
      </c>
      <c r="C30" s="775">
        <v>0.05</v>
      </c>
      <c r="D30">
        <v>1</v>
      </c>
    </row>
    <row r="31" spans="2:4">
      <c r="B31" s="777" t="s">
        <v>918</v>
      </c>
      <c r="C31" s="775">
        <v>1.13E-4</v>
      </c>
      <c r="D31">
        <v>1</v>
      </c>
    </row>
    <row r="32" spans="2:4">
      <c r="B32" s="777" t="s">
        <v>897</v>
      </c>
    </row>
    <row r="33" spans="2:4">
      <c r="B33" s="777" t="s">
        <v>985</v>
      </c>
      <c r="C33" s="775"/>
      <c r="D33">
        <v>2</v>
      </c>
    </row>
    <row r="34" spans="2:4">
      <c r="B34" s="777" t="s">
        <v>502</v>
      </c>
      <c r="C34" s="775">
        <v>1.5064544879999999E-2</v>
      </c>
      <c r="D34">
        <v>1</v>
      </c>
    </row>
    <row r="35" spans="2:4">
      <c r="B35" s="777" t="s">
        <v>225</v>
      </c>
      <c r="C35" s="775">
        <v>1.2E-2</v>
      </c>
      <c r="D35">
        <v>2</v>
      </c>
    </row>
    <row r="36" spans="2:4">
      <c r="B36" s="777" t="s">
        <v>229</v>
      </c>
      <c r="C36" s="775">
        <v>6.9637500000000005E-2</v>
      </c>
      <c r="D36">
        <v>2</v>
      </c>
    </row>
    <row r="37" spans="2:4">
      <c r="B37" s="777" t="s">
        <v>973</v>
      </c>
      <c r="C37" s="775">
        <v>8.9100000000000013E-2</v>
      </c>
      <c r="D37">
        <v>3</v>
      </c>
    </row>
    <row r="38" spans="2:4">
      <c r="B38" s="777" t="s">
        <v>498</v>
      </c>
      <c r="C38" s="775">
        <v>1.8855429600000001E-2</v>
      </c>
      <c r="D38">
        <v>1</v>
      </c>
    </row>
    <row r="39" spans="2:4">
      <c r="B39" s="777" t="s">
        <v>988</v>
      </c>
      <c r="C39" s="775">
        <v>9.3954239999999994E-3</v>
      </c>
      <c r="D39">
        <v>2</v>
      </c>
    </row>
    <row r="40" spans="2:4">
      <c r="B40" s="777" t="s">
        <v>902</v>
      </c>
      <c r="C40" s="775">
        <v>7.1279999999999996E-2</v>
      </c>
      <c r="D40">
        <v>2</v>
      </c>
    </row>
    <row r="41" spans="2:4">
      <c r="B41" s="777" t="s">
        <v>894</v>
      </c>
      <c r="C41" s="775">
        <v>0.04</v>
      </c>
      <c r="D41">
        <v>1</v>
      </c>
    </row>
    <row r="42" spans="2:4">
      <c r="B42" s="777" t="s">
        <v>469</v>
      </c>
      <c r="C42" s="775">
        <v>0.20895962000000001</v>
      </c>
      <c r="D42">
        <v>4</v>
      </c>
    </row>
    <row r="43" spans="2:4">
      <c r="B43" s="777" t="s">
        <v>977</v>
      </c>
      <c r="C43" s="775">
        <v>0.24947971628407908</v>
      </c>
      <c r="D43">
        <v>5</v>
      </c>
    </row>
    <row r="44" spans="2:4">
      <c r="B44" s="777" t="s">
        <v>1164</v>
      </c>
      <c r="C44" s="775">
        <v>0.24316884899999996</v>
      </c>
      <c r="D44">
        <v>2</v>
      </c>
    </row>
    <row r="45" spans="2:4">
      <c r="B45" s="777" t="s">
        <v>1165</v>
      </c>
      <c r="C45" s="775">
        <v>0.72950654699999995</v>
      </c>
      <c r="D45">
        <v>2</v>
      </c>
    </row>
    <row r="46" spans="2:4">
      <c r="B46" s="777" t="s">
        <v>1163</v>
      </c>
      <c r="C46" s="775">
        <v>1.1029326000000002</v>
      </c>
      <c r="D46">
        <v>3</v>
      </c>
    </row>
    <row r="47" spans="2:4">
      <c r="B47" s="777" t="s">
        <v>964</v>
      </c>
      <c r="C47" s="775">
        <v>3.4480719999999999E-2</v>
      </c>
      <c r="D47">
        <v>2</v>
      </c>
    </row>
    <row r="48" spans="2:4">
      <c r="B48" s="777" t="s">
        <v>236</v>
      </c>
      <c r="C48" s="775">
        <v>1.6715654198767502</v>
      </c>
      <c r="D48">
        <v>2</v>
      </c>
    </row>
    <row r="49" spans="2:4">
      <c r="B49" s="777" t="s">
        <v>979</v>
      </c>
      <c r="C49" s="775">
        <v>5.7016733640155991E-2</v>
      </c>
      <c r="D49">
        <v>7</v>
      </c>
    </row>
    <row r="50" spans="2:4">
      <c r="B50" s="777" t="s">
        <v>982</v>
      </c>
      <c r="C50" s="775">
        <v>2.2209192210743994E-2</v>
      </c>
      <c r="D50">
        <v>1</v>
      </c>
    </row>
    <row r="51" spans="2:4">
      <c r="B51" s="777" t="s">
        <v>990</v>
      </c>
      <c r="D51">
        <v>2</v>
      </c>
    </row>
    <row r="52" spans="2:4">
      <c r="B52" s="774" t="s">
        <v>1166</v>
      </c>
      <c r="C52" s="775">
        <v>22.676495080017759</v>
      </c>
      <c r="D52">
        <v>18</v>
      </c>
    </row>
    <row r="53" spans="2:4">
      <c r="B53" s="777" t="s">
        <v>975</v>
      </c>
      <c r="C53" s="775">
        <v>3.6650000000000005</v>
      </c>
      <c r="D53">
        <v>3</v>
      </c>
    </row>
    <row r="54" spans="2:4">
      <c r="B54" s="777" t="s">
        <v>985</v>
      </c>
      <c r="C54" s="775"/>
      <c r="D54">
        <v>3</v>
      </c>
    </row>
    <row r="55" spans="2:4">
      <c r="B55" s="777" t="s">
        <v>977</v>
      </c>
      <c r="C55" s="775">
        <v>2.184224765452226</v>
      </c>
      <c r="D55">
        <v>3</v>
      </c>
    </row>
    <row r="56" spans="2:4">
      <c r="B56" s="777" t="s">
        <v>236</v>
      </c>
      <c r="C56" s="775">
        <v>15.802074948250002</v>
      </c>
      <c r="D56">
        <v>3</v>
      </c>
    </row>
    <row r="57" spans="2:4">
      <c r="B57" s="777" t="s">
        <v>979</v>
      </c>
      <c r="C57" s="775">
        <v>0.52044099788952736</v>
      </c>
      <c r="D57">
        <v>4</v>
      </c>
    </row>
    <row r="58" spans="2:4">
      <c r="B58" s="777" t="s">
        <v>982</v>
      </c>
      <c r="C58" s="775">
        <v>0.50475436842599997</v>
      </c>
      <c r="D58">
        <v>2</v>
      </c>
    </row>
    <row r="59" spans="2:4">
      <c r="B59" s="774" t="s">
        <v>441</v>
      </c>
      <c r="C59" s="775">
        <v>10.97739812810644</v>
      </c>
      <c r="D59">
        <v>82</v>
      </c>
    </row>
    <row r="60" spans="2:4">
      <c r="B60" s="777" t="s">
        <v>891</v>
      </c>
      <c r="C60" s="775">
        <v>0.29138321605729173</v>
      </c>
      <c r="D60">
        <v>7</v>
      </c>
    </row>
    <row r="61" spans="2:4">
      <c r="B61" s="777" t="s">
        <v>893</v>
      </c>
      <c r="C61" s="775">
        <v>0.16750548359999998</v>
      </c>
      <c r="D61">
        <v>2</v>
      </c>
    </row>
    <row r="62" spans="2:4">
      <c r="B62" s="777" t="s">
        <v>989</v>
      </c>
      <c r="C62" s="775">
        <v>1.0047028</v>
      </c>
      <c r="D62">
        <v>3</v>
      </c>
    </row>
    <row r="63" spans="2:4">
      <c r="B63" s="777" t="s">
        <v>252</v>
      </c>
      <c r="C63" s="775">
        <v>3.6853334887931043E-2</v>
      </c>
      <c r="D63">
        <v>1</v>
      </c>
    </row>
    <row r="64" spans="2:4">
      <c r="B64" s="777" t="s">
        <v>975</v>
      </c>
      <c r="C64" s="775">
        <v>0.30266999999999999</v>
      </c>
      <c r="D64">
        <v>2</v>
      </c>
    </row>
    <row r="65" spans="2:4">
      <c r="B65" s="777" t="s">
        <v>497</v>
      </c>
      <c r="C65" s="775">
        <v>0.1</v>
      </c>
      <c r="D65">
        <v>2</v>
      </c>
    </row>
    <row r="66" spans="2:4">
      <c r="B66" s="777" t="s">
        <v>899</v>
      </c>
      <c r="C66" s="775">
        <v>0.02</v>
      </c>
      <c r="D66">
        <v>1</v>
      </c>
    </row>
    <row r="67" spans="2:4">
      <c r="B67" s="777" t="s">
        <v>946</v>
      </c>
      <c r="C67" s="775">
        <v>6.7122779915E-2</v>
      </c>
      <c r="D67">
        <v>3</v>
      </c>
    </row>
    <row r="68" spans="2:4">
      <c r="B68" s="777" t="s">
        <v>966</v>
      </c>
      <c r="C68" s="775">
        <v>1.2952557286377333</v>
      </c>
      <c r="D68">
        <v>3</v>
      </c>
    </row>
    <row r="69" spans="2:4">
      <c r="B69" s="777" t="s">
        <v>985</v>
      </c>
      <c r="C69" s="775"/>
      <c r="D69">
        <v>2</v>
      </c>
    </row>
    <row r="70" spans="2:4">
      <c r="B70" s="777" t="s">
        <v>502</v>
      </c>
      <c r="C70" s="775">
        <v>1.7955720160000004E-2</v>
      </c>
      <c r="D70">
        <v>1</v>
      </c>
    </row>
    <row r="71" spans="2:4">
      <c r="B71" s="777" t="s">
        <v>225</v>
      </c>
      <c r="C71" s="775">
        <v>2.9700000000000001E-2</v>
      </c>
      <c r="D71">
        <v>3</v>
      </c>
    </row>
    <row r="72" spans="2:4">
      <c r="B72" s="777" t="s">
        <v>229</v>
      </c>
      <c r="C72" s="775">
        <v>0.1253475</v>
      </c>
      <c r="D72">
        <v>4</v>
      </c>
    </row>
    <row r="73" spans="2:4">
      <c r="B73" s="777" t="s">
        <v>973</v>
      </c>
      <c r="C73" s="775">
        <v>0.1593</v>
      </c>
      <c r="D73">
        <v>3</v>
      </c>
    </row>
    <row r="74" spans="2:4">
      <c r="B74" s="777" t="s">
        <v>498</v>
      </c>
      <c r="C74" s="775">
        <v>2.2626515519999998E-2</v>
      </c>
      <c r="D74">
        <v>1</v>
      </c>
    </row>
    <row r="75" spans="2:4">
      <c r="B75" s="777" t="s">
        <v>988</v>
      </c>
      <c r="C75" s="775">
        <v>1.1274508799999999E-2</v>
      </c>
      <c r="D75">
        <v>2</v>
      </c>
    </row>
    <row r="76" spans="2:4">
      <c r="B76" s="777" t="s">
        <v>901</v>
      </c>
      <c r="C76" s="775">
        <v>0.04</v>
      </c>
      <c r="D76">
        <v>1</v>
      </c>
    </row>
    <row r="77" spans="2:4">
      <c r="B77" s="777" t="s">
        <v>902</v>
      </c>
      <c r="C77" s="775">
        <v>9.5579999999999998E-2</v>
      </c>
      <c r="D77">
        <v>2</v>
      </c>
    </row>
    <row r="78" spans="2:4">
      <c r="B78" s="777" t="s">
        <v>894</v>
      </c>
      <c r="C78" s="775">
        <v>0.36109150000000001</v>
      </c>
      <c r="D78">
        <v>2</v>
      </c>
    </row>
    <row r="79" spans="2:4">
      <c r="B79" s="777" t="s">
        <v>469</v>
      </c>
      <c r="C79" s="775">
        <v>0.65547999999999995</v>
      </c>
      <c r="D79">
        <v>9</v>
      </c>
    </row>
    <row r="80" spans="2:4">
      <c r="B80" s="777" t="s">
        <v>903</v>
      </c>
      <c r="C80" s="775">
        <v>2.1397857699999998E-2</v>
      </c>
      <c r="D80">
        <v>2</v>
      </c>
    </row>
    <row r="81" spans="2:4">
      <c r="B81" s="777" t="s">
        <v>977</v>
      </c>
      <c r="C81" s="775">
        <v>0.33452961956274241</v>
      </c>
      <c r="D81">
        <v>4</v>
      </c>
    </row>
    <row r="82" spans="2:4">
      <c r="B82" s="777" t="s">
        <v>1164</v>
      </c>
      <c r="C82" s="775">
        <v>0.43475642700000006</v>
      </c>
      <c r="D82">
        <v>3</v>
      </c>
    </row>
    <row r="83" spans="2:4">
      <c r="B83" s="777" t="s">
        <v>1165</v>
      </c>
      <c r="C83" s="775">
        <v>1.3042692810000003</v>
      </c>
      <c r="D83">
        <v>3</v>
      </c>
    </row>
    <row r="84" spans="2:4">
      <c r="B84" s="777" t="s">
        <v>1163</v>
      </c>
      <c r="C84" s="775">
        <v>1.6902084000000004</v>
      </c>
      <c r="D84">
        <v>4</v>
      </c>
    </row>
    <row r="85" spans="2:4">
      <c r="B85" s="777" t="s">
        <v>964</v>
      </c>
      <c r="C85" s="775">
        <v>3.9179040000000005E-2</v>
      </c>
      <c r="D85">
        <v>2</v>
      </c>
    </row>
    <row r="86" spans="2:4">
      <c r="B86" s="777" t="s">
        <v>236</v>
      </c>
      <c r="C86" s="775">
        <v>2.2417648438935003</v>
      </c>
      <c r="D86">
        <v>2</v>
      </c>
    </row>
    <row r="87" spans="2:4">
      <c r="B87" s="777" t="s">
        <v>979</v>
      </c>
      <c r="C87" s="775">
        <v>8.7589899547485806E-2</v>
      </c>
      <c r="D87">
        <v>5</v>
      </c>
    </row>
    <row r="88" spans="2:4">
      <c r="B88" s="777" t="s">
        <v>982</v>
      </c>
      <c r="C88" s="775">
        <v>1.9853671824755996E-2</v>
      </c>
      <c r="D88">
        <v>1</v>
      </c>
    </row>
    <row r="89" spans="2:4">
      <c r="B89" s="777" t="s">
        <v>990</v>
      </c>
      <c r="D89">
        <v>2</v>
      </c>
    </row>
    <row r="90" spans="2:4">
      <c r="B90" s="658" t="s">
        <v>1167</v>
      </c>
      <c r="C90" s="775">
        <v>1.4242604669999996</v>
      </c>
      <c r="D90">
        <v>20</v>
      </c>
    </row>
    <row r="91" spans="2:4">
      <c r="B91" s="774" t="s">
        <v>159</v>
      </c>
      <c r="C91" s="775">
        <v>1.1731323419999999</v>
      </c>
      <c r="D91">
        <v>12</v>
      </c>
    </row>
    <row r="92" spans="2:4">
      <c r="B92" s="777" t="s">
        <v>918</v>
      </c>
      <c r="C92" s="775">
        <v>4.0000000000000001E-3</v>
      </c>
      <c r="D92">
        <v>4</v>
      </c>
    </row>
    <row r="93" spans="2:4">
      <c r="B93" s="777" t="s">
        <v>612</v>
      </c>
      <c r="C93" s="775">
        <v>1.0156737499999999</v>
      </c>
      <c r="D93">
        <v>5</v>
      </c>
    </row>
    <row r="94" spans="2:4">
      <c r="B94" s="777" t="s">
        <v>988</v>
      </c>
      <c r="C94" s="775">
        <v>0.153458592</v>
      </c>
      <c r="D94">
        <v>3</v>
      </c>
    </row>
    <row r="95" spans="2:4">
      <c r="B95" s="774" t="s">
        <v>860</v>
      </c>
      <c r="C95" s="775">
        <v>4.7993374999999998E-2</v>
      </c>
      <c r="D95">
        <v>3</v>
      </c>
    </row>
    <row r="96" spans="2:4">
      <c r="B96" s="777" t="s">
        <v>612</v>
      </c>
      <c r="C96" s="775">
        <v>4.7993374999999998E-2</v>
      </c>
      <c r="D96">
        <v>3</v>
      </c>
    </row>
    <row r="97" spans="2:4">
      <c r="B97" s="774" t="s">
        <v>441</v>
      </c>
      <c r="C97" s="775">
        <v>6.0270749999999998E-2</v>
      </c>
      <c r="D97">
        <v>3</v>
      </c>
    </row>
    <row r="98" spans="2:4">
      <c r="B98" s="777" t="s">
        <v>612</v>
      </c>
      <c r="C98" s="775">
        <v>6.0270749999999998E-2</v>
      </c>
      <c r="D98">
        <v>3</v>
      </c>
    </row>
    <row r="99" spans="2:4">
      <c r="B99" s="774" t="s">
        <v>518</v>
      </c>
      <c r="C99" s="775">
        <v>0.14286399999999999</v>
      </c>
      <c r="D99">
        <v>2</v>
      </c>
    </row>
    <row r="100" spans="2:4">
      <c r="B100" s="777" t="s">
        <v>612</v>
      </c>
      <c r="C100" s="775">
        <v>0.14286399999999999</v>
      </c>
      <c r="D100">
        <v>2</v>
      </c>
    </row>
    <row r="101" spans="2:4">
      <c r="B101" s="658" t="s">
        <v>664</v>
      </c>
      <c r="C101" s="775">
        <v>40.849486429549593</v>
      </c>
      <c r="D101">
        <v>31</v>
      </c>
    </row>
    <row r="102" spans="2:4">
      <c r="B102" s="774" t="s">
        <v>159</v>
      </c>
      <c r="C102" s="775">
        <v>37.516986429549604</v>
      </c>
      <c r="D102">
        <v>24</v>
      </c>
    </row>
    <row r="103" spans="2:4">
      <c r="B103" s="777" t="s">
        <v>893</v>
      </c>
      <c r="C103" s="775">
        <v>0.3642147722995997</v>
      </c>
      <c r="D103">
        <v>3</v>
      </c>
    </row>
    <row r="104" spans="2:4">
      <c r="B104" s="777" t="s">
        <v>989</v>
      </c>
      <c r="C104" s="775">
        <v>8.2774750000000008</v>
      </c>
      <c r="D104">
        <v>3</v>
      </c>
    </row>
    <row r="105" spans="2:4">
      <c r="B105" s="777" t="s">
        <v>497</v>
      </c>
      <c r="C105" s="775">
        <v>1.1499999999999999</v>
      </c>
      <c r="D105">
        <v>2</v>
      </c>
    </row>
    <row r="106" spans="2:4">
      <c r="B106" s="777" t="s">
        <v>985</v>
      </c>
      <c r="C106" s="775"/>
      <c r="D106">
        <v>3</v>
      </c>
    </row>
    <row r="107" spans="2:4">
      <c r="B107" s="777" t="s">
        <v>1164</v>
      </c>
      <c r="C107" s="775">
        <v>5.5265647500000004</v>
      </c>
      <c r="D107">
        <v>5</v>
      </c>
    </row>
    <row r="108" spans="2:4">
      <c r="B108" s="777" t="s">
        <v>1165</v>
      </c>
      <c r="C108" s="775">
        <v>16.579694250000003</v>
      </c>
      <c r="D108">
        <v>5</v>
      </c>
    </row>
    <row r="109" spans="2:4">
      <c r="B109" s="777" t="s">
        <v>236</v>
      </c>
      <c r="C109" s="775">
        <v>5.6190376572499998</v>
      </c>
      <c r="D109">
        <v>3</v>
      </c>
    </row>
    <row r="110" spans="2:4">
      <c r="B110" s="774" t="s">
        <v>1166</v>
      </c>
      <c r="C110" s="775">
        <v>3.3325</v>
      </c>
      <c r="D110">
        <v>7</v>
      </c>
    </row>
    <row r="111" spans="2:4">
      <c r="B111" s="777" t="s">
        <v>973</v>
      </c>
      <c r="C111" s="775">
        <v>3.3325</v>
      </c>
      <c r="D111">
        <v>7</v>
      </c>
    </row>
    <row r="112" spans="2:4">
      <c r="B112" s="658" t="s">
        <v>1007</v>
      </c>
      <c r="C112" s="775">
        <v>15.932359073197466</v>
      </c>
      <c r="D112">
        <v>49</v>
      </c>
    </row>
    <row r="113" spans="2:4">
      <c r="B113" s="774" t="s">
        <v>159</v>
      </c>
      <c r="C113" s="775">
        <v>15.932359073197466</v>
      </c>
      <c r="D113">
        <v>49</v>
      </c>
    </row>
    <row r="114" spans="2:4">
      <c r="B114" s="777" t="s">
        <v>989</v>
      </c>
      <c r="C114" s="775">
        <v>0.25712500000000005</v>
      </c>
      <c r="D114">
        <v>3</v>
      </c>
    </row>
    <row r="115" spans="2:4">
      <c r="B115" s="777" t="s">
        <v>984</v>
      </c>
      <c r="C115" s="775">
        <v>1.6141000000000003</v>
      </c>
      <c r="D115">
        <v>1</v>
      </c>
    </row>
    <row r="116" spans="2:4">
      <c r="B116" s="777" t="s">
        <v>252</v>
      </c>
      <c r="C116" s="775">
        <v>5.7305795176560004</v>
      </c>
      <c r="D116">
        <v>11</v>
      </c>
    </row>
    <row r="117" spans="2:4">
      <c r="B117" s="777" t="s">
        <v>975</v>
      </c>
      <c r="C117" s="775">
        <v>0.30500000000000005</v>
      </c>
      <c r="D117">
        <v>1</v>
      </c>
    </row>
    <row r="118" spans="2:4">
      <c r="B118" s="777" t="s">
        <v>502</v>
      </c>
      <c r="C118" s="775">
        <v>0.38041780000000003</v>
      </c>
      <c r="D118">
        <v>2</v>
      </c>
    </row>
    <row r="119" spans="2:4">
      <c r="B119" s="777" t="s">
        <v>973</v>
      </c>
      <c r="C119" s="775">
        <v>0.28500000000000003</v>
      </c>
      <c r="D119">
        <v>3</v>
      </c>
    </row>
    <row r="120" spans="2:4">
      <c r="B120" s="777" t="s">
        <v>902</v>
      </c>
      <c r="C120" s="775">
        <v>0.16999999999999998</v>
      </c>
      <c r="D120">
        <v>2</v>
      </c>
    </row>
    <row r="121" spans="2:4">
      <c r="B121" s="777" t="s">
        <v>903</v>
      </c>
      <c r="C121" s="775">
        <v>0.72823846611302523</v>
      </c>
      <c r="D121">
        <v>7</v>
      </c>
    </row>
    <row r="122" spans="2:4">
      <c r="B122" s="777" t="s">
        <v>977</v>
      </c>
      <c r="C122" s="775">
        <v>2.8349967759554442</v>
      </c>
      <c r="D122">
        <v>4</v>
      </c>
    </row>
    <row r="123" spans="2:4">
      <c r="B123" s="777" t="s">
        <v>1163</v>
      </c>
      <c r="C123" s="775">
        <v>0.92385000000000017</v>
      </c>
      <c r="D123">
        <v>3</v>
      </c>
    </row>
    <row r="124" spans="2:4">
      <c r="B124" s="777" t="s">
        <v>964</v>
      </c>
      <c r="C124" s="775">
        <v>0.61820000000000008</v>
      </c>
      <c r="D124">
        <v>3</v>
      </c>
    </row>
    <row r="125" spans="2:4">
      <c r="B125" s="777" t="s">
        <v>162</v>
      </c>
      <c r="C125" s="775">
        <v>1.547754763030085</v>
      </c>
      <c r="D125">
        <v>4</v>
      </c>
    </row>
    <row r="126" spans="2:4">
      <c r="B126" s="777" t="s">
        <v>979</v>
      </c>
      <c r="C126" s="775">
        <v>0.53709675044290905</v>
      </c>
      <c r="D126">
        <v>2</v>
      </c>
    </row>
    <row r="127" spans="2:4">
      <c r="B127" s="777" t="s">
        <v>990</v>
      </c>
      <c r="D127">
        <v>3</v>
      </c>
    </row>
    <row r="128" spans="2:4">
      <c r="B128" s="658" t="s">
        <v>56</v>
      </c>
      <c r="C128" s="775">
        <v>29.565205943261784</v>
      </c>
      <c r="D128">
        <v>125</v>
      </c>
    </row>
    <row r="129" spans="2:4">
      <c r="B129" s="774" t="s">
        <v>518</v>
      </c>
      <c r="C129" s="775">
        <v>29.565205943261784</v>
      </c>
      <c r="D129">
        <v>125</v>
      </c>
    </row>
    <row r="130" spans="2:4">
      <c r="B130" s="777" t="s">
        <v>891</v>
      </c>
      <c r="C130" s="775">
        <v>0.36097818730095005</v>
      </c>
      <c r="D130">
        <v>19</v>
      </c>
    </row>
    <row r="131" spans="2:4">
      <c r="B131" s="777" t="s">
        <v>893</v>
      </c>
      <c r="C131" s="775">
        <v>0.8012391689004752</v>
      </c>
      <c r="D131">
        <v>5</v>
      </c>
    </row>
    <row r="132" spans="2:4">
      <c r="B132" s="777" t="s">
        <v>989</v>
      </c>
      <c r="C132" s="775">
        <v>2.5364152</v>
      </c>
      <c r="D132">
        <v>2</v>
      </c>
    </row>
    <row r="133" spans="2:4">
      <c r="B133" s="777" t="s">
        <v>252</v>
      </c>
      <c r="C133" s="775">
        <v>2.1217771248000008</v>
      </c>
      <c r="D133">
        <v>19</v>
      </c>
    </row>
    <row r="134" spans="2:4">
      <c r="B134" s="777" t="s">
        <v>975</v>
      </c>
      <c r="C134" s="775">
        <v>0.36252000000000001</v>
      </c>
      <c r="D134">
        <v>1</v>
      </c>
    </row>
    <row r="135" spans="2:4">
      <c r="B135" s="777" t="s">
        <v>497</v>
      </c>
      <c r="C135" s="775">
        <v>0.19</v>
      </c>
      <c r="D135">
        <v>1</v>
      </c>
    </row>
    <row r="136" spans="2:4">
      <c r="B136" s="777" t="s">
        <v>918</v>
      </c>
      <c r="C136" s="775">
        <v>8.0000000000000004E-4</v>
      </c>
      <c r="D136">
        <v>1</v>
      </c>
    </row>
    <row r="137" spans="2:4">
      <c r="B137" s="777" t="s">
        <v>897</v>
      </c>
      <c r="C137" s="775">
        <v>2.3823562255988601E-2</v>
      </c>
      <c r="D137">
        <v>2</v>
      </c>
    </row>
    <row r="138" spans="2:4">
      <c r="B138" s="777" t="s">
        <v>899</v>
      </c>
      <c r="C138" s="775">
        <v>0.71000000000000008</v>
      </c>
      <c r="D138">
        <v>8</v>
      </c>
    </row>
    <row r="139" spans="2:4">
      <c r="B139" s="777" t="s">
        <v>946</v>
      </c>
      <c r="C139" s="775">
        <v>0.28480034280014982</v>
      </c>
      <c r="D139">
        <v>4</v>
      </c>
    </row>
    <row r="140" spans="2:4">
      <c r="B140" s="777" t="s">
        <v>966</v>
      </c>
      <c r="C140" s="775">
        <v>3.257897459827789</v>
      </c>
      <c r="D140">
        <v>2</v>
      </c>
    </row>
    <row r="141" spans="2:4">
      <c r="B141" s="777" t="s">
        <v>1168</v>
      </c>
      <c r="C141" s="775">
        <v>0.04</v>
      </c>
      <c r="D141">
        <v>1</v>
      </c>
    </row>
    <row r="142" spans="2:4">
      <c r="B142" s="777" t="s">
        <v>985</v>
      </c>
      <c r="C142" s="775"/>
      <c r="D142">
        <v>1</v>
      </c>
    </row>
    <row r="143" spans="2:4">
      <c r="B143" s="777" t="s">
        <v>502</v>
      </c>
      <c r="C143" s="775">
        <v>6.4518858880000002E-2</v>
      </c>
      <c r="D143">
        <v>1</v>
      </c>
    </row>
    <row r="144" spans="2:4">
      <c r="B144" s="777" t="s">
        <v>225</v>
      </c>
      <c r="C144" s="775">
        <v>8.6400000000000005E-2</v>
      </c>
      <c r="D144">
        <v>3</v>
      </c>
    </row>
    <row r="145" spans="2:4">
      <c r="B145" s="777" t="s">
        <v>229</v>
      </c>
      <c r="C145" s="775">
        <v>0.22284000000000001</v>
      </c>
      <c r="D145">
        <v>3</v>
      </c>
    </row>
    <row r="146" spans="2:4">
      <c r="B146" s="777" t="s">
        <v>973</v>
      </c>
      <c r="C146" s="775">
        <v>0.63240000000000007</v>
      </c>
      <c r="D146">
        <v>4</v>
      </c>
    </row>
    <row r="147" spans="2:4">
      <c r="B147" s="777" t="s">
        <v>498</v>
      </c>
      <c r="C147" s="775">
        <v>8.0449832960000009E-2</v>
      </c>
      <c r="D147">
        <v>1</v>
      </c>
    </row>
    <row r="148" spans="2:4">
      <c r="B148" s="777" t="s">
        <v>988</v>
      </c>
      <c r="C148" s="775">
        <v>2.0043571200000002E-2</v>
      </c>
      <c r="D148">
        <v>1</v>
      </c>
    </row>
    <row r="149" spans="2:4">
      <c r="B149" s="777" t="s">
        <v>901</v>
      </c>
      <c r="C149" s="775">
        <v>0.30000000000000004</v>
      </c>
      <c r="D149">
        <v>4</v>
      </c>
    </row>
    <row r="150" spans="2:4">
      <c r="B150" s="777" t="s">
        <v>902</v>
      </c>
      <c r="C150" s="775">
        <v>0.17172000000000001</v>
      </c>
      <c r="D150">
        <v>1</v>
      </c>
    </row>
    <row r="151" spans="2:4">
      <c r="B151" s="777" t="s">
        <v>894</v>
      </c>
      <c r="C151" s="775">
        <v>0.36</v>
      </c>
      <c r="D151">
        <v>3</v>
      </c>
    </row>
    <row r="152" spans="2:4">
      <c r="B152" s="777" t="s">
        <v>469</v>
      </c>
      <c r="C152" s="775">
        <v>2.1</v>
      </c>
      <c r="D152">
        <v>8</v>
      </c>
    </row>
    <row r="153" spans="2:4">
      <c r="B153" s="777" t="s">
        <v>903</v>
      </c>
      <c r="C153" s="775">
        <v>0.34545700083561953</v>
      </c>
      <c r="D153">
        <v>6</v>
      </c>
    </row>
    <row r="154" spans="2:4">
      <c r="B154" s="777" t="s">
        <v>977</v>
      </c>
      <c r="C154" s="775">
        <v>0.80135908867007233</v>
      </c>
      <c r="D154">
        <v>3</v>
      </c>
    </row>
    <row r="155" spans="2:4">
      <c r="B155" s="777" t="s">
        <v>1164</v>
      </c>
      <c r="C155" s="775">
        <v>1.041450424</v>
      </c>
      <c r="D155">
        <v>2</v>
      </c>
    </row>
    <row r="156" spans="2:4">
      <c r="B156" s="777" t="s">
        <v>1165</v>
      </c>
      <c r="C156" s="775">
        <v>3.1243512720000002</v>
      </c>
      <c r="D156">
        <v>2</v>
      </c>
    </row>
    <row r="157" spans="2:4">
      <c r="B157" s="777" t="s">
        <v>1163</v>
      </c>
      <c r="C157" s="775">
        <v>4.0488608000000008</v>
      </c>
      <c r="D157">
        <v>3</v>
      </c>
    </row>
    <row r="158" spans="2:4">
      <c r="B158" s="777" t="s">
        <v>964</v>
      </c>
      <c r="C158" s="775">
        <v>7.8635040000000003E-2</v>
      </c>
      <c r="D158">
        <v>1</v>
      </c>
    </row>
    <row r="159" spans="2:4">
      <c r="B159" s="777" t="s">
        <v>162</v>
      </c>
      <c r="C159" s="775">
        <v>1.005255014743917</v>
      </c>
      <c r="D159">
        <v>4</v>
      </c>
    </row>
    <row r="160" spans="2:4">
      <c r="B160" s="777" t="s">
        <v>236</v>
      </c>
      <c r="C160" s="775">
        <v>4.0201798335435006</v>
      </c>
      <c r="D160">
        <v>1</v>
      </c>
    </row>
    <row r="161" spans="2:4">
      <c r="B161" s="777" t="s">
        <v>979</v>
      </c>
      <c r="C161" s="775">
        <v>0.29969554313912505</v>
      </c>
      <c r="D161">
        <v>6</v>
      </c>
    </row>
    <row r="162" spans="2:4">
      <c r="B162" s="777" t="s">
        <v>982</v>
      </c>
      <c r="C162" s="775">
        <v>7.133861740420798E-2</v>
      </c>
      <c r="D162">
        <v>1</v>
      </c>
    </row>
    <row r="163" spans="2:4">
      <c r="B163" s="777" t="s">
        <v>990</v>
      </c>
      <c r="D163">
        <v>1</v>
      </c>
    </row>
    <row r="164" spans="2:4">
      <c r="B164" s="658" t="s">
        <v>1169</v>
      </c>
      <c r="C164" s="775">
        <v>37.79990571998097</v>
      </c>
      <c r="D164">
        <v>46</v>
      </c>
    </row>
    <row r="165" spans="2:4">
      <c r="B165" s="774" t="s">
        <v>159</v>
      </c>
      <c r="C165" s="775">
        <v>35.595497719980969</v>
      </c>
      <c r="D165">
        <v>45</v>
      </c>
    </row>
    <row r="166" spans="2:4">
      <c r="B166" s="777" t="s">
        <v>891</v>
      </c>
      <c r="C166" s="775">
        <v>1.9207477199809744</v>
      </c>
      <c r="D166">
        <v>18</v>
      </c>
    </row>
    <row r="167" spans="2:4">
      <c r="B167" s="777" t="s">
        <v>894</v>
      </c>
      <c r="C167" s="775">
        <v>3.3658999999999999</v>
      </c>
      <c r="D167">
        <v>8</v>
      </c>
    </row>
    <row r="168" spans="2:4">
      <c r="B168" s="777" t="s">
        <v>469</v>
      </c>
      <c r="C168" s="775">
        <v>5.9438499999999976</v>
      </c>
      <c r="D168">
        <v>17</v>
      </c>
    </row>
    <row r="169" spans="2:4">
      <c r="B169" s="777" t="s">
        <v>1170</v>
      </c>
      <c r="C169" s="775">
        <v>5.9650000000000007</v>
      </c>
      <c r="D169">
        <v>1</v>
      </c>
    </row>
    <row r="170" spans="2:4">
      <c r="B170" s="777" t="s">
        <v>507</v>
      </c>
      <c r="C170" s="775">
        <v>18.399999999999999</v>
      </c>
      <c r="D170">
        <v>1</v>
      </c>
    </row>
    <row r="171" spans="2:4">
      <c r="B171" s="774" t="s">
        <v>617</v>
      </c>
      <c r="C171">
        <v>2.2044079999999999</v>
      </c>
      <c r="D171">
        <v>1</v>
      </c>
    </row>
    <row r="172" spans="2:4">
      <c r="B172" s="777" t="s">
        <v>1161</v>
      </c>
      <c r="C172">
        <v>2.2044079999999999</v>
      </c>
      <c r="D172">
        <v>1</v>
      </c>
    </row>
    <row r="173" spans="2:4">
      <c r="B173" s="658" t="s">
        <v>1171</v>
      </c>
      <c r="D173">
        <v>12</v>
      </c>
    </row>
    <row r="174" spans="2:4">
      <c r="B174" s="774" t="s">
        <v>617</v>
      </c>
      <c r="D174">
        <v>12</v>
      </c>
    </row>
    <row r="175" spans="2:4">
      <c r="B175" s="777" t="s">
        <v>1161</v>
      </c>
      <c r="D175">
        <v>1</v>
      </c>
    </row>
    <row r="176" spans="2:4">
      <c r="B176" s="777" t="s">
        <v>627</v>
      </c>
      <c r="D176">
        <v>7</v>
      </c>
    </row>
    <row r="177" spans="2:4">
      <c r="B177" s="777" t="s">
        <v>1172</v>
      </c>
      <c r="D177">
        <v>3</v>
      </c>
    </row>
    <row r="178" spans="2:4">
      <c r="B178" s="777" t="s">
        <v>1173</v>
      </c>
      <c r="D178">
        <v>1</v>
      </c>
    </row>
    <row r="179" spans="2:4">
      <c r="B179" s="658" t="s">
        <v>144</v>
      </c>
      <c r="C179">
        <v>1.093072</v>
      </c>
      <c r="D179">
        <v>7</v>
      </c>
    </row>
    <row r="180" spans="2:4">
      <c r="B180" s="774" t="s">
        <v>617</v>
      </c>
      <c r="C180">
        <v>1.093072</v>
      </c>
      <c r="D180">
        <v>7</v>
      </c>
    </row>
    <row r="181" spans="2:4">
      <c r="B181" s="777" t="s">
        <v>510</v>
      </c>
      <c r="D181">
        <v>4</v>
      </c>
    </row>
    <row r="182" spans="2:4">
      <c r="B182" s="777" t="s">
        <v>1161</v>
      </c>
      <c r="C182">
        <v>0.53307199999999999</v>
      </c>
      <c r="D182">
        <v>1</v>
      </c>
    </row>
    <row r="183" spans="2:4">
      <c r="B183" s="777" t="s">
        <v>1174</v>
      </c>
      <c r="C183">
        <v>0.56000000000000005</v>
      </c>
      <c r="D183">
        <v>1</v>
      </c>
    </row>
    <row r="184" spans="2:4">
      <c r="B184" s="777" t="s">
        <v>1160</v>
      </c>
      <c r="C184">
        <v>0</v>
      </c>
      <c r="D184">
        <v>1</v>
      </c>
    </row>
    <row r="185" spans="2:4">
      <c r="B185" s="658" t="s">
        <v>1175</v>
      </c>
      <c r="C185">
        <v>216.9113175104649</v>
      </c>
      <c r="D185">
        <v>512</v>
      </c>
    </row>
    <row r="193" spans="2:2">
      <c r="B193" t="s">
        <v>1176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1177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899</v>
      </c>
      <c r="C8" s="665" t="s">
        <v>1178</v>
      </c>
      <c r="D8" s="665"/>
      <c r="E8" s="665"/>
      <c r="F8" s="681" t="s">
        <v>1004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899</v>
      </c>
      <c r="C9" s="684" t="s">
        <v>1178</v>
      </c>
      <c r="D9" s="684" t="s">
        <v>159</v>
      </c>
      <c r="E9" s="684"/>
      <c r="F9" s="685" t="s">
        <v>1179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899</v>
      </c>
      <c r="C10" s="376" t="s">
        <v>1178</v>
      </c>
      <c r="D10" s="376" t="s">
        <v>159</v>
      </c>
      <c r="E10" s="376" t="s">
        <v>1162</v>
      </c>
      <c r="F10" s="608" t="s">
        <v>1180</v>
      </c>
      <c r="G10" s="695">
        <v>0.13</v>
      </c>
      <c r="H10" s="700">
        <v>1</v>
      </c>
      <c r="I10" s="626"/>
      <c r="J10" s="751"/>
      <c r="L10" s="376" t="s">
        <v>1162</v>
      </c>
      <c r="M10" s="376" t="s">
        <v>1181</v>
      </c>
      <c r="N10" s="376" t="s">
        <v>1182</v>
      </c>
      <c r="O10" s="376" t="s">
        <v>1183</v>
      </c>
      <c r="P10" s="376" t="s">
        <v>1184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899</v>
      </c>
      <c r="C11" s="376" t="s">
        <v>1178</v>
      </c>
      <c r="D11" s="376" t="s">
        <v>159</v>
      </c>
      <c r="E11" s="376" t="s">
        <v>1162</v>
      </c>
      <c r="F11" s="608" t="s">
        <v>1185</v>
      </c>
      <c r="G11" s="609">
        <v>0.13</v>
      </c>
      <c r="H11" s="692">
        <v>1</v>
      </c>
      <c r="I11" s="626"/>
      <c r="J11" s="751"/>
      <c r="L11" s="376" t="s">
        <v>1162</v>
      </c>
      <c r="M11" s="376" t="s">
        <v>1181</v>
      </c>
      <c r="N11" s="376" t="s">
        <v>1182</v>
      </c>
      <c r="O11" s="376" t="s">
        <v>1183</v>
      </c>
      <c r="P11" s="376" t="s">
        <v>1184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899</v>
      </c>
      <c r="C12" s="376" t="s">
        <v>1178</v>
      </c>
      <c r="D12" s="376" t="s">
        <v>159</v>
      </c>
      <c r="E12" s="376" t="s">
        <v>1162</v>
      </c>
      <c r="F12" s="608" t="s">
        <v>1186</v>
      </c>
      <c r="G12" s="695">
        <v>0.13</v>
      </c>
      <c r="H12" s="700">
        <v>1</v>
      </c>
      <c r="I12" s="626"/>
      <c r="J12" s="751"/>
      <c r="L12" s="376" t="s">
        <v>1162</v>
      </c>
      <c r="M12" s="376" t="s">
        <v>1181</v>
      </c>
      <c r="N12" s="376" t="s">
        <v>1182</v>
      </c>
      <c r="O12" s="376" t="s">
        <v>1183</v>
      </c>
      <c r="P12" s="376" t="s">
        <v>1184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6.45" outlineLevel="3">
      <c r="A13" s="376"/>
      <c r="B13" s="376" t="s">
        <v>899</v>
      </c>
      <c r="C13" s="376" t="s">
        <v>1178</v>
      </c>
      <c r="D13" s="376" t="s">
        <v>159</v>
      </c>
      <c r="E13" s="376" t="s">
        <v>1162</v>
      </c>
      <c r="F13" s="608" t="s">
        <v>1187</v>
      </c>
      <c r="G13" s="695">
        <v>0.22</v>
      </c>
      <c r="H13" s="700">
        <v>1</v>
      </c>
      <c r="I13" s="626"/>
      <c r="J13" s="751"/>
      <c r="L13" s="376" t="s">
        <v>1162</v>
      </c>
      <c r="M13" s="376" t="s">
        <v>1181</v>
      </c>
      <c r="N13" s="376" t="s">
        <v>1182</v>
      </c>
      <c r="O13" s="376" t="s">
        <v>1183</v>
      </c>
      <c r="P13" s="376" t="s">
        <v>1184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6.45" outlineLevel="3">
      <c r="A14" s="376"/>
      <c r="B14" s="376" t="s">
        <v>899</v>
      </c>
      <c r="C14" s="376" t="s">
        <v>1178</v>
      </c>
      <c r="D14" s="376" t="s">
        <v>159</v>
      </c>
      <c r="E14" s="376" t="s">
        <v>1162</v>
      </c>
      <c r="F14" s="608" t="s">
        <v>1188</v>
      </c>
      <c r="G14" s="695">
        <v>0.22</v>
      </c>
      <c r="H14" s="700">
        <v>1</v>
      </c>
      <c r="I14" s="626"/>
      <c r="J14" s="751"/>
      <c r="L14" s="376" t="s">
        <v>1162</v>
      </c>
      <c r="M14" s="376" t="s">
        <v>1181</v>
      </c>
      <c r="N14" s="376" t="s">
        <v>1182</v>
      </c>
      <c r="O14" s="376" t="s">
        <v>1183</v>
      </c>
      <c r="P14" s="376" t="s">
        <v>1184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6.45" outlineLevel="3">
      <c r="A15" s="376"/>
      <c r="B15" s="376" t="s">
        <v>899</v>
      </c>
      <c r="C15" s="376" t="s">
        <v>1178</v>
      </c>
      <c r="D15" s="376" t="s">
        <v>159</v>
      </c>
      <c r="E15" s="376" t="s">
        <v>1162</v>
      </c>
      <c r="F15" s="608" t="s">
        <v>1189</v>
      </c>
      <c r="G15" s="695">
        <v>0.22</v>
      </c>
      <c r="H15" s="700">
        <v>1</v>
      </c>
      <c r="I15" s="626"/>
      <c r="J15" s="751"/>
      <c r="L15" s="376" t="s">
        <v>1162</v>
      </c>
      <c r="M15" s="376" t="s">
        <v>1181</v>
      </c>
      <c r="N15" s="376" t="s">
        <v>1182</v>
      </c>
      <c r="O15" s="376" t="s">
        <v>1183</v>
      </c>
      <c r="P15" s="376" t="s">
        <v>1184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899</v>
      </c>
      <c r="C16" s="376" t="s">
        <v>1178</v>
      </c>
      <c r="D16" s="376" t="s">
        <v>159</v>
      </c>
      <c r="E16" s="376" t="s">
        <v>1162</v>
      </c>
      <c r="F16" s="608" t="s">
        <v>1190</v>
      </c>
      <c r="G16" s="695">
        <v>0.03</v>
      </c>
      <c r="H16" s="700">
        <v>1</v>
      </c>
      <c r="I16" s="626"/>
      <c r="J16" s="751"/>
      <c r="L16" s="376" t="s">
        <v>1162</v>
      </c>
      <c r="M16" s="376" t="s">
        <v>1181</v>
      </c>
      <c r="N16" s="376" t="s">
        <v>1182</v>
      </c>
      <c r="O16" s="376" t="s">
        <v>1183</v>
      </c>
      <c r="P16" s="376" t="s">
        <v>1184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899</v>
      </c>
      <c r="C17" s="376" t="s">
        <v>1178</v>
      </c>
      <c r="D17" s="376" t="s">
        <v>159</v>
      </c>
      <c r="E17" s="376" t="s">
        <v>1162</v>
      </c>
      <c r="F17" s="608" t="s">
        <v>1191</v>
      </c>
      <c r="G17" s="609">
        <v>0.02</v>
      </c>
      <c r="H17" s="692">
        <v>1</v>
      </c>
      <c r="I17" s="626"/>
      <c r="J17" s="751"/>
      <c r="L17" s="376" t="s">
        <v>1162</v>
      </c>
      <c r="M17" s="376" t="s">
        <v>1181</v>
      </c>
      <c r="N17" s="376" t="s">
        <v>1182</v>
      </c>
      <c r="O17" s="376" t="s">
        <v>1183</v>
      </c>
      <c r="P17" s="376" t="s">
        <v>1184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899</v>
      </c>
      <c r="C18" s="376" t="s">
        <v>1178</v>
      </c>
      <c r="D18" s="376" t="s">
        <v>159</v>
      </c>
      <c r="E18" s="376" t="s">
        <v>1162</v>
      </c>
      <c r="F18" s="608" t="s">
        <v>1192</v>
      </c>
      <c r="G18" s="609">
        <v>0.01</v>
      </c>
      <c r="H18" s="692">
        <v>1</v>
      </c>
      <c r="I18" s="626"/>
      <c r="J18" s="751"/>
      <c r="L18" s="376" t="s">
        <v>1162</v>
      </c>
      <c r="M18" s="376" t="s">
        <v>1181</v>
      </c>
      <c r="N18" s="376" t="s">
        <v>1182</v>
      </c>
      <c r="O18" s="376" t="s">
        <v>1183</v>
      </c>
      <c r="P18" s="376" t="s">
        <v>1184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899</v>
      </c>
      <c r="C19" s="376" t="s">
        <v>1178</v>
      </c>
      <c r="D19" s="376" t="s">
        <v>159</v>
      </c>
      <c r="E19" s="376" t="s">
        <v>1162</v>
      </c>
      <c r="F19" s="608" t="s">
        <v>1193</v>
      </c>
      <c r="G19" s="695">
        <v>0.4</v>
      </c>
      <c r="H19" s="700">
        <v>1</v>
      </c>
      <c r="I19" s="626"/>
      <c r="J19" s="751"/>
      <c r="L19" s="376" t="s">
        <v>1162</v>
      </c>
      <c r="M19" s="376" t="s">
        <v>1181</v>
      </c>
      <c r="N19" s="376" t="s">
        <v>1182</v>
      </c>
      <c r="O19" s="376" t="s">
        <v>1183</v>
      </c>
      <c r="P19" s="376" t="s">
        <v>1184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899</v>
      </c>
      <c r="C20" s="376" t="s">
        <v>1178</v>
      </c>
      <c r="D20" s="376" t="s">
        <v>159</v>
      </c>
      <c r="E20" s="376" t="s">
        <v>1162</v>
      </c>
      <c r="F20" s="608" t="s">
        <v>1194</v>
      </c>
      <c r="G20" s="695">
        <v>0.4</v>
      </c>
      <c r="H20" s="700">
        <v>1</v>
      </c>
      <c r="I20" s="626"/>
      <c r="J20" s="751"/>
      <c r="L20" s="376" t="s">
        <v>1162</v>
      </c>
      <c r="M20" s="376" t="s">
        <v>1181</v>
      </c>
      <c r="N20" s="376" t="s">
        <v>1182</v>
      </c>
      <c r="O20" s="376" t="s">
        <v>1183</v>
      </c>
      <c r="P20" s="376" t="s">
        <v>1184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946</v>
      </c>
      <c r="C21" s="666" t="s">
        <v>1195</v>
      </c>
      <c r="D21" s="666"/>
      <c r="E21" s="666"/>
      <c r="F21" s="681" t="s">
        <v>1004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6.45" outlineLevel="2">
      <c r="B22" s="684" t="s">
        <v>946</v>
      </c>
      <c r="C22" s="684" t="s">
        <v>1195</v>
      </c>
      <c r="D22" s="684" t="s">
        <v>159</v>
      </c>
      <c r="E22" s="684"/>
      <c r="F22" s="685" t="s">
        <v>1196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946</v>
      </c>
      <c r="C23" s="376" t="s">
        <v>1195</v>
      </c>
      <c r="D23" s="376" t="s">
        <v>159</v>
      </c>
      <c r="E23" s="376" t="s">
        <v>1162</v>
      </c>
      <c r="F23" s="608" t="s">
        <v>1197</v>
      </c>
      <c r="G23" s="609">
        <v>0.13060359000000002</v>
      </c>
      <c r="H23" s="692">
        <v>1</v>
      </c>
      <c r="I23" s="626"/>
      <c r="J23" s="751"/>
      <c r="L23" s="376" t="s">
        <v>1162</v>
      </c>
      <c r="M23" s="376" t="s">
        <v>1181</v>
      </c>
      <c r="N23" s="376" t="s">
        <v>1182</v>
      </c>
      <c r="O23" s="376" t="s">
        <v>1198</v>
      </c>
      <c r="P23" s="376" t="s">
        <v>1183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946</v>
      </c>
      <c r="C24" s="376" t="s">
        <v>1195</v>
      </c>
      <c r="D24" s="376" t="s">
        <v>159</v>
      </c>
      <c r="E24" s="376" t="s">
        <v>1162</v>
      </c>
      <c r="F24" s="608" t="s">
        <v>1199</v>
      </c>
      <c r="G24" s="609">
        <v>7.8362154000000003E-2</v>
      </c>
      <c r="H24" s="692">
        <v>1</v>
      </c>
      <c r="I24" s="626"/>
      <c r="J24" s="751"/>
      <c r="L24" s="376" t="s">
        <v>1162</v>
      </c>
      <c r="M24" s="376" t="s">
        <v>1181</v>
      </c>
      <c r="N24" s="376" t="s">
        <v>1182</v>
      </c>
      <c r="O24" s="376" t="s">
        <v>1198</v>
      </c>
      <c r="P24" s="376" t="s">
        <v>1183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946</v>
      </c>
      <c r="C25" s="376" t="s">
        <v>1195</v>
      </c>
      <c r="D25" s="376" t="s">
        <v>159</v>
      </c>
      <c r="E25" s="376" t="s">
        <v>1162</v>
      </c>
      <c r="F25" s="608" t="s">
        <v>1200</v>
      </c>
      <c r="G25" s="609">
        <v>9.2092275000000001E-2</v>
      </c>
      <c r="H25" s="692">
        <v>1</v>
      </c>
      <c r="I25" s="626"/>
      <c r="J25" s="751"/>
      <c r="L25" s="376" t="s">
        <v>1162</v>
      </c>
      <c r="M25" s="376" t="s">
        <v>1181</v>
      </c>
      <c r="N25" s="376" t="s">
        <v>1182</v>
      </c>
      <c r="O25" s="376" t="s">
        <v>1198</v>
      </c>
      <c r="P25" s="376" t="s">
        <v>1183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901</v>
      </c>
      <c r="C26" s="665" t="s">
        <v>1201</v>
      </c>
      <c r="D26" s="665"/>
      <c r="E26" s="665"/>
      <c r="F26" s="681" t="s">
        <v>1004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901</v>
      </c>
      <c r="C27" s="684" t="s">
        <v>1201</v>
      </c>
      <c r="D27" s="684" t="s">
        <v>159</v>
      </c>
      <c r="E27" s="684"/>
      <c r="F27" s="685" t="s">
        <v>1179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901</v>
      </c>
      <c r="C28" s="376" t="s">
        <v>1201</v>
      </c>
      <c r="D28" s="376" t="s">
        <v>159</v>
      </c>
      <c r="E28" s="376" t="s">
        <v>1162</v>
      </c>
      <c r="F28" s="608" t="s">
        <v>1202</v>
      </c>
      <c r="G28" s="695">
        <v>0.3</v>
      </c>
      <c r="H28" s="700">
        <v>1</v>
      </c>
      <c r="I28" s="626"/>
      <c r="J28" s="751"/>
      <c r="L28" s="376" t="s">
        <v>1162</v>
      </c>
      <c r="M28" s="376" t="s">
        <v>1181</v>
      </c>
      <c r="N28" s="376" t="s">
        <v>1203</v>
      </c>
      <c r="O28" s="376" t="s">
        <v>1204</v>
      </c>
      <c r="P28" s="376" t="s">
        <v>1205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901</v>
      </c>
      <c r="C29" s="376" t="s">
        <v>1201</v>
      </c>
      <c r="D29" s="376" t="s">
        <v>159</v>
      </c>
      <c r="E29" s="376" t="s">
        <v>1162</v>
      </c>
      <c r="F29" s="608" t="s">
        <v>1190</v>
      </c>
      <c r="G29" s="695">
        <v>0.09</v>
      </c>
      <c r="H29" s="700">
        <v>1</v>
      </c>
      <c r="I29" s="626"/>
      <c r="J29" s="751"/>
      <c r="L29" s="376" t="s">
        <v>1162</v>
      </c>
      <c r="M29" s="376" t="s">
        <v>1181</v>
      </c>
      <c r="N29" s="376" t="s">
        <v>1203</v>
      </c>
      <c r="O29" s="376" t="s">
        <v>1204</v>
      </c>
      <c r="P29" s="376" t="s">
        <v>1205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225</v>
      </c>
      <c r="C30" s="665" t="s">
        <v>1206</v>
      </c>
      <c r="D30" s="665"/>
      <c r="E30" s="665"/>
      <c r="F30" s="681" t="s">
        <v>1004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225</v>
      </c>
      <c r="C31" s="684" t="s">
        <v>1206</v>
      </c>
      <c r="D31" s="684" t="s">
        <v>159</v>
      </c>
      <c r="E31" s="684"/>
      <c r="F31" s="685" t="s">
        <v>1207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225</v>
      </c>
      <c r="C32" s="376" t="s">
        <v>1206</v>
      </c>
      <c r="D32" s="376" t="s">
        <v>159</v>
      </c>
      <c r="E32" s="376" t="s">
        <v>1162</v>
      </c>
      <c r="F32" s="608" t="s">
        <v>36</v>
      </c>
      <c r="G32" s="695">
        <v>6.3E-2</v>
      </c>
      <c r="H32" s="700">
        <v>1</v>
      </c>
      <c r="I32" s="626"/>
      <c r="J32" s="751"/>
      <c r="L32" s="376" t="s">
        <v>1162</v>
      </c>
      <c r="M32" s="376" t="s">
        <v>1203</v>
      </c>
      <c r="N32" s="376" t="s">
        <v>1208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225</v>
      </c>
      <c r="C33" s="376" t="s">
        <v>1206</v>
      </c>
      <c r="D33" s="376" t="s">
        <v>159</v>
      </c>
      <c r="E33" s="376" t="s">
        <v>1162</v>
      </c>
      <c r="F33" s="608" t="s">
        <v>1209</v>
      </c>
      <c r="G33" s="695">
        <v>4.2000000000000003E-2</v>
      </c>
      <c r="H33" s="700">
        <v>1</v>
      </c>
      <c r="I33" s="626"/>
      <c r="J33" s="751"/>
      <c r="L33" s="376" t="s">
        <v>1162</v>
      </c>
      <c r="M33" s="376" t="s">
        <v>1203</v>
      </c>
      <c r="N33" s="376" t="s">
        <v>1208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225</v>
      </c>
      <c r="C34" s="376" t="s">
        <v>1206</v>
      </c>
      <c r="D34" s="376" t="s">
        <v>159</v>
      </c>
      <c r="E34" s="376" t="s">
        <v>1162</v>
      </c>
      <c r="F34" s="608" t="s">
        <v>1210</v>
      </c>
      <c r="G34" s="695">
        <v>8.4000000000000005E-2</v>
      </c>
      <c r="H34" s="700">
        <v>1</v>
      </c>
      <c r="I34" s="626"/>
      <c r="J34" s="751"/>
      <c r="L34" s="376" t="s">
        <v>1162</v>
      </c>
      <c r="M34" s="376" t="s">
        <v>1203</v>
      </c>
      <c r="N34" s="376" t="s">
        <v>1208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229</v>
      </c>
      <c r="C35" s="665" t="s">
        <v>1211</v>
      </c>
      <c r="D35" s="665"/>
      <c r="E35" s="665"/>
      <c r="F35" s="681" t="s">
        <v>1004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229</v>
      </c>
      <c r="C36" s="684" t="s">
        <v>1211</v>
      </c>
      <c r="D36" s="684" t="s">
        <v>159</v>
      </c>
      <c r="E36" s="684"/>
      <c r="F36" s="685" t="s">
        <v>1179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229</v>
      </c>
      <c r="C37" s="376" t="s">
        <v>1211</v>
      </c>
      <c r="D37" s="376" t="s">
        <v>159</v>
      </c>
      <c r="E37" s="376" t="s">
        <v>1162</v>
      </c>
      <c r="F37" s="608" t="s">
        <v>1209</v>
      </c>
      <c r="G37" s="609">
        <v>0.12999000000000002</v>
      </c>
      <c r="H37" s="700">
        <v>1</v>
      </c>
      <c r="I37" s="626"/>
      <c r="J37" s="751"/>
      <c r="L37" s="376" t="s">
        <v>1162</v>
      </c>
      <c r="M37" s="376" t="s">
        <v>1212</v>
      </c>
      <c r="N37" s="376" t="s">
        <v>1213</v>
      </c>
      <c r="O37" s="376" t="s">
        <v>1214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229</v>
      </c>
      <c r="C38" s="376" t="s">
        <v>1211</v>
      </c>
      <c r="D38" s="376" t="s">
        <v>159</v>
      </c>
      <c r="E38" s="376" t="s">
        <v>1162</v>
      </c>
      <c r="F38" s="608" t="s">
        <v>1210</v>
      </c>
      <c r="G38" s="695">
        <v>0.25998000000000004</v>
      </c>
      <c r="H38" s="700">
        <v>1</v>
      </c>
      <c r="I38" s="626"/>
      <c r="J38" s="751"/>
      <c r="L38" s="376" t="s">
        <v>1162</v>
      </c>
      <c r="M38" s="376" t="s">
        <v>1212</v>
      </c>
      <c r="N38" s="376" t="s">
        <v>1213</v>
      </c>
      <c r="O38" s="376" t="s">
        <v>1214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229</v>
      </c>
      <c r="C39" s="376" t="s">
        <v>1211</v>
      </c>
      <c r="D39" s="376" t="s">
        <v>159</v>
      </c>
      <c r="E39" s="376" t="s">
        <v>1162</v>
      </c>
      <c r="F39" s="608" t="s">
        <v>1215</v>
      </c>
      <c r="G39" s="695">
        <v>0.19498499999999999</v>
      </c>
      <c r="H39" s="700">
        <v>1</v>
      </c>
      <c r="I39" s="626"/>
      <c r="J39" s="751"/>
      <c r="L39" s="376" t="s">
        <v>1162</v>
      </c>
      <c r="M39" s="376" t="s">
        <v>1212</v>
      </c>
      <c r="N39" s="376" t="s">
        <v>1213</v>
      </c>
      <c r="O39" s="376" t="s">
        <v>1214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229</v>
      </c>
      <c r="C40" s="376" t="s">
        <v>1211</v>
      </c>
      <c r="D40" s="376" t="s">
        <v>159</v>
      </c>
      <c r="E40" s="376" t="s">
        <v>1162</v>
      </c>
      <c r="F40" s="608" t="s">
        <v>1216</v>
      </c>
      <c r="G40" s="695">
        <v>0.19498499999999999</v>
      </c>
      <c r="H40" s="700">
        <v>1</v>
      </c>
      <c r="I40" s="626"/>
      <c r="J40" s="751"/>
      <c r="L40" s="376" t="s">
        <v>1162</v>
      </c>
      <c r="M40" s="376" t="s">
        <v>1212</v>
      </c>
      <c r="N40" s="376" t="s">
        <v>1213</v>
      </c>
      <c r="O40" s="376" t="s">
        <v>1214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498</v>
      </c>
      <c r="C41" s="665" t="s">
        <v>1217</v>
      </c>
      <c r="D41" s="665"/>
      <c r="E41" s="665"/>
      <c r="F41" s="681" t="s">
        <v>1004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498</v>
      </c>
      <c r="C42" s="684" t="s">
        <v>1217</v>
      </c>
      <c r="D42" s="684" t="s">
        <v>159</v>
      </c>
      <c r="E42" s="684"/>
      <c r="F42" s="685" t="s">
        <v>1218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498</v>
      </c>
      <c r="C43" s="376" t="s">
        <v>1217</v>
      </c>
      <c r="D43" s="376" t="s">
        <v>159</v>
      </c>
      <c r="E43" s="376" t="s">
        <v>1162</v>
      </c>
      <c r="F43" s="608" t="s">
        <v>1219</v>
      </c>
      <c r="G43" s="609">
        <v>0.17598400959999999</v>
      </c>
      <c r="H43" s="692">
        <v>1</v>
      </c>
      <c r="I43" s="626"/>
      <c r="J43" s="751"/>
      <c r="L43" s="376" t="s">
        <v>1162</v>
      </c>
      <c r="M43" s="376" t="s">
        <v>1181</v>
      </c>
      <c r="N43" s="376" t="s">
        <v>1203</v>
      </c>
      <c r="O43" s="376" t="s">
        <v>1205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498</v>
      </c>
      <c r="C44" s="376" t="s">
        <v>1217</v>
      </c>
      <c r="D44" s="376" t="s">
        <v>159</v>
      </c>
      <c r="E44" s="376" t="s">
        <v>1162</v>
      </c>
      <c r="F44" s="608" t="s">
        <v>36</v>
      </c>
      <c r="G44" s="609">
        <v>0.26397601440000001</v>
      </c>
      <c r="H44" s="692">
        <v>1</v>
      </c>
      <c r="I44" s="626"/>
      <c r="J44" s="751"/>
      <c r="L44" s="376" t="s">
        <v>1162</v>
      </c>
      <c r="M44" s="376" t="s">
        <v>1181</v>
      </c>
      <c r="N44" s="376" t="s">
        <v>1203</v>
      </c>
      <c r="O44" s="376" t="s">
        <v>1205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962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902</v>
      </c>
      <c r="C48" s="665" t="s">
        <v>1220</v>
      </c>
      <c r="D48" s="665"/>
      <c r="E48" s="665"/>
      <c r="F48" s="681" t="s">
        <v>1004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902</v>
      </c>
      <c r="C49" s="684" t="s">
        <v>1220</v>
      </c>
      <c r="D49" s="684" t="s">
        <v>159</v>
      </c>
      <c r="E49" s="684"/>
      <c r="F49" s="685" t="s">
        <v>1221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902</v>
      </c>
      <c r="C50" s="376" t="s">
        <v>1220</v>
      </c>
      <c r="D50" s="376" t="s">
        <v>159</v>
      </c>
      <c r="E50" s="376" t="s">
        <v>1162</v>
      </c>
      <c r="F50" s="608" t="s">
        <v>17</v>
      </c>
      <c r="G50" s="609">
        <v>0.54</v>
      </c>
      <c r="H50" s="692">
        <v>1</v>
      </c>
      <c r="I50" s="626"/>
      <c r="J50" s="751"/>
      <c r="L50" s="376" t="s">
        <v>1162</v>
      </c>
      <c r="M50" s="376" t="s">
        <v>1181</v>
      </c>
      <c r="N50" s="376" t="s">
        <v>1203</v>
      </c>
      <c r="O50" s="376" t="s">
        <v>1205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902</v>
      </c>
      <c r="C51" s="376" t="s">
        <v>1220</v>
      </c>
      <c r="D51" s="376" t="s">
        <v>159</v>
      </c>
      <c r="E51" s="376" t="s">
        <v>1162</v>
      </c>
      <c r="F51" s="608" t="s">
        <v>36</v>
      </c>
      <c r="G51" s="609">
        <v>0.43</v>
      </c>
      <c r="H51" s="692">
        <v>1</v>
      </c>
      <c r="I51" s="626"/>
      <c r="J51" s="751"/>
      <c r="L51" s="376" t="s">
        <v>1162</v>
      </c>
      <c r="M51" s="376" t="s">
        <v>1181</v>
      </c>
      <c r="N51" s="376" t="s">
        <v>1203</v>
      </c>
      <c r="O51" s="376" t="s">
        <v>1205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902</v>
      </c>
      <c r="C52" s="376" t="s">
        <v>1220</v>
      </c>
      <c r="D52" s="376" t="s">
        <v>159</v>
      </c>
      <c r="E52" s="376" t="s">
        <v>1162</v>
      </c>
      <c r="F52" s="608" t="s">
        <v>208</v>
      </c>
      <c r="G52" s="609">
        <v>0.21</v>
      </c>
      <c r="H52" s="692">
        <v>1</v>
      </c>
      <c r="I52" s="626"/>
      <c r="J52" s="751"/>
      <c r="L52" s="376" t="s">
        <v>1162</v>
      </c>
      <c r="M52" s="376" t="s">
        <v>1181</v>
      </c>
      <c r="N52" s="376" t="s">
        <v>1203</v>
      </c>
      <c r="O52" s="376" t="s">
        <v>1205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966</v>
      </c>
      <c r="C53" s="666" t="s">
        <v>1222</v>
      </c>
      <c r="D53" s="666"/>
      <c r="E53" s="666"/>
      <c r="F53" s="681" t="s">
        <v>1004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6.45" outlineLevel="2">
      <c r="B54" s="684" t="s">
        <v>966</v>
      </c>
      <c r="C54" s="684" t="s">
        <v>1222</v>
      </c>
      <c r="D54" s="684" t="s">
        <v>159</v>
      </c>
      <c r="E54" s="684"/>
      <c r="F54" s="685" t="s">
        <v>1223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966</v>
      </c>
      <c r="C55" s="376" t="s">
        <v>1222</v>
      </c>
      <c r="D55" s="376" t="s">
        <v>159</v>
      </c>
      <c r="E55" s="376" t="s">
        <v>1162</v>
      </c>
      <c r="F55" s="608" t="s">
        <v>1224</v>
      </c>
      <c r="G55" s="609">
        <v>4.3906973852126532</v>
      </c>
      <c r="H55" s="692">
        <v>1</v>
      </c>
      <c r="I55" s="626"/>
      <c r="J55" s="751"/>
      <c r="L55" s="376" t="s">
        <v>1162</v>
      </c>
      <c r="M55" s="376" t="s">
        <v>1181</v>
      </c>
      <c r="N55" s="376" t="s">
        <v>1182</v>
      </c>
      <c r="O55" s="376" t="s">
        <v>1225</v>
      </c>
      <c r="P55" s="376" t="s">
        <v>1183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966</v>
      </c>
      <c r="C56" s="376" t="s">
        <v>1222</v>
      </c>
      <c r="D56" s="376" t="s">
        <v>159</v>
      </c>
      <c r="E56" s="376" t="s">
        <v>1162</v>
      </c>
      <c r="F56" s="608" t="s">
        <v>1226</v>
      </c>
      <c r="G56" s="609">
        <v>2.1953486926063266</v>
      </c>
      <c r="H56" s="692">
        <v>1</v>
      </c>
      <c r="I56" s="626"/>
      <c r="J56" s="751"/>
      <c r="L56" s="376" t="s">
        <v>1162</v>
      </c>
      <c r="M56" s="376" t="s">
        <v>1181</v>
      </c>
      <c r="N56" s="376" t="s">
        <v>1182</v>
      </c>
      <c r="O56" s="376" t="s">
        <v>1225</v>
      </c>
      <c r="P56" s="376" t="s">
        <v>1183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966</v>
      </c>
      <c r="C57" s="376" t="s">
        <v>1222</v>
      </c>
      <c r="D57" s="376" t="s">
        <v>159</v>
      </c>
      <c r="E57" s="376" t="s">
        <v>1162</v>
      </c>
      <c r="F57" s="608" t="s">
        <v>1227</v>
      </c>
      <c r="G57" s="609">
        <v>2.1953486926063266</v>
      </c>
      <c r="H57" s="692">
        <v>1</v>
      </c>
      <c r="I57" s="626"/>
      <c r="J57" s="751"/>
      <c r="L57" s="376" t="s">
        <v>1162</v>
      </c>
      <c r="M57" s="376" t="s">
        <v>1181</v>
      </c>
      <c r="N57" s="376" t="s">
        <v>1182</v>
      </c>
      <c r="O57" s="376" t="s">
        <v>1225</v>
      </c>
      <c r="P57" s="376" t="s">
        <v>1183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968</v>
      </c>
      <c r="C58" s="666" t="s">
        <v>1163</v>
      </c>
      <c r="D58" s="666"/>
      <c r="E58" s="666"/>
      <c r="F58" s="681" t="s">
        <v>1004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1163</v>
      </c>
      <c r="C59" s="687" t="s">
        <v>1163</v>
      </c>
      <c r="D59" s="687" t="s">
        <v>159</v>
      </c>
      <c r="E59" s="687"/>
      <c r="F59" s="717" t="s">
        <v>1228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1229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1163</v>
      </c>
      <c r="C60" s="387" t="s">
        <v>1163</v>
      </c>
      <c r="D60" s="387" t="s">
        <v>159</v>
      </c>
      <c r="E60" s="387" t="s">
        <v>1162</v>
      </c>
      <c r="F60" s="705" t="s">
        <v>17</v>
      </c>
      <c r="G60" s="706">
        <v>4.7746000000000013</v>
      </c>
      <c r="H60" s="707">
        <v>1</v>
      </c>
      <c r="I60" s="740"/>
      <c r="J60" s="757"/>
      <c r="K60" s="748"/>
      <c r="L60" s="387" t="s">
        <v>1162</v>
      </c>
      <c r="M60" s="387" t="s">
        <v>1212</v>
      </c>
      <c r="N60" s="387" t="s">
        <v>1230</v>
      </c>
      <c r="O60" s="387" t="s">
        <v>1231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1163</v>
      </c>
      <c r="C61" s="387" t="s">
        <v>1163</v>
      </c>
      <c r="D61" s="387" t="s">
        <v>159</v>
      </c>
      <c r="E61" s="387" t="s">
        <v>1162</v>
      </c>
      <c r="F61" s="705" t="s">
        <v>36</v>
      </c>
      <c r="G61" s="706">
        <v>4.3640000000000008</v>
      </c>
      <c r="H61" s="707">
        <v>1</v>
      </c>
      <c r="I61" s="740"/>
      <c r="J61" s="757"/>
      <c r="K61" s="748"/>
      <c r="L61" s="387" t="s">
        <v>1162</v>
      </c>
      <c r="M61" s="387" t="s">
        <v>1212</v>
      </c>
      <c r="N61" s="387" t="s">
        <v>1230</v>
      </c>
      <c r="O61" s="387" t="s">
        <v>1231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1163</v>
      </c>
      <c r="C62" s="387" t="s">
        <v>1163</v>
      </c>
      <c r="D62" s="387" t="s">
        <v>159</v>
      </c>
      <c r="E62" s="387" t="s">
        <v>1162</v>
      </c>
      <c r="F62" s="705" t="s">
        <v>1232</v>
      </c>
      <c r="G62" s="706">
        <v>2.2846500000000005</v>
      </c>
      <c r="H62" s="707">
        <v>1</v>
      </c>
      <c r="I62" s="740"/>
      <c r="J62" s="757"/>
      <c r="K62" s="748"/>
      <c r="L62" s="387" t="s">
        <v>1162</v>
      </c>
      <c r="M62" s="387" t="s">
        <v>1212</v>
      </c>
      <c r="N62" s="387" t="s">
        <v>1230</v>
      </c>
      <c r="O62" s="387" t="s">
        <v>1231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1163</v>
      </c>
      <c r="C63" s="387" t="s">
        <v>1163</v>
      </c>
      <c r="D63" s="387" t="s">
        <v>159</v>
      </c>
      <c r="E63" s="387" t="s">
        <v>1162</v>
      </c>
      <c r="F63" s="705" t="s">
        <v>1233</v>
      </c>
      <c r="G63" s="706">
        <v>2.3873000000000006</v>
      </c>
      <c r="H63" s="707">
        <v>1</v>
      </c>
      <c r="I63" s="740"/>
      <c r="J63" s="757"/>
      <c r="K63" s="748"/>
      <c r="L63" s="387" t="s">
        <v>1162</v>
      </c>
      <c r="M63" s="387" t="s">
        <v>1212</v>
      </c>
      <c r="N63" s="387" t="s">
        <v>1230</v>
      </c>
      <c r="O63" s="387" t="s">
        <v>1231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1163</v>
      </c>
      <c r="C64" s="387" t="s">
        <v>1163</v>
      </c>
      <c r="D64" s="387" t="s">
        <v>159</v>
      </c>
      <c r="E64" s="387" t="s">
        <v>1162</v>
      </c>
      <c r="F64" s="705" t="s">
        <v>1226</v>
      </c>
      <c r="G64" s="706">
        <v>2.3873000000000006</v>
      </c>
      <c r="H64" s="707">
        <v>1</v>
      </c>
      <c r="I64" s="740"/>
      <c r="J64" s="757"/>
      <c r="K64" s="748"/>
      <c r="L64" s="387" t="s">
        <v>1162</v>
      </c>
      <c r="M64" s="387" t="s">
        <v>1212</v>
      </c>
      <c r="N64" s="387" t="s">
        <v>1230</v>
      </c>
      <c r="O64" s="387" t="s">
        <v>1231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1163</v>
      </c>
      <c r="C65" s="387" t="s">
        <v>1163</v>
      </c>
      <c r="D65" s="387" t="s">
        <v>159</v>
      </c>
      <c r="E65" s="387" t="s">
        <v>1162</v>
      </c>
      <c r="F65" s="705" t="s">
        <v>1234</v>
      </c>
      <c r="G65" s="706">
        <v>4.3640000000000008</v>
      </c>
      <c r="H65" s="707">
        <v>1</v>
      </c>
      <c r="I65" s="740"/>
      <c r="J65" s="757"/>
      <c r="K65" s="748"/>
      <c r="L65" s="387" t="s">
        <v>1162</v>
      </c>
      <c r="M65" s="387" t="s">
        <v>1212</v>
      </c>
      <c r="N65" s="387" t="s">
        <v>1230</v>
      </c>
      <c r="O65" s="387" t="s">
        <v>1231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236</v>
      </c>
      <c r="C66" s="666" t="s">
        <v>1235</v>
      </c>
      <c r="D66" s="667"/>
      <c r="E66" s="665"/>
      <c r="F66" s="681" t="s">
        <v>1004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236</v>
      </c>
      <c r="C67" s="687" t="s">
        <v>1236</v>
      </c>
      <c r="D67" s="684" t="s">
        <v>159</v>
      </c>
      <c r="E67" s="684"/>
      <c r="F67" s="685" t="s">
        <v>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236</v>
      </c>
      <c r="C68" s="387" t="s">
        <v>1236</v>
      </c>
      <c r="D68" s="376" t="s">
        <v>159</v>
      </c>
      <c r="E68" s="376" t="s">
        <v>1162</v>
      </c>
      <c r="F68" s="608" t="s">
        <v>17</v>
      </c>
      <c r="G68" s="609">
        <v>6.3210374741250011</v>
      </c>
      <c r="H68" s="692">
        <v>1</v>
      </c>
      <c r="I68" s="626"/>
      <c r="J68" s="751"/>
      <c r="L68" s="376" t="s">
        <v>1162</v>
      </c>
      <c r="M68" s="376" t="s">
        <v>1181</v>
      </c>
      <c r="N68" s="376" t="s">
        <v>1182</v>
      </c>
      <c r="O68" s="376" t="s">
        <v>1208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236</v>
      </c>
      <c r="C69" s="387" t="s">
        <v>1236</v>
      </c>
      <c r="D69" s="376" t="s">
        <v>159</v>
      </c>
      <c r="E69" s="376" t="s">
        <v>1162</v>
      </c>
      <c r="F69" s="608" t="s">
        <v>36</v>
      </c>
      <c r="G69" s="609">
        <v>6.3210374741250011</v>
      </c>
      <c r="H69" s="692">
        <v>1</v>
      </c>
      <c r="I69" s="626"/>
      <c r="J69" s="751"/>
      <c r="L69" s="376" t="s">
        <v>1162</v>
      </c>
      <c r="M69" s="376" t="s">
        <v>1181</v>
      </c>
      <c r="N69" s="376" t="s">
        <v>1182</v>
      </c>
      <c r="O69" s="376" t="s">
        <v>1208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236</v>
      </c>
      <c r="C70" s="387" t="s">
        <v>1236</v>
      </c>
      <c r="D70" s="376" t="s">
        <v>159</v>
      </c>
      <c r="E70" s="376" t="s">
        <v>1162</v>
      </c>
      <c r="F70" s="608" t="s">
        <v>208</v>
      </c>
      <c r="G70" s="609">
        <v>3.16</v>
      </c>
      <c r="H70" s="692">
        <v>1</v>
      </c>
      <c r="I70" s="626"/>
      <c r="J70" s="751"/>
      <c r="L70" s="376" t="s">
        <v>1162</v>
      </c>
      <c r="M70" s="376" t="s">
        <v>1181</v>
      </c>
      <c r="N70" s="376" t="s">
        <v>1182</v>
      </c>
      <c r="O70" s="376" t="s">
        <v>1208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7.45">
      <c r="A2" s="376"/>
      <c r="B2" s="418" t="s">
        <v>1237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">
      <c r="A6" s="376"/>
      <c r="B6" s="430" t="s">
        <v>935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891</v>
      </c>
      <c r="C8" s="665" t="s">
        <v>1238</v>
      </c>
      <c r="D8" s="665"/>
      <c r="E8" s="665"/>
      <c r="F8" s="681" t="s">
        <v>1004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891</v>
      </c>
      <c r="C9" s="684" t="s">
        <v>1238</v>
      </c>
      <c r="D9" s="684" t="s">
        <v>159</v>
      </c>
      <c r="E9" s="684"/>
      <c r="F9" s="685" t="s">
        <v>1239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.45" outlineLevel="3">
      <c r="A10" s="376"/>
      <c r="B10" s="376" t="s">
        <v>891</v>
      </c>
      <c r="C10" s="376" t="s">
        <v>1240</v>
      </c>
      <c r="D10" s="376" t="s">
        <v>159</v>
      </c>
      <c r="E10" s="376" t="s">
        <v>1169</v>
      </c>
      <c r="F10" s="608" t="s">
        <v>9</v>
      </c>
      <c r="G10" s="609">
        <v>0.27</v>
      </c>
      <c r="H10" s="700">
        <v>1</v>
      </c>
      <c r="I10" s="626"/>
      <c r="J10" s="751"/>
      <c r="L10" s="376" t="s">
        <v>1169</v>
      </c>
      <c r="M10" s="376" t="s">
        <v>1241</v>
      </c>
      <c r="N10" s="376" t="s">
        <v>1242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891</v>
      </c>
      <c r="C11" s="376" t="s">
        <v>1240</v>
      </c>
      <c r="D11" s="376" t="s">
        <v>159</v>
      </c>
      <c r="E11" s="376" t="s">
        <v>1169</v>
      </c>
      <c r="F11" s="608" t="s">
        <v>1243</v>
      </c>
      <c r="G11" s="695">
        <v>4.5377035860000005E-2</v>
      </c>
      <c r="H11" s="700">
        <v>1</v>
      </c>
      <c r="I11" s="626"/>
      <c r="J11" s="751"/>
      <c r="L11" s="376" t="s">
        <v>1169</v>
      </c>
      <c r="M11" s="376" t="s">
        <v>1244</v>
      </c>
      <c r="N11" s="376" t="s">
        <v>1245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" customHeight="1" outlineLevel="3">
      <c r="A12" s="376"/>
      <c r="B12" s="376" t="s">
        <v>891</v>
      </c>
      <c r="C12" s="376" t="s">
        <v>1195</v>
      </c>
      <c r="D12" s="376" t="s">
        <v>159</v>
      </c>
      <c r="E12" s="376" t="s">
        <v>1169</v>
      </c>
      <c r="F12" s="608" t="s">
        <v>1246</v>
      </c>
      <c r="G12" s="609">
        <v>4.2238262499999998E-2</v>
      </c>
      <c r="H12" s="692">
        <v>1</v>
      </c>
      <c r="I12" s="626"/>
      <c r="J12" s="751"/>
      <c r="L12" s="376" t="s">
        <v>1169</v>
      </c>
      <c r="M12" s="376" t="s">
        <v>1244</v>
      </c>
      <c r="N12" s="376" t="s">
        <v>1245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891</v>
      </c>
      <c r="C13" s="665" t="s">
        <v>1247</v>
      </c>
      <c r="D13" s="665"/>
      <c r="E13" s="665"/>
      <c r="F13" s="681" t="s">
        <v>1004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891</v>
      </c>
      <c r="C14" s="684" t="s">
        <v>1247</v>
      </c>
      <c r="D14" s="684" t="s">
        <v>159</v>
      </c>
      <c r="E14" s="684"/>
      <c r="F14" s="685" t="s">
        <v>1248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891</v>
      </c>
      <c r="C15" s="376" t="s">
        <v>1247</v>
      </c>
      <c r="D15" s="376" t="s">
        <v>159</v>
      </c>
      <c r="E15" s="387" t="s">
        <v>1169</v>
      </c>
      <c r="F15" s="608" t="s">
        <v>1224</v>
      </c>
      <c r="G15" s="609">
        <v>0.27398366869616486</v>
      </c>
      <c r="H15" s="692">
        <v>1</v>
      </c>
      <c r="I15" s="626"/>
      <c r="J15" s="751"/>
      <c r="K15" s="416"/>
      <c r="L15" s="387" t="s">
        <v>1169</v>
      </c>
      <c r="M15" s="387" t="s">
        <v>1241</v>
      </c>
      <c r="N15" s="387" t="s">
        <v>1249</v>
      </c>
      <c r="O15" s="387" t="s">
        <v>1245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891</v>
      </c>
      <c r="C16" s="376" t="s">
        <v>1247</v>
      </c>
      <c r="D16" s="376" t="s">
        <v>159</v>
      </c>
      <c r="E16" s="387" t="s">
        <v>1169</v>
      </c>
      <c r="F16" s="608" t="s">
        <v>1250</v>
      </c>
      <c r="G16" s="609">
        <v>0.36</v>
      </c>
      <c r="H16" s="692">
        <v>1</v>
      </c>
      <c r="I16" s="626"/>
      <c r="J16" s="751"/>
      <c r="K16" s="416"/>
      <c r="L16" s="387" t="s">
        <v>1169</v>
      </c>
      <c r="M16" s="387" t="s">
        <v>1241</v>
      </c>
      <c r="N16" s="387" t="s">
        <v>1249</v>
      </c>
      <c r="O16" s="387" t="s">
        <v>1251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891</v>
      </c>
      <c r="C17" s="376" t="s">
        <v>1247</v>
      </c>
      <c r="D17" s="376" t="s">
        <v>159</v>
      </c>
      <c r="E17" s="387" t="s">
        <v>1169</v>
      </c>
      <c r="F17" s="608" t="s">
        <v>1252</v>
      </c>
      <c r="G17" s="609">
        <v>0.36</v>
      </c>
      <c r="H17" s="692">
        <v>1</v>
      </c>
      <c r="I17" s="626"/>
      <c r="J17" s="751"/>
      <c r="K17" s="416"/>
      <c r="L17" s="387" t="s">
        <v>1169</v>
      </c>
      <c r="M17" s="387" t="s">
        <v>1241</v>
      </c>
      <c r="N17" s="387" t="s">
        <v>1249</v>
      </c>
      <c r="O17" s="387" t="s">
        <v>1251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6.45" outlineLevel="3">
      <c r="B18" s="376" t="s">
        <v>891</v>
      </c>
      <c r="C18" s="376" t="s">
        <v>1247</v>
      </c>
      <c r="D18" s="376" t="s">
        <v>159</v>
      </c>
      <c r="E18" s="387" t="s">
        <v>1169</v>
      </c>
      <c r="F18" s="608" t="s">
        <v>1253</v>
      </c>
      <c r="G18" s="609">
        <v>4.3982695586700871E-2</v>
      </c>
      <c r="H18" s="692">
        <v>1</v>
      </c>
      <c r="I18" s="626"/>
      <c r="J18" s="751"/>
      <c r="K18" s="416"/>
      <c r="L18" s="387" t="s">
        <v>1169</v>
      </c>
      <c r="M18" s="387" t="s">
        <v>1241</v>
      </c>
      <c r="N18" s="387" t="s">
        <v>1245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6.45" outlineLevel="3">
      <c r="B19" s="376" t="s">
        <v>891</v>
      </c>
      <c r="C19" s="376" t="s">
        <v>1247</v>
      </c>
      <c r="D19" s="376" t="s">
        <v>159</v>
      </c>
      <c r="E19" s="387" t="s">
        <v>1169</v>
      </c>
      <c r="F19" s="608" t="s">
        <v>1254</v>
      </c>
      <c r="G19" s="609">
        <v>4.3982695586700871E-2</v>
      </c>
      <c r="H19" s="692">
        <v>1</v>
      </c>
      <c r="I19" s="626"/>
      <c r="J19" s="751"/>
      <c r="K19" s="416"/>
      <c r="L19" s="387" t="s">
        <v>1169</v>
      </c>
      <c r="M19" s="387" t="s">
        <v>1241</v>
      </c>
      <c r="N19" s="387" t="s">
        <v>1242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6.45" outlineLevel="3">
      <c r="B20" s="376" t="s">
        <v>891</v>
      </c>
      <c r="C20" s="376" t="s">
        <v>1247</v>
      </c>
      <c r="D20" s="376" t="s">
        <v>159</v>
      </c>
      <c r="E20" s="387" t="s">
        <v>1169</v>
      </c>
      <c r="F20" s="608" t="s">
        <v>1255</v>
      </c>
      <c r="G20" s="609">
        <v>6.5974043380051306E-2</v>
      </c>
      <c r="H20" s="692">
        <v>1</v>
      </c>
      <c r="I20" s="626"/>
      <c r="J20" s="751"/>
      <c r="K20" s="416"/>
      <c r="L20" s="387" t="s">
        <v>1169</v>
      </c>
      <c r="M20" s="387" t="s">
        <v>1241</v>
      </c>
      <c r="N20" s="387" t="s">
        <v>1249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6.45" outlineLevel="3">
      <c r="B21" s="376" t="s">
        <v>891</v>
      </c>
      <c r="C21" s="376" t="s">
        <v>1247</v>
      </c>
      <c r="D21" s="376" t="s">
        <v>159</v>
      </c>
      <c r="E21" s="387" t="s">
        <v>1169</v>
      </c>
      <c r="F21" s="608" t="s">
        <v>1256</v>
      </c>
      <c r="G21" s="609">
        <v>6.5974043380051306E-2</v>
      </c>
      <c r="H21" s="692">
        <v>1</v>
      </c>
      <c r="I21" s="626"/>
      <c r="J21" s="751"/>
      <c r="K21" s="416"/>
      <c r="L21" s="387" t="s">
        <v>1169</v>
      </c>
      <c r="M21" s="387" t="s">
        <v>1241</v>
      </c>
      <c r="N21" s="387" t="s">
        <v>1249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6.45" outlineLevel="3">
      <c r="B22" s="376" t="s">
        <v>891</v>
      </c>
      <c r="C22" s="376" t="s">
        <v>1247</v>
      </c>
      <c r="D22" s="376" t="s">
        <v>159</v>
      </c>
      <c r="E22" s="387" t="s">
        <v>1169</v>
      </c>
      <c r="F22" s="608" t="s">
        <v>1257</v>
      </c>
      <c r="G22" s="609">
        <v>6.5974043380051306E-2</v>
      </c>
      <c r="H22" s="692">
        <v>1</v>
      </c>
      <c r="I22" s="626"/>
      <c r="J22" s="751"/>
      <c r="K22" s="416"/>
      <c r="L22" s="387" t="s">
        <v>1169</v>
      </c>
      <c r="M22" s="387" t="s">
        <v>1241</v>
      </c>
      <c r="N22" s="387" t="s">
        <v>1249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6.45" outlineLevel="3">
      <c r="B23" s="376" t="s">
        <v>891</v>
      </c>
      <c r="C23" s="376" t="s">
        <v>1247</v>
      </c>
      <c r="D23" s="376" t="s">
        <v>159</v>
      </c>
      <c r="E23" s="387" t="s">
        <v>1169</v>
      </c>
      <c r="F23" s="608" t="s">
        <v>1258</v>
      </c>
      <c r="G23" s="609">
        <v>6.5974043380051306E-2</v>
      </c>
      <c r="H23" s="692">
        <v>1</v>
      </c>
      <c r="I23" s="626"/>
      <c r="J23" s="751"/>
      <c r="K23" s="416"/>
      <c r="L23" s="387" t="s">
        <v>1169</v>
      </c>
      <c r="M23" s="387" t="s">
        <v>1241</v>
      </c>
      <c r="N23" s="387" t="s">
        <v>1249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6.45" outlineLevel="3">
      <c r="B24" s="376" t="s">
        <v>891</v>
      </c>
      <c r="C24" s="376" t="s">
        <v>1247</v>
      </c>
      <c r="D24" s="376" t="s">
        <v>159</v>
      </c>
      <c r="E24" s="387" t="s">
        <v>1169</v>
      </c>
      <c r="F24" s="608" t="s">
        <v>1259</v>
      </c>
      <c r="G24" s="609">
        <v>1.466089852890029E-2</v>
      </c>
      <c r="H24" s="692">
        <v>1</v>
      </c>
      <c r="I24" s="626"/>
      <c r="J24" s="751"/>
      <c r="K24" s="416"/>
      <c r="L24" s="387" t="s">
        <v>1169</v>
      </c>
      <c r="M24" s="387" t="s">
        <v>1241</v>
      </c>
      <c r="N24" s="387" t="s">
        <v>1249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6.45" outlineLevel="3">
      <c r="B25" s="376" t="s">
        <v>891</v>
      </c>
      <c r="C25" s="376" t="s">
        <v>1247</v>
      </c>
      <c r="D25" s="376" t="s">
        <v>159</v>
      </c>
      <c r="E25" s="387" t="s">
        <v>1169</v>
      </c>
      <c r="F25" s="608" t="s">
        <v>1260</v>
      </c>
      <c r="G25" s="609">
        <v>2.932179705780058E-2</v>
      </c>
      <c r="H25" s="692">
        <v>1</v>
      </c>
      <c r="I25" s="626"/>
      <c r="J25" s="751"/>
      <c r="K25" s="416"/>
      <c r="L25" s="387" t="s">
        <v>1169</v>
      </c>
      <c r="M25" s="387" t="s">
        <v>1241</v>
      </c>
      <c r="N25" s="387" t="s">
        <v>1242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6.45" outlineLevel="3">
      <c r="B26" s="376" t="s">
        <v>891</v>
      </c>
      <c r="C26" s="376" t="s">
        <v>1247</v>
      </c>
      <c r="D26" s="376" t="s">
        <v>159</v>
      </c>
      <c r="E26" s="387" t="s">
        <v>1169</v>
      </c>
      <c r="F26" s="608" t="s">
        <v>1261</v>
      </c>
      <c r="G26" s="609">
        <v>2.932179705780058E-2</v>
      </c>
      <c r="H26" s="692">
        <v>1</v>
      </c>
      <c r="I26" s="626"/>
      <c r="J26" s="751"/>
      <c r="K26" s="416"/>
      <c r="L26" s="387" t="s">
        <v>1169</v>
      </c>
      <c r="M26" s="387" t="s">
        <v>1241</v>
      </c>
      <c r="N26" s="387" t="s">
        <v>1242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6.45" outlineLevel="3">
      <c r="B27" s="376" t="s">
        <v>891</v>
      </c>
      <c r="C27" s="376" t="s">
        <v>1247</v>
      </c>
      <c r="D27" s="376" t="s">
        <v>159</v>
      </c>
      <c r="E27" s="387" t="s">
        <v>1169</v>
      </c>
      <c r="F27" s="608" t="s">
        <v>1262</v>
      </c>
      <c r="G27" s="609">
        <v>4.3982695586700871E-2</v>
      </c>
      <c r="H27" s="692">
        <v>1</v>
      </c>
      <c r="I27" s="626"/>
      <c r="J27" s="751"/>
      <c r="K27" s="416"/>
      <c r="L27" s="387" t="s">
        <v>1169</v>
      </c>
      <c r="M27" s="387" t="s">
        <v>1241</v>
      </c>
      <c r="N27" s="387" t="s">
        <v>1242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891</v>
      </c>
      <c r="C28" s="387" t="s">
        <v>1247</v>
      </c>
      <c r="D28" s="387" t="s">
        <v>159</v>
      </c>
      <c r="E28" s="387" t="s">
        <v>1169</v>
      </c>
      <c r="F28" s="705" t="s">
        <v>1263</v>
      </c>
      <c r="G28" s="706">
        <v>0.05</v>
      </c>
      <c r="H28" s="707">
        <v>1</v>
      </c>
      <c r="I28" s="626"/>
      <c r="J28" s="751"/>
      <c r="K28" s="416"/>
      <c r="L28" s="387" t="s">
        <v>1169</v>
      </c>
      <c r="M28" s="387" t="s">
        <v>1244</v>
      </c>
      <c r="N28" s="387" t="s">
        <v>1245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891</v>
      </c>
      <c r="C29" s="387" t="s">
        <v>1247</v>
      </c>
      <c r="D29" s="387" t="s">
        <v>159</v>
      </c>
      <c r="E29" s="387" t="s">
        <v>1169</v>
      </c>
      <c r="F29" s="705" t="s">
        <v>1264</v>
      </c>
      <c r="G29" s="706">
        <v>0.05</v>
      </c>
      <c r="H29" s="707">
        <v>1</v>
      </c>
      <c r="I29" s="626"/>
      <c r="J29" s="751"/>
      <c r="K29" s="416"/>
      <c r="L29" s="387" t="s">
        <v>1169</v>
      </c>
      <c r="M29" s="387" t="s">
        <v>1244</v>
      </c>
      <c r="N29" s="387" t="s">
        <v>1245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894</v>
      </c>
      <c r="C30" s="666" t="s">
        <v>1265</v>
      </c>
      <c r="D30" s="666"/>
      <c r="E30" s="666"/>
      <c r="F30" s="681" t="s">
        <v>1004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894</v>
      </c>
      <c r="C31" s="684" t="s">
        <v>1265</v>
      </c>
      <c r="D31" s="684" t="s">
        <v>159</v>
      </c>
      <c r="E31" s="684"/>
      <c r="F31" s="712" t="s">
        <v>1179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894</v>
      </c>
      <c r="C32" s="376" t="s">
        <v>1265</v>
      </c>
      <c r="D32" s="376" t="s">
        <v>159</v>
      </c>
      <c r="E32" s="376" t="s">
        <v>1169</v>
      </c>
      <c r="F32" s="623" t="s">
        <v>1266</v>
      </c>
      <c r="G32" s="720">
        <v>0.17</v>
      </c>
      <c r="H32" s="700">
        <v>1</v>
      </c>
      <c r="I32" s="626"/>
      <c r="J32" s="751"/>
      <c r="L32" s="376" t="s">
        <v>1169</v>
      </c>
      <c r="M32" s="376" t="s">
        <v>1267</v>
      </c>
      <c r="N32" s="376" t="s">
        <v>1268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ht="26.45" outlineLevel="3">
      <c r="B33" s="376" t="s">
        <v>894</v>
      </c>
      <c r="C33" s="376" t="s">
        <v>1265</v>
      </c>
      <c r="D33" s="376" t="s">
        <v>159</v>
      </c>
      <c r="E33" s="376" t="s">
        <v>1169</v>
      </c>
      <c r="F33" s="623" t="s">
        <v>1269</v>
      </c>
      <c r="G33" s="720">
        <v>0.17</v>
      </c>
      <c r="H33" s="700">
        <v>1</v>
      </c>
      <c r="I33" s="626"/>
      <c r="J33" s="751"/>
      <c r="L33" s="376" t="s">
        <v>1169</v>
      </c>
      <c r="M33" s="376" t="s">
        <v>1267</v>
      </c>
      <c r="N33" s="376" t="s">
        <v>1268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894</v>
      </c>
      <c r="C34" s="376" t="s">
        <v>1265</v>
      </c>
      <c r="D34" s="376" t="s">
        <v>159</v>
      </c>
      <c r="E34" s="376" t="s">
        <v>1169</v>
      </c>
      <c r="F34" s="623" t="s">
        <v>1270</v>
      </c>
      <c r="G34" s="720">
        <v>1.18</v>
      </c>
      <c r="H34" s="700">
        <v>1</v>
      </c>
      <c r="I34" s="626"/>
      <c r="J34" s="751"/>
      <c r="L34" s="376" t="s">
        <v>1169</v>
      </c>
      <c r="M34" s="376" t="s">
        <v>1271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894</v>
      </c>
      <c r="C35" s="376" t="s">
        <v>1265</v>
      </c>
      <c r="D35" s="376" t="s">
        <v>159</v>
      </c>
      <c r="E35" s="376" t="s">
        <v>1169</v>
      </c>
      <c r="F35" s="623" t="s">
        <v>1272</v>
      </c>
      <c r="G35" s="720">
        <f>10659000/10^7</f>
        <v>1.0659000000000001</v>
      </c>
      <c r="H35" s="700">
        <v>1</v>
      </c>
      <c r="I35" s="626"/>
      <c r="J35" s="751"/>
      <c r="L35" s="376" t="s">
        <v>1169</v>
      </c>
      <c r="M35" s="376" t="s">
        <v>1273</v>
      </c>
      <c r="N35" s="376" t="s">
        <v>1274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894</v>
      </c>
      <c r="C36" s="376" t="s">
        <v>1265</v>
      </c>
      <c r="D36" s="376" t="s">
        <v>159</v>
      </c>
      <c r="E36" s="376" t="s">
        <v>1169</v>
      </c>
      <c r="F36" s="623" t="s">
        <v>1275</v>
      </c>
      <c r="G36" s="720">
        <v>0.45</v>
      </c>
      <c r="H36" s="700">
        <v>1</v>
      </c>
      <c r="I36" s="626"/>
      <c r="J36" s="751"/>
      <c r="L36" s="376" t="s">
        <v>1169</v>
      </c>
      <c r="M36" s="376" t="s">
        <v>1276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894</v>
      </c>
      <c r="C37" s="376" t="s">
        <v>1265</v>
      </c>
      <c r="D37" s="376" t="s">
        <v>159</v>
      </c>
      <c r="E37" s="376" t="s">
        <v>1169</v>
      </c>
      <c r="F37" s="623" t="s">
        <v>1277</v>
      </c>
      <c r="G37" s="720">
        <v>0.15</v>
      </c>
      <c r="H37" s="700">
        <v>1</v>
      </c>
      <c r="I37" s="626"/>
      <c r="J37" s="751"/>
      <c r="L37" s="376" t="s">
        <v>1169</v>
      </c>
      <c r="M37" s="376" t="s">
        <v>1276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894</v>
      </c>
      <c r="C38" s="376" t="s">
        <v>1265</v>
      </c>
      <c r="D38" s="376" t="s">
        <v>159</v>
      </c>
      <c r="E38" s="376" t="s">
        <v>1169</v>
      </c>
      <c r="F38" s="623" t="s">
        <v>1278</v>
      </c>
      <c r="G38" s="720">
        <v>0.15</v>
      </c>
      <c r="H38" s="700">
        <v>1</v>
      </c>
      <c r="I38" s="626"/>
      <c r="J38" s="751"/>
      <c r="L38" s="376" t="s">
        <v>1169</v>
      </c>
      <c r="M38" s="376" t="s">
        <v>1276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894</v>
      </c>
      <c r="C39" s="387" t="s">
        <v>1265</v>
      </c>
      <c r="D39" s="387" t="s">
        <v>159</v>
      </c>
      <c r="E39" s="387" t="s">
        <v>1169</v>
      </c>
      <c r="F39" s="705" t="s">
        <v>1279</v>
      </c>
      <c r="G39" s="721">
        <v>0.03</v>
      </c>
      <c r="H39" s="722">
        <v>1</v>
      </c>
      <c r="I39" s="626"/>
      <c r="J39" s="751"/>
      <c r="L39" s="387" t="s">
        <v>1169</v>
      </c>
      <c r="M39" s="387" t="s">
        <v>1276</v>
      </c>
      <c r="N39" s="387" t="s">
        <v>1280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469</v>
      </c>
      <c r="C40" s="666" t="s">
        <v>1281</v>
      </c>
      <c r="D40" s="666"/>
      <c r="E40" s="666"/>
      <c r="F40" s="681" t="s">
        <v>1004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469</v>
      </c>
      <c r="C41" s="684" t="s">
        <v>1281</v>
      </c>
      <c r="D41" s="684" t="s">
        <v>159</v>
      </c>
      <c r="E41" s="687"/>
      <c r="F41" s="685" t="s">
        <v>1282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469</v>
      </c>
      <c r="C42" s="376" t="s">
        <v>1281</v>
      </c>
      <c r="D42" s="376" t="s">
        <v>159</v>
      </c>
      <c r="E42" s="387" t="s">
        <v>1169</v>
      </c>
      <c r="F42" s="623" t="s">
        <v>1283</v>
      </c>
      <c r="G42" s="695">
        <v>0.2</v>
      </c>
      <c r="H42" s="700">
        <v>1</v>
      </c>
      <c r="I42" s="626"/>
      <c r="J42" s="751"/>
      <c r="L42" s="387" t="s">
        <v>1169</v>
      </c>
      <c r="M42" s="387" t="s">
        <v>1284</v>
      </c>
      <c r="N42" s="387" t="s">
        <v>1285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469</v>
      </c>
      <c r="C43" s="376" t="s">
        <v>1281</v>
      </c>
      <c r="D43" s="376" t="s">
        <v>159</v>
      </c>
      <c r="E43" s="387" t="s">
        <v>1169</v>
      </c>
      <c r="F43" s="623" t="s">
        <v>1286</v>
      </c>
      <c r="G43" s="695">
        <v>0.41</v>
      </c>
      <c r="H43" s="700">
        <v>1</v>
      </c>
      <c r="I43" s="626"/>
      <c r="J43" s="751"/>
      <c r="L43" s="387" t="s">
        <v>1169</v>
      </c>
      <c r="M43" s="387" t="s">
        <v>1284</v>
      </c>
      <c r="N43" s="387" t="s">
        <v>1285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469</v>
      </c>
      <c r="C44" s="376" t="s">
        <v>1281</v>
      </c>
      <c r="D44" s="376" t="s">
        <v>159</v>
      </c>
      <c r="E44" s="387" t="s">
        <v>1169</v>
      </c>
      <c r="F44" s="623" t="s">
        <v>1287</v>
      </c>
      <c r="G44" s="695">
        <v>0.61</v>
      </c>
      <c r="H44" s="700">
        <v>1</v>
      </c>
      <c r="I44" s="626"/>
      <c r="J44" s="751"/>
      <c r="L44" s="387" t="s">
        <v>1169</v>
      </c>
      <c r="M44" s="387" t="s">
        <v>1284</v>
      </c>
      <c r="N44" s="387" t="s">
        <v>1285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469</v>
      </c>
      <c r="C45" s="376" t="s">
        <v>1281</v>
      </c>
      <c r="D45" s="376" t="s">
        <v>159</v>
      </c>
      <c r="E45" s="387" t="s">
        <v>1169</v>
      </c>
      <c r="F45" s="623" t="s">
        <v>1288</v>
      </c>
      <c r="G45" s="695">
        <v>0.82</v>
      </c>
      <c r="H45" s="700">
        <v>1</v>
      </c>
      <c r="I45" s="626"/>
      <c r="J45" s="751"/>
      <c r="L45" s="387" t="s">
        <v>1169</v>
      </c>
      <c r="M45" s="387" t="s">
        <v>1284</v>
      </c>
      <c r="N45" s="387" t="s">
        <v>1285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469</v>
      </c>
      <c r="C46" s="376" t="s">
        <v>1281</v>
      </c>
      <c r="D46" s="376" t="s">
        <v>159</v>
      </c>
      <c r="E46" s="387" t="s">
        <v>1169</v>
      </c>
      <c r="F46" s="623" t="s">
        <v>1289</v>
      </c>
      <c r="G46" s="695">
        <v>0.48</v>
      </c>
      <c r="H46" s="700">
        <v>1</v>
      </c>
      <c r="I46" s="626"/>
      <c r="J46" s="751"/>
      <c r="L46" s="387" t="s">
        <v>1169</v>
      </c>
      <c r="M46" s="387" t="s">
        <v>1285</v>
      </c>
      <c r="N46" s="387" t="s">
        <v>1290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6.45" outlineLevel="3">
      <c r="B47" s="376" t="s">
        <v>469</v>
      </c>
      <c r="C47" s="376" t="s">
        <v>1281</v>
      </c>
      <c r="D47" s="376" t="s">
        <v>159</v>
      </c>
      <c r="E47" s="387" t="s">
        <v>1169</v>
      </c>
      <c r="F47" s="623" t="s">
        <v>1291</v>
      </c>
      <c r="G47" s="695">
        <v>0.9638500000000001</v>
      </c>
      <c r="H47" s="700">
        <v>1</v>
      </c>
      <c r="I47" s="626"/>
      <c r="J47" s="751"/>
      <c r="L47" s="387" t="s">
        <v>1169</v>
      </c>
      <c r="M47" s="387" t="s">
        <v>1285</v>
      </c>
      <c r="N47" s="387" t="s">
        <v>1290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469</v>
      </c>
      <c r="C48" s="376" t="s">
        <v>1281</v>
      </c>
      <c r="D48" s="376" t="s">
        <v>159</v>
      </c>
      <c r="E48" s="387" t="s">
        <v>1169</v>
      </c>
      <c r="F48" s="623" t="s">
        <v>1292</v>
      </c>
      <c r="G48" s="695">
        <v>0.52</v>
      </c>
      <c r="H48" s="700">
        <v>1</v>
      </c>
      <c r="I48" s="626"/>
      <c r="J48" s="751"/>
      <c r="L48" s="387" t="s">
        <v>1169</v>
      </c>
      <c r="M48" s="387" t="s">
        <v>1290</v>
      </c>
      <c r="N48" s="387" t="s">
        <v>1293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469</v>
      </c>
      <c r="C49" s="376" t="s">
        <v>1281</v>
      </c>
      <c r="D49" s="376" t="s">
        <v>159</v>
      </c>
      <c r="E49" s="387" t="s">
        <v>1169</v>
      </c>
      <c r="F49" s="623" t="s">
        <v>1294</v>
      </c>
      <c r="G49" s="695">
        <v>0.52</v>
      </c>
      <c r="H49" s="700">
        <v>1</v>
      </c>
      <c r="I49" s="626"/>
      <c r="J49" s="751"/>
      <c r="L49" s="387" t="s">
        <v>1169</v>
      </c>
      <c r="M49" s="387" t="s">
        <v>1295</v>
      </c>
      <c r="O49" s="751"/>
      <c r="Q49" s="609"/>
      <c r="R49" s="610"/>
      <c r="T49" s="751"/>
    </row>
    <row r="50" spans="2:23" outlineLevel="3">
      <c r="B50" s="376" t="s">
        <v>469</v>
      </c>
      <c r="C50" s="376" t="s">
        <v>1281</v>
      </c>
      <c r="D50" s="376" t="s">
        <v>159</v>
      </c>
      <c r="E50" s="387" t="s">
        <v>1169</v>
      </c>
      <c r="F50" s="623" t="s">
        <v>1296</v>
      </c>
      <c r="G50" s="695">
        <v>0.52</v>
      </c>
      <c r="H50" s="700">
        <v>1</v>
      </c>
      <c r="I50" s="626"/>
      <c r="J50" s="751"/>
      <c r="L50" s="387" t="s">
        <v>1169</v>
      </c>
      <c r="M50" s="387" t="s">
        <v>1295</v>
      </c>
      <c r="N50" s="387" t="s">
        <v>1285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469</v>
      </c>
      <c r="C51" s="376" t="s">
        <v>1281</v>
      </c>
      <c r="D51" s="376" t="s">
        <v>159</v>
      </c>
      <c r="E51" s="387" t="s">
        <v>1169</v>
      </c>
      <c r="F51" s="623" t="s">
        <v>1297</v>
      </c>
      <c r="G51" s="695">
        <v>0.52</v>
      </c>
      <c r="H51" s="700">
        <v>1</v>
      </c>
      <c r="I51" s="626"/>
      <c r="J51" s="751"/>
      <c r="L51" s="387" t="s">
        <v>1169</v>
      </c>
      <c r="M51" s="387" t="s">
        <v>1285</v>
      </c>
      <c r="N51" s="387" t="s">
        <v>1295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469</v>
      </c>
      <c r="C52" s="376" t="s">
        <v>1281</v>
      </c>
      <c r="D52" s="376" t="s">
        <v>159</v>
      </c>
      <c r="E52" s="387" t="s">
        <v>1169</v>
      </c>
      <c r="F52" s="623" t="s">
        <v>1298</v>
      </c>
      <c r="G52" s="695">
        <v>0.17</v>
      </c>
      <c r="H52" s="700">
        <v>1</v>
      </c>
      <c r="I52" s="626"/>
      <c r="J52" s="751"/>
      <c r="L52" s="387" t="s">
        <v>1169</v>
      </c>
      <c r="M52" s="387" t="s">
        <v>1284</v>
      </c>
      <c r="N52" s="387" t="s">
        <v>1285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469</v>
      </c>
      <c r="C53" s="376" t="s">
        <v>1281</v>
      </c>
      <c r="D53" s="376" t="s">
        <v>159</v>
      </c>
      <c r="E53" s="387" t="s">
        <v>1169</v>
      </c>
      <c r="F53" s="623" t="s">
        <v>1299</v>
      </c>
      <c r="G53" s="695">
        <v>0.02</v>
      </c>
      <c r="H53" s="700">
        <v>1</v>
      </c>
      <c r="I53" s="626"/>
      <c r="J53" s="751"/>
      <c r="L53" s="387" t="s">
        <v>1169</v>
      </c>
      <c r="M53" s="387" t="s">
        <v>1285</v>
      </c>
      <c r="N53" s="387" t="s">
        <v>1290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469</v>
      </c>
      <c r="C54" s="376" t="s">
        <v>1281</v>
      </c>
      <c r="D54" s="376" t="s">
        <v>159</v>
      </c>
      <c r="E54" s="387" t="s">
        <v>1169</v>
      </c>
      <c r="F54" s="623" t="s">
        <v>1300</v>
      </c>
      <c r="G54" s="695">
        <v>0.03</v>
      </c>
      <c r="H54" s="700">
        <v>1</v>
      </c>
      <c r="I54" s="626"/>
      <c r="J54" s="751"/>
      <c r="L54" s="387" t="s">
        <v>1169</v>
      </c>
      <c r="M54" s="387" t="s">
        <v>1284</v>
      </c>
      <c r="N54" s="387" t="s">
        <v>1285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469</v>
      </c>
      <c r="C55" s="376" t="s">
        <v>1281</v>
      </c>
      <c r="D55" s="376" t="s">
        <v>159</v>
      </c>
      <c r="E55" s="387" t="s">
        <v>1169</v>
      </c>
      <c r="F55" s="623" t="s">
        <v>1301</v>
      </c>
      <c r="G55" s="695">
        <v>0.03</v>
      </c>
      <c r="H55" s="700">
        <v>1</v>
      </c>
      <c r="I55" s="626"/>
      <c r="J55" s="751"/>
      <c r="L55" s="387" t="s">
        <v>1169</v>
      </c>
      <c r="M55" s="387" t="s">
        <v>1284</v>
      </c>
      <c r="N55" s="387" t="s">
        <v>1285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469</v>
      </c>
      <c r="C56" s="376" t="s">
        <v>1281</v>
      </c>
      <c r="D56" s="376" t="s">
        <v>159</v>
      </c>
      <c r="E56" s="387" t="s">
        <v>1169</v>
      </c>
      <c r="F56" s="623" t="s">
        <v>1302</v>
      </c>
      <c r="G56" s="695">
        <v>1.4999999999999999E-2</v>
      </c>
      <c r="H56" s="700">
        <v>1</v>
      </c>
      <c r="I56" s="626"/>
      <c r="J56" s="751"/>
      <c r="L56" s="387" t="s">
        <v>1169</v>
      </c>
      <c r="M56" s="387" t="s">
        <v>1284</v>
      </c>
      <c r="N56" s="387" t="s">
        <v>1285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469</v>
      </c>
      <c r="C57" s="376" t="s">
        <v>1281</v>
      </c>
      <c r="D57" s="376" t="s">
        <v>159</v>
      </c>
      <c r="E57" s="387" t="s">
        <v>1169</v>
      </c>
      <c r="F57" s="623" t="s">
        <v>1303</v>
      </c>
      <c r="G57" s="695">
        <v>1.4999999999999999E-2</v>
      </c>
      <c r="H57" s="700">
        <v>1</v>
      </c>
      <c r="I57" s="626"/>
      <c r="J57" s="751"/>
      <c r="L57" s="387" t="s">
        <v>1169</v>
      </c>
      <c r="M57" s="387" t="s">
        <v>1284</v>
      </c>
      <c r="N57" s="387" t="s">
        <v>1285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469</v>
      </c>
      <c r="C58" s="376" t="s">
        <v>1281</v>
      </c>
      <c r="D58" s="376" t="s">
        <v>159</v>
      </c>
      <c r="E58" s="387" t="s">
        <v>1169</v>
      </c>
      <c r="F58" s="623" t="s">
        <v>1304</v>
      </c>
      <c r="G58" s="695">
        <v>0.1</v>
      </c>
      <c r="H58" s="700">
        <v>1</v>
      </c>
      <c r="I58" s="626"/>
      <c r="J58" s="751"/>
      <c r="L58" s="387" t="s">
        <v>1169</v>
      </c>
      <c r="M58" s="387" t="s">
        <v>1284</v>
      </c>
      <c r="N58" s="387" t="s">
        <v>1285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">
      <c r="B60" s="430" t="s">
        <v>962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1170</v>
      </c>
      <c r="C62" s="684" t="s">
        <v>1170</v>
      </c>
      <c r="D62" s="684" t="s">
        <v>159</v>
      </c>
      <c r="E62" s="684"/>
      <c r="F62" s="685" t="s">
        <v>17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1170</v>
      </c>
      <c r="C63" s="376" t="s">
        <v>1170</v>
      </c>
      <c r="D63" s="376" t="s">
        <v>159</v>
      </c>
      <c r="E63" s="376" t="s">
        <v>1169</v>
      </c>
      <c r="F63" s="608" t="s">
        <v>1305</v>
      </c>
      <c r="G63" s="609">
        <v>5.9650000000000007</v>
      </c>
      <c r="H63" s="692">
        <v>1</v>
      </c>
      <c r="I63" s="626"/>
      <c r="J63" s="751"/>
      <c r="L63" s="376" t="s">
        <v>1169</v>
      </c>
      <c r="M63" s="376" t="s">
        <v>1306</v>
      </c>
      <c r="N63" s="376" t="s">
        <v>1273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507</v>
      </c>
      <c r="C64" s="666" t="s">
        <v>507</v>
      </c>
      <c r="D64" s="666"/>
      <c r="E64" s="666"/>
      <c r="F64" s="681" t="s">
        <v>1004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507</v>
      </c>
      <c r="C65" s="687" t="s">
        <v>507</v>
      </c>
      <c r="D65" s="687" t="s">
        <v>159</v>
      </c>
      <c r="E65" s="687"/>
      <c r="F65" s="717" t="s">
        <v>17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507</v>
      </c>
      <c r="C66" s="387" t="s">
        <v>507</v>
      </c>
      <c r="D66" s="387" t="s">
        <v>159</v>
      </c>
      <c r="E66" s="387" t="s">
        <v>1169</v>
      </c>
      <c r="F66" s="705" t="s">
        <v>17</v>
      </c>
      <c r="G66" s="706">
        <v>18.399999999999999</v>
      </c>
      <c r="H66" s="707">
        <v>1</v>
      </c>
      <c r="I66" s="740"/>
      <c r="J66" s="757"/>
      <c r="L66" s="387" t="s">
        <v>1169</v>
      </c>
      <c r="M66" s="387" t="s">
        <v>1241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">
      <c r="B67" s="430" t="s">
        <v>1307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617</v>
      </c>
      <c r="C69" s="666" t="s">
        <v>1308</v>
      </c>
      <c r="D69" s="667"/>
      <c r="E69" s="665"/>
      <c r="F69" s="681" t="s">
        <v>1004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1161</v>
      </c>
      <c r="C70" s="687" t="s">
        <v>1309</v>
      </c>
      <c r="D70" s="684" t="s">
        <v>617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1161</v>
      </c>
      <c r="C71" s="803" t="s">
        <v>1309</v>
      </c>
      <c r="D71" s="376" t="s">
        <v>617</v>
      </c>
      <c r="E71" s="376" t="s">
        <v>1169</v>
      </c>
      <c r="F71" s="608" t="s">
        <v>1310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1311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162</v>
      </c>
      <c r="C8" s="665" t="s">
        <v>162</v>
      </c>
      <c r="D8" s="665"/>
      <c r="E8" s="665"/>
      <c r="F8" s="681" t="s">
        <v>1004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6.45" outlineLevel="2">
      <c r="A9" s="376"/>
      <c r="B9" s="684" t="s">
        <v>162</v>
      </c>
      <c r="C9" s="684" t="s">
        <v>162</v>
      </c>
      <c r="D9" s="684" t="s">
        <v>159</v>
      </c>
      <c r="E9" s="684"/>
      <c r="F9" s="685" t="s">
        <v>1312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162</v>
      </c>
      <c r="C10" s="376" t="s">
        <v>162</v>
      </c>
      <c r="D10" s="376" t="s">
        <v>159</v>
      </c>
      <c r="E10" s="376" t="s">
        <v>1007</v>
      </c>
      <c r="F10" s="608" t="s">
        <v>1313</v>
      </c>
      <c r="G10" s="609">
        <v>0.61910190521203401</v>
      </c>
      <c r="H10" s="692">
        <v>1</v>
      </c>
      <c r="I10" s="626"/>
      <c r="J10" s="751"/>
      <c r="K10" s="416"/>
      <c r="L10" s="376" t="s">
        <v>1007</v>
      </c>
      <c r="M10" s="376" t="s">
        <v>1314</v>
      </c>
      <c r="N10" s="376" t="s">
        <v>1315</v>
      </c>
      <c r="O10" s="376" t="s">
        <v>1316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162</v>
      </c>
      <c r="C11" s="376" t="s">
        <v>162</v>
      </c>
      <c r="D11" s="376" t="s">
        <v>159</v>
      </c>
      <c r="E11" s="376" t="s">
        <v>1007</v>
      </c>
      <c r="F11" s="608" t="s">
        <v>1317</v>
      </c>
      <c r="G11" s="609">
        <v>0.61910190521203401</v>
      </c>
      <c r="H11" s="692">
        <v>1</v>
      </c>
      <c r="I11" s="626"/>
      <c r="J11" s="751"/>
      <c r="K11" s="416"/>
      <c r="L11" s="376" t="s">
        <v>1007</v>
      </c>
      <c r="M11" s="376" t="s">
        <v>1314</v>
      </c>
      <c r="N11" s="376" t="s">
        <v>1315</v>
      </c>
      <c r="O11" s="376" t="s">
        <v>1316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162</v>
      </c>
      <c r="C12" s="376" t="s">
        <v>162</v>
      </c>
      <c r="D12" s="376" t="s">
        <v>159</v>
      </c>
      <c r="E12" s="376" t="s">
        <v>1007</v>
      </c>
      <c r="F12" s="608" t="s">
        <v>1318</v>
      </c>
      <c r="G12" s="609">
        <v>0.1547754763030085</v>
      </c>
      <c r="H12" s="692">
        <v>1</v>
      </c>
      <c r="I12" s="626"/>
      <c r="J12" s="751"/>
      <c r="K12" s="416"/>
      <c r="L12" s="376" t="s">
        <v>1007</v>
      </c>
      <c r="M12" s="376" t="s">
        <v>1314</v>
      </c>
      <c r="N12" s="376" t="s">
        <v>1315</v>
      </c>
      <c r="O12" s="376" t="s">
        <v>1316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162</v>
      </c>
      <c r="C13" s="376" t="s">
        <v>162</v>
      </c>
      <c r="D13" s="376" t="s">
        <v>159</v>
      </c>
      <c r="E13" s="376" t="s">
        <v>1007</v>
      </c>
      <c r="F13" s="608" t="s">
        <v>245</v>
      </c>
      <c r="G13" s="609">
        <v>0.1547754763030085</v>
      </c>
      <c r="H13" s="692">
        <v>1</v>
      </c>
      <c r="I13" s="416"/>
      <c r="J13" s="751"/>
      <c r="K13" s="416"/>
      <c r="L13" s="376" t="s">
        <v>1007</v>
      </c>
      <c r="M13" s="376" t="s">
        <v>1314</v>
      </c>
      <c r="N13" s="376" t="s">
        <v>1315</v>
      </c>
      <c r="O13" s="376" t="s">
        <v>1316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252</v>
      </c>
      <c r="C14" s="666" t="s">
        <v>252</v>
      </c>
      <c r="D14" s="666"/>
      <c r="E14" s="666"/>
      <c r="F14" s="681" t="s">
        <v>1004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252</v>
      </c>
      <c r="C15" s="684" t="s">
        <v>252</v>
      </c>
      <c r="D15" s="684" t="s">
        <v>159</v>
      </c>
      <c r="E15" s="687"/>
      <c r="F15" s="685" t="s">
        <v>1319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252</v>
      </c>
      <c r="C16" s="376" t="s">
        <v>252</v>
      </c>
      <c r="D16" s="376" t="s">
        <v>159</v>
      </c>
      <c r="E16" s="387" t="s">
        <v>1007</v>
      </c>
      <c r="F16" s="608" t="s">
        <v>75</v>
      </c>
      <c r="G16" s="609">
        <v>7.3716905132000007E-2</v>
      </c>
      <c r="H16" s="692">
        <v>1</v>
      </c>
      <c r="I16" s="626"/>
      <c r="J16" s="751"/>
      <c r="K16" s="416"/>
      <c r="L16" s="387" t="s">
        <v>1007</v>
      </c>
      <c r="M16" s="387" t="s">
        <v>1008</v>
      </c>
      <c r="N16" s="387" t="s">
        <v>1320</v>
      </c>
      <c r="O16" s="387" t="s">
        <v>1009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1085</v>
      </c>
      <c r="B17" s="376" t="s">
        <v>252</v>
      </c>
      <c r="C17" s="376" t="s">
        <v>252</v>
      </c>
      <c r="D17" s="376" t="s">
        <v>159</v>
      </c>
      <c r="E17" s="387" t="s">
        <v>1007</v>
      </c>
      <c r="F17" s="608" t="s">
        <v>1246</v>
      </c>
      <c r="G17" s="609">
        <v>7.3716905132000007E-2</v>
      </c>
      <c r="H17" s="692">
        <v>1</v>
      </c>
      <c r="I17" s="626"/>
      <c r="J17" s="751"/>
      <c r="K17" s="416"/>
      <c r="L17" s="387" t="s">
        <v>1007</v>
      </c>
      <c r="M17" s="387" t="s">
        <v>1008</v>
      </c>
      <c r="N17" s="387" t="s">
        <v>1320</v>
      </c>
      <c r="O17" s="387" t="s">
        <v>1009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252</v>
      </c>
      <c r="C18" s="376" t="s">
        <v>252</v>
      </c>
      <c r="D18" s="376" t="s">
        <v>159</v>
      </c>
      <c r="E18" s="387" t="s">
        <v>1007</v>
      </c>
      <c r="F18" s="608" t="s">
        <v>1321</v>
      </c>
      <c r="G18" s="609">
        <v>7.3716905132000007E-2</v>
      </c>
      <c r="H18" s="692">
        <v>1</v>
      </c>
      <c r="I18" s="626"/>
      <c r="J18" s="751"/>
      <c r="K18" s="416"/>
      <c r="L18" s="387" t="s">
        <v>1007</v>
      </c>
      <c r="M18" s="387" t="s">
        <v>1008</v>
      </c>
      <c r="N18" s="387" t="s">
        <v>1320</v>
      </c>
      <c r="O18" s="387" t="s">
        <v>1009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252</v>
      </c>
      <c r="C19" s="376" t="s">
        <v>252</v>
      </c>
      <c r="D19" s="376" t="s">
        <v>159</v>
      </c>
      <c r="E19" s="387" t="s">
        <v>1007</v>
      </c>
      <c r="F19" s="608" t="s">
        <v>1322</v>
      </c>
      <c r="G19" s="609">
        <v>6.4031962499999998E-2</v>
      </c>
      <c r="H19" s="692">
        <v>1</v>
      </c>
      <c r="I19" s="626"/>
      <c r="J19" s="751"/>
      <c r="K19" s="416"/>
      <c r="L19" s="387" t="s">
        <v>1007</v>
      </c>
      <c r="M19" s="387" t="s">
        <v>1008</v>
      </c>
      <c r="N19" s="387" t="s">
        <v>1320</v>
      </c>
      <c r="O19" s="387" t="s">
        <v>1009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252</v>
      </c>
      <c r="C20" s="376" t="s">
        <v>252</v>
      </c>
      <c r="D20" s="376" t="s">
        <v>159</v>
      </c>
      <c r="E20" s="387" t="s">
        <v>1007</v>
      </c>
      <c r="F20" s="608" t="s">
        <v>1323</v>
      </c>
      <c r="G20" s="609">
        <v>0.54994955184000005</v>
      </c>
      <c r="H20" s="692">
        <v>1</v>
      </c>
      <c r="I20" s="626"/>
      <c r="J20" s="751"/>
      <c r="K20" s="416"/>
      <c r="L20" s="387" t="s">
        <v>1007</v>
      </c>
      <c r="M20" s="387" t="s">
        <v>1008</v>
      </c>
      <c r="N20" s="387" t="s">
        <v>1320</v>
      </c>
      <c r="O20" s="387" t="s">
        <v>1009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252</v>
      </c>
      <c r="C21" s="376" t="s">
        <v>252</v>
      </c>
      <c r="D21" s="376" t="s">
        <v>159</v>
      </c>
      <c r="E21" s="387" t="s">
        <v>1007</v>
      </c>
      <c r="F21" s="608" t="s">
        <v>1324</v>
      </c>
      <c r="G21" s="609">
        <v>0.27497477592000003</v>
      </c>
      <c r="H21" s="692">
        <v>1</v>
      </c>
      <c r="I21" s="626"/>
      <c r="J21" s="751"/>
      <c r="K21" s="416"/>
      <c r="L21" s="387" t="s">
        <v>1007</v>
      </c>
      <c r="M21" s="387" t="s">
        <v>1008</v>
      </c>
      <c r="N21" s="387" t="s">
        <v>1320</v>
      </c>
      <c r="O21" s="387" t="s">
        <v>1009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252</v>
      </c>
      <c r="C22" s="376" t="s">
        <v>252</v>
      </c>
      <c r="D22" s="376" t="s">
        <v>159</v>
      </c>
      <c r="E22" s="387" t="s">
        <v>1007</v>
      </c>
      <c r="F22" s="608" t="s">
        <v>1325</v>
      </c>
      <c r="G22" s="609">
        <v>2.2352362560000003</v>
      </c>
      <c r="H22" s="692">
        <v>1</v>
      </c>
      <c r="I22" s="626"/>
      <c r="J22" s="751"/>
      <c r="K22" s="416"/>
      <c r="L22" s="387" t="s">
        <v>1007</v>
      </c>
      <c r="M22" s="387" t="s">
        <v>1008</v>
      </c>
      <c r="N22" s="387" t="s">
        <v>1320</v>
      </c>
      <c r="O22" s="387" t="s">
        <v>1009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252</v>
      </c>
      <c r="C23" s="376" t="s">
        <v>252</v>
      </c>
      <c r="D23" s="376" t="s">
        <v>159</v>
      </c>
      <c r="E23" s="387" t="s">
        <v>1007</v>
      </c>
      <c r="F23" s="608" t="s">
        <v>1326</v>
      </c>
      <c r="G23" s="609">
        <v>2.2352362560000003</v>
      </c>
      <c r="H23" s="692">
        <v>1</v>
      </c>
      <c r="I23" s="626"/>
      <c r="J23" s="751"/>
      <c r="K23" s="416"/>
      <c r="L23" s="387" t="s">
        <v>1007</v>
      </c>
      <c r="M23" s="387" t="s">
        <v>1008</v>
      </c>
      <c r="N23" s="387" t="s">
        <v>1320</v>
      </c>
      <c r="O23" s="387" t="s">
        <v>1009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252</v>
      </c>
      <c r="C24" s="376" t="s">
        <v>252</v>
      </c>
      <c r="D24" s="376" t="s">
        <v>159</v>
      </c>
      <c r="E24" s="387" t="s">
        <v>1007</v>
      </c>
      <c r="F24" s="608" t="s">
        <v>1327</v>
      </c>
      <c r="G24" s="609"/>
      <c r="H24" s="692">
        <v>1</v>
      </c>
      <c r="I24" s="626"/>
      <c r="J24" s="751"/>
      <c r="K24" s="416"/>
      <c r="L24" s="387" t="s">
        <v>1007</v>
      </c>
      <c r="M24" s="387" t="s">
        <v>1008</v>
      </c>
      <c r="N24" s="387" t="s">
        <v>1320</v>
      </c>
      <c r="O24" s="387" t="s">
        <v>1009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252</v>
      </c>
      <c r="C25" s="376" t="s">
        <v>252</v>
      </c>
      <c r="D25" s="376" t="s">
        <v>159</v>
      </c>
      <c r="E25" s="387" t="s">
        <v>1007</v>
      </c>
      <c r="F25" s="608" t="s">
        <v>1313</v>
      </c>
      <c r="G25" s="609">
        <v>0.1125</v>
      </c>
      <c r="H25" s="692">
        <v>1</v>
      </c>
      <c r="I25" s="626"/>
      <c r="J25" s="751"/>
      <c r="K25" s="416"/>
      <c r="L25" s="387" t="s">
        <v>1007</v>
      </c>
      <c r="M25" s="387" t="s">
        <v>1008</v>
      </c>
      <c r="N25" s="387" t="s">
        <v>1320</v>
      </c>
      <c r="O25" s="387" t="s">
        <v>1009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252</v>
      </c>
      <c r="C26" s="376" t="s">
        <v>252</v>
      </c>
      <c r="D26" s="376" t="s">
        <v>159</v>
      </c>
      <c r="E26" s="387" t="s">
        <v>1007</v>
      </c>
      <c r="F26" s="608" t="s">
        <v>1328</v>
      </c>
      <c r="G26" s="609">
        <v>3.7499999999999999E-2</v>
      </c>
      <c r="H26" s="692">
        <v>1</v>
      </c>
      <c r="I26" s="626"/>
      <c r="J26" s="751"/>
      <c r="K26" s="416"/>
      <c r="L26" s="387" t="s">
        <v>1007</v>
      </c>
      <c r="M26" s="387" t="s">
        <v>1008</v>
      </c>
      <c r="N26" s="387" t="s">
        <v>1320</v>
      </c>
      <c r="O26" s="387" t="s">
        <v>1009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903</v>
      </c>
      <c r="C27" s="665" t="s">
        <v>903</v>
      </c>
      <c r="D27" s="665"/>
      <c r="E27" s="665"/>
      <c r="F27" s="681" t="s">
        <v>1004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6.45" outlineLevel="2">
      <c r="A28" s="376"/>
      <c r="B28" s="684" t="s">
        <v>903</v>
      </c>
      <c r="C28" s="684" t="s">
        <v>903</v>
      </c>
      <c r="D28" s="684" t="s">
        <v>159</v>
      </c>
      <c r="E28" s="684"/>
      <c r="F28" s="685" t="s">
        <v>1005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903</v>
      </c>
      <c r="C29" s="376" t="s">
        <v>903</v>
      </c>
      <c r="D29" s="376" t="s">
        <v>159</v>
      </c>
      <c r="E29" s="376" t="s">
        <v>1007</v>
      </c>
      <c r="F29" s="705" t="s">
        <v>1019</v>
      </c>
      <c r="G29" s="609">
        <v>0.25575333042562204</v>
      </c>
      <c r="H29" s="692">
        <v>1</v>
      </c>
      <c r="I29" s="626"/>
      <c r="J29" s="751"/>
      <c r="K29" s="416"/>
      <c r="L29" s="376" t="s">
        <v>1007</v>
      </c>
      <c r="M29" s="376" t="s">
        <v>1008</v>
      </c>
      <c r="N29" s="376" t="s">
        <v>1009</v>
      </c>
      <c r="O29" s="376" t="s">
        <v>1010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903</v>
      </c>
      <c r="C30" s="376" t="s">
        <v>903</v>
      </c>
      <c r="D30" s="376" t="s">
        <v>159</v>
      </c>
      <c r="E30" s="376" t="s">
        <v>1007</v>
      </c>
      <c r="F30" s="608" t="s">
        <v>1020</v>
      </c>
      <c r="G30" s="609">
        <v>8.1564148364617506E-2</v>
      </c>
      <c r="H30" s="692">
        <v>1</v>
      </c>
      <c r="I30" s="626"/>
      <c r="J30" s="751"/>
      <c r="K30" s="416"/>
      <c r="L30" s="376" t="s">
        <v>1007</v>
      </c>
      <c r="M30" s="376" t="s">
        <v>1008</v>
      </c>
      <c r="N30" s="376" t="s">
        <v>1009</v>
      </c>
      <c r="O30" s="376" t="s">
        <v>1010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903</v>
      </c>
      <c r="C31" s="376" t="s">
        <v>903</v>
      </c>
      <c r="D31" s="376" t="s">
        <v>159</v>
      </c>
      <c r="E31" s="376" t="s">
        <v>1007</v>
      </c>
      <c r="F31" s="608" t="s">
        <v>1006</v>
      </c>
      <c r="G31" s="609">
        <v>0.18696938245168926</v>
      </c>
      <c r="H31" s="692">
        <v>1</v>
      </c>
      <c r="I31" s="626"/>
      <c r="J31" s="751"/>
      <c r="K31" s="416"/>
      <c r="L31" s="376" t="s">
        <v>1007</v>
      </c>
      <c r="M31" s="376" t="s">
        <v>1008</v>
      </c>
      <c r="N31" s="376" t="s">
        <v>1009</v>
      </c>
      <c r="O31" s="376" t="s">
        <v>1010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903</v>
      </c>
      <c r="C32" s="376" t="s">
        <v>903</v>
      </c>
      <c r="D32" s="376" t="s">
        <v>159</v>
      </c>
      <c r="E32" s="376" t="s">
        <v>1007</v>
      </c>
      <c r="F32" s="608" t="s">
        <v>1022</v>
      </c>
      <c r="G32" s="609">
        <v>2.7188049454872507E-2</v>
      </c>
      <c r="H32" s="692">
        <v>1</v>
      </c>
      <c r="I32" s="626"/>
      <c r="J32" s="751"/>
      <c r="K32" s="416"/>
      <c r="L32" s="376" t="s">
        <v>1007</v>
      </c>
      <c r="M32" s="376" t="s">
        <v>1008</v>
      </c>
      <c r="N32" s="376" t="s">
        <v>1009</v>
      </c>
      <c r="O32" s="376" t="s">
        <v>1010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903</v>
      </c>
      <c r="C33" s="376" t="s">
        <v>903</v>
      </c>
      <c r="D33" s="376" t="s">
        <v>159</v>
      </c>
      <c r="E33" s="376" t="s">
        <v>1007</v>
      </c>
      <c r="F33" s="608" t="s">
        <v>1018</v>
      </c>
      <c r="G33" s="609">
        <v>0.11218162947101355</v>
      </c>
      <c r="H33" s="692">
        <v>1</v>
      </c>
      <c r="I33" s="626"/>
      <c r="J33" s="751"/>
      <c r="K33" s="416"/>
      <c r="L33" s="376" t="s">
        <v>1007</v>
      </c>
      <c r="M33" s="376" t="s">
        <v>1008</v>
      </c>
      <c r="N33" s="376" t="s">
        <v>1009</v>
      </c>
      <c r="O33" s="376" t="s">
        <v>1010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903</v>
      </c>
      <c r="C34" s="376" t="s">
        <v>903</v>
      </c>
      <c r="D34" s="376" t="s">
        <v>159</v>
      </c>
      <c r="E34" s="376" t="s">
        <v>1007</v>
      </c>
      <c r="F34" s="608" t="s">
        <v>1021</v>
      </c>
      <c r="G34" s="609">
        <v>3.7393876490337853E-2</v>
      </c>
      <c r="H34" s="692">
        <v>1</v>
      </c>
      <c r="I34" s="626"/>
      <c r="J34" s="751"/>
      <c r="K34" s="416"/>
      <c r="L34" s="376" t="s">
        <v>1007</v>
      </c>
      <c r="M34" s="376" t="s">
        <v>1008</v>
      </c>
      <c r="N34" s="376" t="s">
        <v>1009</v>
      </c>
      <c r="O34" s="376" t="s">
        <v>1010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903</v>
      </c>
      <c r="C35" s="376" t="s">
        <v>903</v>
      </c>
      <c r="D35" s="376" t="s">
        <v>159</v>
      </c>
      <c r="E35" s="376" t="s">
        <v>1007</v>
      </c>
      <c r="F35" s="759" t="s">
        <v>1329</v>
      </c>
      <c r="G35" s="609"/>
      <c r="H35" s="692"/>
      <c r="I35" s="626"/>
      <c r="J35" s="751"/>
      <c r="K35" s="416"/>
      <c r="L35" s="376" t="s">
        <v>1007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903</v>
      </c>
      <c r="C36" s="376" t="s">
        <v>903</v>
      </c>
      <c r="D36" s="376" t="s">
        <v>159</v>
      </c>
      <c r="E36" s="376" t="s">
        <v>1007</v>
      </c>
      <c r="F36" s="608" t="s">
        <v>1017</v>
      </c>
      <c r="G36" s="609">
        <v>2.7188049454872507E-2</v>
      </c>
      <c r="H36" s="692">
        <v>1</v>
      </c>
      <c r="I36" s="626"/>
      <c r="J36" s="751"/>
      <c r="K36" s="416"/>
      <c r="L36" s="376" t="s">
        <v>1007</v>
      </c>
      <c r="M36" s="376" t="s">
        <v>1008</v>
      </c>
      <c r="N36" s="376" t="s">
        <v>1009</v>
      </c>
      <c r="O36" s="376" t="s">
        <v>1010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903</v>
      </c>
      <c r="C37" s="376" t="s">
        <v>903</v>
      </c>
      <c r="D37" s="376" t="s">
        <v>159</v>
      </c>
      <c r="E37" s="376" t="s">
        <v>1007</v>
      </c>
      <c r="F37" s="759" t="s">
        <v>1330</v>
      </c>
      <c r="G37" s="728"/>
      <c r="H37" s="692"/>
      <c r="I37" s="626"/>
      <c r="J37" s="751"/>
      <c r="K37" s="416"/>
      <c r="L37" s="376" t="s">
        <v>1007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502</v>
      </c>
      <c r="C38" s="665" t="s">
        <v>502</v>
      </c>
      <c r="D38" s="665"/>
      <c r="E38" s="665"/>
      <c r="F38" s="681" t="s">
        <v>1004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502</v>
      </c>
      <c r="C39" s="684" t="s">
        <v>502</v>
      </c>
      <c r="D39" s="684" t="s">
        <v>159</v>
      </c>
      <c r="E39" s="684"/>
      <c r="F39" s="685" t="s">
        <v>1331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502</v>
      </c>
      <c r="C40" s="376" t="s">
        <v>502</v>
      </c>
      <c r="D40" s="376" t="s">
        <v>159</v>
      </c>
      <c r="E40" s="376" t="s">
        <v>1007</v>
      </c>
      <c r="F40" s="608" t="s">
        <v>1219</v>
      </c>
      <c r="G40" s="609">
        <v>0.15216712000000002</v>
      </c>
      <c r="H40" s="692">
        <v>1</v>
      </c>
      <c r="I40" s="626"/>
      <c r="J40" s="751"/>
      <c r="K40" s="416"/>
      <c r="L40" s="376" t="s">
        <v>1007</v>
      </c>
      <c r="M40" s="376" t="s">
        <v>1314</v>
      </c>
      <c r="N40" s="376" t="s">
        <v>1315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502</v>
      </c>
      <c r="C41" s="376" t="s">
        <v>502</v>
      </c>
      <c r="D41" s="376" t="s">
        <v>159</v>
      </c>
      <c r="E41" s="376" t="s">
        <v>1007</v>
      </c>
      <c r="F41" s="608" t="s">
        <v>36</v>
      </c>
      <c r="G41" s="609">
        <v>0.22825067999999998</v>
      </c>
      <c r="H41" s="692">
        <v>1</v>
      </c>
      <c r="I41" s="626"/>
      <c r="J41" s="751"/>
      <c r="K41" s="416"/>
      <c r="L41" s="376" t="s">
        <v>1007</v>
      </c>
      <c r="M41" s="376" t="s">
        <v>1314</v>
      </c>
      <c r="N41" s="376" t="s">
        <v>1315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">
      <c r="A43" s="376"/>
      <c r="B43" s="430" t="s">
        <v>962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990</v>
      </c>
      <c r="C45" s="666" t="s">
        <v>990</v>
      </c>
      <c r="D45" s="667"/>
      <c r="E45" s="665"/>
      <c r="F45" s="681" t="s">
        <v>1004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990</v>
      </c>
      <c r="C46" s="687" t="s">
        <v>990</v>
      </c>
      <c r="D46" s="684" t="s">
        <v>159</v>
      </c>
      <c r="E46" s="684"/>
      <c r="F46" s="685" t="s">
        <v>1221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990</v>
      </c>
      <c r="C47" s="387" t="s">
        <v>990</v>
      </c>
      <c r="D47" s="376" t="s">
        <v>159</v>
      </c>
      <c r="E47" s="376" t="s">
        <v>1007</v>
      </c>
      <c r="F47" s="608" t="s">
        <v>17</v>
      </c>
      <c r="G47" s="609"/>
      <c r="H47" s="692">
        <v>1</v>
      </c>
      <c r="I47" s="626"/>
      <c r="J47" s="751"/>
      <c r="K47" s="416"/>
      <c r="L47" s="376" t="s">
        <v>1007</v>
      </c>
      <c r="M47" s="376" t="s">
        <v>1332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990</v>
      </c>
      <c r="C48" s="387" t="s">
        <v>990</v>
      </c>
      <c r="D48" s="376" t="s">
        <v>159</v>
      </c>
      <c r="E48" s="376" t="s">
        <v>1007</v>
      </c>
      <c r="F48" s="608" t="s">
        <v>36</v>
      </c>
      <c r="G48" s="609"/>
      <c r="H48" s="692">
        <v>1</v>
      </c>
      <c r="I48" s="626"/>
      <c r="J48" s="751"/>
      <c r="K48" s="416"/>
      <c r="L48" s="376" t="s">
        <v>1007</v>
      </c>
      <c r="M48" s="376" t="s">
        <v>1332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990</v>
      </c>
      <c r="C49" s="387" t="s">
        <v>990</v>
      </c>
      <c r="D49" s="376" t="s">
        <v>159</v>
      </c>
      <c r="E49" s="376" t="s">
        <v>1007</v>
      </c>
      <c r="F49" s="608" t="s">
        <v>1333</v>
      </c>
      <c r="G49" s="609"/>
      <c r="H49" s="692"/>
      <c r="I49" s="626"/>
      <c r="J49" s="751"/>
      <c r="K49" s="416"/>
      <c r="L49" s="376" t="s">
        <v>1007</v>
      </c>
      <c r="M49" s="376" t="s">
        <v>1332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990</v>
      </c>
      <c r="C50" s="387" t="s">
        <v>990</v>
      </c>
      <c r="D50" s="376" t="s">
        <v>159</v>
      </c>
      <c r="E50" s="376" t="s">
        <v>1007</v>
      </c>
      <c r="F50" s="608" t="s">
        <v>208</v>
      </c>
      <c r="G50" s="609"/>
      <c r="H50" s="692">
        <v>1</v>
      </c>
      <c r="I50" s="626"/>
      <c r="J50" s="751"/>
      <c r="K50" s="416"/>
      <c r="L50" s="376" t="s">
        <v>1007</v>
      </c>
      <c r="M50" s="376" t="s">
        <v>1332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902</v>
      </c>
      <c r="C51" s="665" t="s">
        <v>1220</v>
      </c>
      <c r="D51" s="665"/>
      <c r="E51" s="665"/>
      <c r="F51" s="681" t="s">
        <v>1004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902</v>
      </c>
      <c r="C52" s="684" t="s">
        <v>1220</v>
      </c>
      <c r="D52" s="684" t="s">
        <v>159</v>
      </c>
      <c r="E52" s="684"/>
      <c r="F52" s="685" t="s">
        <v>1221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902</v>
      </c>
      <c r="C53" s="376" t="s">
        <v>1220</v>
      </c>
      <c r="D53" s="376" t="s">
        <v>159</v>
      </c>
      <c r="E53" s="376" t="s">
        <v>1007</v>
      </c>
      <c r="F53" s="608" t="s">
        <v>38</v>
      </c>
      <c r="G53" s="609">
        <v>0.11</v>
      </c>
      <c r="H53" s="692">
        <v>1</v>
      </c>
      <c r="I53" s="626"/>
      <c r="J53" s="751"/>
      <c r="K53" s="416"/>
      <c r="L53" s="376" t="s">
        <v>1007</v>
      </c>
      <c r="M53" s="376" t="s">
        <v>1181</v>
      </c>
      <c r="N53" s="376" t="s">
        <v>1203</v>
      </c>
      <c r="O53" s="376" t="s">
        <v>1205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902</v>
      </c>
      <c r="C54" s="376" t="s">
        <v>1220</v>
      </c>
      <c r="D54" s="376" t="s">
        <v>159</v>
      </c>
      <c r="E54" s="376" t="s">
        <v>1007</v>
      </c>
      <c r="F54" s="608" t="s">
        <v>1334</v>
      </c>
      <c r="G54" s="609">
        <v>0.06</v>
      </c>
      <c r="H54" s="692">
        <v>1</v>
      </c>
      <c r="I54" s="626"/>
      <c r="J54" s="751"/>
      <c r="K54" s="416"/>
      <c r="L54" s="376" t="s">
        <v>1007</v>
      </c>
      <c r="M54" s="376" t="s">
        <v>1181</v>
      </c>
      <c r="N54" s="376" t="s">
        <v>1203</v>
      </c>
      <c r="O54" s="376" t="s">
        <v>1205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964</v>
      </c>
      <c r="C55" s="665" t="s">
        <v>1247</v>
      </c>
      <c r="D55" s="665"/>
      <c r="E55" s="665"/>
      <c r="F55" s="681" t="s">
        <v>1004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964</v>
      </c>
      <c r="C56" s="684" t="s">
        <v>1247</v>
      </c>
      <c r="D56" s="684" t="s">
        <v>159</v>
      </c>
      <c r="E56" s="684"/>
      <c r="F56" s="685" t="s">
        <v>1335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964</v>
      </c>
      <c r="C57" s="376" t="s">
        <v>1247</v>
      </c>
      <c r="D57" s="376" t="s">
        <v>159</v>
      </c>
      <c r="E57" s="608" t="s">
        <v>1007</v>
      </c>
      <c r="F57" s="608" t="s">
        <v>17</v>
      </c>
      <c r="G57" s="609">
        <v>0.24728000000000006</v>
      </c>
      <c r="H57" s="692">
        <v>1</v>
      </c>
      <c r="I57" s="626"/>
      <c r="J57" s="751"/>
      <c r="K57" s="416"/>
      <c r="L57" s="376" t="s">
        <v>1007</v>
      </c>
      <c r="M57" s="376" t="s">
        <v>1336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964</v>
      </c>
      <c r="C58" s="376" t="s">
        <v>1247</v>
      </c>
      <c r="D58" s="376" t="s">
        <v>159</v>
      </c>
      <c r="E58" s="608" t="s">
        <v>1007</v>
      </c>
      <c r="F58" s="608" t="s">
        <v>36</v>
      </c>
      <c r="G58" s="609">
        <v>0.24728000000000006</v>
      </c>
      <c r="H58" s="692">
        <v>1</v>
      </c>
      <c r="I58" s="626"/>
      <c r="J58" s="751"/>
      <c r="K58" s="416"/>
      <c r="L58" s="376" t="s">
        <v>1007</v>
      </c>
      <c r="M58" s="376" t="s">
        <v>1336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964</v>
      </c>
      <c r="C59" s="376" t="s">
        <v>1247</v>
      </c>
      <c r="D59" s="376" t="s">
        <v>159</v>
      </c>
      <c r="E59" s="608" t="s">
        <v>1007</v>
      </c>
      <c r="F59" s="608" t="s">
        <v>1337</v>
      </c>
      <c r="G59" s="609">
        <v>0.12364</v>
      </c>
      <c r="H59" s="692">
        <v>1</v>
      </c>
      <c r="I59" s="626"/>
      <c r="J59" s="751"/>
      <c r="K59" s="416"/>
      <c r="L59" s="376" t="s">
        <v>1007</v>
      </c>
      <c r="M59" s="376" t="s">
        <v>1336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968</v>
      </c>
      <c r="C60" s="666" t="s">
        <v>1163</v>
      </c>
      <c r="D60" s="666"/>
      <c r="E60" s="666"/>
      <c r="F60" s="681" t="s">
        <v>1004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1163</v>
      </c>
      <c r="C61" s="687" t="s">
        <v>1163</v>
      </c>
      <c r="D61" s="687" t="s">
        <v>159</v>
      </c>
      <c r="E61" s="687"/>
      <c r="F61" s="717" t="s">
        <v>1228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1229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1163</v>
      </c>
      <c r="C62" s="387" t="s">
        <v>1163</v>
      </c>
      <c r="D62" s="387" t="s">
        <v>159</v>
      </c>
      <c r="E62" s="387" t="s">
        <v>1007</v>
      </c>
      <c r="F62" s="705" t="s">
        <v>1338</v>
      </c>
      <c r="G62" s="706">
        <v>0.41060000000000008</v>
      </c>
      <c r="H62" s="707">
        <v>1</v>
      </c>
      <c r="I62" s="740"/>
      <c r="J62" s="757"/>
      <c r="K62" s="748"/>
      <c r="L62" s="387" t="s">
        <v>1007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1163</v>
      </c>
      <c r="C63" s="387" t="s">
        <v>1163</v>
      </c>
      <c r="D63" s="387" t="s">
        <v>159</v>
      </c>
      <c r="E63" s="387" t="s">
        <v>1007</v>
      </c>
      <c r="F63" s="705" t="s">
        <v>1339</v>
      </c>
      <c r="G63" s="706">
        <v>0.10265000000000002</v>
      </c>
      <c r="H63" s="707">
        <v>1</v>
      </c>
      <c r="I63" s="740"/>
      <c r="J63" s="757"/>
      <c r="K63" s="748"/>
      <c r="L63" s="387" t="s">
        <v>1007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1163</v>
      </c>
      <c r="C64" s="387" t="s">
        <v>1163</v>
      </c>
      <c r="D64" s="387" t="s">
        <v>159</v>
      </c>
      <c r="E64" s="387" t="s">
        <v>1007</v>
      </c>
      <c r="F64" s="705" t="s">
        <v>1340</v>
      </c>
      <c r="G64" s="706">
        <v>0.41060000000000008</v>
      </c>
      <c r="H64" s="707">
        <v>1</v>
      </c>
      <c r="I64" s="740"/>
      <c r="J64" s="757"/>
      <c r="K64" s="748"/>
      <c r="L64" s="387" t="s">
        <v>1007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973</v>
      </c>
      <c r="C65" s="665" t="s">
        <v>973</v>
      </c>
      <c r="D65" s="665"/>
      <c r="E65" s="665"/>
      <c r="F65" s="681" t="s">
        <v>1004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973</v>
      </c>
      <c r="C66" s="684" t="s">
        <v>973</v>
      </c>
      <c r="D66" s="684" t="s">
        <v>159</v>
      </c>
      <c r="E66" s="684"/>
      <c r="F66" s="685" t="s">
        <v>1341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973</v>
      </c>
      <c r="C67" s="376" t="s">
        <v>973</v>
      </c>
      <c r="D67" s="376" t="s">
        <v>159</v>
      </c>
      <c r="E67" s="376" t="s">
        <v>1007</v>
      </c>
      <c r="F67" s="628" t="s">
        <v>38</v>
      </c>
      <c r="G67" s="609">
        <v>9.5000000000000015E-2</v>
      </c>
      <c r="H67" s="692">
        <v>1</v>
      </c>
      <c r="I67" s="626"/>
      <c r="J67" s="751"/>
      <c r="K67" s="416"/>
      <c r="L67" s="376" t="s">
        <v>1007</v>
      </c>
      <c r="M67" s="376" t="s">
        <v>1342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973</v>
      </c>
      <c r="C68" s="376" t="s">
        <v>973</v>
      </c>
      <c r="D68" s="376" t="s">
        <v>159</v>
      </c>
      <c r="E68" s="376" t="s">
        <v>1007</v>
      </c>
      <c r="F68" s="628" t="s">
        <v>1334</v>
      </c>
      <c r="G68" s="609">
        <v>9.5000000000000015E-2</v>
      </c>
      <c r="H68" s="692">
        <v>1</v>
      </c>
      <c r="I68" s="626"/>
      <c r="J68" s="751"/>
      <c r="K68" s="416"/>
      <c r="L68" s="376" t="s">
        <v>1007</v>
      </c>
      <c r="M68" s="376" t="s">
        <v>1342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973</v>
      </c>
      <c r="C69" s="376" t="s">
        <v>973</v>
      </c>
      <c r="D69" s="376" t="s">
        <v>159</v>
      </c>
      <c r="E69" s="376" t="s">
        <v>1007</v>
      </c>
      <c r="F69" s="628" t="s">
        <v>1341</v>
      </c>
      <c r="G69" s="609">
        <v>9.5000000000000015E-2</v>
      </c>
      <c r="H69" s="692">
        <v>1</v>
      </c>
      <c r="I69" s="626"/>
      <c r="J69" s="751"/>
      <c r="K69" s="416"/>
      <c r="L69" s="376" t="s">
        <v>1007</v>
      </c>
      <c r="M69" s="376" t="s">
        <v>1342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975</v>
      </c>
      <c r="C70" s="665" t="s">
        <v>163</v>
      </c>
      <c r="D70" s="665"/>
      <c r="E70" s="665"/>
      <c r="F70" s="681" t="s">
        <v>1004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975</v>
      </c>
      <c r="C71" s="684" t="s">
        <v>1201</v>
      </c>
      <c r="D71" s="684" t="s">
        <v>159</v>
      </c>
      <c r="E71" s="684"/>
      <c r="F71" s="685" t="s">
        <v>1343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1229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975</v>
      </c>
      <c r="C72" s="376" t="s">
        <v>1201</v>
      </c>
      <c r="D72" s="376" t="s">
        <v>159</v>
      </c>
      <c r="E72" s="376" t="s">
        <v>1007</v>
      </c>
      <c r="F72" s="608" t="s">
        <v>36</v>
      </c>
      <c r="G72" s="609">
        <v>0.30500000000000005</v>
      </c>
      <c r="H72" s="692">
        <v>1</v>
      </c>
      <c r="I72" s="626"/>
      <c r="J72" s="751"/>
      <c r="K72" s="416"/>
      <c r="L72" s="376" t="s">
        <v>1007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977</v>
      </c>
      <c r="C73" s="666" t="s">
        <v>1201</v>
      </c>
      <c r="D73" s="667"/>
      <c r="E73" s="665"/>
      <c r="F73" s="681" t="s">
        <v>1004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977</v>
      </c>
      <c r="C74" s="687" t="s">
        <v>1201</v>
      </c>
      <c r="D74" s="684" t="s">
        <v>159</v>
      </c>
      <c r="E74" s="684"/>
      <c r="F74" s="685" t="s">
        <v>1344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1229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977</v>
      </c>
      <c r="C75" s="387" t="s">
        <v>1201</v>
      </c>
      <c r="D75" s="376" t="s">
        <v>159</v>
      </c>
      <c r="E75" s="376" t="s">
        <v>1007</v>
      </c>
      <c r="F75" s="608" t="s">
        <v>36</v>
      </c>
      <c r="G75" s="609">
        <v>0.9449989253184814</v>
      </c>
      <c r="H75" s="692">
        <v>1</v>
      </c>
      <c r="I75" s="626"/>
      <c r="J75" s="751"/>
      <c r="K75" s="416"/>
      <c r="L75" s="376" t="s">
        <v>1007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977</v>
      </c>
      <c r="C76" s="387" t="s">
        <v>1201</v>
      </c>
      <c r="D76" s="376" t="s">
        <v>159</v>
      </c>
      <c r="E76" s="376" t="s">
        <v>1007</v>
      </c>
      <c r="F76" s="608" t="s">
        <v>1224</v>
      </c>
      <c r="G76" s="609">
        <v>0.9449989253184814</v>
      </c>
      <c r="H76" s="692">
        <v>1</v>
      </c>
      <c r="I76" s="626"/>
      <c r="J76" s="751"/>
      <c r="K76" s="416"/>
      <c r="L76" s="376" t="s">
        <v>1007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977</v>
      </c>
      <c r="C77" s="387" t="s">
        <v>1201</v>
      </c>
      <c r="D77" s="376" t="s">
        <v>159</v>
      </c>
      <c r="E77" s="376" t="s">
        <v>1007</v>
      </c>
      <c r="F77" s="785" t="s">
        <v>608</v>
      </c>
      <c r="G77" s="609">
        <v>0.4724994626592407</v>
      </c>
      <c r="H77" s="692">
        <v>1</v>
      </c>
      <c r="I77" s="626"/>
      <c r="J77" s="751"/>
      <c r="K77" s="416"/>
      <c r="L77" s="376" t="s">
        <v>1007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977</v>
      </c>
      <c r="C78" s="387" t="s">
        <v>1201</v>
      </c>
      <c r="D78" s="376" t="s">
        <v>159</v>
      </c>
      <c r="E78" s="376" t="s">
        <v>1007</v>
      </c>
      <c r="F78" s="785" t="s">
        <v>198</v>
      </c>
      <c r="G78" s="609">
        <v>0.4724994626592407</v>
      </c>
      <c r="H78" s="692">
        <v>1</v>
      </c>
      <c r="I78" s="626"/>
      <c r="J78" s="751"/>
      <c r="K78" s="416"/>
      <c r="L78" s="376" t="s">
        <v>1007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979</v>
      </c>
      <c r="C79" s="666" t="s">
        <v>1201</v>
      </c>
      <c r="D79" s="667" t="s">
        <v>1176</v>
      </c>
      <c r="E79" s="665"/>
      <c r="F79" s="681" t="s">
        <v>1004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979</v>
      </c>
      <c r="C80" s="687" t="s">
        <v>1201</v>
      </c>
      <c r="D80" s="684" t="s">
        <v>159</v>
      </c>
      <c r="E80" s="684"/>
      <c r="F80" s="685" t="s">
        <v>1345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1229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979</v>
      </c>
      <c r="C81" s="387" t="s">
        <v>1201</v>
      </c>
      <c r="D81" s="376" t="s">
        <v>159</v>
      </c>
      <c r="E81" s="376" t="s">
        <v>1007</v>
      </c>
      <c r="F81" s="608" t="s">
        <v>36</v>
      </c>
      <c r="G81" s="609">
        <v>0.26854837522145453</v>
      </c>
      <c r="H81" s="692">
        <v>1</v>
      </c>
      <c r="I81" s="626"/>
      <c r="J81" s="751"/>
      <c r="K81" s="416"/>
      <c r="L81" s="376" t="s">
        <v>1007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979</v>
      </c>
      <c r="C82" s="387" t="s">
        <v>1201</v>
      </c>
      <c r="D82" s="376" t="s">
        <v>159</v>
      </c>
      <c r="E82" s="376" t="s">
        <v>1007</v>
      </c>
      <c r="F82" s="608" t="s">
        <v>1232</v>
      </c>
      <c r="G82" s="609">
        <v>0.26854837522145453</v>
      </c>
      <c r="H82" s="692">
        <v>1</v>
      </c>
      <c r="I82" s="626"/>
      <c r="J82" s="751"/>
      <c r="K82" s="416"/>
      <c r="L82" s="376" t="s">
        <v>1007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984</v>
      </c>
      <c r="C83" s="666" t="s">
        <v>1346</v>
      </c>
      <c r="D83" s="667"/>
      <c r="E83" s="665"/>
      <c r="F83" s="681" t="s">
        <v>1004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984</v>
      </c>
      <c r="C84" s="684" t="s">
        <v>1346</v>
      </c>
      <c r="D84" s="684" t="s">
        <v>159</v>
      </c>
      <c r="E84" s="684"/>
      <c r="F84" s="685" t="s">
        <v>17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984</v>
      </c>
      <c r="C85" s="376" t="s">
        <v>1346</v>
      </c>
      <c r="D85" s="376" t="s">
        <v>159</v>
      </c>
      <c r="E85" s="376" t="s">
        <v>1007</v>
      </c>
      <c r="F85" s="608" t="s">
        <v>17</v>
      </c>
      <c r="G85" s="609">
        <v>1.6141000000000003</v>
      </c>
      <c r="H85" s="692">
        <v>1</v>
      </c>
      <c r="I85" s="626"/>
      <c r="J85" s="751"/>
      <c r="K85" s="416"/>
      <c r="L85" s="376" t="s">
        <v>1007</v>
      </c>
      <c r="M85" s="376" t="s">
        <v>1007</v>
      </c>
      <c r="N85" s="376" t="s">
        <v>1347</v>
      </c>
      <c r="O85" s="376" t="s">
        <v>1348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989</v>
      </c>
      <c r="C86" s="682" t="s">
        <v>1349</v>
      </c>
      <c r="D86" s="682"/>
      <c r="E86" s="682"/>
      <c r="F86" s="681" t="s">
        <v>1004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989</v>
      </c>
      <c r="C87" s="684" t="s">
        <v>1349</v>
      </c>
      <c r="D87" s="684" t="s">
        <v>159</v>
      </c>
      <c r="E87" s="684"/>
      <c r="F87" s="685" t="s">
        <v>1224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1229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989</v>
      </c>
      <c r="C88" s="376" t="s">
        <v>1349</v>
      </c>
      <c r="D88" s="376" t="s">
        <v>159</v>
      </c>
      <c r="E88" s="376" t="s">
        <v>1007</v>
      </c>
      <c r="F88" s="628" t="s">
        <v>38</v>
      </c>
      <c r="G88" s="609">
        <v>0.10475000000000001</v>
      </c>
      <c r="H88" s="692">
        <v>1</v>
      </c>
      <c r="I88" s="626"/>
      <c r="J88" s="751"/>
      <c r="K88" s="416"/>
      <c r="L88" s="376" t="s">
        <v>1007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989</v>
      </c>
      <c r="C89" s="376" t="s">
        <v>1349</v>
      </c>
      <c r="D89" s="376" t="s">
        <v>159</v>
      </c>
      <c r="E89" s="376" t="s">
        <v>1007</v>
      </c>
      <c r="F89" s="628" t="s">
        <v>1334</v>
      </c>
      <c r="G89" s="609">
        <v>5.2375000000000005E-2</v>
      </c>
      <c r="H89" s="692">
        <v>1</v>
      </c>
      <c r="I89" s="626"/>
      <c r="J89" s="751"/>
      <c r="K89" s="416"/>
      <c r="L89" s="376" t="s">
        <v>1007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989</v>
      </c>
      <c r="C90" s="376" t="s">
        <v>1349</v>
      </c>
      <c r="D90" s="376" t="s">
        <v>159</v>
      </c>
      <c r="E90" s="376" t="s">
        <v>1007</v>
      </c>
      <c r="F90" s="628" t="s">
        <v>1341</v>
      </c>
      <c r="G90" s="609">
        <v>0.1</v>
      </c>
      <c r="H90" s="692">
        <v>1</v>
      </c>
      <c r="I90" s="626"/>
      <c r="J90" s="751"/>
      <c r="K90" s="416"/>
      <c r="L90" s="376" t="s">
        <v>1007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1350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893</v>
      </c>
      <c r="C8" s="666" t="s">
        <v>1351</v>
      </c>
      <c r="D8" s="666"/>
      <c r="E8" s="666"/>
      <c r="F8" s="681" t="s">
        <v>1004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893</v>
      </c>
      <c r="C9" s="684" t="s">
        <v>1351</v>
      </c>
      <c r="D9" s="684" t="s">
        <v>159</v>
      </c>
      <c r="E9" s="684"/>
      <c r="F9" s="712" t="s">
        <v>1239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893</v>
      </c>
      <c r="C10" s="376" t="s">
        <v>1351</v>
      </c>
      <c r="D10" s="376" t="s">
        <v>159</v>
      </c>
      <c r="E10" s="376" t="s">
        <v>664</v>
      </c>
      <c r="F10" s="608" t="s">
        <v>75</v>
      </c>
      <c r="G10" s="609">
        <v>0.13658053961234987</v>
      </c>
      <c r="H10" s="692">
        <v>1</v>
      </c>
      <c r="I10" s="626"/>
      <c r="J10" s="751"/>
      <c r="K10" s="416"/>
      <c r="L10" s="376" t="s">
        <v>664</v>
      </c>
      <c r="M10" s="376" t="s">
        <v>1352</v>
      </c>
      <c r="N10" s="376" t="s">
        <v>1353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893</v>
      </c>
      <c r="C11" s="376" t="s">
        <v>1351</v>
      </c>
      <c r="D11" s="376" t="s">
        <v>159</v>
      </c>
      <c r="E11" s="376" t="s">
        <v>664</v>
      </c>
      <c r="F11" s="623" t="s">
        <v>1246</v>
      </c>
      <c r="G11" s="609">
        <v>0.18210738614979985</v>
      </c>
      <c r="H11" s="692">
        <v>1</v>
      </c>
      <c r="I11" s="626"/>
      <c r="J11" s="751"/>
      <c r="K11" s="416"/>
      <c r="L11" s="376" t="s">
        <v>664</v>
      </c>
      <c r="M11" s="376" t="s">
        <v>1352</v>
      </c>
      <c r="N11" s="376" t="s">
        <v>1354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893</v>
      </c>
      <c r="C12" s="376" t="s">
        <v>1351</v>
      </c>
      <c r="D12" s="376" t="s">
        <v>159</v>
      </c>
      <c r="E12" s="376" t="s">
        <v>664</v>
      </c>
      <c r="F12" s="623" t="s">
        <v>1321</v>
      </c>
      <c r="G12" s="609">
        <v>4.5526846537449962E-2</v>
      </c>
      <c r="H12" s="692">
        <v>1</v>
      </c>
      <c r="I12" s="626"/>
      <c r="J12" s="751"/>
      <c r="K12" s="416"/>
      <c r="L12" s="376" t="s">
        <v>664</v>
      </c>
      <c r="M12" s="376" t="s">
        <v>1352</v>
      </c>
      <c r="N12" s="376" t="s">
        <v>1273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962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970</v>
      </c>
      <c r="C16" s="666" t="s">
        <v>1165</v>
      </c>
      <c r="D16" s="666"/>
      <c r="E16" s="666"/>
      <c r="F16" s="681" t="s">
        <v>1004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1165</v>
      </c>
      <c r="C17" s="687" t="s">
        <v>1165</v>
      </c>
      <c r="D17" s="687" t="s">
        <v>159</v>
      </c>
      <c r="E17" s="687"/>
      <c r="F17" s="717" t="s">
        <v>1355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1165</v>
      </c>
      <c r="C18" s="387" t="s">
        <v>1165</v>
      </c>
      <c r="D18" s="387" t="s">
        <v>159</v>
      </c>
      <c r="E18" s="387" t="s">
        <v>664</v>
      </c>
      <c r="F18" s="705" t="s">
        <v>17</v>
      </c>
      <c r="G18" s="706">
        <v>3.6843765000000008</v>
      </c>
      <c r="H18" s="707">
        <v>1</v>
      </c>
      <c r="I18" s="740"/>
      <c r="J18" s="757"/>
      <c r="K18" s="748"/>
      <c r="L18" s="387" t="s">
        <v>664</v>
      </c>
      <c r="M18" s="387" t="s">
        <v>664</v>
      </c>
      <c r="N18" s="387" t="s">
        <v>1356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1165</v>
      </c>
      <c r="C19" s="387" t="s">
        <v>1165</v>
      </c>
      <c r="D19" s="387" t="s">
        <v>159</v>
      </c>
      <c r="E19" s="387" t="s">
        <v>664</v>
      </c>
      <c r="F19" s="705" t="s">
        <v>36</v>
      </c>
      <c r="G19" s="706">
        <v>3.6843765000000008</v>
      </c>
      <c r="H19" s="707">
        <v>1</v>
      </c>
      <c r="I19" s="740"/>
      <c r="J19" s="757"/>
      <c r="K19" s="748"/>
      <c r="L19" s="387" t="s">
        <v>664</v>
      </c>
      <c r="M19" s="387" t="s">
        <v>664</v>
      </c>
      <c r="N19" s="387" t="s">
        <v>1356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1165</v>
      </c>
      <c r="C20" s="387" t="s">
        <v>1165</v>
      </c>
      <c r="D20" s="387" t="s">
        <v>159</v>
      </c>
      <c r="E20" s="387" t="s">
        <v>664</v>
      </c>
      <c r="F20" s="705" t="s">
        <v>1232</v>
      </c>
      <c r="G20" s="706">
        <v>3.6843764999999999</v>
      </c>
      <c r="H20" s="707">
        <v>1</v>
      </c>
      <c r="I20" s="740"/>
      <c r="J20" s="757"/>
      <c r="K20" s="748"/>
      <c r="L20" s="387" t="s">
        <v>664</v>
      </c>
      <c r="M20" s="387" t="s">
        <v>1357</v>
      </c>
      <c r="N20" s="387" t="s">
        <v>1356</v>
      </c>
      <c r="O20" s="387" t="s">
        <v>1358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1165</v>
      </c>
      <c r="C21" s="387" t="s">
        <v>1165</v>
      </c>
      <c r="D21" s="387" t="s">
        <v>159</v>
      </c>
      <c r="E21" s="387" t="s">
        <v>664</v>
      </c>
      <c r="F21" s="705" t="s">
        <v>1233</v>
      </c>
      <c r="G21" s="706">
        <v>1.8421882500000004</v>
      </c>
      <c r="H21" s="707">
        <v>1</v>
      </c>
      <c r="I21" s="740"/>
      <c r="J21" s="757"/>
      <c r="K21" s="748"/>
      <c r="L21" s="387" t="s">
        <v>664</v>
      </c>
      <c r="M21" s="387" t="s">
        <v>1357</v>
      </c>
      <c r="N21" s="387" t="s">
        <v>1356</v>
      </c>
      <c r="O21" s="387" t="s">
        <v>1358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1165</v>
      </c>
      <c r="C22" s="387" t="s">
        <v>1165</v>
      </c>
      <c r="D22" s="387" t="s">
        <v>159</v>
      </c>
      <c r="E22" s="387" t="s">
        <v>664</v>
      </c>
      <c r="F22" s="705" t="s">
        <v>1234</v>
      </c>
      <c r="G22" s="706">
        <v>3.6843765000000008</v>
      </c>
      <c r="H22" s="707">
        <v>1</v>
      </c>
      <c r="I22" s="740"/>
      <c r="J22" s="757"/>
      <c r="K22" s="748"/>
      <c r="L22" s="387" t="s">
        <v>664</v>
      </c>
      <c r="M22" s="387" t="s">
        <v>664</v>
      </c>
      <c r="N22" s="387" t="s">
        <v>1356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972</v>
      </c>
      <c r="C23" s="666" t="s">
        <v>1164</v>
      </c>
      <c r="D23" s="666"/>
      <c r="E23" s="666"/>
      <c r="F23" s="681" t="s">
        <v>1004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1164</v>
      </c>
      <c r="C24" s="687" t="s">
        <v>1164</v>
      </c>
      <c r="D24" s="684" t="s">
        <v>159</v>
      </c>
      <c r="E24" s="687"/>
      <c r="F24" s="717" t="s">
        <v>1355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1164</v>
      </c>
      <c r="C25" s="387" t="s">
        <v>1164</v>
      </c>
      <c r="D25" s="376" t="s">
        <v>159</v>
      </c>
      <c r="E25" s="387" t="s">
        <v>664</v>
      </c>
      <c r="F25" s="705" t="s">
        <v>17</v>
      </c>
      <c r="G25" s="706">
        <v>1.2281255000000002</v>
      </c>
      <c r="H25" s="707">
        <v>1</v>
      </c>
      <c r="I25" s="626"/>
      <c r="J25" s="751"/>
      <c r="K25" s="416"/>
      <c r="L25" s="387" t="s">
        <v>664</v>
      </c>
      <c r="M25" s="387" t="s">
        <v>664</v>
      </c>
      <c r="N25" s="387" t="s">
        <v>1359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1164</v>
      </c>
      <c r="C26" s="387" t="s">
        <v>1164</v>
      </c>
      <c r="D26" s="376" t="s">
        <v>159</v>
      </c>
      <c r="E26" s="387" t="s">
        <v>664</v>
      </c>
      <c r="F26" s="705" t="s">
        <v>36</v>
      </c>
      <c r="G26" s="706">
        <v>1.2281255000000002</v>
      </c>
      <c r="H26" s="707">
        <v>1</v>
      </c>
      <c r="I26" s="626"/>
      <c r="J26" s="751"/>
      <c r="K26" s="416"/>
      <c r="L26" s="387" t="s">
        <v>664</v>
      </c>
      <c r="M26" s="387" t="s">
        <v>664</v>
      </c>
      <c r="N26" s="387" t="s">
        <v>1359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1164</v>
      </c>
      <c r="C27" s="387" t="s">
        <v>1164</v>
      </c>
      <c r="D27" s="376" t="s">
        <v>159</v>
      </c>
      <c r="E27" s="387" t="s">
        <v>664</v>
      </c>
      <c r="F27" s="705" t="s">
        <v>1232</v>
      </c>
      <c r="G27" s="706">
        <v>1.2281255</v>
      </c>
      <c r="H27" s="707">
        <v>1</v>
      </c>
      <c r="I27" s="626"/>
      <c r="J27" s="751"/>
      <c r="K27" s="416"/>
      <c r="L27" s="387" t="s">
        <v>664</v>
      </c>
      <c r="M27" s="387" t="s">
        <v>1357</v>
      </c>
      <c r="N27" s="387" t="s">
        <v>1359</v>
      </c>
      <c r="O27" s="387" t="s">
        <v>1360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1164</v>
      </c>
      <c r="C28" s="387" t="s">
        <v>1164</v>
      </c>
      <c r="D28" s="376" t="s">
        <v>159</v>
      </c>
      <c r="E28" s="387" t="s">
        <v>664</v>
      </c>
      <c r="F28" s="705" t="s">
        <v>1233</v>
      </c>
      <c r="G28" s="706">
        <v>0.6140627500000001</v>
      </c>
      <c r="H28" s="707">
        <v>1</v>
      </c>
      <c r="I28" s="626"/>
      <c r="J28" s="751"/>
      <c r="K28" s="416"/>
      <c r="L28" s="387" t="s">
        <v>664</v>
      </c>
      <c r="M28" s="387" t="s">
        <v>1357</v>
      </c>
      <c r="N28" s="387" t="s">
        <v>1359</v>
      </c>
      <c r="O28" s="387" t="s">
        <v>1360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1164</v>
      </c>
      <c r="C29" s="387" t="s">
        <v>1164</v>
      </c>
      <c r="D29" s="376" t="s">
        <v>159</v>
      </c>
      <c r="E29" s="387" t="s">
        <v>664</v>
      </c>
      <c r="F29" s="705" t="s">
        <v>1234</v>
      </c>
      <c r="G29" s="706">
        <v>1.2281255000000002</v>
      </c>
      <c r="H29" s="707">
        <v>1</v>
      </c>
      <c r="I29" s="626"/>
      <c r="J29" s="751"/>
      <c r="K29" s="416"/>
      <c r="L29" s="387" t="s">
        <v>664</v>
      </c>
      <c r="M29" s="387" t="s">
        <v>664</v>
      </c>
      <c r="N29" s="387" t="s">
        <v>1359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973</v>
      </c>
      <c r="C30" s="665" t="s">
        <v>973</v>
      </c>
      <c r="D30" s="665"/>
      <c r="E30" s="665"/>
      <c r="F30" s="681" t="s">
        <v>1004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973</v>
      </c>
      <c r="C31" s="684" t="s">
        <v>973</v>
      </c>
      <c r="D31" s="684" t="s">
        <v>1166</v>
      </c>
      <c r="E31" s="684"/>
      <c r="F31" s="685" t="s">
        <v>1361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973</v>
      </c>
      <c r="C32" s="376" t="s">
        <v>973</v>
      </c>
      <c r="D32" s="376" t="s">
        <v>1166</v>
      </c>
      <c r="E32" s="376" t="s">
        <v>664</v>
      </c>
      <c r="F32" s="608" t="s">
        <v>1362</v>
      </c>
      <c r="G32" s="609">
        <v>0.33750000000000002</v>
      </c>
      <c r="H32" s="692">
        <v>1</v>
      </c>
      <c r="I32" s="626"/>
      <c r="J32" s="751"/>
      <c r="K32" s="416"/>
      <c r="L32" s="376" t="s">
        <v>664</v>
      </c>
      <c r="M32" s="376" t="s">
        <v>664</v>
      </c>
      <c r="N32" s="376" t="s">
        <v>1363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973</v>
      </c>
      <c r="C33" s="376" t="s">
        <v>973</v>
      </c>
      <c r="D33" s="376" t="s">
        <v>1166</v>
      </c>
      <c r="E33" s="376" t="s">
        <v>664</v>
      </c>
      <c r="F33" s="608" t="s">
        <v>36</v>
      </c>
      <c r="G33" s="609">
        <v>0.58000000000000007</v>
      </c>
      <c r="H33" s="692">
        <v>1</v>
      </c>
      <c r="I33" s="626"/>
      <c r="J33" s="751"/>
      <c r="K33" s="416"/>
      <c r="L33" s="376" t="s">
        <v>664</v>
      </c>
      <c r="M33" s="376" t="s">
        <v>664</v>
      </c>
      <c r="N33" s="376" t="s">
        <v>1363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973</v>
      </c>
      <c r="C34" s="376" t="s">
        <v>973</v>
      </c>
      <c r="D34" s="376" t="s">
        <v>1166</v>
      </c>
      <c r="E34" s="376" t="s">
        <v>664</v>
      </c>
      <c r="F34" s="608" t="s">
        <v>1337</v>
      </c>
      <c r="G34" s="609">
        <v>0.58000000000000007</v>
      </c>
      <c r="H34" s="692">
        <v>1</v>
      </c>
      <c r="I34" s="626"/>
      <c r="J34" s="751"/>
      <c r="K34" s="416"/>
      <c r="L34" s="376" t="s">
        <v>664</v>
      </c>
      <c r="M34" s="376" t="s">
        <v>1363</v>
      </c>
      <c r="N34" s="376" t="s">
        <v>1364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973</v>
      </c>
      <c r="C35" s="376" t="s">
        <v>973</v>
      </c>
      <c r="D35" s="376" t="s">
        <v>1166</v>
      </c>
      <c r="E35" s="376" t="s">
        <v>664</v>
      </c>
      <c r="F35" s="608" t="s">
        <v>1365</v>
      </c>
      <c r="G35" s="609">
        <v>0.58000000000000007</v>
      </c>
      <c r="H35" s="692">
        <v>1</v>
      </c>
      <c r="I35" s="626"/>
      <c r="J35" s="751"/>
      <c r="K35" s="416"/>
      <c r="L35" s="376" t="s">
        <v>664</v>
      </c>
      <c r="M35" s="376" t="s">
        <v>1363</v>
      </c>
      <c r="N35" s="376" t="s">
        <v>1364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973</v>
      </c>
      <c r="C36" s="376" t="s">
        <v>973</v>
      </c>
      <c r="D36" s="376" t="s">
        <v>1166</v>
      </c>
      <c r="E36" s="376" t="s">
        <v>664</v>
      </c>
      <c r="F36" s="608" t="s">
        <v>1233</v>
      </c>
      <c r="G36" s="609">
        <v>0.33750000000000002</v>
      </c>
      <c r="H36" s="692">
        <v>1</v>
      </c>
      <c r="I36" s="626"/>
      <c r="J36" s="751"/>
      <c r="K36" s="416"/>
      <c r="L36" s="376" t="s">
        <v>664</v>
      </c>
      <c r="M36" s="376" t="s">
        <v>1363</v>
      </c>
      <c r="N36" s="376" t="s">
        <v>1364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973</v>
      </c>
      <c r="C37" s="376" t="s">
        <v>973</v>
      </c>
      <c r="D37" s="376" t="s">
        <v>1166</v>
      </c>
      <c r="E37" s="376" t="s">
        <v>664</v>
      </c>
      <c r="F37" s="608" t="s">
        <v>1366</v>
      </c>
      <c r="G37" s="609">
        <v>0.33750000000000002</v>
      </c>
      <c r="H37" s="692">
        <v>1</v>
      </c>
      <c r="I37" s="626"/>
      <c r="J37" s="751"/>
      <c r="K37" s="416"/>
      <c r="L37" s="376" t="s">
        <v>664</v>
      </c>
      <c r="M37" s="376" t="s">
        <v>1363</v>
      </c>
      <c r="N37" s="376" t="s">
        <v>1364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973</v>
      </c>
      <c r="C38" s="376" t="s">
        <v>973</v>
      </c>
      <c r="D38" s="376" t="s">
        <v>1166</v>
      </c>
      <c r="E38" s="376" t="s">
        <v>664</v>
      </c>
      <c r="F38" s="608" t="s">
        <v>1367</v>
      </c>
      <c r="G38" s="609">
        <v>0.57999999999999996</v>
      </c>
      <c r="H38" s="692">
        <v>1</v>
      </c>
      <c r="I38" s="626"/>
      <c r="J38" s="751"/>
      <c r="K38" s="416"/>
      <c r="L38" s="376" t="s">
        <v>664</v>
      </c>
      <c r="M38" s="376" t="s">
        <v>1363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985</v>
      </c>
      <c r="C39" s="665" t="s">
        <v>985</v>
      </c>
      <c r="D39" s="665"/>
      <c r="E39" s="665"/>
      <c r="F39" s="681" t="s">
        <v>1004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985</v>
      </c>
      <c r="C40" s="684" t="s">
        <v>985</v>
      </c>
      <c r="D40" s="684" t="s">
        <v>1166</v>
      </c>
      <c r="E40" s="684"/>
      <c r="F40" s="685" t="s">
        <v>1368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985</v>
      </c>
      <c r="C41" s="376" t="s">
        <v>985</v>
      </c>
      <c r="D41" s="376" t="s">
        <v>159</v>
      </c>
      <c r="E41" s="376" t="s">
        <v>664</v>
      </c>
      <c r="F41" s="608" t="s">
        <v>17</v>
      </c>
      <c r="G41" s="609"/>
      <c r="H41" s="692">
        <v>1</v>
      </c>
      <c r="I41" s="626"/>
      <c r="J41" s="751"/>
      <c r="K41" s="416"/>
      <c r="L41" s="376" t="s">
        <v>664</v>
      </c>
      <c r="M41" s="376" t="s">
        <v>1369</v>
      </c>
      <c r="N41" s="376" t="s">
        <v>1370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985</v>
      </c>
      <c r="C42" s="376" t="s">
        <v>985</v>
      </c>
      <c r="D42" s="376" t="s">
        <v>159</v>
      </c>
      <c r="E42" s="376" t="s">
        <v>664</v>
      </c>
      <c r="F42" s="608" t="s">
        <v>36</v>
      </c>
      <c r="G42" s="609"/>
      <c r="H42" s="692">
        <v>1</v>
      </c>
      <c r="I42" s="626"/>
      <c r="J42" s="751"/>
      <c r="K42" s="416"/>
      <c r="L42" s="376" t="s">
        <v>664</v>
      </c>
      <c r="M42" s="376" t="s">
        <v>1369</v>
      </c>
      <c r="N42" s="376" t="s">
        <v>1370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985</v>
      </c>
      <c r="C43" s="376" t="s">
        <v>985</v>
      </c>
      <c r="D43" s="376" t="s">
        <v>159</v>
      </c>
      <c r="E43" s="376" t="s">
        <v>664</v>
      </c>
      <c r="F43" s="608" t="s">
        <v>208</v>
      </c>
      <c r="G43" s="609"/>
      <c r="H43" s="692">
        <v>1</v>
      </c>
      <c r="I43" s="626"/>
      <c r="J43" s="751"/>
      <c r="K43" s="416"/>
      <c r="L43" s="376" t="s">
        <v>664</v>
      </c>
      <c r="M43" s="376" t="s">
        <v>1369</v>
      </c>
      <c r="N43" s="376" t="s">
        <v>1370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497</v>
      </c>
      <c r="C44" s="665" t="s">
        <v>1371</v>
      </c>
      <c r="D44" s="665"/>
      <c r="E44" s="665"/>
      <c r="F44" s="681" t="s">
        <v>1004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497</v>
      </c>
      <c r="C45" s="684" t="s">
        <v>1371</v>
      </c>
      <c r="D45" s="684" t="s">
        <v>159</v>
      </c>
      <c r="E45" s="684"/>
      <c r="F45" s="685" t="s">
        <v>1372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497</v>
      </c>
      <c r="C46" s="376" t="s">
        <v>1371</v>
      </c>
      <c r="D46" s="376" t="s">
        <v>159</v>
      </c>
      <c r="E46" s="376" t="s">
        <v>664</v>
      </c>
      <c r="F46" s="608" t="s">
        <v>36</v>
      </c>
      <c r="G46" s="609">
        <v>0.69</v>
      </c>
      <c r="H46" s="692">
        <v>1</v>
      </c>
      <c r="I46" s="626"/>
      <c r="J46" s="751"/>
      <c r="K46" s="416"/>
      <c r="L46" s="376" t="s">
        <v>664</v>
      </c>
      <c r="M46" s="376" t="s">
        <v>1357</v>
      </c>
      <c r="N46" s="376" t="s">
        <v>1359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497</v>
      </c>
      <c r="C47" s="376" t="s">
        <v>1371</v>
      </c>
      <c r="D47" s="376" t="s">
        <v>159</v>
      </c>
      <c r="E47" s="376" t="s">
        <v>664</v>
      </c>
      <c r="F47" s="608" t="s">
        <v>208</v>
      </c>
      <c r="G47" s="609">
        <v>0.46</v>
      </c>
      <c r="H47" s="692">
        <v>1</v>
      </c>
      <c r="I47" s="626"/>
      <c r="J47" s="751"/>
      <c r="K47" s="416"/>
      <c r="L47" s="376" t="s">
        <v>664</v>
      </c>
      <c r="M47" s="376" t="s">
        <v>1357</v>
      </c>
      <c r="N47" s="376" t="s">
        <v>1359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989</v>
      </c>
      <c r="C48" s="682" t="s">
        <v>1349</v>
      </c>
      <c r="D48" s="682"/>
      <c r="E48" s="682"/>
      <c r="F48" s="681" t="s">
        <v>1004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989</v>
      </c>
      <c r="C49" s="684" t="s">
        <v>1349</v>
      </c>
      <c r="D49" s="684" t="s">
        <v>159</v>
      </c>
      <c r="E49" s="684"/>
      <c r="F49" s="685" t="s">
        <v>1224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1229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989</v>
      </c>
      <c r="C50" s="376" t="s">
        <v>1349</v>
      </c>
      <c r="D50" s="376" t="s">
        <v>159</v>
      </c>
      <c r="E50" s="376" t="s">
        <v>664</v>
      </c>
      <c r="F50" s="608" t="s">
        <v>1373</v>
      </c>
      <c r="G50" s="609">
        <v>3.3116500000000002</v>
      </c>
      <c r="H50" s="692">
        <v>1</v>
      </c>
      <c r="I50" s="626"/>
      <c r="J50" s="751"/>
      <c r="K50" s="416"/>
      <c r="L50" s="376" t="s">
        <v>664</v>
      </c>
      <c r="M50" s="376" t="s">
        <v>1352</v>
      </c>
      <c r="N50" s="376" t="s">
        <v>1363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989</v>
      </c>
      <c r="C51" s="376" t="s">
        <v>1349</v>
      </c>
      <c r="D51" s="376" t="s">
        <v>159</v>
      </c>
      <c r="E51" s="376" t="s">
        <v>664</v>
      </c>
      <c r="F51" s="608" t="s">
        <v>208</v>
      </c>
      <c r="G51" s="609">
        <v>1.6558250000000001</v>
      </c>
      <c r="H51" s="692">
        <v>1</v>
      </c>
      <c r="I51" s="626"/>
      <c r="J51" s="751"/>
      <c r="K51" s="416"/>
      <c r="L51" s="376" t="s">
        <v>664</v>
      </c>
      <c r="M51" s="376" t="s">
        <v>1352</v>
      </c>
      <c r="N51" s="376" t="s">
        <v>1363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989</v>
      </c>
      <c r="C52" s="376" t="s">
        <v>1349</v>
      </c>
      <c r="D52" s="376" t="s">
        <v>159</v>
      </c>
      <c r="E52" s="376" t="s">
        <v>664</v>
      </c>
      <c r="F52" s="608" t="s">
        <v>1365</v>
      </c>
      <c r="G52" s="609">
        <v>3.31</v>
      </c>
      <c r="H52" s="692">
        <v>1</v>
      </c>
      <c r="I52" s="626"/>
      <c r="J52" s="751"/>
      <c r="K52" s="416"/>
      <c r="L52" s="376" t="s">
        <v>664</v>
      </c>
      <c r="M52" s="376" t="s">
        <v>1352</v>
      </c>
      <c r="N52" s="376" t="s">
        <v>1363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236</v>
      </c>
      <c r="C53" s="666" t="s">
        <v>1235</v>
      </c>
      <c r="D53" s="667"/>
      <c r="E53" s="665"/>
      <c r="F53" s="681" t="s">
        <v>1004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236</v>
      </c>
      <c r="C54" s="687" t="s">
        <v>1374</v>
      </c>
      <c r="D54" s="684" t="s">
        <v>159</v>
      </c>
      <c r="E54" s="684"/>
      <c r="F54" s="685" t="s">
        <v>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236</v>
      </c>
      <c r="C55" s="387" t="s">
        <v>1374</v>
      </c>
      <c r="D55" s="376" t="s">
        <v>159</v>
      </c>
      <c r="E55" s="376" t="s">
        <v>664</v>
      </c>
      <c r="F55" s="608" t="s">
        <v>17</v>
      </c>
      <c r="G55" s="609">
        <v>1.4045188286250001</v>
      </c>
      <c r="H55" s="692">
        <v>1</v>
      </c>
      <c r="I55" s="626"/>
      <c r="J55" s="751"/>
      <c r="K55" s="416"/>
      <c r="L55" s="376" t="s">
        <v>664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236</v>
      </c>
      <c r="C56" s="387" t="s">
        <v>1374</v>
      </c>
      <c r="D56" s="376" t="s">
        <v>159</v>
      </c>
      <c r="E56" s="376" t="s">
        <v>664</v>
      </c>
      <c r="F56" s="608" t="s">
        <v>36</v>
      </c>
      <c r="G56" s="609">
        <v>1.4045188286250001</v>
      </c>
      <c r="H56" s="692">
        <v>1</v>
      </c>
      <c r="I56" s="626"/>
      <c r="J56" s="751"/>
      <c r="K56" s="416"/>
      <c r="L56" s="376" t="s">
        <v>664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236</v>
      </c>
      <c r="C57" s="387" t="s">
        <v>1374</v>
      </c>
      <c r="D57" s="376" t="s">
        <v>159</v>
      </c>
      <c r="E57" s="376" t="s">
        <v>664</v>
      </c>
      <c r="F57" s="608" t="s">
        <v>208</v>
      </c>
      <c r="G57" s="609">
        <v>2.81</v>
      </c>
      <c r="H57" s="692">
        <v>1</v>
      </c>
      <c r="I57" s="626"/>
      <c r="J57" s="751"/>
      <c r="K57" s="416"/>
      <c r="L57" s="376" t="s">
        <v>664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1375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612</v>
      </c>
      <c r="C8" s="665" t="s">
        <v>612</v>
      </c>
      <c r="D8" s="665"/>
      <c r="E8" s="665"/>
      <c r="F8" s="681" t="s">
        <v>1004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ht="26.45" outlineLevel="2">
      <c r="A9" s="376"/>
      <c r="B9" s="684" t="s">
        <v>612</v>
      </c>
      <c r="C9" s="684" t="s">
        <v>612</v>
      </c>
      <c r="D9" s="684" t="s">
        <v>159</v>
      </c>
      <c r="E9" s="684"/>
      <c r="F9" s="685" t="s">
        <v>1376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612</v>
      </c>
      <c r="C10" s="376" t="s">
        <v>612</v>
      </c>
      <c r="D10" s="376" t="s">
        <v>159</v>
      </c>
      <c r="E10" s="376" t="s">
        <v>1167</v>
      </c>
      <c r="F10" s="608" t="s">
        <v>1219</v>
      </c>
      <c r="G10" s="609">
        <v>0.15625749999999999</v>
      </c>
      <c r="H10" s="692">
        <v>1</v>
      </c>
      <c r="I10" s="626"/>
      <c r="J10" s="751"/>
      <c r="K10" s="416"/>
      <c r="L10" s="376" t="s">
        <v>1167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612</v>
      </c>
      <c r="C11" s="376" t="s">
        <v>612</v>
      </c>
      <c r="D11" s="376" t="s">
        <v>159</v>
      </c>
      <c r="E11" s="376" t="s">
        <v>1167</v>
      </c>
      <c r="F11" s="608" t="s">
        <v>36</v>
      </c>
      <c r="G11" s="609">
        <v>0.23438624999999996</v>
      </c>
      <c r="H11" s="692">
        <v>1</v>
      </c>
      <c r="I11" s="626"/>
      <c r="J11" s="751"/>
      <c r="K11" s="416"/>
      <c r="L11" s="376" t="s">
        <v>1167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612</v>
      </c>
      <c r="C12" s="376" t="s">
        <v>612</v>
      </c>
      <c r="D12" s="376" t="s">
        <v>159</v>
      </c>
      <c r="E12" s="376" t="s">
        <v>1167</v>
      </c>
      <c r="F12" s="608" t="s">
        <v>1232</v>
      </c>
      <c r="G12" s="609">
        <v>0.15625749999999999</v>
      </c>
      <c r="H12" s="692">
        <v>1</v>
      </c>
      <c r="I12" s="626"/>
      <c r="J12" s="751"/>
      <c r="K12" s="416"/>
      <c r="L12" s="376" t="s">
        <v>1167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612</v>
      </c>
      <c r="C13" s="376" t="s">
        <v>612</v>
      </c>
      <c r="D13" s="376" t="s">
        <v>159</v>
      </c>
      <c r="E13" s="376" t="s">
        <v>1167</v>
      </c>
      <c r="F13" s="608" t="s">
        <v>1209</v>
      </c>
      <c r="G13" s="609">
        <v>0.15625749999999999</v>
      </c>
      <c r="H13" s="692">
        <v>1</v>
      </c>
      <c r="I13" s="626"/>
      <c r="J13" s="751"/>
      <c r="K13" s="416"/>
      <c r="L13" s="376" t="s">
        <v>1167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612</v>
      </c>
      <c r="C14" s="376" t="s">
        <v>612</v>
      </c>
      <c r="D14" s="376" t="s">
        <v>159</v>
      </c>
      <c r="E14" s="376" t="s">
        <v>1167</v>
      </c>
      <c r="F14" s="608" t="s">
        <v>1210</v>
      </c>
      <c r="G14" s="609">
        <v>0.31251499999999999</v>
      </c>
      <c r="H14" s="692">
        <v>1</v>
      </c>
      <c r="I14" s="626"/>
      <c r="J14" s="751"/>
      <c r="K14" s="416"/>
      <c r="L14" s="376" t="s">
        <v>1167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612</v>
      </c>
      <c r="C15" s="684" t="s">
        <v>612</v>
      </c>
      <c r="D15" s="684" t="s">
        <v>518</v>
      </c>
      <c r="E15" s="684"/>
      <c r="F15" s="685" t="s">
        <v>1377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612</v>
      </c>
      <c r="C16" s="376" t="s">
        <v>612</v>
      </c>
      <c r="D16" s="376" t="s">
        <v>518</v>
      </c>
      <c r="E16" s="376" t="s">
        <v>1167</v>
      </c>
      <c r="F16" s="608" t="s">
        <v>36</v>
      </c>
      <c r="G16" s="609">
        <v>7.1431999999999995E-2</v>
      </c>
      <c r="H16" s="692">
        <v>1</v>
      </c>
      <c r="I16" s="626"/>
      <c r="J16" s="751"/>
      <c r="K16" s="416"/>
      <c r="L16" s="376" t="s">
        <v>1167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612</v>
      </c>
      <c r="C17" s="376" t="s">
        <v>612</v>
      </c>
      <c r="D17" s="376" t="s">
        <v>518</v>
      </c>
      <c r="E17" s="376" t="s">
        <v>1167</v>
      </c>
      <c r="F17" s="608" t="s">
        <v>1209</v>
      </c>
      <c r="G17" s="609">
        <v>7.1431999999999995E-2</v>
      </c>
      <c r="H17" s="692">
        <v>1</v>
      </c>
      <c r="I17" s="626"/>
      <c r="J17" s="751"/>
      <c r="K17" s="416"/>
      <c r="L17" s="376" t="s">
        <v>1167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612</v>
      </c>
      <c r="C18" s="684" t="s">
        <v>612</v>
      </c>
      <c r="D18" s="684" t="s">
        <v>441</v>
      </c>
      <c r="E18" s="684"/>
      <c r="F18" s="685" t="s">
        <v>1377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612</v>
      </c>
      <c r="C19" s="376" t="s">
        <v>612</v>
      </c>
      <c r="D19" s="376" t="s">
        <v>441</v>
      </c>
      <c r="E19" s="376" t="s">
        <v>1167</v>
      </c>
      <c r="F19" s="608" t="s">
        <v>36</v>
      </c>
      <c r="G19" s="609">
        <v>2.009025E-2</v>
      </c>
      <c r="H19" s="692">
        <v>1</v>
      </c>
      <c r="I19" s="626"/>
      <c r="J19" s="751"/>
      <c r="K19" s="416"/>
      <c r="L19" s="376" t="s">
        <v>1167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612</v>
      </c>
      <c r="C20" s="376" t="s">
        <v>612</v>
      </c>
      <c r="D20" s="376" t="s">
        <v>441</v>
      </c>
      <c r="E20" s="376" t="s">
        <v>1167</v>
      </c>
      <c r="F20" s="608" t="s">
        <v>1232</v>
      </c>
      <c r="G20" s="609">
        <v>2.009025E-2</v>
      </c>
      <c r="H20" s="692">
        <v>1</v>
      </c>
      <c r="I20" s="626"/>
      <c r="J20" s="751"/>
      <c r="K20" s="416"/>
      <c r="L20" s="376" t="s">
        <v>1167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612</v>
      </c>
      <c r="C21" s="376" t="s">
        <v>612</v>
      </c>
      <c r="D21" s="376" t="s">
        <v>441</v>
      </c>
      <c r="E21" s="376" t="s">
        <v>1167</v>
      </c>
      <c r="F21" s="608" t="s">
        <v>1209</v>
      </c>
      <c r="G21" s="609">
        <v>2.009025E-2</v>
      </c>
      <c r="H21" s="692">
        <v>1</v>
      </c>
      <c r="I21" s="626"/>
      <c r="J21" s="751"/>
      <c r="K21" s="416"/>
      <c r="L21" s="376" t="s">
        <v>1167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612</v>
      </c>
      <c r="C22" s="684" t="s">
        <v>612</v>
      </c>
      <c r="D22" s="684" t="s">
        <v>860</v>
      </c>
      <c r="E22" s="684"/>
      <c r="F22" s="685" t="s">
        <v>1377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612</v>
      </c>
      <c r="C23" s="376" t="s">
        <v>612</v>
      </c>
      <c r="D23" s="376" t="s">
        <v>860</v>
      </c>
      <c r="E23" s="376" t="s">
        <v>1167</v>
      </c>
      <c r="F23" s="608" t="s">
        <v>36</v>
      </c>
      <c r="G23" s="609">
        <v>1.6741875E-2</v>
      </c>
      <c r="H23" s="692">
        <v>1</v>
      </c>
      <c r="I23" s="626"/>
      <c r="J23" s="751"/>
      <c r="K23" s="416"/>
      <c r="L23" s="376" t="s">
        <v>1167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612</v>
      </c>
      <c r="C24" s="376" t="s">
        <v>612</v>
      </c>
      <c r="D24" s="376" t="s">
        <v>860</v>
      </c>
      <c r="E24" s="376" t="s">
        <v>1167</v>
      </c>
      <c r="F24" s="608" t="s">
        <v>1232</v>
      </c>
      <c r="G24" s="609">
        <v>2.009025E-2</v>
      </c>
      <c r="H24" s="692">
        <v>1</v>
      </c>
      <c r="I24" s="626"/>
      <c r="J24" s="751"/>
      <c r="K24" s="416"/>
      <c r="L24" s="376" t="s">
        <v>1167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612</v>
      </c>
      <c r="C25" s="376" t="s">
        <v>612</v>
      </c>
      <c r="D25" s="376" t="s">
        <v>860</v>
      </c>
      <c r="E25" s="376" t="s">
        <v>1167</v>
      </c>
      <c r="F25" s="608" t="s">
        <v>1209</v>
      </c>
      <c r="G25" s="609">
        <v>1.1161249999999999E-2</v>
      </c>
      <c r="H25" s="692">
        <v>1</v>
      </c>
      <c r="I25" s="626"/>
      <c r="J25" s="751"/>
      <c r="K25" s="416"/>
      <c r="L25" s="376" t="s">
        <v>1167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918</v>
      </c>
      <c r="C26" s="665" t="s">
        <v>1378</v>
      </c>
      <c r="D26" s="665"/>
      <c r="E26" s="665"/>
      <c r="F26" s="681" t="s">
        <v>1004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918</v>
      </c>
      <c r="C27" s="684" t="s">
        <v>1378</v>
      </c>
      <c r="D27" s="684" t="s">
        <v>159</v>
      </c>
      <c r="E27" s="684"/>
      <c r="F27" s="685" t="s">
        <v>1379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918</v>
      </c>
      <c r="C28" s="376" t="s">
        <v>1378</v>
      </c>
      <c r="D28" s="376" t="s">
        <v>159</v>
      </c>
      <c r="E28" s="376" t="s">
        <v>1167</v>
      </c>
      <c r="F28" s="608" t="s">
        <v>1380</v>
      </c>
      <c r="G28" s="609">
        <v>2.0999999999999999E-3</v>
      </c>
      <c r="H28" s="692">
        <v>1</v>
      </c>
      <c r="I28" s="626"/>
      <c r="J28" s="751"/>
      <c r="K28" s="416"/>
      <c r="L28" s="376" t="s">
        <v>1167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918</v>
      </c>
      <c r="C29" s="376" t="s">
        <v>1378</v>
      </c>
      <c r="D29" s="376" t="s">
        <v>159</v>
      </c>
      <c r="E29" s="376" t="s">
        <v>1167</v>
      </c>
      <c r="F29" s="608" t="s">
        <v>1381</v>
      </c>
      <c r="G29" s="609">
        <v>8.7500000000000002E-4</v>
      </c>
      <c r="H29" s="692">
        <v>1</v>
      </c>
      <c r="I29" s="626"/>
      <c r="J29" s="751"/>
      <c r="K29" s="416"/>
      <c r="L29" s="376" t="s">
        <v>1167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918</v>
      </c>
      <c r="C30" s="376" t="s">
        <v>1378</v>
      </c>
      <c r="D30" s="376" t="s">
        <v>159</v>
      </c>
      <c r="E30" s="376" t="s">
        <v>1167</v>
      </c>
      <c r="F30" s="608" t="s">
        <v>1382</v>
      </c>
      <c r="G30" s="609">
        <v>5.2499999999999997E-4</v>
      </c>
      <c r="H30" s="692">
        <v>1</v>
      </c>
      <c r="I30" s="626"/>
      <c r="J30" s="751"/>
      <c r="K30" s="416"/>
      <c r="L30" s="376" t="s">
        <v>1167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918</v>
      </c>
      <c r="C31" s="376" t="s">
        <v>1378</v>
      </c>
      <c r="D31" s="376" t="s">
        <v>159</v>
      </c>
      <c r="E31" s="376" t="s">
        <v>1167</v>
      </c>
      <c r="F31" s="608" t="s">
        <v>1383</v>
      </c>
      <c r="G31" s="609">
        <v>5.0000000000000001E-4</v>
      </c>
      <c r="H31" s="692">
        <v>1</v>
      </c>
      <c r="I31" s="626"/>
      <c r="J31" s="751"/>
      <c r="K31" s="416"/>
      <c r="L31" s="376" t="s">
        <v>1167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962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988</v>
      </c>
      <c r="C35" s="682" t="s">
        <v>1384</v>
      </c>
      <c r="D35" s="682"/>
      <c r="E35" s="682"/>
      <c r="F35" s="681" t="s">
        <v>1004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1384</v>
      </c>
      <c r="C36" s="688" t="s">
        <v>1384</v>
      </c>
      <c r="D36" s="688" t="s">
        <v>159</v>
      </c>
      <c r="E36" s="688"/>
      <c r="F36" s="712" t="s">
        <v>1385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1384</v>
      </c>
      <c r="C37" s="456" t="s">
        <v>1384</v>
      </c>
      <c r="D37" s="456" t="s">
        <v>159</v>
      </c>
      <c r="E37" s="456" t="s">
        <v>1167</v>
      </c>
      <c r="F37" s="623" t="s">
        <v>1386</v>
      </c>
      <c r="G37" s="744">
        <v>4.3845312000000004E-2</v>
      </c>
      <c r="H37" s="745">
        <v>1</v>
      </c>
      <c r="I37" s="626"/>
      <c r="J37" s="751"/>
      <c r="K37" s="416"/>
      <c r="L37" s="456" t="s">
        <v>1167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1384</v>
      </c>
      <c r="C38" s="456" t="s">
        <v>1384</v>
      </c>
      <c r="D38" s="456" t="s">
        <v>159</v>
      </c>
      <c r="E38" s="456" t="s">
        <v>1167</v>
      </c>
      <c r="F38" s="623" t="s">
        <v>36</v>
      </c>
      <c r="G38" s="744">
        <v>6.576796800000001E-2</v>
      </c>
      <c r="H38" s="745">
        <v>1</v>
      </c>
      <c r="I38" s="626"/>
      <c r="J38" s="751"/>
      <c r="K38" s="416"/>
      <c r="L38" s="456" t="s">
        <v>1167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1384</v>
      </c>
      <c r="C39" s="456" t="s">
        <v>1384</v>
      </c>
      <c r="D39" s="456" t="s">
        <v>159</v>
      </c>
      <c r="E39" s="456" t="s">
        <v>1167</v>
      </c>
      <c r="F39" s="623" t="s">
        <v>208</v>
      </c>
      <c r="G39" s="744">
        <v>4.3845312000000004E-2</v>
      </c>
      <c r="H39" s="745">
        <v>1</v>
      </c>
      <c r="I39" s="626"/>
      <c r="J39" s="751"/>
      <c r="K39" s="416"/>
      <c r="L39" s="456" t="s">
        <v>1167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1387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1238</v>
      </c>
      <c r="D8" s="665"/>
      <c r="E8" s="665"/>
      <c r="F8" s="681" t="s">
        <v>1004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1238</v>
      </c>
      <c r="D9" s="684" t="s">
        <v>441</v>
      </c>
      <c r="E9" s="684"/>
      <c r="F9" s="685" t="s">
        <v>1239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891</v>
      </c>
      <c r="C10" s="376" t="s">
        <v>1195</v>
      </c>
      <c r="D10" s="376" t="s">
        <v>441</v>
      </c>
      <c r="E10" s="376" t="s">
        <v>437</v>
      </c>
      <c r="F10" s="376" t="s">
        <v>1246</v>
      </c>
      <c r="G10" s="609">
        <v>1.4336873100000001E-2</v>
      </c>
      <c r="H10" s="692">
        <v>1</v>
      </c>
      <c r="I10" s="626"/>
      <c r="J10" s="751"/>
      <c r="K10" s="416"/>
      <c r="L10" s="376" t="s">
        <v>437</v>
      </c>
      <c r="M10" s="376" t="s">
        <v>1046</v>
      </c>
      <c r="N10" s="376" t="s">
        <v>1388</v>
      </c>
      <c r="O10" s="376" t="s">
        <v>1389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891</v>
      </c>
      <c r="C11" s="665" t="s">
        <v>1247</v>
      </c>
      <c r="D11" s="665"/>
      <c r="E11" s="665"/>
      <c r="F11" s="681" t="s">
        <v>1004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891</v>
      </c>
      <c r="C12" s="684" t="s">
        <v>1247</v>
      </c>
      <c r="D12" s="684" t="s">
        <v>441</v>
      </c>
      <c r="E12" s="684"/>
      <c r="F12" s="685" t="s">
        <v>1390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891</v>
      </c>
      <c r="C13" s="376" t="s">
        <v>1247</v>
      </c>
      <c r="D13" s="376" t="s">
        <v>441</v>
      </c>
      <c r="E13" s="376" t="s">
        <v>437</v>
      </c>
      <c r="F13" s="608" t="s">
        <v>1391</v>
      </c>
      <c r="G13" s="609">
        <v>2.1499694035440806E-2</v>
      </c>
      <c r="H13" s="692">
        <v>1</v>
      </c>
      <c r="I13" s="626"/>
      <c r="J13" s="751"/>
      <c r="K13" s="416"/>
      <c r="L13" s="376" t="s">
        <v>437</v>
      </c>
      <c r="M13" s="376" t="s">
        <v>1046</v>
      </c>
      <c r="N13" s="376" t="s">
        <v>1388</v>
      </c>
      <c r="O13" s="376" t="s">
        <v>1392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6.45" outlineLevel="3">
      <c r="A14" s="376"/>
      <c r="B14" s="376" t="s">
        <v>891</v>
      </c>
      <c r="C14" s="376" t="s">
        <v>1247</v>
      </c>
      <c r="D14" s="376" t="s">
        <v>441</v>
      </c>
      <c r="E14" s="376" t="s">
        <v>437</v>
      </c>
      <c r="F14" s="608" t="s">
        <v>1253</v>
      </c>
      <c r="G14" s="609">
        <v>2.8273590763100436E-3</v>
      </c>
      <c r="H14" s="692">
        <v>1</v>
      </c>
      <c r="I14" s="626"/>
      <c r="J14" s="751"/>
      <c r="K14" s="416"/>
      <c r="L14" s="376" t="s">
        <v>437</v>
      </c>
      <c r="M14" s="376" t="s">
        <v>1046</v>
      </c>
      <c r="N14" s="376" t="s">
        <v>1388</v>
      </c>
      <c r="O14" s="376" t="s">
        <v>1392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6.45" outlineLevel="3">
      <c r="A15" s="376"/>
      <c r="B15" s="376" t="s">
        <v>891</v>
      </c>
      <c r="C15" s="376" t="s">
        <v>1247</v>
      </c>
      <c r="D15" s="376" t="s">
        <v>441</v>
      </c>
      <c r="E15" s="376" t="s">
        <v>437</v>
      </c>
      <c r="F15" s="608" t="s">
        <v>1254</v>
      </c>
      <c r="G15" s="609">
        <v>2.8273590763100436E-3</v>
      </c>
      <c r="H15" s="692">
        <v>1</v>
      </c>
      <c r="I15" s="626"/>
      <c r="J15" s="751"/>
      <c r="K15" s="416"/>
      <c r="L15" s="376" t="s">
        <v>437</v>
      </c>
      <c r="M15" s="376" t="s">
        <v>1046</v>
      </c>
      <c r="N15" s="376" t="s">
        <v>1388</v>
      </c>
      <c r="O15" s="376" t="s">
        <v>1392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891</v>
      </c>
      <c r="C16" s="376" t="s">
        <v>1247</v>
      </c>
      <c r="D16" s="376" t="s">
        <v>441</v>
      </c>
      <c r="E16" s="376" t="s">
        <v>437</v>
      </c>
      <c r="F16" s="608" t="s">
        <v>1250</v>
      </c>
      <c r="G16" s="609">
        <v>0.10494596538461541</v>
      </c>
      <c r="H16" s="692">
        <v>1</v>
      </c>
      <c r="I16" s="626"/>
      <c r="J16" s="751"/>
      <c r="K16" s="416"/>
      <c r="L16" s="376" t="s">
        <v>437</v>
      </c>
      <c r="M16" s="376" t="s">
        <v>1046</v>
      </c>
      <c r="N16" s="376" t="s">
        <v>1388</v>
      </c>
      <c r="O16" s="376" t="s">
        <v>1392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891</v>
      </c>
      <c r="C17" s="376" t="s">
        <v>1247</v>
      </c>
      <c r="D17" s="376" t="s">
        <v>441</v>
      </c>
      <c r="E17" s="376" t="s">
        <v>437</v>
      </c>
      <c r="F17" s="608" t="s">
        <v>1252</v>
      </c>
      <c r="G17" s="609">
        <v>0.10494596538461541</v>
      </c>
      <c r="H17" s="692">
        <v>1</v>
      </c>
      <c r="I17" s="626"/>
      <c r="J17" s="751"/>
      <c r="K17" s="416"/>
      <c r="L17" s="376" t="s">
        <v>437</v>
      </c>
      <c r="M17" s="376" t="s">
        <v>1046</v>
      </c>
      <c r="N17" s="376" t="s">
        <v>1388</v>
      </c>
      <c r="O17" s="376" t="s">
        <v>1392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891</v>
      </c>
      <c r="C18" s="376" t="s">
        <v>1247</v>
      </c>
      <c r="D18" s="376" t="s">
        <v>441</v>
      </c>
      <c r="E18" s="376" t="s">
        <v>437</v>
      </c>
      <c r="F18" s="608" t="s">
        <v>1263</v>
      </c>
      <c r="G18" s="609">
        <v>0.04</v>
      </c>
      <c r="H18" s="692">
        <v>1</v>
      </c>
      <c r="I18" s="626"/>
      <c r="J18" s="751"/>
      <c r="K18" s="416"/>
      <c r="L18" s="376" t="s">
        <v>437</v>
      </c>
      <c r="M18" s="376" t="s">
        <v>1046</v>
      </c>
      <c r="N18" s="376" t="s">
        <v>1388</v>
      </c>
      <c r="O18" s="376" t="s">
        <v>1392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891</v>
      </c>
      <c r="C19" s="684" t="s">
        <v>1247</v>
      </c>
      <c r="D19" s="684" t="s">
        <v>860</v>
      </c>
      <c r="E19" s="684"/>
      <c r="F19" s="685" t="s">
        <v>1390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891</v>
      </c>
      <c r="C20" s="376" t="s">
        <v>1247</v>
      </c>
      <c r="D20" s="376" t="s">
        <v>860</v>
      </c>
      <c r="E20" s="376" t="s">
        <v>437</v>
      </c>
      <c r="F20" s="608" t="s">
        <v>1391</v>
      </c>
      <c r="G20" s="609">
        <v>4.7863519954722676E-2</v>
      </c>
      <c r="H20" s="692">
        <v>1</v>
      </c>
      <c r="I20" s="626"/>
      <c r="J20" s="751"/>
      <c r="K20" s="416"/>
      <c r="L20" s="376" t="s">
        <v>437</v>
      </c>
      <c r="M20" s="376" t="s">
        <v>1393</v>
      </c>
      <c r="N20" s="376" t="s">
        <v>1394</v>
      </c>
      <c r="O20" s="376" t="s">
        <v>1395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891</v>
      </c>
      <c r="C21" s="376" t="s">
        <v>1247</v>
      </c>
      <c r="D21" s="376" t="s">
        <v>860</v>
      </c>
      <c r="E21" s="376" t="s">
        <v>437</v>
      </c>
      <c r="F21" s="608" t="s">
        <v>1396</v>
      </c>
      <c r="G21" s="609">
        <v>4.6404645614642186E-2</v>
      </c>
      <c r="H21" s="692">
        <v>1</v>
      </c>
      <c r="I21" s="626"/>
      <c r="J21" s="751"/>
      <c r="K21" s="416"/>
      <c r="L21" s="376" t="s">
        <v>437</v>
      </c>
      <c r="M21" s="376" t="s">
        <v>1393</v>
      </c>
      <c r="N21" s="376" t="s">
        <v>1394</v>
      </c>
      <c r="O21" s="376" t="s">
        <v>1395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891</v>
      </c>
      <c r="C22" s="376" t="s">
        <v>1247</v>
      </c>
      <c r="D22" s="376" t="s">
        <v>860</v>
      </c>
      <c r="E22" s="376" t="s">
        <v>437</v>
      </c>
      <c r="F22" s="608" t="s">
        <v>1252</v>
      </c>
      <c r="G22" s="609">
        <v>4.6404645614642186E-2</v>
      </c>
      <c r="H22" s="692">
        <v>1</v>
      </c>
      <c r="I22" s="626"/>
      <c r="J22" s="751"/>
      <c r="K22" s="416"/>
      <c r="L22" s="376" t="s">
        <v>437</v>
      </c>
      <c r="M22" s="376" t="s">
        <v>1393</v>
      </c>
      <c r="N22" s="376" t="s">
        <v>1394</v>
      </c>
      <c r="O22" s="376" t="s">
        <v>1395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893</v>
      </c>
      <c r="C23" s="666" t="s">
        <v>1351</v>
      </c>
      <c r="D23" s="666"/>
      <c r="E23" s="666"/>
      <c r="F23" s="681" t="s">
        <v>1004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893</v>
      </c>
      <c r="C24" s="684" t="s">
        <v>1351</v>
      </c>
      <c r="D24" s="684" t="s">
        <v>441</v>
      </c>
      <c r="E24" s="684"/>
      <c r="F24" s="712" t="s">
        <v>1239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893</v>
      </c>
      <c r="C25" s="376" t="s">
        <v>1351</v>
      </c>
      <c r="D25" s="376" t="s">
        <v>441</v>
      </c>
      <c r="E25" s="376" t="s">
        <v>437</v>
      </c>
      <c r="F25" s="623" t="s">
        <v>1263</v>
      </c>
      <c r="G25" s="609">
        <v>3.8655111599999993E-2</v>
      </c>
      <c r="H25" s="692">
        <v>1</v>
      </c>
      <c r="I25" s="626"/>
      <c r="J25" s="751"/>
      <c r="K25" s="416"/>
      <c r="L25" s="376" t="s">
        <v>437</v>
      </c>
      <c r="M25" s="376" t="s">
        <v>1046</v>
      </c>
      <c r="N25" s="376" t="s">
        <v>1397</v>
      </c>
      <c r="O25" s="376" t="s">
        <v>1398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893</v>
      </c>
      <c r="C26" s="376" t="s">
        <v>1351</v>
      </c>
      <c r="D26" s="376" t="s">
        <v>441</v>
      </c>
      <c r="E26" s="376" t="s">
        <v>437</v>
      </c>
      <c r="F26" s="623" t="s">
        <v>1246</v>
      </c>
      <c r="G26" s="609">
        <v>0.12885037199999999</v>
      </c>
      <c r="H26" s="692">
        <v>1</v>
      </c>
      <c r="I26" s="626"/>
      <c r="J26" s="751"/>
      <c r="K26" s="416"/>
      <c r="L26" s="376" t="s">
        <v>437</v>
      </c>
      <c r="M26" s="376" t="s">
        <v>1046</v>
      </c>
      <c r="N26" s="376" t="s">
        <v>1397</v>
      </c>
      <c r="O26" s="376" t="s">
        <v>1398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1399</v>
      </c>
      <c r="C27" s="666" t="s">
        <v>1220</v>
      </c>
      <c r="D27" s="666"/>
      <c r="E27" s="666"/>
      <c r="F27" s="681" t="s">
        <v>1004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1399</v>
      </c>
      <c r="C28" s="687" t="s">
        <v>1220</v>
      </c>
      <c r="D28" s="684"/>
      <c r="E28" s="684"/>
      <c r="F28" s="717" t="s">
        <v>1400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1401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894</v>
      </c>
      <c r="C30" s="666" t="s">
        <v>1265</v>
      </c>
      <c r="D30" s="666"/>
      <c r="E30" s="666"/>
      <c r="F30" s="681" t="s">
        <v>1004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894</v>
      </c>
      <c r="C31" s="684" t="s">
        <v>1265</v>
      </c>
      <c r="D31" s="684" t="s">
        <v>441</v>
      </c>
      <c r="E31" s="684"/>
      <c r="F31" s="712" t="s">
        <v>1179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894</v>
      </c>
      <c r="C32" s="376" t="s">
        <v>1265</v>
      </c>
      <c r="D32" s="376" t="s">
        <v>441</v>
      </c>
      <c r="E32" s="376" t="s">
        <v>437</v>
      </c>
      <c r="F32" s="623" t="s">
        <v>1301</v>
      </c>
      <c r="G32" s="723">
        <v>0.36</v>
      </c>
      <c r="H32" s="692">
        <v>1</v>
      </c>
      <c r="I32" s="626"/>
      <c r="J32" s="751"/>
      <c r="K32" s="416"/>
      <c r="L32" s="376" t="s">
        <v>437</v>
      </c>
      <c r="M32" s="376" t="s">
        <v>1046</v>
      </c>
      <c r="N32" s="376" t="s">
        <v>1402</v>
      </c>
      <c r="O32" s="376" t="s">
        <v>1403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894</v>
      </c>
      <c r="C33" s="376" t="s">
        <v>1265</v>
      </c>
      <c r="D33" s="376" t="s">
        <v>441</v>
      </c>
      <c r="E33" s="376" t="s">
        <v>437</v>
      </c>
      <c r="F33" s="623" t="s">
        <v>1404</v>
      </c>
      <c r="G33" s="723">
        <v>1.0915E-3</v>
      </c>
      <c r="H33" s="692">
        <v>1</v>
      </c>
      <c r="I33" s="626"/>
      <c r="J33" s="751"/>
      <c r="K33" s="416"/>
      <c r="L33" s="376" t="s">
        <v>437</v>
      </c>
      <c r="M33" s="376" t="s">
        <v>1046</v>
      </c>
      <c r="N33" s="376" t="s">
        <v>1402</v>
      </c>
      <c r="O33" s="376" t="s">
        <v>1403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894</v>
      </c>
      <c r="C34" s="684" t="s">
        <v>1265</v>
      </c>
      <c r="D34" s="684" t="s">
        <v>860</v>
      </c>
      <c r="E34" s="684"/>
      <c r="F34" s="712" t="s">
        <v>1179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6.45" outlineLevel="3">
      <c r="B35" s="376" t="s">
        <v>894</v>
      </c>
      <c r="C35" s="376" t="s">
        <v>1265</v>
      </c>
      <c r="D35" s="376" t="s">
        <v>860</v>
      </c>
      <c r="E35" s="376" t="s">
        <v>437</v>
      </c>
      <c r="F35" s="623" t="s">
        <v>1405</v>
      </c>
      <c r="G35" s="723">
        <v>0.04</v>
      </c>
      <c r="H35" s="692">
        <v>1</v>
      </c>
      <c r="I35" s="626"/>
      <c r="J35" s="751"/>
      <c r="K35" s="416"/>
      <c r="L35" s="376" t="s">
        <v>437</v>
      </c>
      <c r="M35" s="376" t="s">
        <v>1393</v>
      </c>
      <c r="N35" s="376" t="s">
        <v>1406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469</v>
      </c>
      <c r="C36" s="666" t="s">
        <v>1281</v>
      </c>
      <c r="D36" s="666"/>
      <c r="E36" s="666"/>
      <c r="F36" s="681" t="s">
        <v>1004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469</v>
      </c>
      <c r="C37" s="684" t="s">
        <v>1281</v>
      </c>
      <c r="D37" s="684" t="s">
        <v>441</v>
      </c>
      <c r="E37" s="684"/>
      <c r="F37" s="685" t="s">
        <v>1282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469</v>
      </c>
      <c r="C38" s="376" t="s">
        <v>1281</v>
      </c>
      <c r="D38" s="376" t="s">
        <v>441</v>
      </c>
      <c r="E38" s="376" t="s">
        <v>437</v>
      </c>
      <c r="F38" s="623" t="s">
        <v>1407</v>
      </c>
      <c r="G38" s="723">
        <v>8.5739999999999997E-2</v>
      </c>
      <c r="H38" s="692">
        <v>1</v>
      </c>
      <c r="I38" s="626"/>
      <c r="J38" s="751"/>
      <c r="K38" s="416"/>
      <c r="L38" s="376" t="s">
        <v>437</v>
      </c>
      <c r="M38" s="376" t="s">
        <v>1046</v>
      </c>
      <c r="N38" s="376" t="s">
        <v>1408</v>
      </c>
      <c r="O38" s="376" t="s">
        <v>1409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469</v>
      </c>
      <c r="C39" s="376" t="s">
        <v>1281</v>
      </c>
      <c r="D39" s="376" t="s">
        <v>441</v>
      </c>
      <c r="E39" s="376" t="s">
        <v>437</v>
      </c>
      <c r="F39" s="623" t="s">
        <v>1410</v>
      </c>
      <c r="G39" s="723">
        <v>8.5739999999999997E-2</v>
      </c>
      <c r="H39" s="692">
        <v>1</v>
      </c>
      <c r="I39" s="626"/>
      <c r="J39" s="751"/>
      <c r="K39" s="416"/>
      <c r="L39" s="376" t="s">
        <v>437</v>
      </c>
      <c r="M39" s="376" t="s">
        <v>1046</v>
      </c>
      <c r="N39" s="376" t="s">
        <v>1408</v>
      </c>
      <c r="O39" s="376" t="s">
        <v>1409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469</v>
      </c>
      <c r="C40" s="376" t="s">
        <v>1281</v>
      </c>
      <c r="D40" s="376" t="s">
        <v>441</v>
      </c>
      <c r="E40" s="376" t="s">
        <v>437</v>
      </c>
      <c r="F40" s="623" t="s">
        <v>1411</v>
      </c>
      <c r="G40" s="723">
        <v>0.06</v>
      </c>
      <c r="H40" s="692">
        <v>1</v>
      </c>
      <c r="I40" s="626"/>
      <c r="J40" s="751"/>
      <c r="K40" s="416"/>
      <c r="L40" s="376" t="s">
        <v>437</v>
      </c>
      <c r="M40" s="376" t="s">
        <v>1046</v>
      </c>
      <c r="N40" s="376" t="s">
        <v>1408</v>
      </c>
      <c r="O40" s="376" t="s">
        <v>1409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469</v>
      </c>
      <c r="C41" s="376" t="s">
        <v>1281</v>
      </c>
      <c r="D41" s="376" t="s">
        <v>441</v>
      </c>
      <c r="E41" s="376" t="s">
        <v>437</v>
      </c>
      <c r="F41" s="623" t="s">
        <v>1412</v>
      </c>
      <c r="G41" s="723">
        <v>0.06</v>
      </c>
      <c r="H41" s="692">
        <v>1</v>
      </c>
      <c r="I41" s="626"/>
      <c r="J41" s="751"/>
      <c r="K41" s="416"/>
      <c r="L41" s="376" t="s">
        <v>437</v>
      </c>
      <c r="M41" s="376" t="s">
        <v>1046</v>
      </c>
      <c r="N41" s="376" t="s">
        <v>1408</v>
      </c>
      <c r="O41" s="376" t="s">
        <v>1409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469</v>
      </c>
      <c r="C42" s="376" t="s">
        <v>1281</v>
      </c>
      <c r="D42" s="376" t="s">
        <v>441</v>
      </c>
      <c r="E42" s="376" t="s">
        <v>437</v>
      </c>
      <c r="F42" s="623" t="s">
        <v>1299</v>
      </c>
      <c r="G42" s="723">
        <v>4.0000000000000001E-3</v>
      </c>
      <c r="H42" s="692">
        <v>1</v>
      </c>
      <c r="I42" s="626"/>
      <c r="J42" s="751"/>
      <c r="K42" s="416"/>
      <c r="L42" s="376" t="s">
        <v>437</v>
      </c>
      <c r="M42" s="376" t="s">
        <v>1046</v>
      </c>
      <c r="N42" s="376" t="s">
        <v>1408</v>
      </c>
      <c r="O42" s="376" t="s">
        <v>1409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469</v>
      </c>
      <c r="C43" s="376" t="s">
        <v>1281</v>
      </c>
      <c r="D43" s="376" t="s">
        <v>441</v>
      </c>
      <c r="E43" s="376" t="s">
        <v>437</v>
      </c>
      <c r="F43" s="623" t="s">
        <v>1298</v>
      </c>
      <c r="G43" s="723">
        <v>0.04</v>
      </c>
      <c r="H43" s="692">
        <v>1</v>
      </c>
      <c r="I43" s="626"/>
      <c r="J43" s="751"/>
      <c r="K43" s="416"/>
      <c r="L43" s="376" t="s">
        <v>437</v>
      </c>
      <c r="M43" s="376" t="s">
        <v>1046</v>
      </c>
      <c r="N43" s="376" t="s">
        <v>1408</v>
      </c>
      <c r="O43" s="376" t="s">
        <v>1409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469</v>
      </c>
      <c r="C44" s="376" t="s">
        <v>1281</v>
      </c>
      <c r="D44" s="376" t="s">
        <v>441</v>
      </c>
      <c r="E44" s="376" t="s">
        <v>437</v>
      </c>
      <c r="F44" s="623" t="s">
        <v>1301</v>
      </c>
      <c r="G44" s="723">
        <v>0.12</v>
      </c>
      <c r="H44" s="692">
        <v>1</v>
      </c>
      <c r="I44" s="626"/>
      <c r="J44" s="751"/>
      <c r="K44" s="416"/>
      <c r="L44" s="376" t="s">
        <v>437</v>
      </c>
      <c r="M44" s="376" t="s">
        <v>1046</v>
      </c>
      <c r="N44" s="376" t="s">
        <v>1408</v>
      </c>
      <c r="O44" s="376" t="s">
        <v>1409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469</v>
      </c>
      <c r="C45" s="376" t="s">
        <v>1281</v>
      </c>
      <c r="D45" s="376" t="s">
        <v>441</v>
      </c>
      <c r="E45" s="376" t="s">
        <v>437</v>
      </c>
      <c r="F45" s="623" t="s">
        <v>1413</v>
      </c>
      <c r="G45" s="723">
        <v>0.1</v>
      </c>
      <c r="H45" s="692">
        <v>1</v>
      </c>
      <c r="I45" s="626"/>
      <c r="J45" s="751"/>
      <c r="K45" s="416"/>
      <c r="L45" s="376" t="s">
        <v>437</v>
      </c>
      <c r="M45" s="376" t="s">
        <v>1046</v>
      </c>
      <c r="N45" s="376" t="s">
        <v>1408</v>
      </c>
      <c r="O45" s="376" t="s">
        <v>1409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469</v>
      </c>
      <c r="C46" s="376" t="s">
        <v>1281</v>
      </c>
      <c r="D46" s="376" t="s">
        <v>441</v>
      </c>
      <c r="E46" s="376" t="s">
        <v>437</v>
      </c>
      <c r="F46" s="623" t="s">
        <v>1414</v>
      </c>
      <c r="G46" s="723">
        <v>0.1</v>
      </c>
      <c r="H46" s="692">
        <v>1</v>
      </c>
      <c r="I46" s="626"/>
      <c r="J46" s="751"/>
      <c r="K46" s="416"/>
      <c r="L46" s="376" t="s">
        <v>437</v>
      </c>
      <c r="M46" s="376" t="s">
        <v>1046</v>
      </c>
      <c r="N46" s="376" t="s">
        <v>1408</v>
      </c>
      <c r="O46" s="376" t="s">
        <v>1409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469</v>
      </c>
      <c r="C47" s="684" t="s">
        <v>1281</v>
      </c>
      <c r="D47" s="684" t="s">
        <v>860</v>
      </c>
      <c r="E47" s="684"/>
      <c r="F47" s="685" t="s">
        <v>1282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469</v>
      </c>
      <c r="C48" s="376" t="s">
        <v>1281</v>
      </c>
      <c r="D48" s="376" t="s">
        <v>860</v>
      </c>
      <c r="E48" s="376" t="s">
        <v>437</v>
      </c>
      <c r="F48" s="623" t="s">
        <v>1415</v>
      </c>
      <c r="G48" s="723">
        <v>0.02</v>
      </c>
      <c r="H48" s="692">
        <v>1</v>
      </c>
      <c r="I48" s="626"/>
      <c r="J48" s="751"/>
      <c r="K48" s="416"/>
      <c r="L48" s="376" t="s">
        <v>437</v>
      </c>
      <c r="M48" s="376" t="s">
        <v>1393</v>
      </c>
      <c r="N48" s="376" t="s">
        <v>1406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469</v>
      </c>
      <c r="C49" s="376" t="s">
        <v>1281</v>
      </c>
      <c r="D49" s="376" t="s">
        <v>860</v>
      </c>
      <c r="E49" s="376" t="s">
        <v>437</v>
      </c>
      <c r="F49" s="623" t="s">
        <v>1416</v>
      </c>
      <c r="G49" s="723">
        <v>3.8959620000000007E-2</v>
      </c>
      <c r="H49" s="692">
        <v>1</v>
      </c>
      <c r="I49" s="626"/>
      <c r="J49" s="751"/>
      <c r="K49" s="416"/>
      <c r="L49" s="376" t="s">
        <v>437</v>
      </c>
      <c r="M49" s="376" t="s">
        <v>1393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6.45" outlineLevel="3">
      <c r="B50" s="376" t="s">
        <v>469</v>
      </c>
      <c r="C50" s="376" t="s">
        <v>1281</v>
      </c>
      <c r="D50" s="376" t="s">
        <v>860</v>
      </c>
      <c r="E50" s="376" t="s">
        <v>437</v>
      </c>
      <c r="F50" s="623" t="s">
        <v>1417</v>
      </c>
      <c r="G50" s="723">
        <v>0.05</v>
      </c>
      <c r="H50" s="692">
        <v>1</v>
      </c>
      <c r="I50" s="626"/>
      <c r="J50" s="751"/>
      <c r="K50" s="416"/>
      <c r="L50" s="376" t="s">
        <v>437</v>
      </c>
      <c r="M50" s="376" t="s">
        <v>1393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469</v>
      </c>
      <c r="C51" s="376" t="s">
        <v>1281</v>
      </c>
      <c r="D51" s="376" t="s">
        <v>860</v>
      </c>
      <c r="E51" s="376" t="s">
        <v>437</v>
      </c>
      <c r="F51" s="623" t="s">
        <v>1414</v>
      </c>
      <c r="G51" s="723">
        <v>0.1</v>
      </c>
      <c r="H51" s="692">
        <v>1</v>
      </c>
      <c r="I51" s="626"/>
      <c r="J51" s="751"/>
      <c r="K51" s="416"/>
      <c r="L51" s="376" t="s">
        <v>437</v>
      </c>
      <c r="M51" s="376" t="s">
        <v>1393</v>
      </c>
      <c r="N51" s="376" t="s">
        <v>1406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897</v>
      </c>
      <c r="C52" s="665" t="s">
        <v>1201</v>
      </c>
      <c r="D52" s="665"/>
      <c r="E52" s="665"/>
      <c r="F52" s="681" t="s">
        <v>1004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1213</v>
      </c>
      <c r="O52" s="665" t="s">
        <v>1418</v>
      </c>
      <c r="P52" s="665" t="s">
        <v>1419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897</v>
      </c>
      <c r="C53" s="687" t="s">
        <v>1201</v>
      </c>
      <c r="D53" s="684" t="s">
        <v>860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897</v>
      </c>
      <c r="C54" s="376" t="s">
        <v>1201</v>
      </c>
      <c r="D54" s="376" t="s">
        <v>860</v>
      </c>
      <c r="E54" s="376" t="s">
        <v>437</v>
      </c>
      <c r="F54" s="623" t="s">
        <v>1420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899</v>
      </c>
      <c r="C55" s="665" t="s">
        <v>1178</v>
      </c>
      <c r="D55" s="665"/>
      <c r="E55" s="665"/>
      <c r="F55" s="681" t="s">
        <v>1004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899</v>
      </c>
      <c r="C56" s="684" t="s">
        <v>1178</v>
      </c>
      <c r="D56" s="684" t="s">
        <v>441</v>
      </c>
      <c r="E56" s="684"/>
      <c r="F56" s="685" t="s">
        <v>1179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899</v>
      </c>
      <c r="C57" s="376" t="s">
        <v>1178</v>
      </c>
      <c r="D57" s="376" t="s">
        <v>441</v>
      </c>
      <c r="E57" s="376" t="s">
        <v>437</v>
      </c>
      <c r="F57" s="608" t="s">
        <v>1192</v>
      </c>
      <c r="G57" s="609">
        <v>0.02</v>
      </c>
      <c r="H57" s="692">
        <v>1</v>
      </c>
      <c r="I57" s="626"/>
      <c r="J57" s="751"/>
      <c r="K57" s="416"/>
      <c r="L57" s="376" t="s">
        <v>437</v>
      </c>
      <c r="M57" s="376" t="s">
        <v>1046</v>
      </c>
      <c r="N57" s="376" t="s">
        <v>1421</v>
      </c>
      <c r="O57" s="376"/>
      <c r="P57" s="376" t="s">
        <v>1422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946</v>
      </c>
      <c r="C58" s="666" t="s">
        <v>1195</v>
      </c>
      <c r="D58" s="666"/>
      <c r="E58" s="666"/>
      <c r="F58" s="681" t="s">
        <v>1004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6.45" outlineLevel="2">
      <c r="B59" s="684" t="s">
        <v>946</v>
      </c>
      <c r="C59" s="684" t="s">
        <v>1195</v>
      </c>
      <c r="D59" s="684" t="s">
        <v>441</v>
      </c>
      <c r="E59" s="684"/>
      <c r="F59" s="685" t="s">
        <v>1423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946</v>
      </c>
      <c r="C60" s="376" t="s">
        <v>1195</v>
      </c>
      <c r="D60" s="376" t="s">
        <v>441</v>
      </c>
      <c r="E60" s="376" t="s">
        <v>437</v>
      </c>
      <c r="F60" s="608" t="s">
        <v>1197</v>
      </c>
      <c r="G60" s="609">
        <v>3.0822447240000002E-2</v>
      </c>
      <c r="H60" s="692">
        <v>1</v>
      </c>
      <c r="I60" s="626"/>
      <c r="J60" s="751"/>
      <c r="K60" s="416"/>
      <c r="L60" s="376" t="s">
        <v>437</v>
      </c>
      <c r="M60" s="376" t="s">
        <v>1046</v>
      </c>
      <c r="N60" s="376" t="s">
        <v>1424</v>
      </c>
      <c r="O60" s="376" t="s">
        <v>1425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946</v>
      </c>
      <c r="C61" s="376" t="s">
        <v>1195</v>
      </c>
      <c r="D61" s="376" t="s">
        <v>441</v>
      </c>
      <c r="E61" s="376" t="s">
        <v>437</v>
      </c>
      <c r="F61" s="608" t="s">
        <v>1199</v>
      </c>
      <c r="G61" s="609">
        <v>0.02</v>
      </c>
      <c r="H61" s="692">
        <v>1</v>
      </c>
      <c r="I61" s="626"/>
      <c r="J61" s="751"/>
      <c r="K61" s="416"/>
      <c r="L61" s="376" t="s">
        <v>437</v>
      </c>
      <c r="M61" s="376" t="s">
        <v>1046</v>
      </c>
      <c r="N61" s="376" t="s">
        <v>1424</v>
      </c>
      <c r="O61" s="376" t="s">
        <v>1425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946</v>
      </c>
      <c r="C62" s="376" t="s">
        <v>1195</v>
      </c>
      <c r="D62" s="376" t="s">
        <v>441</v>
      </c>
      <c r="E62" s="376" t="s">
        <v>437</v>
      </c>
      <c r="F62" s="608" t="s">
        <v>1200</v>
      </c>
      <c r="G62" s="609">
        <v>1.6300332674999998E-2</v>
      </c>
      <c r="H62" s="692">
        <v>1</v>
      </c>
      <c r="I62" s="626"/>
      <c r="J62" s="751"/>
      <c r="K62" s="416"/>
      <c r="L62" s="376" t="s">
        <v>437</v>
      </c>
      <c r="M62" s="376" t="s">
        <v>1046</v>
      </c>
      <c r="N62" s="376" t="s">
        <v>1424</v>
      </c>
      <c r="O62" s="376" t="s">
        <v>1425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901</v>
      </c>
      <c r="C63" s="665" t="s">
        <v>1201</v>
      </c>
      <c r="D63" s="665"/>
      <c r="E63" s="665"/>
      <c r="F63" s="681" t="s">
        <v>1004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901</v>
      </c>
      <c r="C64" s="684" t="s">
        <v>1201</v>
      </c>
      <c r="D64" s="684" t="s">
        <v>441</v>
      </c>
      <c r="E64" s="684"/>
      <c r="F64" s="685" t="s">
        <v>1179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901</v>
      </c>
      <c r="C65" s="376" t="s">
        <v>1201</v>
      </c>
      <c r="D65" s="376" t="s">
        <v>441</v>
      </c>
      <c r="E65" s="376" t="s">
        <v>437</v>
      </c>
      <c r="F65" s="608" t="s">
        <v>1192</v>
      </c>
      <c r="G65" s="609">
        <v>0.04</v>
      </c>
      <c r="H65" s="692">
        <v>1</v>
      </c>
      <c r="I65" s="626"/>
      <c r="J65" s="751"/>
      <c r="K65" s="416"/>
      <c r="L65" s="376" t="s">
        <v>437</v>
      </c>
      <c r="M65" s="376" t="s">
        <v>1046</v>
      </c>
      <c r="N65" s="376" t="s">
        <v>1388</v>
      </c>
      <c r="O65" s="376" t="s">
        <v>1392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252</v>
      </c>
      <c r="C66" s="684" t="s">
        <v>252</v>
      </c>
      <c r="D66" s="684" t="s">
        <v>441</v>
      </c>
      <c r="E66" s="684"/>
      <c r="F66" s="685" t="s">
        <v>1319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252</v>
      </c>
      <c r="C67" s="376" t="s">
        <v>252</v>
      </c>
      <c r="D67" s="376" t="s">
        <v>441</v>
      </c>
      <c r="E67" s="376" t="s">
        <v>437</v>
      </c>
      <c r="F67" s="608" t="s">
        <v>1426</v>
      </c>
      <c r="G67" s="609">
        <v>3.6853334887931043E-2</v>
      </c>
      <c r="H67" s="692">
        <v>1</v>
      </c>
      <c r="I67" s="626"/>
      <c r="J67" s="751"/>
      <c r="K67" s="416"/>
      <c r="L67" s="376" t="s">
        <v>437</v>
      </c>
      <c r="M67" s="376" t="s">
        <v>1046</v>
      </c>
      <c r="N67" s="376" t="s">
        <v>1427</v>
      </c>
      <c r="O67" s="376" t="s">
        <v>1428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903</v>
      </c>
      <c r="C68" s="665" t="s">
        <v>903</v>
      </c>
      <c r="D68" s="665"/>
      <c r="E68" s="665"/>
      <c r="F68" s="681" t="s">
        <v>1004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outlineLevel="2">
      <c r="B69" s="684" t="s">
        <v>903</v>
      </c>
      <c r="C69" s="684" t="s">
        <v>903</v>
      </c>
      <c r="D69" s="684" t="s">
        <v>441</v>
      </c>
      <c r="E69" s="684"/>
      <c r="F69" s="685" t="s">
        <v>1023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903</v>
      </c>
      <c r="C70" s="376" t="s">
        <v>903</v>
      </c>
      <c r="D70" s="376" t="s">
        <v>441</v>
      </c>
      <c r="E70" s="376" t="s">
        <v>437</v>
      </c>
      <c r="F70" s="608" t="s">
        <v>1021</v>
      </c>
      <c r="G70" s="728">
        <v>2.0842521999999999E-2</v>
      </c>
      <c r="H70" s="692">
        <v>1</v>
      </c>
      <c r="I70" s="626"/>
      <c r="J70" s="751"/>
      <c r="K70" s="416"/>
      <c r="L70" s="376" t="s">
        <v>437</v>
      </c>
      <c r="M70" s="376" t="s">
        <v>1046</v>
      </c>
      <c r="N70" s="376" t="s">
        <v>1047</v>
      </c>
      <c r="O70" s="376" t="s">
        <v>1048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903</v>
      </c>
      <c r="C71" s="376" t="s">
        <v>903</v>
      </c>
      <c r="D71" s="376" t="s">
        <v>441</v>
      </c>
      <c r="E71" s="376" t="s">
        <v>437</v>
      </c>
      <c r="F71" s="608" t="s">
        <v>1017</v>
      </c>
      <c r="G71" s="728">
        <v>5.5533570000000003E-4</v>
      </c>
      <c r="H71" s="692">
        <v>1</v>
      </c>
      <c r="I71" s="626"/>
      <c r="J71" s="751"/>
      <c r="K71" s="416"/>
      <c r="L71" s="376" t="s">
        <v>437</v>
      </c>
      <c r="M71" s="376" t="s">
        <v>1046</v>
      </c>
      <c r="N71" s="376" t="s">
        <v>1047</v>
      </c>
      <c r="O71" s="376" t="s">
        <v>1048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502</v>
      </c>
      <c r="C72" s="665" t="s">
        <v>502</v>
      </c>
      <c r="D72" s="665"/>
      <c r="E72" s="665"/>
      <c r="F72" s="681" t="s">
        <v>1004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502</v>
      </c>
      <c r="C73" s="684" t="s">
        <v>502</v>
      </c>
      <c r="D73" s="684" t="s">
        <v>441</v>
      </c>
      <c r="E73" s="684"/>
      <c r="F73" s="685" t="s">
        <v>1331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502</v>
      </c>
      <c r="C74" s="376" t="s">
        <v>502</v>
      </c>
      <c r="D74" s="376" t="s">
        <v>441</v>
      </c>
      <c r="E74" s="376" t="s">
        <v>437</v>
      </c>
      <c r="F74" s="608" t="s">
        <v>36</v>
      </c>
      <c r="G74" s="609">
        <v>1.7955720160000004E-2</v>
      </c>
      <c r="H74" s="692">
        <v>1</v>
      </c>
      <c r="I74" s="626"/>
      <c r="J74" s="751"/>
      <c r="K74" s="416"/>
      <c r="L74" s="376" t="s">
        <v>437</v>
      </c>
      <c r="M74" s="376" t="s">
        <v>1429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502</v>
      </c>
      <c r="C75" s="684" t="s">
        <v>502</v>
      </c>
      <c r="D75" s="684" t="s">
        <v>860</v>
      </c>
      <c r="E75" s="684"/>
      <c r="F75" s="685" t="s">
        <v>1331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502</v>
      </c>
      <c r="C76" s="376" t="s">
        <v>502</v>
      </c>
      <c r="D76" s="376" t="s">
        <v>860</v>
      </c>
      <c r="E76" s="376" t="s">
        <v>437</v>
      </c>
      <c r="F76" s="608" t="s">
        <v>36</v>
      </c>
      <c r="G76" s="609">
        <v>1.5064544879999999E-2</v>
      </c>
      <c r="H76" s="692">
        <v>1</v>
      </c>
      <c r="I76" s="626"/>
      <c r="J76" s="751"/>
      <c r="K76" s="416"/>
      <c r="L76" s="376" t="s">
        <v>437</v>
      </c>
      <c r="M76" s="376" t="s">
        <v>1429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225</v>
      </c>
      <c r="C77" s="665" t="s">
        <v>1206</v>
      </c>
      <c r="D77" s="665"/>
      <c r="E77" s="665"/>
      <c r="F77" s="681" t="s">
        <v>1004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outlineLevel="2">
      <c r="B78" s="684" t="s">
        <v>225</v>
      </c>
      <c r="C78" s="684" t="s">
        <v>1206</v>
      </c>
      <c r="D78" s="684" t="s">
        <v>441</v>
      </c>
      <c r="E78" s="684"/>
      <c r="F78" s="685" t="s">
        <v>1207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225</v>
      </c>
      <c r="C79" s="376" t="s">
        <v>1206</v>
      </c>
      <c r="D79" s="376" t="s">
        <v>441</v>
      </c>
      <c r="E79" s="376" t="s">
        <v>437</v>
      </c>
      <c r="F79" s="608" t="s">
        <v>36</v>
      </c>
      <c r="G79" s="609">
        <v>5.4000000000000003E-3</v>
      </c>
      <c r="H79" s="692">
        <v>1</v>
      </c>
      <c r="I79" s="626"/>
      <c r="J79" s="751"/>
      <c r="K79" s="416"/>
      <c r="L79" s="376" t="s">
        <v>437</v>
      </c>
      <c r="M79" s="376" t="s">
        <v>1046</v>
      </c>
      <c r="N79" s="376" t="s">
        <v>1388</v>
      </c>
      <c r="O79" s="376" t="s">
        <v>1430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225</v>
      </c>
      <c r="C80" s="376" t="s">
        <v>1206</v>
      </c>
      <c r="D80" s="376" t="s">
        <v>441</v>
      </c>
      <c r="E80" s="376" t="s">
        <v>437</v>
      </c>
      <c r="F80" s="608" t="s">
        <v>1209</v>
      </c>
      <c r="G80" s="609">
        <v>5.4000000000000003E-3</v>
      </c>
      <c r="H80" s="692">
        <v>1</v>
      </c>
      <c r="I80" s="626"/>
      <c r="J80" s="751"/>
      <c r="K80" s="416"/>
      <c r="L80" s="376" t="s">
        <v>437</v>
      </c>
      <c r="M80" s="376" t="s">
        <v>1046</v>
      </c>
      <c r="N80" s="376" t="s">
        <v>1388</v>
      </c>
      <c r="O80" s="376" t="s">
        <v>1430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225</v>
      </c>
      <c r="C81" s="376" t="s">
        <v>1206</v>
      </c>
      <c r="D81" s="376" t="s">
        <v>441</v>
      </c>
      <c r="E81" s="376" t="s">
        <v>437</v>
      </c>
      <c r="F81" s="608" t="s">
        <v>1210</v>
      </c>
      <c r="G81" s="609">
        <v>1.89E-2</v>
      </c>
      <c r="H81" s="692">
        <v>1</v>
      </c>
      <c r="I81" s="626"/>
      <c r="J81" s="751"/>
      <c r="K81" s="416"/>
      <c r="L81" s="376" t="s">
        <v>437</v>
      </c>
      <c r="M81" s="376" t="s">
        <v>1046</v>
      </c>
      <c r="N81" s="376" t="s">
        <v>1388</v>
      </c>
      <c r="O81" s="376" t="s">
        <v>1430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225</v>
      </c>
      <c r="C82" s="684" t="s">
        <v>1206</v>
      </c>
      <c r="D82" s="684" t="s">
        <v>860</v>
      </c>
      <c r="E82" s="684"/>
      <c r="F82" s="685" t="s">
        <v>1431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225</v>
      </c>
      <c r="C83" s="376" t="s">
        <v>1206</v>
      </c>
      <c r="D83" s="376" t="s">
        <v>860</v>
      </c>
      <c r="E83" s="376" t="s">
        <v>437</v>
      </c>
      <c r="F83" s="608" t="s">
        <v>36</v>
      </c>
      <c r="G83" s="609">
        <v>6.0000000000000001E-3</v>
      </c>
      <c r="H83" s="692">
        <v>1</v>
      </c>
      <c r="I83" s="626"/>
      <c r="J83" s="751"/>
      <c r="K83" s="416"/>
      <c r="L83" s="376" t="s">
        <v>437</v>
      </c>
      <c r="M83" s="376" t="s">
        <v>1393</v>
      </c>
      <c r="N83" s="376" t="s">
        <v>1432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225</v>
      </c>
      <c r="C84" s="376" t="s">
        <v>1206</v>
      </c>
      <c r="D84" s="376" t="s">
        <v>860</v>
      </c>
      <c r="E84" s="376" t="s">
        <v>437</v>
      </c>
      <c r="F84" s="608" t="s">
        <v>1209</v>
      </c>
      <c r="G84" s="609">
        <v>6.0000000000000001E-3</v>
      </c>
      <c r="H84" s="692">
        <v>1</v>
      </c>
      <c r="I84" s="626"/>
      <c r="J84" s="751"/>
      <c r="K84" s="416"/>
      <c r="L84" s="376" t="s">
        <v>437</v>
      </c>
      <c r="M84" s="376" t="s">
        <v>1393</v>
      </c>
      <c r="N84" s="376" t="s">
        <v>1432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229</v>
      </c>
      <c r="C85" s="665" t="s">
        <v>1211</v>
      </c>
      <c r="D85" s="665"/>
      <c r="E85" s="665"/>
      <c r="F85" s="681" t="s">
        <v>1004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229</v>
      </c>
      <c r="C86" s="684" t="s">
        <v>1211</v>
      </c>
      <c r="D86" s="684" t="s">
        <v>441</v>
      </c>
      <c r="E86" s="684"/>
      <c r="F86" s="685" t="s">
        <v>1179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229</v>
      </c>
      <c r="C87" s="376" t="s">
        <v>1211</v>
      </c>
      <c r="D87" s="376" t="s">
        <v>441</v>
      </c>
      <c r="E87" s="376" t="s">
        <v>437</v>
      </c>
      <c r="F87" s="608" t="s">
        <v>1209</v>
      </c>
      <c r="G87" s="609">
        <v>1.6713000000000002E-2</v>
      </c>
      <c r="H87" s="692">
        <v>1</v>
      </c>
      <c r="I87" s="626"/>
      <c r="J87" s="751"/>
      <c r="K87" s="416"/>
      <c r="L87" s="376" t="s">
        <v>437</v>
      </c>
      <c r="M87" s="376" t="s">
        <v>1046</v>
      </c>
      <c r="N87" s="376" t="s">
        <v>1047</v>
      </c>
      <c r="O87" s="376" t="s">
        <v>1433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229</v>
      </c>
      <c r="C88" s="376" t="s">
        <v>1211</v>
      </c>
      <c r="D88" s="376" t="s">
        <v>441</v>
      </c>
      <c r="E88" s="376" t="s">
        <v>437</v>
      </c>
      <c r="F88" s="608" t="s">
        <v>1210</v>
      </c>
      <c r="G88" s="609">
        <v>5.8495499999999999E-2</v>
      </c>
      <c r="H88" s="692">
        <v>1</v>
      </c>
      <c r="I88" s="626"/>
      <c r="J88" s="751"/>
      <c r="K88" s="416"/>
      <c r="L88" s="376" t="s">
        <v>437</v>
      </c>
      <c r="M88" s="376" t="s">
        <v>1046</v>
      </c>
      <c r="N88" s="376" t="s">
        <v>1047</v>
      </c>
      <c r="O88" s="376" t="s">
        <v>1433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229</v>
      </c>
      <c r="C89" s="376" t="s">
        <v>1211</v>
      </c>
      <c r="D89" s="376" t="s">
        <v>441</v>
      </c>
      <c r="E89" s="376" t="s">
        <v>437</v>
      </c>
      <c r="F89" s="608" t="s">
        <v>1215</v>
      </c>
      <c r="G89" s="609">
        <v>2.5069499999999998E-2</v>
      </c>
      <c r="H89" s="692">
        <v>1</v>
      </c>
      <c r="I89" s="626"/>
      <c r="J89" s="751"/>
      <c r="K89" s="416"/>
      <c r="L89" s="376" t="s">
        <v>437</v>
      </c>
      <c r="M89" s="376" t="s">
        <v>1046</v>
      </c>
      <c r="N89" s="376" t="s">
        <v>1047</v>
      </c>
      <c r="O89" s="376" t="s">
        <v>1433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229</v>
      </c>
      <c r="C90" s="376" t="s">
        <v>1211</v>
      </c>
      <c r="D90" s="376" t="s">
        <v>441</v>
      </c>
      <c r="E90" s="376" t="s">
        <v>437</v>
      </c>
      <c r="F90" s="608" t="s">
        <v>1216</v>
      </c>
      <c r="G90" s="609">
        <v>2.5069499999999998E-2</v>
      </c>
      <c r="H90" s="692">
        <v>1</v>
      </c>
      <c r="I90" s="626"/>
      <c r="J90" s="751"/>
      <c r="K90" s="416"/>
      <c r="L90" s="376" t="s">
        <v>437</v>
      </c>
      <c r="M90" s="376" t="s">
        <v>1046</v>
      </c>
      <c r="N90" s="376" t="s">
        <v>1047</v>
      </c>
      <c r="O90" s="376" t="s">
        <v>1433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229</v>
      </c>
      <c r="C91" s="684" t="s">
        <v>1211</v>
      </c>
      <c r="D91" s="684" t="s">
        <v>860</v>
      </c>
      <c r="E91" s="684"/>
      <c r="F91" s="685" t="s">
        <v>1179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229</v>
      </c>
      <c r="C92" s="376" t="s">
        <v>1211</v>
      </c>
      <c r="D92" s="376" t="s">
        <v>860</v>
      </c>
      <c r="E92" s="376" t="s">
        <v>437</v>
      </c>
      <c r="F92" s="608" t="s">
        <v>1209</v>
      </c>
      <c r="G92" s="609">
        <v>1.857E-2</v>
      </c>
      <c r="H92" s="692">
        <v>1</v>
      </c>
      <c r="I92" s="626"/>
      <c r="J92" s="751"/>
      <c r="K92" s="416"/>
      <c r="L92" s="376" t="s">
        <v>437</v>
      </c>
      <c r="M92" s="376" t="s">
        <v>1393</v>
      </c>
      <c r="N92" s="376" t="s">
        <v>1432</v>
      </c>
      <c r="O92" s="376" t="s">
        <v>1434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229</v>
      </c>
      <c r="C93" s="376" t="s">
        <v>1211</v>
      </c>
      <c r="D93" s="376" t="s">
        <v>860</v>
      </c>
      <c r="E93" s="376" t="s">
        <v>437</v>
      </c>
      <c r="F93" s="608" t="s">
        <v>1215</v>
      </c>
      <c r="G93" s="609">
        <v>5.1067500000000002E-2</v>
      </c>
      <c r="H93" s="692">
        <v>1</v>
      </c>
      <c r="I93" s="626"/>
      <c r="J93" s="751"/>
      <c r="K93" s="416"/>
      <c r="L93" s="376" t="s">
        <v>437</v>
      </c>
      <c r="M93" s="376" t="s">
        <v>1393</v>
      </c>
      <c r="N93" s="376" t="s">
        <v>1432</v>
      </c>
      <c r="O93" s="376" t="s">
        <v>1434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918</v>
      </c>
      <c r="C94" s="665" t="s">
        <v>1378</v>
      </c>
      <c r="D94" s="665"/>
      <c r="E94" s="665"/>
      <c r="F94" s="681" t="s">
        <v>1004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918</v>
      </c>
      <c r="C95" s="684" t="s">
        <v>1378</v>
      </c>
      <c r="D95" s="684" t="s">
        <v>860</v>
      </c>
      <c r="E95" s="684"/>
      <c r="F95" s="685" t="s">
        <v>1379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918</v>
      </c>
      <c r="C96" s="376" t="s">
        <v>1378</v>
      </c>
      <c r="D96" s="376" t="s">
        <v>860</v>
      </c>
      <c r="E96" s="376" t="s">
        <v>437</v>
      </c>
      <c r="F96" s="608" t="s">
        <v>1435</v>
      </c>
      <c r="G96" s="609">
        <v>1.13E-4</v>
      </c>
      <c r="H96" s="692">
        <v>1</v>
      </c>
      <c r="I96" s="626"/>
      <c r="J96" s="751"/>
      <c r="K96" s="416"/>
      <c r="L96" s="376" t="s">
        <v>437</v>
      </c>
      <c r="M96" s="376" t="s">
        <v>1393</v>
      </c>
      <c r="N96" s="376" t="s">
        <v>1434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498</v>
      </c>
      <c r="C97" s="665" t="s">
        <v>1217</v>
      </c>
      <c r="D97" s="665"/>
      <c r="E97" s="665"/>
      <c r="F97" s="681" t="s">
        <v>1004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498</v>
      </c>
      <c r="C98" s="684" t="s">
        <v>1217</v>
      </c>
      <c r="D98" s="684" t="s">
        <v>441</v>
      </c>
      <c r="E98" s="684"/>
      <c r="F98" s="685" t="s">
        <v>1218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498</v>
      </c>
      <c r="C99" s="376" t="s">
        <v>1217</v>
      </c>
      <c r="D99" s="376" t="s">
        <v>441</v>
      </c>
      <c r="E99" s="376" t="s">
        <v>437</v>
      </c>
      <c r="F99" s="608" t="s">
        <v>36</v>
      </c>
      <c r="G99" s="609">
        <v>2.2626515519999998E-2</v>
      </c>
      <c r="H99" s="692">
        <v>1</v>
      </c>
      <c r="I99" s="626"/>
      <c r="J99" s="751"/>
      <c r="K99" s="416"/>
      <c r="L99" s="376" t="s">
        <v>437</v>
      </c>
      <c r="M99" s="376" t="s">
        <v>1429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498</v>
      </c>
      <c r="C100" s="684" t="s">
        <v>1217</v>
      </c>
      <c r="D100" s="684" t="s">
        <v>860</v>
      </c>
      <c r="E100" s="684"/>
      <c r="F100" s="685" t="s">
        <v>1218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498</v>
      </c>
      <c r="C101" s="376" t="s">
        <v>1217</v>
      </c>
      <c r="D101" s="376" t="s">
        <v>860</v>
      </c>
      <c r="E101" s="376" t="s">
        <v>437</v>
      </c>
      <c r="F101" s="608" t="s">
        <v>36</v>
      </c>
      <c r="G101" s="609">
        <v>1.8855429600000001E-2</v>
      </c>
      <c r="H101" s="692">
        <v>1</v>
      </c>
      <c r="I101" s="626"/>
      <c r="J101" s="751"/>
      <c r="K101" s="416"/>
      <c r="L101" s="376" t="s">
        <v>437</v>
      </c>
      <c r="M101" s="376" t="s">
        <v>1429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">
      <c r="A103" s="376"/>
      <c r="B103" s="430" t="s">
        <v>962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990</v>
      </c>
      <c r="C105" s="666" t="s">
        <v>990</v>
      </c>
      <c r="D105" s="667"/>
      <c r="E105" s="665"/>
      <c r="F105" s="681" t="s">
        <v>1004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990</v>
      </c>
      <c r="C106" s="687" t="s">
        <v>990</v>
      </c>
      <c r="D106" s="684" t="s">
        <v>441</v>
      </c>
      <c r="E106" s="684"/>
      <c r="F106" s="685" t="s">
        <v>1221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990</v>
      </c>
      <c r="C107" s="387" t="s">
        <v>990</v>
      </c>
      <c r="D107" s="376" t="s">
        <v>441</v>
      </c>
      <c r="E107" s="376" t="s">
        <v>437</v>
      </c>
      <c r="F107" s="608" t="s">
        <v>36</v>
      </c>
      <c r="G107" s="609"/>
      <c r="H107" s="692">
        <v>1</v>
      </c>
      <c r="I107" s="626"/>
      <c r="J107" s="751"/>
      <c r="K107" s="416"/>
      <c r="L107" s="376" t="s">
        <v>437</v>
      </c>
      <c r="M107" s="376" t="s">
        <v>1046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990</v>
      </c>
      <c r="C108" s="387" t="s">
        <v>990</v>
      </c>
      <c r="D108" s="376" t="s">
        <v>441</v>
      </c>
      <c r="E108" s="376" t="s">
        <v>437</v>
      </c>
      <c r="F108" s="608" t="s">
        <v>1333</v>
      </c>
      <c r="G108" s="609"/>
      <c r="H108" s="692"/>
      <c r="I108" s="626"/>
      <c r="J108" s="751"/>
      <c r="K108" s="416"/>
      <c r="L108" s="376" t="s">
        <v>437</v>
      </c>
      <c r="M108" s="376" t="s">
        <v>1046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990</v>
      </c>
      <c r="C109" s="387" t="s">
        <v>990</v>
      </c>
      <c r="D109" s="376" t="s">
        <v>441</v>
      </c>
      <c r="E109" s="376" t="s">
        <v>437</v>
      </c>
      <c r="F109" s="608" t="s">
        <v>208</v>
      </c>
      <c r="G109" s="609"/>
      <c r="H109" s="692">
        <v>1</v>
      </c>
      <c r="I109" s="626"/>
      <c r="J109" s="751"/>
      <c r="K109" s="416"/>
      <c r="L109" s="376" t="s">
        <v>437</v>
      </c>
      <c r="M109" s="376" t="s">
        <v>1046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990</v>
      </c>
      <c r="C110" s="687" t="s">
        <v>990</v>
      </c>
      <c r="D110" s="684" t="s">
        <v>860</v>
      </c>
      <c r="E110" s="684"/>
      <c r="F110" s="685" t="s">
        <v>1221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990</v>
      </c>
      <c r="C111" s="387" t="s">
        <v>990</v>
      </c>
      <c r="D111" s="376" t="s">
        <v>860</v>
      </c>
      <c r="E111" s="376" t="s">
        <v>437</v>
      </c>
      <c r="F111" s="608" t="s">
        <v>36</v>
      </c>
      <c r="G111" s="609"/>
      <c r="H111" s="769">
        <v>1</v>
      </c>
      <c r="I111" s="626"/>
      <c r="J111" s="751"/>
      <c r="K111" s="416"/>
      <c r="L111" s="376" t="s">
        <v>437</v>
      </c>
      <c r="M111" s="376" t="s">
        <v>1393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990</v>
      </c>
      <c r="C112" s="387" t="s">
        <v>990</v>
      </c>
      <c r="D112" s="376" t="s">
        <v>860</v>
      </c>
      <c r="E112" s="376" t="s">
        <v>437</v>
      </c>
      <c r="F112" s="608" t="s">
        <v>1333</v>
      </c>
      <c r="G112" s="609"/>
      <c r="H112" s="769"/>
      <c r="I112" s="626"/>
      <c r="J112" s="751"/>
      <c r="K112" s="416"/>
      <c r="L112" s="376" t="s">
        <v>437</v>
      </c>
      <c r="M112" s="376" t="s">
        <v>1393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990</v>
      </c>
      <c r="C113" s="387" t="s">
        <v>990</v>
      </c>
      <c r="D113" s="376" t="s">
        <v>860</v>
      </c>
      <c r="E113" s="376" t="s">
        <v>437</v>
      </c>
      <c r="F113" s="608" t="s">
        <v>208</v>
      </c>
      <c r="G113" s="609"/>
      <c r="H113" s="692">
        <v>1</v>
      </c>
      <c r="I113" s="626"/>
      <c r="J113" s="751"/>
      <c r="K113" s="416"/>
      <c r="L113" s="376" t="s">
        <v>437</v>
      </c>
      <c r="M113" s="376" t="s">
        <v>1393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902</v>
      </c>
      <c r="C114" s="665" t="s">
        <v>1220</v>
      </c>
      <c r="D114" s="665"/>
      <c r="E114" s="665"/>
      <c r="F114" s="681" t="s">
        <v>1004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902</v>
      </c>
      <c r="C115" s="684" t="s">
        <v>1220</v>
      </c>
      <c r="D115" s="684" t="s">
        <v>441</v>
      </c>
      <c r="E115" s="684"/>
      <c r="F115" s="685" t="s">
        <v>1221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902</v>
      </c>
      <c r="C116" s="376" t="s">
        <v>1220</v>
      </c>
      <c r="D116" s="376" t="s">
        <v>441</v>
      </c>
      <c r="E116" s="376" t="s">
        <v>437</v>
      </c>
      <c r="F116" s="608" t="s">
        <v>36</v>
      </c>
      <c r="G116" s="609">
        <v>6.3719999999999999E-2</v>
      </c>
      <c r="H116" s="692">
        <v>1</v>
      </c>
      <c r="I116" s="626"/>
      <c r="J116" s="751"/>
      <c r="K116" s="416"/>
      <c r="L116" s="376" t="s">
        <v>437</v>
      </c>
      <c r="M116" s="376" t="s">
        <v>1046</v>
      </c>
      <c r="N116" s="376" t="s">
        <v>1388</v>
      </c>
      <c r="O116" s="376" t="s">
        <v>1436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902</v>
      </c>
      <c r="C117" s="376" t="s">
        <v>1220</v>
      </c>
      <c r="D117" s="376" t="s">
        <v>441</v>
      </c>
      <c r="E117" s="376" t="s">
        <v>437</v>
      </c>
      <c r="F117" s="608" t="s">
        <v>208</v>
      </c>
      <c r="G117" s="609">
        <v>3.1859999999999999E-2</v>
      </c>
      <c r="H117" s="692">
        <v>1</v>
      </c>
      <c r="I117" s="626"/>
      <c r="J117" s="751"/>
      <c r="K117" s="416"/>
      <c r="L117" s="376" t="s">
        <v>437</v>
      </c>
      <c r="M117" s="376" t="s">
        <v>1046</v>
      </c>
      <c r="N117" s="376" t="s">
        <v>1388</v>
      </c>
      <c r="O117" s="376" t="s">
        <v>1436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902</v>
      </c>
      <c r="C118" s="684" t="s">
        <v>1220</v>
      </c>
      <c r="D118" s="684" t="s">
        <v>860</v>
      </c>
      <c r="E118" s="684"/>
      <c r="F118" s="685" t="s">
        <v>1221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902</v>
      </c>
      <c r="C119" s="376" t="s">
        <v>1220</v>
      </c>
      <c r="D119" s="376" t="s">
        <v>860</v>
      </c>
      <c r="E119" s="376" t="s">
        <v>437</v>
      </c>
      <c r="F119" s="608" t="s">
        <v>36</v>
      </c>
      <c r="G119" s="609">
        <v>5.3460000000000001E-2</v>
      </c>
      <c r="H119" s="692">
        <v>1</v>
      </c>
      <c r="I119" s="626"/>
      <c r="J119" s="751"/>
      <c r="K119" s="416"/>
      <c r="L119" s="376" t="s">
        <v>437</v>
      </c>
      <c r="M119" s="376" t="s">
        <v>1393</v>
      </c>
      <c r="N119" s="376" t="s">
        <v>1406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902</v>
      </c>
      <c r="C120" s="376" t="s">
        <v>1220</v>
      </c>
      <c r="D120" s="376" t="s">
        <v>860</v>
      </c>
      <c r="E120" s="376" t="s">
        <v>437</v>
      </c>
      <c r="F120" s="608" t="s">
        <v>208</v>
      </c>
      <c r="G120" s="609">
        <v>1.7819999999999999E-2</v>
      </c>
      <c r="H120" s="692">
        <v>1</v>
      </c>
      <c r="I120" s="626"/>
      <c r="J120" s="751"/>
      <c r="K120" s="416"/>
      <c r="L120" s="376" t="s">
        <v>437</v>
      </c>
      <c r="M120" s="376" t="s">
        <v>1393</v>
      </c>
      <c r="N120" s="376" t="s">
        <v>1406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964</v>
      </c>
      <c r="C121" s="665" t="s">
        <v>1247</v>
      </c>
      <c r="D121" s="665"/>
      <c r="E121" s="665"/>
      <c r="F121" s="681" t="s">
        <v>1004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964</v>
      </c>
      <c r="C122" s="684" t="s">
        <v>1247</v>
      </c>
      <c r="D122" s="684" t="s">
        <v>441</v>
      </c>
      <c r="E122" s="684"/>
      <c r="F122" s="685" t="s">
        <v>1335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964</v>
      </c>
      <c r="C123" s="376" t="s">
        <v>1247</v>
      </c>
      <c r="D123" s="376" t="s">
        <v>441</v>
      </c>
      <c r="E123" s="376" t="s">
        <v>437</v>
      </c>
      <c r="F123" s="608" t="s">
        <v>36</v>
      </c>
      <c r="G123" s="609">
        <v>2.9179040000000003E-2</v>
      </c>
      <c r="H123" s="692">
        <v>1</v>
      </c>
      <c r="I123" s="626"/>
      <c r="J123" s="751"/>
      <c r="K123" s="416"/>
      <c r="L123" s="376" t="s">
        <v>437</v>
      </c>
      <c r="M123" s="376" t="s">
        <v>1046</v>
      </c>
      <c r="N123" s="376" t="s">
        <v>1047</v>
      </c>
      <c r="O123" s="376" t="s">
        <v>1437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964</v>
      </c>
      <c r="C124" s="376" t="s">
        <v>1247</v>
      </c>
      <c r="D124" s="376" t="s">
        <v>441</v>
      </c>
      <c r="E124" s="376" t="s">
        <v>437</v>
      </c>
      <c r="F124" s="608" t="s">
        <v>1337</v>
      </c>
      <c r="G124" s="609">
        <v>0.01</v>
      </c>
      <c r="H124" s="692">
        <v>1</v>
      </c>
      <c r="I124" s="626"/>
      <c r="J124" s="751"/>
      <c r="K124" s="416"/>
      <c r="L124" s="376" t="s">
        <v>437</v>
      </c>
      <c r="M124" s="376" t="s">
        <v>1046</v>
      </c>
      <c r="N124" s="376" t="s">
        <v>1047</v>
      </c>
      <c r="O124" s="376" t="s">
        <v>1437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964</v>
      </c>
      <c r="C125" s="684" t="s">
        <v>1247</v>
      </c>
      <c r="D125" s="684" t="s">
        <v>860</v>
      </c>
      <c r="E125" s="684"/>
      <c r="F125" s="685" t="s">
        <v>1335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964</v>
      </c>
      <c r="C126" s="376" t="s">
        <v>1247</v>
      </c>
      <c r="D126" s="376" t="s">
        <v>860</v>
      </c>
      <c r="E126" s="376" t="s">
        <v>437</v>
      </c>
      <c r="F126" s="608" t="s">
        <v>36</v>
      </c>
      <c r="G126" s="609">
        <v>2.4480720000000001E-2</v>
      </c>
      <c r="H126" s="692">
        <v>1</v>
      </c>
      <c r="I126" s="626"/>
      <c r="J126" s="751"/>
      <c r="K126" s="416"/>
      <c r="L126" s="376" t="s">
        <v>437</v>
      </c>
      <c r="M126" s="376" t="s">
        <v>1393</v>
      </c>
      <c r="N126" s="376" t="s">
        <v>1434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964</v>
      </c>
      <c r="C127" s="376" t="s">
        <v>1247</v>
      </c>
      <c r="D127" s="376" t="s">
        <v>860</v>
      </c>
      <c r="E127" s="376" t="s">
        <v>437</v>
      </c>
      <c r="F127" s="608" t="s">
        <v>1337</v>
      </c>
      <c r="G127" s="609">
        <v>0.01</v>
      </c>
      <c r="H127" s="692">
        <v>1</v>
      </c>
      <c r="I127" s="626"/>
      <c r="J127" s="751"/>
      <c r="K127" s="416"/>
      <c r="L127" s="376" t="s">
        <v>437</v>
      </c>
      <c r="M127" s="376" t="s">
        <v>1393</v>
      </c>
      <c r="N127" s="376" t="s">
        <v>1434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966</v>
      </c>
      <c r="C128" s="666" t="s">
        <v>1222</v>
      </c>
      <c r="D128" s="666"/>
      <c r="E128" s="666"/>
      <c r="F128" s="681" t="s">
        <v>1004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9.6" outlineLevel="2">
      <c r="A129" s="376"/>
      <c r="B129" s="684" t="s">
        <v>966</v>
      </c>
      <c r="C129" s="684" t="s">
        <v>1222</v>
      </c>
      <c r="D129" s="684" t="s">
        <v>441</v>
      </c>
      <c r="E129" s="684"/>
      <c r="F129" s="685" t="s">
        <v>1438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966</v>
      </c>
      <c r="C130" s="376" t="s">
        <v>1222</v>
      </c>
      <c r="D130" s="376" t="s">
        <v>441</v>
      </c>
      <c r="E130" s="376" t="s">
        <v>437</v>
      </c>
      <c r="F130" s="608" t="s">
        <v>36</v>
      </c>
      <c r="G130" s="609">
        <v>0.51810229145509312</v>
      </c>
      <c r="H130" s="692">
        <v>1</v>
      </c>
      <c r="I130" s="626"/>
      <c r="J130" s="751"/>
      <c r="K130" s="416"/>
      <c r="L130" s="376" t="s">
        <v>437</v>
      </c>
      <c r="M130" s="376" t="s">
        <v>1046</v>
      </c>
      <c r="N130" s="376" t="s">
        <v>1427</v>
      </c>
      <c r="O130" s="376" t="s">
        <v>1439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966</v>
      </c>
      <c r="C131" s="376" t="s">
        <v>1222</v>
      </c>
      <c r="D131" s="376" t="s">
        <v>441</v>
      </c>
      <c r="E131" s="376" t="s">
        <v>437</v>
      </c>
      <c r="F131" s="608" t="s">
        <v>1224</v>
      </c>
      <c r="G131" s="609">
        <v>0.51810229145509312</v>
      </c>
      <c r="H131" s="692">
        <v>1</v>
      </c>
      <c r="I131" s="626"/>
      <c r="J131" s="751"/>
      <c r="K131" s="416"/>
      <c r="L131" s="376" t="s">
        <v>437</v>
      </c>
      <c r="M131" s="376" t="s">
        <v>1046</v>
      </c>
      <c r="N131" s="376" t="s">
        <v>1427</v>
      </c>
      <c r="O131" s="376" t="s">
        <v>1439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966</v>
      </c>
      <c r="C132" s="376" t="s">
        <v>1222</v>
      </c>
      <c r="D132" s="376" t="s">
        <v>441</v>
      </c>
      <c r="E132" s="376" t="s">
        <v>437</v>
      </c>
      <c r="F132" s="608" t="s">
        <v>1226</v>
      </c>
      <c r="G132" s="609">
        <v>0.25905114572754701</v>
      </c>
      <c r="H132" s="692">
        <v>1</v>
      </c>
      <c r="I132" s="626"/>
      <c r="J132" s="751"/>
      <c r="K132" s="416"/>
      <c r="L132" s="376" t="s">
        <v>437</v>
      </c>
      <c r="M132" s="376" t="s">
        <v>1046</v>
      </c>
      <c r="N132" s="376" t="s">
        <v>1427</v>
      </c>
      <c r="O132" s="376" t="s">
        <v>1439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968</v>
      </c>
      <c r="C133" s="666" t="s">
        <v>1163</v>
      </c>
      <c r="D133" s="666"/>
      <c r="E133" s="666"/>
      <c r="F133" s="681" t="s">
        <v>1004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1163</v>
      </c>
      <c r="C134" s="687" t="s">
        <v>1163</v>
      </c>
      <c r="D134" s="687" t="s">
        <v>441</v>
      </c>
      <c r="E134" s="687"/>
      <c r="F134" s="717" t="s">
        <v>1228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1163</v>
      </c>
      <c r="C135" s="387" t="s">
        <v>1163</v>
      </c>
      <c r="D135" s="387" t="s">
        <v>441</v>
      </c>
      <c r="E135" s="387" t="s">
        <v>437</v>
      </c>
      <c r="F135" s="705" t="s">
        <v>36</v>
      </c>
      <c r="G135" s="706">
        <v>0.56340280000000009</v>
      </c>
      <c r="H135" s="707">
        <v>1</v>
      </c>
      <c r="I135" s="740"/>
      <c r="J135" s="757"/>
      <c r="K135" s="748"/>
      <c r="L135" s="387" t="s">
        <v>437</v>
      </c>
      <c r="M135" s="387" t="s">
        <v>1046</v>
      </c>
      <c r="N135" s="387" t="s">
        <v>1440</v>
      </c>
      <c r="O135" s="387" t="s">
        <v>1441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1163</v>
      </c>
      <c r="C136" s="387" t="s">
        <v>1163</v>
      </c>
      <c r="D136" s="387" t="s">
        <v>441</v>
      </c>
      <c r="E136" s="387" t="s">
        <v>437</v>
      </c>
      <c r="F136" s="705" t="s">
        <v>1232</v>
      </c>
      <c r="G136" s="706">
        <v>0.28170140000000005</v>
      </c>
      <c r="H136" s="707">
        <v>1</v>
      </c>
      <c r="I136" s="740"/>
      <c r="J136" s="757"/>
      <c r="K136" s="748"/>
      <c r="L136" s="387" t="s">
        <v>437</v>
      </c>
      <c r="M136" s="387" t="s">
        <v>1046</v>
      </c>
      <c r="N136" s="387" t="s">
        <v>1440</v>
      </c>
      <c r="O136" s="387" t="s">
        <v>1441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1163</v>
      </c>
      <c r="C137" s="387" t="s">
        <v>1163</v>
      </c>
      <c r="D137" s="387" t="s">
        <v>441</v>
      </c>
      <c r="E137" s="387" t="s">
        <v>437</v>
      </c>
      <c r="F137" s="705" t="s">
        <v>1226</v>
      </c>
      <c r="G137" s="706">
        <v>0.28170140000000005</v>
      </c>
      <c r="H137" s="707">
        <v>1</v>
      </c>
      <c r="I137" s="740"/>
      <c r="J137" s="757"/>
      <c r="K137" s="748"/>
      <c r="L137" s="387" t="s">
        <v>437</v>
      </c>
      <c r="M137" s="387" t="s">
        <v>1046</v>
      </c>
      <c r="N137" s="387" t="s">
        <v>1440</v>
      </c>
      <c r="O137" s="387" t="s">
        <v>1441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1163</v>
      </c>
      <c r="C138" s="387" t="s">
        <v>1163</v>
      </c>
      <c r="D138" s="387" t="s">
        <v>441</v>
      </c>
      <c r="E138" s="387" t="s">
        <v>437</v>
      </c>
      <c r="F138" s="705" t="s">
        <v>1234</v>
      </c>
      <c r="G138" s="706">
        <v>0.56340280000000009</v>
      </c>
      <c r="H138" s="707">
        <v>1</v>
      </c>
      <c r="I138" s="740"/>
      <c r="J138" s="757"/>
      <c r="K138" s="748"/>
      <c r="L138" s="387" t="s">
        <v>437</v>
      </c>
      <c r="M138" s="387" t="s">
        <v>1046</v>
      </c>
      <c r="N138" s="387" t="s">
        <v>1440</v>
      </c>
      <c r="O138" s="387" t="s">
        <v>1441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1163</v>
      </c>
      <c r="C139" s="687" t="s">
        <v>1163</v>
      </c>
      <c r="D139" s="687" t="s">
        <v>860</v>
      </c>
      <c r="E139" s="687"/>
      <c r="F139" s="717" t="s">
        <v>1442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1163</v>
      </c>
      <c r="C140" s="387" t="s">
        <v>1163</v>
      </c>
      <c r="D140" s="387" t="s">
        <v>860</v>
      </c>
      <c r="E140" s="387" t="s">
        <v>437</v>
      </c>
      <c r="F140" s="705" t="s">
        <v>36</v>
      </c>
      <c r="G140" s="706">
        <v>0.47268540000000003</v>
      </c>
      <c r="H140" s="707">
        <v>1</v>
      </c>
      <c r="I140" s="740"/>
      <c r="J140" s="757"/>
      <c r="K140" s="748"/>
      <c r="L140" s="387" t="s">
        <v>437</v>
      </c>
      <c r="M140" s="387" t="s">
        <v>1393</v>
      </c>
      <c r="N140" s="387" t="s">
        <v>1406</v>
      </c>
      <c r="O140" s="387" t="s">
        <v>1434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1163</v>
      </c>
      <c r="C141" s="387" t="s">
        <v>1163</v>
      </c>
      <c r="D141" s="387" t="s">
        <v>860</v>
      </c>
      <c r="E141" s="387" t="s">
        <v>437</v>
      </c>
      <c r="F141" s="705" t="s">
        <v>1226</v>
      </c>
      <c r="G141" s="706">
        <v>0.15756180000000003</v>
      </c>
      <c r="H141" s="707">
        <v>1</v>
      </c>
      <c r="I141" s="740"/>
      <c r="J141" s="757"/>
      <c r="K141" s="748"/>
      <c r="L141" s="387" t="s">
        <v>437</v>
      </c>
      <c r="M141" s="387" t="s">
        <v>1393</v>
      </c>
      <c r="N141" s="387" t="s">
        <v>1406</v>
      </c>
      <c r="O141" s="387" t="s">
        <v>1434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1163</v>
      </c>
      <c r="C142" s="387" t="s">
        <v>1163</v>
      </c>
      <c r="D142" s="387" t="s">
        <v>860</v>
      </c>
      <c r="E142" s="387" t="s">
        <v>437</v>
      </c>
      <c r="F142" s="705" t="s">
        <v>1234</v>
      </c>
      <c r="G142" s="706">
        <v>0.47268540000000003</v>
      </c>
      <c r="H142" s="707">
        <v>1</v>
      </c>
      <c r="I142" s="740"/>
      <c r="J142" s="757"/>
      <c r="K142" s="748"/>
      <c r="L142" s="387" t="s">
        <v>437</v>
      </c>
      <c r="M142" s="387" t="s">
        <v>1393</v>
      </c>
      <c r="N142" s="387" t="s">
        <v>1406</v>
      </c>
      <c r="O142" s="387" t="s">
        <v>1434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970</v>
      </c>
      <c r="C143" s="666" t="s">
        <v>1165</v>
      </c>
      <c r="D143" s="666"/>
      <c r="E143" s="666"/>
      <c r="F143" s="681" t="s">
        <v>1004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1165</v>
      </c>
      <c r="C144" s="687" t="s">
        <v>1165</v>
      </c>
      <c r="D144" s="687" t="s">
        <v>441</v>
      </c>
      <c r="E144" s="687"/>
      <c r="F144" s="717" t="s">
        <v>1443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1165</v>
      </c>
      <c r="C145" s="387" t="s">
        <v>1165</v>
      </c>
      <c r="D145" s="387" t="s">
        <v>441</v>
      </c>
      <c r="E145" s="387" t="s">
        <v>437</v>
      </c>
      <c r="F145" s="705" t="s">
        <v>36</v>
      </c>
      <c r="G145" s="706">
        <v>0.43475642700000006</v>
      </c>
      <c r="H145" s="707">
        <v>1</v>
      </c>
      <c r="I145" s="740"/>
      <c r="J145" s="757"/>
      <c r="K145" s="748"/>
      <c r="L145" s="387" t="s">
        <v>437</v>
      </c>
      <c r="M145" s="387" t="s">
        <v>1046</v>
      </c>
      <c r="N145" s="387" t="s">
        <v>1440</v>
      </c>
      <c r="O145" s="387" t="s">
        <v>1444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1165</v>
      </c>
      <c r="C146" s="387" t="s">
        <v>1165</v>
      </c>
      <c r="D146" s="387" t="s">
        <v>441</v>
      </c>
      <c r="E146" s="387" t="s">
        <v>437</v>
      </c>
      <c r="F146" s="705" t="s">
        <v>1232</v>
      </c>
      <c r="G146" s="706">
        <v>0.43475642700000006</v>
      </c>
      <c r="H146" s="707">
        <v>1</v>
      </c>
      <c r="I146" s="740"/>
      <c r="J146" s="757"/>
      <c r="K146" s="748"/>
      <c r="L146" s="387" t="s">
        <v>437</v>
      </c>
      <c r="M146" s="387" t="s">
        <v>1046</v>
      </c>
      <c r="N146" s="387" t="s">
        <v>1440</v>
      </c>
      <c r="O146" s="387" t="s">
        <v>1444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1165</v>
      </c>
      <c r="C147" s="387" t="s">
        <v>1165</v>
      </c>
      <c r="D147" s="387" t="s">
        <v>441</v>
      </c>
      <c r="E147" s="387" t="s">
        <v>437</v>
      </c>
      <c r="F147" s="705" t="s">
        <v>1234</v>
      </c>
      <c r="G147" s="706">
        <v>0.43475642700000006</v>
      </c>
      <c r="H147" s="707">
        <v>1</v>
      </c>
      <c r="I147" s="740"/>
      <c r="J147" s="757"/>
      <c r="K147" s="748"/>
      <c r="L147" s="387" t="s">
        <v>437</v>
      </c>
      <c r="M147" s="387" t="s">
        <v>1046</v>
      </c>
      <c r="N147" s="387" t="s">
        <v>1440</v>
      </c>
      <c r="O147" s="387" t="s">
        <v>1444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1165</v>
      </c>
      <c r="C148" s="687" t="s">
        <v>1165</v>
      </c>
      <c r="D148" s="687" t="s">
        <v>860</v>
      </c>
      <c r="E148" s="687"/>
      <c r="F148" s="717" t="s">
        <v>1445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1165</v>
      </c>
      <c r="C149" s="387" t="s">
        <v>1165</v>
      </c>
      <c r="D149" s="387" t="s">
        <v>860</v>
      </c>
      <c r="E149" s="387" t="s">
        <v>437</v>
      </c>
      <c r="F149" s="705" t="s">
        <v>36</v>
      </c>
      <c r="G149" s="706">
        <v>0.36475327349999997</v>
      </c>
      <c r="H149" s="707">
        <v>1</v>
      </c>
      <c r="I149" s="740"/>
      <c r="J149" s="757"/>
      <c r="K149" s="748"/>
      <c r="L149" s="387" t="s">
        <v>437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1165</v>
      </c>
      <c r="C150" s="387" t="s">
        <v>1165</v>
      </c>
      <c r="D150" s="387" t="s">
        <v>860</v>
      </c>
      <c r="E150" s="387" t="s">
        <v>437</v>
      </c>
      <c r="F150" s="705" t="s">
        <v>1234</v>
      </c>
      <c r="G150" s="706">
        <v>0.36475327349999997</v>
      </c>
      <c r="H150" s="707">
        <v>1</v>
      </c>
      <c r="I150" s="740"/>
      <c r="J150" s="757"/>
      <c r="K150" s="748"/>
      <c r="L150" s="387" t="s">
        <v>437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972</v>
      </c>
      <c r="C151" s="666" t="s">
        <v>1164</v>
      </c>
      <c r="D151" s="666"/>
      <c r="E151" s="666"/>
      <c r="F151" s="681" t="s">
        <v>1004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1164</v>
      </c>
      <c r="C152" s="687" t="s">
        <v>1164</v>
      </c>
      <c r="D152" s="684" t="s">
        <v>441</v>
      </c>
      <c r="E152" s="684"/>
      <c r="F152" s="717" t="s">
        <v>1446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1164</v>
      </c>
      <c r="C153" s="387" t="s">
        <v>1164</v>
      </c>
      <c r="D153" s="376" t="s">
        <v>441</v>
      </c>
      <c r="E153" s="376" t="s">
        <v>437</v>
      </c>
      <c r="F153" s="705" t="s">
        <v>36</v>
      </c>
      <c r="G153" s="706">
        <v>0.14491880900000001</v>
      </c>
      <c r="H153" s="707">
        <v>1</v>
      </c>
      <c r="I153" s="626"/>
      <c r="J153" s="751"/>
      <c r="K153" s="416"/>
      <c r="L153" s="376" t="s">
        <v>437</v>
      </c>
      <c r="M153" s="376" t="s">
        <v>1046</v>
      </c>
      <c r="N153" s="376" t="s">
        <v>1440</v>
      </c>
      <c r="O153" s="376" t="s">
        <v>1447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1164</v>
      </c>
      <c r="C154" s="387" t="s">
        <v>1164</v>
      </c>
      <c r="D154" s="376" t="s">
        <v>441</v>
      </c>
      <c r="E154" s="376" t="s">
        <v>437</v>
      </c>
      <c r="F154" s="705" t="s">
        <v>1232</v>
      </c>
      <c r="G154" s="706">
        <v>0.14491880900000001</v>
      </c>
      <c r="H154" s="707">
        <v>1</v>
      </c>
      <c r="I154" s="626"/>
      <c r="J154" s="751"/>
      <c r="K154" s="416"/>
      <c r="L154" s="376" t="s">
        <v>437</v>
      </c>
      <c r="M154" s="376" t="s">
        <v>1046</v>
      </c>
      <c r="N154" s="376" t="s">
        <v>1440</v>
      </c>
      <c r="O154" s="376" t="s">
        <v>1447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1164</v>
      </c>
      <c r="C155" s="387" t="s">
        <v>1164</v>
      </c>
      <c r="D155" s="376" t="s">
        <v>441</v>
      </c>
      <c r="E155" s="376" t="s">
        <v>437</v>
      </c>
      <c r="F155" s="705" t="s">
        <v>1234</v>
      </c>
      <c r="G155" s="706">
        <v>0.14491880900000001</v>
      </c>
      <c r="H155" s="707">
        <v>1</v>
      </c>
      <c r="I155" s="626"/>
      <c r="J155" s="751"/>
      <c r="K155" s="416"/>
      <c r="L155" s="376" t="s">
        <v>437</v>
      </c>
      <c r="M155" s="376" t="s">
        <v>1046</v>
      </c>
      <c r="N155" s="376" t="s">
        <v>1440</v>
      </c>
      <c r="O155" s="376" t="s">
        <v>1447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1164</v>
      </c>
      <c r="C156" s="687" t="s">
        <v>1164</v>
      </c>
      <c r="D156" s="684" t="s">
        <v>860</v>
      </c>
      <c r="E156" s="684"/>
      <c r="F156" s="717" t="s">
        <v>1431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1164</v>
      </c>
      <c r="C157" s="387" t="s">
        <v>1164</v>
      </c>
      <c r="D157" s="376" t="s">
        <v>860</v>
      </c>
      <c r="E157" s="376" t="s">
        <v>437</v>
      </c>
      <c r="F157" s="705" t="s">
        <v>36</v>
      </c>
      <c r="G157" s="706">
        <v>0.12158442449999998</v>
      </c>
      <c r="H157" s="707">
        <v>1</v>
      </c>
      <c r="I157" s="626"/>
      <c r="J157" s="751"/>
      <c r="K157" s="416"/>
      <c r="L157" s="376" t="s">
        <v>437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1164</v>
      </c>
      <c r="C158" s="387" t="s">
        <v>1164</v>
      </c>
      <c r="D158" s="376" t="s">
        <v>860</v>
      </c>
      <c r="E158" s="376" t="s">
        <v>437</v>
      </c>
      <c r="F158" s="705" t="s">
        <v>1234</v>
      </c>
      <c r="G158" s="706">
        <v>0.12158442449999998</v>
      </c>
      <c r="H158" s="707">
        <v>1</v>
      </c>
      <c r="I158" s="626"/>
      <c r="J158" s="751"/>
      <c r="K158" s="416"/>
      <c r="L158" s="376" t="s">
        <v>437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973</v>
      </c>
      <c r="C159" s="665" t="s">
        <v>973</v>
      </c>
      <c r="D159" s="665"/>
      <c r="E159" s="665"/>
      <c r="F159" s="681" t="s">
        <v>1004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973</v>
      </c>
      <c r="C160" s="684" t="s">
        <v>973</v>
      </c>
      <c r="D160" s="684" t="s">
        <v>441</v>
      </c>
      <c r="E160" s="684"/>
      <c r="F160" s="685" t="s">
        <v>1366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973</v>
      </c>
      <c r="C161" s="376" t="s">
        <v>973</v>
      </c>
      <c r="D161" s="376" t="s">
        <v>441</v>
      </c>
      <c r="E161" s="376" t="s">
        <v>437</v>
      </c>
      <c r="F161" s="608" t="s">
        <v>36</v>
      </c>
      <c r="G161" s="609">
        <v>3.9824999999999999E-2</v>
      </c>
      <c r="H161" s="692">
        <v>1</v>
      </c>
      <c r="I161" s="626"/>
      <c r="J161" s="751"/>
      <c r="K161" s="416"/>
      <c r="L161" s="376" t="s">
        <v>437</v>
      </c>
      <c r="M161" s="376" t="s">
        <v>1046</v>
      </c>
      <c r="N161" s="376" t="s">
        <v>1047</v>
      </c>
      <c r="O161" s="376" t="s">
        <v>1448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973</v>
      </c>
      <c r="C162" s="376" t="s">
        <v>973</v>
      </c>
      <c r="D162" s="376" t="s">
        <v>441</v>
      </c>
      <c r="E162" s="376" t="s">
        <v>437</v>
      </c>
      <c r="F162" s="608" t="s">
        <v>1224</v>
      </c>
      <c r="G162" s="609">
        <v>7.9649999999999999E-2</v>
      </c>
      <c r="H162" s="692">
        <v>1</v>
      </c>
      <c r="I162" s="626"/>
      <c r="J162" s="751"/>
      <c r="K162" s="416"/>
      <c r="L162" s="376" t="s">
        <v>437</v>
      </c>
      <c r="M162" s="376" t="s">
        <v>1046</v>
      </c>
      <c r="N162" s="376" t="s">
        <v>1047</v>
      </c>
      <c r="O162" s="376" t="s">
        <v>1448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973</v>
      </c>
      <c r="C163" s="376" t="s">
        <v>973</v>
      </c>
      <c r="D163" s="376" t="s">
        <v>441</v>
      </c>
      <c r="E163" s="376" t="s">
        <v>437</v>
      </c>
      <c r="F163" s="608" t="s">
        <v>1366</v>
      </c>
      <c r="G163" s="609">
        <v>3.9824999999999999E-2</v>
      </c>
      <c r="H163" s="692">
        <v>1</v>
      </c>
      <c r="I163" s="626"/>
      <c r="J163" s="751"/>
      <c r="K163" s="416"/>
      <c r="L163" s="376" t="s">
        <v>437</v>
      </c>
      <c r="M163" s="376" t="s">
        <v>1046</v>
      </c>
      <c r="N163" s="376" t="s">
        <v>1047</v>
      </c>
      <c r="O163" s="376" t="s">
        <v>1448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973</v>
      </c>
      <c r="C164" s="684" t="s">
        <v>973</v>
      </c>
      <c r="D164" s="684" t="s">
        <v>860</v>
      </c>
      <c r="E164" s="684"/>
      <c r="F164" s="685" t="s">
        <v>1366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973</v>
      </c>
      <c r="C165" s="376" t="s">
        <v>973</v>
      </c>
      <c r="D165" s="376" t="s">
        <v>860</v>
      </c>
      <c r="E165" s="376" t="s">
        <v>437</v>
      </c>
      <c r="F165" s="629" t="s">
        <v>36</v>
      </c>
      <c r="G165" s="609">
        <v>4.4550000000000006E-2</v>
      </c>
      <c r="H165" s="692">
        <v>1</v>
      </c>
      <c r="I165" s="626"/>
      <c r="J165" s="751"/>
      <c r="K165" s="416"/>
      <c r="L165" s="376" t="s">
        <v>437</v>
      </c>
      <c r="M165" s="376" t="s">
        <v>1393</v>
      </c>
      <c r="N165" s="376" t="s">
        <v>1449</v>
      </c>
      <c r="O165" s="376" t="s">
        <v>1434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973</v>
      </c>
      <c r="C166" s="376" t="s">
        <v>973</v>
      </c>
      <c r="D166" s="376" t="s">
        <v>860</v>
      </c>
      <c r="E166" s="376" t="s">
        <v>437</v>
      </c>
      <c r="F166" s="608" t="s">
        <v>1224</v>
      </c>
      <c r="G166" s="609">
        <v>2.2275000000000003E-2</v>
      </c>
      <c r="H166" s="692">
        <v>1</v>
      </c>
      <c r="I166" s="626"/>
      <c r="J166" s="751"/>
      <c r="K166" s="416"/>
      <c r="L166" s="376" t="s">
        <v>437</v>
      </c>
      <c r="M166" s="376" t="s">
        <v>1393</v>
      </c>
      <c r="N166" s="376" t="s">
        <v>1449</v>
      </c>
      <c r="O166" s="376" t="s">
        <v>1434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973</v>
      </c>
      <c r="C167" s="376" t="s">
        <v>973</v>
      </c>
      <c r="D167" s="376" t="s">
        <v>860</v>
      </c>
      <c r="E167" s="376" t="s">
        <v>437</v>
      </c>
      <c r="F167" s="608" t="s">
        <v>1366</v>
      </c>
      <c r="G167" s="609">
        <v>2.2275000000000003E-2</v>
      </c>
      <c r="H167" s="692">
        <v>1</v>
      </c>
      <c r="I167" s="626"/>
      <c r="J167" s="751"/>
      <c r="K167" s="416"/>
      <c r="L167" s="376" t="s">
        <v>437</v>
      </c>
      <c r="M167" s="376" t="s">
        <v>1393</v>
      </c>
      <c r="N167" s="376" t="s">
        <v>1449</v>
      </c>
      <c r="O167" s="376" t="s">
        <v>1434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975</v>
      </c>
      <c r="C168" s="665" t="s">
        <v>163</v>
      </c>
      <c r="D168" s="665"/>
      <c r="E168" s="665"/>
      <c r="F168" s="681" t="s">
        <v>1004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975</v>
      </c>
      <c r="C169" s="684" t="s">
        <v>1201</v>
      </c>
      <c r="D169" s="684" t="s">
        <v>1166</v>
      </c>
      <c r="E169" s="684"/>
      <c r="F169" s="685" t="s">
        <v>1450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975</v>
      </c>
      <c r="C170" s="376" t="s">
        <v>1201</v>
      </c>
      <c r="D170" s="376" t="s">
        <v>1166</v>
      </c>
      <c r="E170" s="376" t="s">
        <v>437</v>
      </c>
      <c r="F170" s="608" t="s">
        <v>17</v>
      </c>
      <c r="G170" s="609">
        <v>0.85500000000000009</v>
      </c>
      <c r="H170" s="692">
        <v>1</v>
      </c>
      <c r="I170" s="626"/>
      <c r="J170" s="751"/>
      <c r="K170" s="416"/>
      <c r="L170" s="376" t="s">
        <v>437</v>
      </c>
      <c r="M170" s="376" t="s">
        <v>1451</v>
      </c>
      <c r="N170" s="376" t="s">
        <v>1452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975</v>
      </c>
      <c r="C171" s="376" t="s">
        <v>1201</v>
      </c>
      <c r="D171" s="376" t="s">
        <v>1166</v>
      </c>
      <c r="E171" s="376" t="s">
        <v>437</v>
      </c>
      <c r="F171" s="608" t="s">
        <v>36</v>
      </c>
      <c r="G171" s="609">
        <v>1.4050000000000002</v>
      </c>
      <c r="H171" s="692">
        <v>1</v>
      </c>
      <c r="I171" s="626"/>
      <c r="J171" s="751"/>
      <c r="K171" s="416"/>
      <c r="L171" s="376" t="s">
        <v>437</v>
      </c>
      <c r="M171" s="376" t="s">
        <v>1451</v>
      </c>
      <c r="N171" s="376" t="s">
        <v>1452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975</v>
      </c>
      <c r="C172" s="376" t="s">
        <v>1201</v>
      </c>
      <c r="D172" s="376" t="s">
        <v>1166</v>
      </c>
      <c r="E172" s="376" t="s">
        <v>437</v>
      </c>
      <c r="F172" s="608" t="s">
        <v>208</v>
      </c>
      <c r="G172" s="609">
        <v>1.4050000000000002</v>
      </c>
      <c r="H172" s="692">
        <v>1</v>
      </c>
      <c r="I172" s="626"/>
      <c r="J172" s="751"/>
      <c r="K172" s="416"/>
      <c r="L172" s="376" t="s">
        <v>437</v>
      </c>
      <c r="M172" s="376" t="s">
        <v>1451</v>
      </c>
      <c r="N172" s="376" t="s">
        <v>1452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975</v>
      </c>
      <c r="C173" s="684" t="s">
        <v>1201</v>
      </c>
      <c r="D173" s="684" t="s">
        <v>441</v>
      </c>
      <c r="E173" s="684"/>
      <c r="F173" s="685" t="s">
        <v>1453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975</v>
      </c>
      <c r="C174" s="376" t="s">
        <v>1201</v>
      </c>
      <c r="D174" s="376" t="s">
        <v>441</v>
      </c>
      <c r="E174" s="376" t="s">
        <v>437</v>
      </c>
      <c r="F174" s="608" t="s">
        <v>36</v>
      </c>
      <c r="G174" s="609">
        <v>0.10088999999999999</v>
      </c>
      <c r="H174" s="692">
        <v>1</v>
      </c>
      <c r="I174" s="626"/>
      <c r="J174" s="751"/>
      <c r="K174" s="416"/>
      <c r="L174" s="376" t="s">
        <v>437</v>
      </c>
      <c r="M174" s="376" t="s">
        <v>1046</v>
      </c>
      <c r="N174" s="376" t="s">
        <v>1454</v>
      </c>
      <c r="O174" s="376" t="s">
        <v>1455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975</v>
      </c>
      <c r="C175" s="376" t="s">
        <v>1201</v>
      </c>
      <c r="D175" s="376" t="s">
        <v>441</v>
      </c>
      <c r="E175" s="376" t="s">
        <v>437</v>
      </c>
      <c r="F175" s="608" t="s">
        <v>208</v>
      </c>
      <c r="G175" s="609">
        <v>0.20177999999999999</v>
      </c>
      <c r="H175" s="692">
        <v>1</v>
      </c>
      <c r="I175" s="626"/>
      <c r="J175" s="751"/>
      <c r="K175" s="416"/>
      <c r="L175" s="376" t="s">
        <v>437</v>
      </c>
      <c r="M175" s="376" t="s">
        <v>1046</v>
      </c>
      <c r="N175" s="376" t="s">
        <v>1454</v>
      </c>
      <c r="O175" s="376" t="s">
        <v>1455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975</v>
      </c>
      <c r="C176" s="684" t="s">
        <v>1201</v>
      </c>
      <c r="D176" s="684" t="s">
        <v>860</v>
      </c>
      <c r="E176" s="684"/>
      <c r="F176" s="685" t="s">
        <v>1453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975</v>
      </c>
      <c r="C177" s="376" t="s">
        <v>1201</v>
      </c>
      <c r="D177" s="376" t="s">
        <v>860</v>
      </c>
      <c r="E177" s="376" t="s">
        <v>437</v>
      </c>
      <c r="F177" s="608" t="s">
        <v>36</v>
      </c>
      <c r="G177" s="609">
        <v>0.11286000000000002</v>
      </c>
      <c r="H177" s="692">
        <v>1</v>
      </c>
      <c r="I177" s="626"/>
      <c r="J177" s="751"/>
      <c r="K177" s="416"/>
      <c r="L177" s="376" t="s">
        <v>437</v>
      </c>
      <c r="M177" s="376" t="s">
        <v>1393</v>
      </c>
      <c r="N177" s="376" t="s">
        <v>1432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975</v>
      </c>
      <c r="C178" s="376" t="s">
        <v>1201</v>
      </c>
      <c r="D178" s="376" t="s">
        <v>860</v>
      </c>
      <c r="E178" s="376" t="s">
        <v>437</v>
      </c>
      <c r="F178" s="608" t="s">
        <v>208</v>
      </c>
      <c r="G178" s="609">
        <v>0.16929</v>
      </c>
      <c r="H178" s="692">
        <v>1</v>
      </c>
      <c r="I178" s="626"/>
      <c r="J178" s="751"/>
      <c r="K178" s="416"/>
      <c r="L178" s="376" t="s">
        <v>437</v>
      </c>
      <c r="M178" s="376" t="s">
        <v>1393</v>
      </c>
      <c r="N178" s="376" t="s">
        <v>1432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977</v>
      </c>
      <c r="C179" s="666" t="s">
        <v>1201</v>
      </c>
      <c r="D179" s="667"/>
      <c r="E179" s="665"/>
      <c r="F179" s="681" t="s">
        <v>1004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6.45" outlineLevel="2">
      <c r="A180" s="376"/>
      <c r="B180" s="684" t="s">
        <v>977</v>
      </c>
      <c r="C180" s="687" t="s">
        <v>1201</v>
      </c>
      <c r="D180" s="684" t="s">
        <v>1166</v>
      </c>
      <c r="E180" s="684"/>
      <c r="F180" s="685" t="s">
        <v>1456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977</v>
      </c>
      <c r="C181" s="387" t="s">
        <v>1201</v>
      </c>
      <c r="D181" s="376" t="s">
        <v>1166</v>
      </c>
      <c r="E181" s="376" t="s">
        <v>437</v>
      </c>
      <c r="F181" s="608" t="s">
        <v>17</v>
      </c>
      <c r="G181" s="609">
        <v>0.4724994626592407</v>
      </c>
      <c r="H181" s="692">
        <v>1</v>
      </c>
      <c r="I181" s="626"/>
      <c r="J181" s="751"/>
      <c r="K181" s="416"/>
      <c r="L181" s="376" t="s">
        <v>437</v>
      </c>
      <c r="M181" s="376" t="s">
        <v>1451</v>
      </c>
      <c r="N181" s="376" t="s">
        <v>1370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977</v>
      </c>
      <c r="C182" s="387" t="s">
        <v>1201</v>
      </c>
      <c r="D182" s="376" t="s">
        <v>1166</v>
      </c>
      <c r="E182" s="376" t="s">
        <v>437</v>
      </c>
      <c r="F182" s="608" t="s">
        <v>36</v>
      </c>
      <c r="G182" s="609">
        <v>0.85586265139649265</v>
      </c>
      <c r="H182" s="692">
        <v>1</v>
      </c>
      <c r="I182" s="626"/>
      <c r="J182" s="751"/>
      <c r="K182" s="416"/>
      <c r="L182" s="376" t="s">
        <v>437</v>
      </c>
      <c r="M182" s="376" t="s">
        <v>1451</v>
      </c>
      <c r="N182" s="376" t="s">
        <v>1370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977</v>
      </c>
      <c r="C183" s="387" t="s">
        <v>1201</v>
      </c>
      <c r="D183" s="376" t="s">
        <v>1166</v>
      </c>
      <c r="E183" s="376" t="s">
        <v>437</v>
      </c>
      <c r="F183" s="608" t="s">
        <v>1457</v>
      </c>
      <c r="G183" s="609">
        <v>0.85586265139649265</v>
      </c>
      <c r="H183" s="692">
        <v>1</v>
      </c>
      <c r="I183" s="626"/>
      <c r="J183" s="751"/>
      <c r="K183" s="416"/>
      <c r="L183" s="376" t="s">
        <v>437</v>
      </c>
      <c r="M183" s="376" t="s">
        <v>1451</v>
      </c>
      <c r="N183" s="376" t="s">
        <v>1370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977</v>
      </c>
      <c r="C184" s="687" t="s">
        <v>1201</v>
      </c>
      <c r="D184" s="684" t="s">
        <v>441</v>
      </c>
      <c r="E184" s="684"/>
      <c r="F184" s="685" t="s">
        <v>1458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977</v>
      </c>
      <c r="C185" s="387" t="s">
        <v>1201</v>
      </c>
      <c r="D185" s="376" t="s">
        <v>441</v>
      </c>
      <c r="E185" s="376" t="s">
        <v>437</v>
      </c>
      <c r="F185" s="608" t="s">
        <v>36</v>
      </c>
      <c r="G185" s="609">
        <v>5.5754936593790397E-2</v>
      </c>
      <c r="H185" s="692">
        <v>1</v>
      </c>
      <c r="I185" s="626"/>
      <c r="J185" s="751"/>
      <c r="K185" s="416"/>
      <c r="L185" s="376" t="s">
        <v>437</v>
      </c>
      <c r="M185" s="376" t="s">
        <v>1046</v>
      </c>
      <c r="N185" s="376" t="s">
        <v>1459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977</v>
      </c>
      <c r="C186" s="387" t="s">
        <v>1201</v>
      </c>
      <c r="D186" s="376" t="s">
        <v>441</v>
      </c>
      <c r="E186" s="376" t="s">
        <v>437</v>
      </c>
      <c r="F186" s="608" t="s">
        <v>1232</v>
      </c>
      <c r="G186" s="609">
        <v>0.11150987318758079</v>
      </c>
      <c r="H186" s="692">
        <v>1</v>
      </c>
      <c r="I186" s="626"/>
      <c r="J186" s="751"/>
      <c r="K186" s="416"/>
      <c r="L186" s="376" t="s">
        <v>437</v>
      </c>
      <c r="M186" s="376" t="s">
        <v>1046</v>
      </c>
      <c r="N186" s="376" t="s">
        <v>1459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977</v>
      </c>
      <c r="C187" s="387" t="s">
        <v>1201</v>
      </c>
      <c r="D187" s="376" t="s">
        <v>441</v>
      </c>
      <c r="E187" s="376" t="s">
        <v>437</v>
      </c>
      <c r="F187" s="608" t="s">
        <v>1224</v>
      </c>
      <c r="G187" s="609">
        <v>0.11150987318758079</v>
      </c>
      <c r="H187" s="692">
        <v>1</v>
      </c>
      <c r="I187" s="626"/>
      <c r="J187" s="751"/>
      <c r="K187" s="416"/>
      <c r="L187" s="376" t="s">
        <v>437</v>
      </c>
      <c r="M187" s="376" t="s">
        <v>1046</v>
      </c>
      <c r="N187" s="376" t="s">
        <v>1459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977</v>
      </c>
      <c r="C188" s="387" t="s">
        <v>1201</v>
      </c>
      <c r="D188" s="376" t="s">
        <v>441</v>
      </c>
      <c r="E188" s="376" t="s">
        <v>437</v>
      </c>
      <c r="F188" s="785" t="s">
        <v>608</v>
      </c>
      <c r="G188" s="609">
        <v>5.5754936593790397E-2</v>
      </c>
      <c r="H188" s="692">
        <v>1</v>
      </c>
      <c r="I188" s="626"/>
      <c r="J188" s="751"/>
      <c r="K188" s="416"/>
      <c r="L188" s="376" t="s">
        <v>437</v>
      </c>
      <c r="M188" s="376" t="s">
        <v>1046</v>
      </c>
      <c r="N188" s="376" t="s">
        <v>1459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977</v>
      </c>
      <c r="C189" s="687" t="s">
        <v>1201</v>
      </c>
      <c r="D189" s="684" t="s">
        <v>860</v>
      </c>
      <c r="E189" s="684"/>
      <c r="F189" s="685" t="s">
        <v>1458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977</v>
      </c>
      <c r="C190" s="387" t="s">
        <v>1201</v>
      </c>
      <c r="D190" s="376" t="s">
        <v>860</v>
      </c>
      <c r="E190" s="376" t="s">
        <v>437</v>
      </c>
      <c r="F190" s="608" t="s">
        <v>36</v>
      </c>
      <c r="G190" s="609">
        <v>6.2369929071019771E-2</v>
      </c>
      <c r="H190" s="692">
        <v>1</v>
      </c>
      <c r="I190" s="626"/>
      <c r="J190" s="751"/>
      <c r="K190" s="416"/>
      <c r="L190" s="376" t="s">
        <v>437</v>
      </c>
      <c r="M190" s="376" t="s">
        <v>1393</v>
      </c>
      <c r="N190" s="376" t="s">
        <v>1432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977</v>
      </c>
      <c r="C191" s="387" t="s">
        <v>1201</v>
      </c>
      <c r="D191" s="376" t="s">
        <v>860</v>
      </c>
      <c r="E191" s="376" t="s">
        <v>437</v>
      </c>
      <c r="F191" s="608" t="s">
        <v>1232</v>
      </c>
      <c r="G191" s="609">
        <v>9.3554893606529646E-2</v>
      </c>
      <c r="H191" s="692">
        <v>1</v>
      </c>
      <c r="I191" s="626"/>
      <c r="J191" s="751"/>
      <c r="K191" s="416"/>
      <c r="L191" s="376" t="s">
        <v>437</v>
      </c>
      <c r="M191" s="376" t="s">
        <v>1393</v>
      </c>
      <c r="N191" s="376" t="s">
        <v>1432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977</v>
      </c>
      <c r="C192" s="387" t="s">
        <v>1201</v>
      </c>
      <c r="D192" s="376" t="s">
        <v>860</v>
      </c>
      <c r="E192" s="376" t="s">
        <v>437</v>
      </c>
      <c r="F192" s="608" t="s">
        <v>1224</v>
      </c>
      <c r="G192" s="609">
        <v>3.1184964535509885E-2</v>
      </c>
      <c r="H192" s="692">
        <v>1</v>
      </c>
      <c r="I192" s="626"/>
      <c r="J192" s="751"/>
      <c r="K192" s="416"/>
      <c r="L192" s="376" t="s">
        <v>437</v>
      </c>
      <c r="M192" s="376" t="s">
        <v>1393</v>
      </c>
      <c r="N192" s="376" t="s">
        <v>1432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977</v>
      </c>
      <c r="C193" s="387" t="s">
        <v>1201</v>
      </c>
      <c r="D193" s="376" t="s">
        <v>860</v>
      </c>
      <c r="E193" s="376" t="s">
        <v>437</v>
      </c>
      <c r="F193" s="785" t="s">
        <v>198</v>
      </c>
      <c r="G193" s="609">
        <v>3.1184964535509885E-2</v>
      </c>
      <c r="H193" s="692">
        <v>1</v>
      </c>
      <c r="I193" s="626"/>
      <c r="J193" s="751"/>
      <c r="K193" s="416"/>
      <c r="L193" s="376" t="s">
        <v>437</v>
      </c>
      <c r="M193" s="376" t="s">
        <v>1393</v>
      </c>
      <c r="N193" s="376" t="s">
        <v>1432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977</v>
      </c>
      <c r="C194" s="387" t="s">
        <v>1201</v>
      </c>
      <c r="D194" s="376" t="s">
        <v>860</v>
      </c>
      <c r="E194" s="376" t="s">
        <v>437</v>
      </c>
      <c r="F194" s="785" t="s">
        <v>608</v>
      </c>
      <c r="G194" s="609">
        <v>3.1184964535509885E-2</v>
      </c>
      <c r="H194" s="692">
        <v>1</v>
      </c>
      <c r="I194" s="626"/>
      <c r="J194" s="751"/>
      <c r="K194" s="416"/>
      <c r="L194" s="376" t="s">
        <v>437</v>
      </c>
      <c r="M194" s="376" t="s">
        <v>1393</v>
      </c>
      <c r="N194" s="376" t="s">
        <v>1432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979</v>
      </c>
      <c r="C195" s="666" t="s">
        <v>1201</v>
      </c>
      <c r="D195" s="667" t="s">
        <v>1176</v>
      </c>
      <c r="E195" s="665"/>
      <c r="F195" s="681" t="s">
        <v>1004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6.45" outlineLevel="2">
      <c r="A196" s="376"/>
      <c r="B196" s="684" t="s">
        <v>979</v>
      </c>
      <c r="C196" s="687" t="s">
        <v>1201</v>
      </c>
      <c r="D196" s="684" t="s">
        <v>1166</v>
      </c>
      <c r="E196" s="684"/>
      <c r="F196" s="685" t="s">
        <v>1460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979</v>
      </c>
      <c r="C197" s="387" t="s">
        <v>1201</v>
      </c>
      <c r="D197" s="376" t="s">
        <v>1166</v>
      </c>
      <c r="E197" s="376" t="s">
        <v>437</v>
      </c>
      <c r="F197" s="608" t="s">
        <v>981</v>
      </c>
      <c r="G197" s="609">
        <v>0.13427418761072726</v>
      </c>
      <c r="H197" s="692">
        <v>1</v>
      </c>
      <c r="I197" s="626"/>
      <c r="J197" s="751"/>
      <c r="K197" s="416"/>
      <c r="L197" s="376" t="s">
        <v>437</v>
      </c>
      <c r="M197" s="376" t="s">
        <v>1451</v>
      </c>
      <c r="N197" s="376" t="s">
        <v>1370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979</v>
      </c>
      <c r="C198" s="387" t="s">
        <v>1201</v>
      </c>
      <c r="D198" s="376" t="s">
        <v>1166</v>
      </c>
      <c r="E198" s="376" t="s">
        <v>437</v>
      </c>
      <c r="F198" s="608" t="s">
        <v>983</v>
      </c>
      <c r="G198" s="609">
        <v>0.24320523867600002</v>
      </c>
      <c r="H198" s="692">
        <v>1</v>
      </c>
      <c r="I198" s="626"/>
      <c r="J198" s="751"/>
      <c r="K198" s="416"/>
      <c r="L198" s="376" t="s">
        <v>437</v>
      </c>
      <c r="M198" s="376" t="s">
        <v>1451</v>
      </c>
      <c r="N198" s="376" t="s">
        <v>1370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979</v>
      </c>
      <c r="C199" s="387" t="s">
        <v>1201</v>
      </c>
      <c r="D199" s="376" t="s">
        <v>1166</v>
      </c>
      <c r="E199" s="376" t="s">
        <v>437</v>
      </c>
      <c r="F199" s="608" t="s">
        <v>1461</v>
      </c>
      <c r="G199" s="609">
        <v>7.2961571602800007E-2</v>
      </c>
      <c r="H199" s="692">
        <v>1</v>
      </c>
      <c r="I199" s="626"/>
      <c r="J199" s="751"/>
      <c r="K199" s="416"/>
      <c r="L199" s="376" t="s">
        <v>437</v>
      </c>
      <c r="M199" s="376" t="s">
        <v>1451</v>
      </c>
      <c r="N199" s="376" t="s">
        <v>1370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979</v>
      </c>
      <c r="C200" s="387" t="s">
        <v>1201</v>
      </c>
      <c r="D200" s="376" t="s">
        <v>1166</v>
      </c>
      <c r="E200" s="376" t="s">
        <v>437</v>
      </c>
      <c r="F200" s="608" t="s">
        <v>1462</v>
      </c>
      <c r="G200" s="609">
        <v>7.0000000000000007E-2</v>
      </c>
      <c r="H200" s="692">
        <v>1</v>
      </c>
      <c r="I200" s="626"/>
      <c r="J200" s="751"/>
      <c r="K200" s="416"/>
      <c r="L200" s="376" t="s">
        <v>437</v>
      </c>
      <c r="M200" s="376" t="s">
        <v>1451</v>
      </c>
      <c r="N200" s="376" t="s">
        <v>1370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6.45" outlineLevel="2">
      <c r="A201" s="376"/>
      <c r="B201" s="684" t="s">
        <v>979</v>
      </c>
      <c r="C201" s="687" t="s">
        <v>1201</v>
      </c>
      <c r="D201" s="684" t="s">
        <v>441</v>
      </c>
      <c r="E201" s="684"/>
      <c r="F201" s="685" t="s">
        <v>1460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979</v>
      </c>
      <c r="C202" s="387" t="s">
        <v>1201</v>
      </c>
      <c r="D202" s="376" t="s">
        <v>441</v>
      </c>
      <c r="E202" s="376" t="s">
        <v>437</v>
      </c>
      <c r="F202" s="608" t="s">
        <v>981</v>
      </c>
      <c r="G202" s="609">
        <v>1.5844354138065817E-2</v>
      </c>
      <c r="H202" s="692">
        <v>1</v>
      </c>
      <c r="I202" s="626"/>
      <c r="J202" s="751"/>
      <c r="K202" s="416"/>
      <c r="L202" s="376" t="s">
        <v>437</v>
      </c>
      <c r="M202" s="376" t="s">
        <v>1046</v>
      </c>
      <c r="N202" s="376" t="s">
        <v>1459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979</v>
      </c>
      <c r="C203" s="387" t="s">
        <v>1201</v>
      </c>
      <c r="D203" s="376" t="s">
        <v>441</v>
      </c>
      <c r="E203" s="376" t="s">
        <v>437</v>
      </c>
      <c r="F203" s="608" t="s">
        <v>983</v>
      </c>
      <c r="G203" s="609">
        <v>1.4349109081883998E-2</v>
      </c>
      <c r="H203" s="692">
        <v>1</v>
      </c>
      <c r="I203" s="626"/>
      <c r="J203" s="751"/>
      <c r="K203" s="416"/>
      <c r="L203" s="376" t="s">
        <v>437</v>
      </c>
      <c r="M203" s="376" t="s">
        <v>1046</v>
      </c>
      <c r="N203" s="376" t="s">
        <v>1459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979</v>
      </c>
      <c r="C204" s="387" t="s">
        <v>1201</v>
      </c>
      <c r="D204" s="376" t="s">
        <v>441</v>
      </c>
      <c r="E204" s="376" t="s">
        <v>437</v>
      </c>
      <c r="F204" s="608" t="s">
        <v>1463</v>
      </c>
      <c r="G204" s="609">
        <v>2.8698218163767997E-2</v>
      </c>
      <c r="H204" s="692">
        <v>1</v>
      </c>
      <c r="I204" s="626"/>
      <c r="J204" s="751"/>
      <c r="K204" s="416"/>
      <c r="L204" s="376" t="s">
        <v>437</v>
      </c>
      <c r="M204" s="376" t="s">
        <v>1046</v>
      </c>
      <c r="N204" s="376" t="s">
        <v>1459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979</v>
      </c>
      <c r="C205" s="387" t="s">
        <v>1201</v>
      </c>
      <c r="D205" s="376" t="s">
        <v>441</v>
      </c>
      <c r="E205" s="376" t="s">
        <v>437</v>
      </c>
      <c r="F205" s="608" t="s">
        <v>1461</v>
      </c>
      <c r="G205" s="609">
        <v>1.4349109081883998E-2</v>
      </c>
      <c r="H205" s="692">
        <v>1</v>
      </c>
      <c r="I205" s="626"/>
      <c r="J205" s="751"/>
      <c r="K205" s="416"/>
      <c r="L205" s="376" t="s">
        <v>437</v>
      </c>
      <c r="M205" s="376" t="s">
        <v>1046</v>
      </c>
      <c r="N205" s="376" t="s">
        <v>1459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979</v>
      </c>
      <c r="C206" s="387" t="s">
        <v>1201</v>
      </c>
      <c r="D206" s="376" t="s">
        <v>441</v>
      </c>
      <c r="E206" s="376" t="s">
        <v>437</v>
      </c>
      <c r="F206" s="608" t="s">
        <v>1462</v>
      </c>
      <c r="G206" s="609">
        <v>1.4349109081883998E-2</v>
      </c>
      <c r="H206" s="692">
        <v>1</v>
      </c>
      <c r="I206" s="626"/>
      <c r="J206" s="751"/>
      <c r="K206" s="416"/>
      <c r="L206" s="376" t="s">
        <v>437</v>
      </c>
      <c r="M206" s="376" t="s">
        <v>1046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6.45" outlineLevel="2">
      <c r="A207" s="376"/>
      <c r="B207" s="684" t="s">
        <v>979</v>
      </c>
      <c r="C207" s="687" t="s">
        <v>1201</v>
      </c>
      <c r="D207" s="684" t="s">
        <v>860</v>
      </c>
      <c r="E207" s="684"/>
      <c r="F207" s="685" t="s">
        <v>1460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979</v>
      </c>
      <c r="C208" s="387" t="s">
        <v>1201</v>
      </c>
      <c r="D208" s="376" t="s">
        <v>860</v>
      </c>
      <c r="E208" s="376" t="s">
        <v>437</v>
      </c>
      <c r="F208" s="608" t="s">
        <v>981</v>
      </c>
      <c r="G208" s="609">
        <v>8.8620963823079994E-3</v>
      </c>
      <c r="H208" s="692">
        <v>1</v>
      </c>
      <c r="I208" s="626"/>
      <c r="J208" s="751"/>
      <c r="K208" s="416"/>
      <c r="L208" s="376" t="s">
        <v>437</v>
      </c>
      <c r="M208" s="376" t="s">
        <v>1393</v>
      </c>
      <c r="N208" s="376" t="s">
        <v>1464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979</v>
      </c>
      <c r="C209" s="387" t="s">
        <v>1201</v>
      </c>
      <c r="D209" s="376" t="s">
        <v>860</v>
      </c>
      <c r="E209" s="376" t="s">
        <v>437</v>
      </c>
      <c r="F209" s="608" t="s">
        <v>1465</v>
      </c>
      <c r="G209" s="609">
        <v>8.0257728763079988E-3</v>
      </c>
      <c r="H209" s="692">
        <v>1</v>
      </c>
      <c r="I209" s="626"/>
      <c r="J209" s="751"/>
      <c r="K209" s="416"/>
      <c r="L209" s="376" t="s">
        <v>437</v>
      </c>
      <c r="M209" s="376" t="s">
        <v>1393</v>
      </c>
      <c r="N209" s="376" t="s">
        <v>1464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979</v>
      </c>
      <c r="C210" s="387" t="s">
        <v>1201</v>
      </c>
      <c r="D210" s="376" t="s">
        <v>860</v>
      </c>
      <c r="E210" s="376" t="s">
        <v>437</v>
      </c>
      <c r="F210" s="608" t="s">
        <v>983</v>
      </c>
      <c r="G210" s="609">
        <v>8.0257728763080006E-3</v>
      </c>
      <c r="H210" s="692">
        <v>1</v>
      </c>
      <c r="I210" s="626"/>
      <c r="J210" s="751"/>
      <c r="K210" s="416"/>
      <c r="L210" s="376" t="s">
        <v>437</v>
      </c>
      <c r="M210" s="376" t="s">
        <v>1393</v>
      </c>
      <c r="N210" s="376" t="s">
        <v>1464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979</v>
      </c>
      <c r="C211" s="387" t="s">
        <v>1201</v>
      </c>
      <c r="D211" s="376" t="s">
        <v>860</v>
      </c>
      <c r="E211" s="376" t="s">
        <v>437</v>
      </c>
      <c r="F211" s="608" t="s">
        <v>1463</v>
      </c>
      <c r="G211" s="609">
        <v>8.0257728763079988E-3</v>
      </c>
      <c r="H211" s="692">
        <v>1</v>
      </c>
      <c r="I211" s="626"/>
      <c r="J211" s="751"/>
      <c r="K211" s="416"/>
      <c r="L211" s="376" t="s">
        <v>437</v>
      </c>
      <c r="M211" s="376" t="s">
        <v>1393</v>
      </c>
      <c r="N211" s="376" t="s">
        <v>1464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979</v>
      </c>
      <c r="C212" s="387" t="s">
        <v>1201</v>
      </c>
      <c r="D212" s="376" t="s">
        <v>860</v>
      </c>
      <c r="E212" s="376" t="s">
        <v>437</v>
      </c>
      <c r="F212" s="608" t="s">
        <v>1466</v>
      </c>
      <c r="G212" s="609">
        <v>8.0257728763079988E-3</v>
      </c>
      <c r="H212" s="692">
        <v>1</v>
      </c>
      <c r="I212" s="626"/>
      <c r="J212" s="751"/>
      <c r="K212" s="416"/>
      <c r="L212" s="376" t="s">
        <v>437</v>
      </c>
      <c r="M212" s="376" t="s">
        <v>1393</v>
      </c>
      <c r="N212" s="376" t="s">
        <v>1464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979</v>
      </c>
      <c r="C213" s="387" t="s">
        <v>1201</v>
      </c>
      <c r="D213" s="376" t="s">
        <v>860</v>
      </c>
      <c r="E213" s="376" t="s">
        <v>437</v>
      </c>
      <c r="F213" s="608" t="s">
        <v>1462</v>
      </c>
      <c r="G213" s="609">
        <v>8.0257728763080006E-3</v>
      </c>
      <c r="H213" s="692">
        <v>1</v>
      </c>
      <c r="I213" s="626"/>
      <c r="J213" s="751"/>
      <c r="K213" s="416"/>
      <c r="L213" s="376" t="s">
        <v>437</v>
      </c>
      <c r="M213" s="376" t="s">
        <v>1393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979</v>
      </c>
      <c r="C214" s="387" t="s">
        <v>1201</v>
      </c>
      <c r="D214" s="376" t="s">
        <v>860</v>
      </c>
      <c r="E214" s="376" t="s">
        <v>437</v>
      </c>
      <c r="F214" s="608" t="s">
        <v>1461</v>
      </c>
      <c r="G214" s="609">
        <v>8.0257728763080006E-3</v>
      </c>
      <c r="H214" s="692">
        <v>1</v>
      </c>
      <c r="I214" s="626"/>
      <c r="J214" s="751"/>
      <c r="K214" s="416"/>
      <c r="L214" s="376" t="s">
        <v>437</v>
      </c>
      <c r="M214" s="376" t="s">
        <v>1393</v>
      </c>
      <c r="N214" s="376" t="s">
        <v>1370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982</v>
      </c>
      <c r="C215" s="666" t="s">
        <v>1220</v>
      </c>
      <c r="D215" s="667" t="s">
        <v>1176</v>
      </c>
      <c r="E215" s="665"/>
      <c r="F215" s="681" t="s">
        <v>1004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982</v>
      </c>
      <c r="C216" s="687" t="s">
        <v>1220</v>
      </c>
      <c r="D216" s="684" t="s">
        <v>1166</v>
      </c>
      <c r="E216" s="684"/>
      <c r="F216" s="685" t="s">
        <v>1458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982</v>
      </c>
      <c r="C217" s="387" t="s">
        <v>1220</v>
      </c>
      <c r="D217" s="376" t="s">
        <v>1166</v>
      </c>
      <c r="E217" s="376" t="s">
        <v>437</v>
      </c>
      <c r="F217" s="608" t="s">
        <v>17</v>
      </c>
      <c r="G217" s="609">
        <v>0.16825145614199999</v>
      </c>
      <c r="H217" s="692">
        <v>1</v>
      </c>
      <c r="I217" s="626"/>
      <c r="J217" s="751"/>
      <c r="K217" s="416"/>
      <c r="L217" s="376" t="s">
        <v>437</v>
      </c>
      <c r="M217" s="376" t="s">
        <v>1451</v>
      </c>
      <c r="N217" s="376" t="s">
        <v>1370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982</v>
      </c>
      <c r="C218" s="387" t="s">
        <v>1220</v>
      </c>
      <c r="D218" s="376" t="s">
        <v>1166</v>
      </c>
      <c r="E218" s="376" t="s">
        <v>437</v>
      </c>
      <c r="F218" s="608" t="s">
        <v>36</v>
      </c>
      <c r="G218" s="609">
        <v>0.33650291228399998</v>
      </c>
      <c r="H218" s="692">
        <v>1</v>
      </c>
      <c r="I218" s="626"/>
      <c r="J218" s="751"/>
      <c r="K218" s="416"/>
      <c r="L218" s="376" t="s">
        <v>437</v>
      </c>
      <c r="M218" s="376" t="s">
        <v>1451</v>
      </c>
      <c r="N218" s="376" t="s">
        <v>1370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982</v>
      </c>
      <c r="C219" s="687" t="s">
        <v>1220</v>
      </c>
      <c r="D219" s="684" t="s">
        <v>441</v>
      </c>
      <c r="E219" s="684"/>
      <c r="F219" s="685" t="s">
        <v>1458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982</v>
      </c>
      <c r="C220" s="387" t="s">
        <v>1220</v>
      </c>
      <c r="D220" s="376" t="s">
        <v>441</v>
      </c>
      <c r="E220" s="376" t="s">
        <v>437</v>
      </c>
      <c r="F220" s="608" t="s">
        <v>36</v>
      </c>
      <c r="G220" s="609">
        <v>1.9853671824755996E-2</v>
      </c>
      <c r="H220" s="692">
        <v>1</v>
      </c>
      <c r="I220" s="626"/>
      <c r="J220" s="751"/>
      <c r="K220" s="416"/>
      <c r="L220" s="376" t="s">
        <v>437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982</v>
      </c>
      <c r="C221" s="687" t="s">
        <v>1220</v>
      </c>
      <c r="D221" s="684" t="s">
        <v>860</v>
      </c>
      <c r="E221" s="684"/>
      <c r="F221" s="685" t="s">
        <v>1458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982</v>
      </c>
      <c r="C222" s="387" t="s">
        <v>1220</v>
      </c>
      <c r="D222" s="376" t="s">
        <v>860</v>
      </c>
      <c r="E222" s="376" t="s">
        <v>437</v>
      </c>
      <c r="F222" s="608" t="s">
        <v>36</v>
      </c>
      <c r="G222" s="609">
        <v>2.2209192210743994E-2</v>
      </c>
      <c r="H222" s="692">
        <v>1</v>
      </c>
      <c r="I222" s="626"/>
      <c r="J222" s="751"/>
      <c r="K222" s="416"/>
      <c r="L222" s="376" t="s">
        <v>437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985</v>
      </c>
      <c r="C223" s="665" t="s">
        <v>985</v>
      </c>
      <c r="D223" s="665"/>
      <c r="E223" s="665"/>
      <c r="F223" s="681" t="s">
        <v>1004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985</v>
      </c>
      <c r="C224" s="684" t="s">
        <v>985</v>
      </c>
      <c r="D224" s="684" t="s">
        <v>1166</v>
      </c>
      <c r="E224" s="684"/>
      <c r="F224" s="685" t="s">
        <v>1368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985</v>
      </c>
      <c r="C225" s="376" t="s">
        <v>985</v>
      </c>
      <c r="D225" s="376" t="s">
        <v>1166</v>
      </c>
      <c r="E225" s="376" t="s">
        <v>437</v>
      </c>
      <c r="F225" s="608" t="s">
        <v>17</v>
      </c>
      <c r="G225" s="609"/>
      <c r="H225" s="692">
        <v>1</v>
      </c>
      <c r="I225" s="626"/>
      <c r="J225" s="751"/>
      <c r="K225" s="416"/>
      <c r="L225" s="376" t="s">
        <v>437</v>
      </c>
      <c r="M225" s="376" t="s">
        <v>1451</v>
      </c>
      <c r="N225" s="376" t="s">
        <v>1370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985</v>
      </c>
      <c r="C226" s="376" t="s">
        <v>985</v>
      </c>
      <c r="D226" s="376" t="s">
        <v>1166</v>
      </c>
      <c r="E226" s="376" t="s">
        <v>437</v>
      </c>
      <c r="F226" s="608" t="s">
        <v>36</v>
      </c>
      <c r="G226" s="609"/>
      <c r="H226" s="692">
        <v>1</v>
      </c>
      <c r="I226" s="626"/>
      <c r="J226" s="751"/>
      <c r="K226" s="416"/>
      <c r="L226" s="376" t="s">
        <v>437</v>
      </c>
      <c r="M226" s="376" t="s">
        <v>1451</v>
      </c>
      <c r="N226" s="376" t="s">
        <v>1370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985</v>
      </c>
      <c r="C227" s="376" t="s">
        <v>985</v>
      </c>
      <c r="D227" s="376" t="s">
        <v>1166</v>
      </c>
      <c r="E227" s="376" t="s">
        <v>437</v>
      </c>
      <c r="F227" s="608" t="s">
        <v>208</v>
      </c>
      <c r="G227" s="609"/>
      <c r="H227" s="692">
        <v>1</v>
      </c>
      <c r="I227" s="626"/>
      <c r="J227" s="751"/>
      <c r="K227" s="416"/>
      <c r="L227" s="376" t="s">
        <v>437</v>
      </c>
      <c r="M227" s="376" t="s">
        <v>1451</v>
      </c>
      <c r="N227" s="376" t="s">
        <v>1370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985</v>
      </c>
      <c r="C228" s="684" t="s">
        <v>985</v>
      </c>
      <c r="D228" s="684" t="s">
        <v>441</v>
      </c>
      <c r="E228" s="684"/>
      <c r="F228" s="685" t="s">
        <v>1368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985</v>
      </c>
      <c r="C229" s="376" t="s">
        <v>985</v>
      </c>
      <c r="D229" s="376" t="s">
        <v>441</v>
      </c>
      <c r="E229" s="376" t="s">
        <v>437</v>
      </c>
      <c r="F229" s="608" t="s">
        <v>36</v>
      </c>
      <c r="G229" s="609"/>
      <c r="H229" s="692">
        <v>1</v>
      </c>
      <c r="I229" s="626"/>
      <c r="J229" s="751"/>
      <c r="K229" s="416"/>
      <c r="L229" s="376" t="s">
        <v>437</v>
      </c>
      <c r="M229" s="376" t="s">
        <v>1046</v>
      </c>
      <c r="N229" s="376" t="s">
        <v>1454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985</v>
      </c>
      <c r="C230" s="376" t="s">
        <v>985</v>
      </c>
      <c r="D230" s="376" t="s">
        <v>441</v>
      </c>
      <c r="E230" s="376" t="s">
        <v>437</v>
      </c>
      <c r="F230" s="608" t="s">
        <v>208</v>
      </c>
      <c r="G230" s="609"/>
      <c r="H230" s="692">
        <v>1</v>
      </c>
      <c r="I230" s="626"/>
      <c r="J230" s="751"/>
      <c r="K230" s="416"/>
      <c r="L230" s="376" t="s">
        <v>437</v>
      </c>
      <c r="M230" s="376" t="s">
        <v>1046</v>
      </c>
      <c r="N230" s="376" t="s">
        <v>1454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985</v>
      </c>
      <c r="C231" s="684" t="s">
        <v>985</v>
      </c>
      <c r="D231" s="684" t="s">
        <v>860</v>
      </c>
      <c r="E231" s="684"/>
      <c r="F231" s="685" t="s">
        <v>1368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985</v>
      </c>
      <c r="C232" s="376" t="s">
        <v>985</v>
      </c>
      <c r="D232" s="376" t="s">
        <v>860</v>
      </c>
      <c r="E232" s="376" t="s">
        <v>437</v>
      </c>
      <c r="F232" s="608" t="s">
        <v>36</v>
      </c>
      <c r="G232" s="609"/>
      <c r="H232" s="692">
        <v>1</v>
      </c>
      <c r="I232" s="626"/>
      <c r="J232" s="751"/>
      <c r="K232" s="416"/>
      <c r="L232" s="376" t="s">
        <v>437</v>
      </c>
      <c r="M232" s="376" t="s">
        <v>1393</v>
      </c>
      <c r="N232" s="376" t="s">
        <v>1432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985</v>
      </c>
      <c r="C233" s="376" t="s">
        <v>985</v>
      </c>
      <c r="D233" s="376" t="s">
        <v>860</v>
      </c>
      <c r="E233" s="376" t="s">
        <v>437</v>
      </c>
      <c r="F233" s="608" t="s">
        <v>208</v>
      </c>
      <c r="G233" s="609"/>
      <c r="H233" s="692">
        <v>1</v>
      </c>
      <c r="I233" s="626"/>
      <c r="J233" s="751"/>
      <c r="K233" s="416"/>
      <c r="L233" s="376" t="s">
        <v>437</v>
      </c>
      <c r="M233" s="376" t="s">
        <v>1393</v>
      </c>
      <c r="N233" s="376" t="s">
        <v>1432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497</v>
      </c>
      <c r="C234" s="665" t="s">
        <v>1371</v>
      </c>
      <c r="D234" s="665"/>
      <c r="E234" s="665"/>
      <c r="F234" s="681" t="s">
        <v>1004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497</v>
      </c>
      <c r="C235" s="684" t="s">
        <v>1371</v>
      </c>
      <c r="D235" s="684" t="s">
        <v>441</v>
      </c>
      <c r="E235" s="684"/>
      <c r="F235" s="685" t="s">
        <v>1467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497</v>
      </c>
      <c r="C236" s="376" t="s">
        <v>1371</v>
      </c>
      <c r="D236" s="376" t="s">
        <v>441</v>
      </c>
      <c r="E236" s="376" t="s">
        <v>437</v>
      </c>
      <c r="F236" s="608" t="s">
        <v>36</v>
      </c>
      <c r="G236" s="609">
        <v>0.05</v>
      </c>
      <c r="H236" s="692">
        <v>1</v>
      </c>
      <c r="I236" s="626"/>
      <c r="J236" s="751"/>
      <c r="K236" s="416"/>
      <c r="L236" s="376" t="s">
        <v>437</v>
      </c>
      <c r="M236" s="376" t="s">
        <v>1046</v>
      </c>
      <c r="N236" s="376" t="s">
        <v>1468</v>
      </c>
      <c r="O236" s="376" t="s">
        <v>1469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497</v>
      </c>
      <c r="C237" s="376" t="s">
        <v>1371</v>
      </c>
      <c r="D237" s="376" t="s">
        <v>441</v>
      </c>
      <c r="E237" s="376" t="s">
        <v>437</v>
      </c>
      <c r="F237" s="608" t="s">
        <v>208</v>
      </c>
      <c r="G237" s="609">
        <v>0.05</v>
      </c>
      <c r="H237" s="692">
        <v>1</v>
      </c>
      <c r="I237" s="626"/>
      <c r="J237" s="751"/>
      <c r="K237" s="416"/>
      <c r="L237" s="376" t="s">
        <v>437</v>
      </c>
      <c r="M237" s="376" t="s">
        <v>1046</v>
      </c>
      <c r="N237" s="376" t="s">
        <v>1468</v>
      </c>
      <c r="O237" s="376" t="s">
        <v>1469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497</v>
      </c>
      <c r="C238" s="684" t="s">
        <v>1371</v>
      </c>
      <c r="D238" s="684" t="s">
        <v>860</v>
      </c>
      <c r="E238" s="684"/>
      <c r="F238" s="685" t="s">
        <v>1467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497</v>
      </c>
      <c r="C239" s="376" t="s">
        <v>1371</v>
      </c>
      <c r="D239" s="376" t="s">
        <v>860</v>
      </c>
      <c r="E239" s="376" t="s">
        <v>437</v>
      </c>
      <c r="F239" s="608" t="s">
        <v>208</v>
      </c>
      <c r="G239" s="609">
        <v>0.05</v>
      </c>
      <c r="H239" s="692">
        <v>1</v>
      </c>
      <c r="I239" s="626"/>
      <c r="J239" s="751"/>
      <c r="K239" s="416"/>
      <c r="L239" s="376" t="s">
        <v>437</v>
      </c>
      <c r="M239" s="376" t="s">
        <v>1393</v>
      </c>
      <c r="N239" s="376" t="s">
        <v>1449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988</v>
      </c>
      <c r="C240" s="682" t="s">
        <v>1384</v>
      </c>
      <c r="D240" s="682"/>
      <c r="E240" s="682"/>
      <c r="F240" s="681" t="s">
        <v>1004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1384</v>
      </c>
      <c r="C241" s="688" t="s">
        <v>1384</v>
      </c>
      <c r="D241" s="688" t="s">
        <v>441</v>
      </c>
      <c r="E241" s="688"/>
      <c r="F241" s="712" t="s">
        <v>1385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1384</v>
      </c>
      <c r="C242" s="456" t="s">
        <v>1384</v>
      </c>
      <c r="D242" s="456" t="s">
        <v>441</v>
      </c>
      <c r="E242" s="456" t="s">
        <v>437</v>
      </c>
      <c r="F242" s="623" t="s">
        <v>36</v>
      </c>
      <c r="G242" s="744">
        <v>5.6372543999999997E-3</v>
      </c>
      <c r="H242" s="745">
        <v>1</v>
      </c>
      <c r="I242" s="626"/>
      <c r="J242" s="751"/>
      <c r="K242" s="416"/>
      <c r="L242" s="456" t="s">
        <v>437</v>
      </c>
      <c r="M242" s="456" t="s">
        <v>1046</v>
      </c>
      <c r="N242" s="456" t="s">
        <v>1388</v>
      </c>
      <c r="O242" s="456" t="s">
        <v>1392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1384</v>
      </c>
      <c r="C243" s="456" t="s">
        <v>1384</v>
      </c>
      <c r="D243" s="456" t="s">
        <v>441</v>
      </c>
      <c r="E243" s="456" t="s">
        <v>437</v>
      </c>
      <c r="F243" s="623" t="s">
        <v>208</v>
      </c>
      <c r="G243" s="744">
        <v>5.6372543999999997E-3</v>
      </c>
      <c r="H243" s="745">
        <v>1</v>
      </c>
      <c r="I243" s="626"/>
      <c r="J243" s="751"/>
      <c r="K243" s="416"/>
      <c r="L243" s="456" t="s">
        <v>437</v>
      </c>
      <c r="M243" s="456" t="s">
        <v>1046</v>
      </c>
      <c r="N243" s="456" t="s">
        <v>1388</v>
      </c>
      <c r="O243" s="456" t="s">
        <v>1392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1384</v>
      </c>
      <c r="C244" s="688" t="s">
        <v>1384</v>
      </c>
      <c r="D244" s="688" t="s">
        <v>860</v>
      </c>
      <c r="E244" s="688"/>
      <c r="F244" s="712" t="s">
        <v>1385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1384</v>
      </c>
      <c r="C245" s="456" t="s">
        <v>1384</v>
      </c>
      <c r="D245" s="456" t="s">
        <v>860</v>
      </c>
      <c r="E245" s="456" t="s">
        <v>437</v>
      </c>
      <c r="F245" s="623" t="s">
        <v>36</v>
      </c>
      <c r="G245" s="744">
        <v>4.6977119999999997E-3</v>
      </c>
      <c r="H245" s="745">
        <v>1</v>
      </c>
      <c r="I245" s="626"/>
      <c r="J245" s="751"/>
      <c r="K245" s="416"/>
      <c r="L245" s="456" t="s">
        <v>437</v>
      </c>
      <c r="M245" s="456" t="s">
        <v>1393</v>
      </c>
      <c r="N245" s="456" t="s">
        <v>1432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1384</v>
      </c>
      <c r="C246" s="456" t="s">
        <v>1384</v>
      </c>
      <c r="D246" s="456" t="s">
        <v>860</v>
      </c>
      <c r="E246" s="456" t="s">
        <v>437</v>
      </c>
      <c r="F246" s="623" t="s">
        <v>208</v>
      </c>
      <c r="G246" s="744">
        <v>4.6977119999999997E-3</v>
      </c>
      <c r="H246" s="745">
        <v>1</v>
      </c>
      <c r="I246" s="626"/>
      <c r="J246" s="751"/>
      <c r="K246" s="416"/>
      <c r="L246" s="456" t="s">
        <v>437</v>
      </c>
      <c r="M246" s="456" t="s">
        <v>1393</v>
      </c>
      <c r="N246" s="456" t="s">
        <v>1432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989</v>
      </c>
      <c r="C247" s="682" t="s">
        <v>1349</v>
      </c>
      <c r="D247" s="682"/>
      <c r="E247" s="682"/>
      <c r="F247" s="681" t="s">
        <v>1004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989</v>
      </c>
      <c r="C248" s="684" t="s">
        <v>1349</v>
      </c>
      <c r="D248" s="684" t="s">
        <v>441</v>
      </c>
      <c r="E248" s="684"/>
      <c r="F248" s="685" t="s">
        <v>1224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989</v>
      </c>
      <c r="C249" s="376" t="s">
        <v>1349</v>
      </c>
      <c r="D249" s="376" t="s">
        <v>441</v>
      </c>
      <c r="E249" s="376" t="s">
        <v>437</v>
      </c>
      <c r="F249" s="608" t="s">
        <v>36</v>
      </c>
      <c r="G249" s="609">
        <v>0.40313520000000003</v>
      </c>
      <c r="H249" s="692">
        <v>1</v>
      </c>
      <c r="I249" s="626"/>
      <c r="J249" s="751"/>
      <c r="K249" s="416"/>
      <c r="L249" s="376" t="s">
        <v>437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989</v>
      </c>
      <c r="C250" s="376" t="s">
        <v>1349</v>
      </c>
      <c r="D250" s="376" t="s">
        <v>441</v>
      </c>
      <c r="E250" s="376" t="s">
        <v>437</v>
      </c>
      <c r="F250" s="608" t="s">
        <v>208</v>
      </c>
      <c r="G250" s="609">
        <v>0.20156760000000001</v>
      </c>
      <c r="H250" s="692">
        <v>1</v>
      </c>
      <c r="I250" s="626"/>
      <c r="J250" s="751"/>
      <c r="K250" s="416"/>
      <c r="L250" s="376" t="s">
        <v>437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989</v>
      </c>
      <c r="C251" s="376" t="s">
        <v>1349</v>
      </c>
      <c r="D251" s="376" t="s">
        <v>441</v>
      </c>
      <c r="E251" s="376" t="s">
        <v>437</v>
      </c>
      <c r="F251" s="608" t="s">
        <v>1365</v>
      </c>
      <c r="G251" s="609">
        <v>0.4</v>
      </c>
      <c r="H251" s="692">
        <v>1</v>
      </c>
      <c r="I251" s="626"/>
      <c r="J251" s="751"/>
      <c r="K251" s="416"/>
      <c r="L251" s="376" t="s">
        <v>437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989</v>
      </c>
      <c r="C252" s="684" t="s">
        <v>1349</v>
      </c>
      <c r="D252" s="684" t="s">
        <v>860</v>
      </c>
      <c r="E252" s="684"/>
      <c r="F252" s="685" t="s">
        <v>1470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989</v>
      </c>
      <c r="C253" s="376" t="s">
        <v>1349</v>
      </c>
      <c r="D253" s="376" t="s">
        <v>860</v>
      </c>
      <c r="E253" s="376" t="s">
        <v>437</v>
      </c>
      <c r="F253" s="608" t="s">
        <v>36</v>
      </c>
      <c r="G253" s="609">
        <v>0.33822359999999996</v>
      </c>
      <c r="H253" s="692">
        <v>1</v>
      </c>
      <c r="I253" s="626"/>
      <c r="J253" s="751"/>
      <c r="K253" s="416"/>
      <c r="L253" s="376" t="s">
        <v>437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989</v>
      </c>
      <c r="C254" s="376" t="s">
        <v>1349</v>
      </c>
      <c r="D254" s="376" t="s">
        <v>860</v>
      </c>
      <c r="E254" s="376" t="s">
        <v>437</v>
      </c>
      <c r="F254" s="608" t="s">
        <v>208</v>
      </c>
      <c r="G254" s="609">
        <v>0.11274119999999999</v>
      </c>
      <c r="H254" s="692">
        <v>1</v>
      </c>
      <c r="I254" s="626"/>
      <c r="J254" s="751"/>
      <c r="K254" s="416"/>
      <c r="L254" s="376" t="s">
        <v>437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989</v>
      </c>
      <c r="C255" s="376" t="s">
        <v>1349</v>
      </c>
      <c r="D255" s="376" t="s">
        <v>860</v>
      </c>
      <c r="E255" s="376" t="s">
        <v>437</v>
      </c>
      <c r="F255" s="608" t="s">
        <v>1365</v>
      </c>
      <c r="G255" s="609">
        <v>0.34</v>
      </c>
      <c r="H255" s="692">
        <v>1</v>
      </c>
      <c r="I255" s="626"/>
      <c r="J255" s="751"/>
      <c r="K255" s="416"/>
      <c r="L255" s="376" t="s">
        <v>437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236</v>
      </c>
      <c r="C256" s="666" t="s">
        <v>1235</v>
      </c>
      <c r="D256" s="667"/>
      <c r="E256" s="665"/>
      <c r="F256" s="681" t="s">
        <v>1004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236</v>
      </c>
      <c r="C257" s="687" t="s">
        <v>1235</v>
      </c>
      <c r="D257" s="684" t="s">
        <v>441</v>
      </c>
      <c r="E257" s="684"/>
      <c r="F257" s="685" t="s">
        <v>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236</v>
      </c>
      <c r="C258" s="387" t="s">
        <v>1235</v>
      </c>
      <c r="D258" s="376" t="s">
        <v>441</v>
      </c>
      <c r="E258" s="376" t="s">
        <v>437</v>
      </c>
      <c r="F258" s="608" t="s">
        <v>36</v>
      </c>
      <c r="G258" s="609">
        <v>1.4917648438935003</v>
      </c>
      <c r="H258" s="692">
        <v>1</v>
      </c>
      <c r="I258" s="626"/>
      <c r="J258" s="751"/>
      <c r="K258" s="416"/>
      <c r="L258" s="376" t="s">
        <v>437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236</v>
      </c>
      <c r="C259" s="387" t="s">
        <v>1235</v>
      </c>
      <c r="D259" s="376" t="s">
        <v>441</v>
      </c>
      <c r="E259" s="376" t="s">
        <v>437</v>
      </c>
      <c r="F259" s="608" t="s">
        <v>208</v>
      </c>
      <c r="G259" s="609">
        <v>0.75</v>
      </c>
      <c r="H259" s="692">
        <v>1</v>
      </c>
      <c r="I259" s="626"/>
      <c r="J259" s="751"/>
      <c r="K259" s="416"/>
      <c r="L259" s="376" t="s">
        <v>437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236</v>
      </c>
      <c r="C260" s="687" t="s">
        <v>1235</v>
      </c>
      <c r="D260" s="684" t="s">
        <v>860</v>
      </c>
      <c r="E260" s="684"/>
      <c r="F260" s="685" t="s">
        <v>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236</v>
      </c>
      <c r="C261" s="387" t="s">
        <v>1235</v>
      </c>
      <c r="D261" s="376" t="s">
        <v>860</v>
      </c>
      <c r="E261" s="376" t="s">
        <v>437</v>
      </c>
      <c r="F261" s="608" t="s">
        <v>36</v>
      </c>
      <c r="G261" s="609">
        <v>1.2515654198767503</v>
      </c>
      <c r="H261" s="769">
        <v>1</v>
      </c>
      <c r="I261" s="626"/>
      <c r="J261" s="751"/>
      <c r="K261" s="416"/>
      <c r="L261" s="376" t="s">
        <v>437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236</v>
      </c>
      <c r="C262" s="387" t="s">
        <v>1235</v>
      </c>
      <c r="D262" s="376" t="s">
        <v>860</v>
      </c>
      <c r="E262" s="376" t="s">
        <v>437</v>
      </c>
      <c r="F262" s="608" t="s">
        <v>208</v>
      </c>
      <c r="G262" s="609">
        <v>0.42</v>
      </c>
      <c r="H262" s="769">
        <v>1</v>
      </c>
      <c r="I262" s="626"/>
      <c r="J262" s="751"/>
      <c r="K262" s="416"/>
      <c r="L262" s="376" t="s">
        <v>437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1471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1307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617</v>
      </c>
      <c r="C8" s="666" t="s">
        <v>1308</v>
      </c>
      <c r="D8" s="667"/>
      <c r="E8" s="665"/>
      <c r="F8" s="681" t="s">
        <v>1004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510</v>
      </c>
      <c r="C9" s="687" t="s">
        <v>1472</v>
      </c>
      <c r="D9" s="684" t="s">
        <v>617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510</v>
      </c>
      <c r="C10" s="803" t="s">
        <v>1472</v>
      </c>
      <c r="D10" s="376" t="s">
        <v>617</v>
      </c>
      <c r="E10" s="376" t="s">
        <v>144</v>
      </c>
      <c r="F10" s="608" t="s">
        <v>1473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510</v>
      </c>
      <c r="C11" s="803" t="s">
        <v>1472</v>
      </c>
      <c r="D11" s="376" t="s">
        <v>617</v>
      </c>
      <c r="E11" s="376" t="s">
        <v>144</v>
      </c>
      <c r="F11" s="608" t="s">
        <v>1474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510</v>
      </c>
      <c r="C12" s="803" t="s">
        <v>1472</v>
      </c>
      <c r="D12" s="376" t="s">
        <v>617</v>
      </c>
      <c r="E12" s="376" t="s">
        <v>144</v>
      </c>
      <c r="F12" s="608" t="s">
        <v>1475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510</v>
      </c>
      <c r="C13" s="803" t="s">
        <v>1472</v>
      </c>
      <c r="D13" s="376" t="s">
        <v>617</v>
      </c>
      <c r="E13" s="376" t="s">
        <v>144</v>
      </c>
      <c r="F13" s="608" t="s">
        <v>1476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1161</v>
      </c>
      <c r="C14" s="687" t="s">
        <v>1309</v>
      </c>
      <c r="D14" s="684" t="s">
        <v>617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1161</v>
      </c>
      <c r="C15" s="803" t="s">
        <v>1309</v>
      </c>
      <c r="D15" s="376" t="s">
        <v>617</v>
      </c>
      <c r="E15" s="376" t="s">
        <v>144</v>
      </c>
      <c r="F15" s="608" t="s">
        <v>1477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1174</v>
      </c>
      <c r="C16" s="687" t="s">
        <v>1309</v>
      </c>
      <c r="D16" s="684" t="s">
        <v>617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1174</v>
      </c>
      <c r="C17" s="387" t="s">
        <v>1309</v>
      </c>
      <c r="D17" s="376" t="s">
        <v>617</v>
      </c>
      <c r="E17" s="376" t="s">
        <v>144</v>
      </c>
      <c r="F17" s="608" t="s">
        <v>1478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1160</v>
      </c>
      <c r="C18" s="687" t="s">
        <v>1309</v>
      </c>
      <c r="D18" s="684" t="s">
        <v>617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1160</v>
      </c>
      <c r="C19" s="387" t="s">
        <v>1309</v>
      </c>
      <c r="D19" s="376" t="s">
        <v>617</v>
      </c>
      <c r="E19" s="376" t="s">
        <v>144</v>
      </c>
      <c r="F19" s="608" t="s">
        <v>241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1479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1307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1480</v>
      </c>
      <c r="C8" s="665" t="s">
        <v>1480</v>
      </c>
      <c r="D8" s="665" t="s">
        <v>617</v>
      </c>
      <c r="E8" s="665"/>
      <c r="F8" s="681" t="s">
        <v>1004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627</v>
      </c>
      <c r="C9" s="687" t="s">
        <v>1481</v>
      </c>
      <c r="D9" s="684" t="s">
        <v>617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627</v>
      </c>
      <c r="C10" s="387" t="s">
        <v>1482</v>
      </c>
      <c r="D10" s="376" t="s">
        <v>617</v>
      </c>
      <c r="E10" s="376" t="s">
        <v>1171</v>
      </c>
      <c r="F10" s="608" t="s">
        <v>1483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627</v>
      </c>
      <c r="C11" s="387" t="s">
        <v>1482</v>
      </c>
      <c r="D11" s="376" t="s">
        <v>617</v>
      </c>
      <c r="E11" s="376" t="s">
        <v>1171</v>
      </c>
      <c r="F11" s="608" t="s">
        <v>1484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627</v>
      </c>
      <c r="C12" s="387" t="s">
        <v>633</v>
      </c>
      <c r="D12" s="376" t="s">
        <v>617</v>
      </c>
      <c r="E12" s="376" t="s">
        <v>1171</v>
      </c>
      <c r="F12" s="608" t="s">
        <v>1485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627</v>
      </c>
      <c r="C13" s="387" t="s">
        <v>1486</v>
      </c>
      <c r="D13" s="376" t="s">
        <v>617</v>
      </c>
      <c r="E13" s="376" t="s">
        <v>1171</v>
      </c>
      <c r="F13" s="608" t="s">
        <v>1487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627</v>
      </c>
      <c r="C14" s="387" t="s">
        <v>1486</v>
      </c>
      <c r="D14" s="376" t="s">
        <v>617</v>
      </c>
      <c r="E14" s="376" t="s">
        <v>1171</v>
      </c>
      <c r="F14" s="608" t="s">
        <v>1488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627</v>
      </c>
      <c r="C15" s="387" t="s">
        <v>1486</v>
      </c>
      <c r="D15" s="376" t="s">
        <v>617</v>
      </c>
      <c r="E15" s="376" t="s">
        <v>1171</v>
      </c>
      <c r="F15" s="608" t="s">
        <v>1489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627</v>
      </c>
      <c r="C16" s="387" t="s">
        <v>1486</v>
      </c>
      <c r="D16" s="376" t="s">
        <v>617</v>
      </c>
      <c r="E16" s="376" t="s">
        <v>1171</v>
      </c>
      <c r="F16" s="608" t="s">
        <v>1490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1172</v>
      </c>
      <c r="C17" s="687" t="s">
        <v>1124</v>
      </c>
      <c r="D17" s="687" t="s">
        <v>617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6.45" outlineLevel="3">
      <c r="B18" s="376" t="s">
        <v>1172</v>
      </c>
      <c r="C18" s="387" t="s">
        <v>1124</v>
      </c>
      <c r="D18" s="376" t="s">
        <v>617</v>
      </c>
      <c r="E18" s="376" t="s">
        <v>1171</v>
      </c>
      <c r="F18" s="608" t="s">
        <v>1491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6.45" outlineLevel="3">
      <c r="B19" s="376" t="s">
        <v>1172</v>
      </c>
      <c r="C19" s="387" t="s">
        <v>1124</v>
      </c>
      <c r="D19" s="376" t="s">
        <v>617</v>
      </c>
      <c r="E19" s="376" t="s">
        <v>1171</v>
      </c>
      <c r="F19" s="608" t="s">
        <v>1492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1172</v>
      </c>
      <c r="C20" s="387" t="s">
        <v>1124</v>
      </c>
      <c r="D20" s="376" t="s">
        <v>617</v>
      </c>
      <c r="E20" s="376" t="s">
        <v>1171</v>
      </c>
      <c r="F20" s="608" t="s">
        <v>1493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1173</v>
      </c>
      <c r="C21" s="687" t="s">
        <v>1124</v>
      </c>
      <c r="D21" s="687" t="s">
        <v>617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1173</v>
      </c>
      <c r="C22" s="387" t="s">
        <v>1124</v>
      </c>
      <c r="D22" s="376" t="s">
        <v>617</v>
      </c>
      <c r="E22" s="376" t="s">
        <v>1171</v>
      </c>
      <c r="F22" s="608" t="s">
        <v>1494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1161</v>
      </c>
      <c r="C23" s="687" t="s">
        <v>1309</v>
      </c>
      <c r="D23" s="687" t="s">
        <v>617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1161</v>
      </c>
      <c r="C24" s="387" t="s">
        <v>331</v>
      </c>
      <c r="D24" s="376" t="s">
        <v>617</v>
      </c>
      <c r="E24" s="376" t="s">
        <v>1171</v>
      </c>
      <c r="F24" s="608" t="s">
        <v>1495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1496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1238</v>
      </c>
      <c r="D8" s="665"/>
      <c r="E8" s="665"/>
      <c r="F8" s="681" t="s">
        <v>1004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1238</v>
      </c>
      <c r="D9" s="684" t="s">
        <v>518</v>
      </c>
      <c r="E9" s="684"/>
      <c r="F9" s="685" t="s">
        <v>1239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.45" outlineLevel="3">
      <c r="A10" s="376"/>
      <c r="B10" s="376" t="s">
        <v>891</v>
      </c>
      <c r="C10" s="376" t="s">
        <v>1240</v>
      </c>
      <c r="D10" s="376" t="s">
        <v>518</v>
      </c>
      <c r="E10" s="376" t="s">
        <v>56</v>
      </c>
      <c r="F10" s="608" t="s">
        <v>1243</v>
      </c>
      <c r="G10" s="609">
        <v>5.2867302539999998E-3</v>
      </c>
      <c r="H10" s="692">
        <v>1</v>
      </c>
      <c r="I10" s="626"/>
      <c r="J10" s="751"/>
      <c r="K10" s="416"/>
      <c r="L10" s="376" t="s">
        <v>56</v>
      </c>
      <c r="M10" s="376" t="s">
        <v>1024</v>
      </c>
      <c r="N10" s="376" t="s">
        <v>1497</v>
      </c>
      <c r="O10" s="376" t="s">
        <v>1498</v>
      </c>
      <c r="P10" s="376" t="s">
        <v>1499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891</v>
      </c>
      <c r="C11" s="376" t="s">
        <v>1195</v>
      </c>
      <c r="D11" s="376" t="s">
        <v>518</v>
      </c>
      <c r="E11" s="376" t="s">
        <v>56</v>
      </c>
      <c r="F11" s="608" t="s">
        <v>1246</v>
      </c>
      <c r="G11" s="609">
        <v>1.0861267500000001E-2</v>
      </c>
      <c r="H11" s="692">
        <v>1</v>
      </c>
      <c r="I11" s="626"/>
      <c r="J11" s="751"/>
      <c r="K11" s="416"/>
      <c r="L11" s="376" t="s">
        <v>56</v>
      </c>
      <c r="M11" s="376" t="s">
        <v>1024</v>
      </c>
      <c r="N11" s="376" t="s">
        <v>1500</v>
      </c>
      <c r="O11" s="376" t="s">
        <v>1501</v>
      </c>
      <c r="P11" s="376" t="s">
        <v>1502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" customHeight="1" outlineLevel="3">
      <c r="A12" s="376"/>
      <c r="B12" s="376" t="s">
        <v>891</v>
      </c>
      <c r="C12" s="376" t="s">
        <v>1195</v>
      </c>
      <c r="D12" s="376" t="s">
        <v>518</v>
      </c>
      <c r="E12" s="376" t="s">
        <v>56</v>
      </c>
      <c r="F12" s="608" t="s">
        <v>1503</v>
      </c>
      <c r="G12" s="609">
        <v>5.2029494639565963E-3</v>
      </c>
      <c r="H12" s="692">
        <v>1</v>
      </c>
      <c r="I12" s="626"/>
      <c r="J12" s="751"/>
      <c r="K12" s="416"/>
      <c r="L12" s="376" t="s">
        <v>56</v>
      </c>
      <c r="M12" s="376" t="s">
        <v>1024</v>
      </c>
      <c r="N12" s="376" t="s">
        <v>1497</v>
      </c>
      <c r="O12" s="376" t="s">
        <v>1498</v>
      </c>
      <c r="P12" s="376" t="s">
        <v>1502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891</v>
      </c>
      <c r="C13" s="665" t="s">
        <v>1247</v>
      </c>
      <c r="D13" s="665"/>
      <c r="E13" s="665"/>
      <c r="F13" s="681" t="s">
        <v>1004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891</v>
      </c>
      <c r="C14" s="684" t="s">
        <v>1247</v>
      </c>
      <c r="D14" s="684" t="s">
        <v>518</v>
      </c>
      <c r="E14" s="684"/>
      <c r="F14" s="685" t="s">
        <v>1390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891</v>
      </c>
      <c r="C15" s="376" t="s">
        <v>1247</v>
      </c>
      <c r="D15" s="376" t="s">
        <v>518</v>
      </c>
      <c r="E15" s="376" t="s">
        <v>56</v>
      </c>
      <c r="F15" s="608" t="s">
        <v>1391</v>
      </c>
      <c r="G15" s="609">
        <v>9.3421603890201377E-2</v>
      </c>
      <c r="H15" s="692">
        <v>1</v>
      </c>
      <c r="I15" s="626"/>
      <c r="J15" s="751"/>
      <c r="K15" s="416"/>
      <c r="L15" s="376" t="s">
        <v>56</v>
      </c>
      <c r="M15" s="376" t="s">
        <v>1024</v>
      </c>
      <c r="N15" s="376" t="s">
        <v>1504</v>
      </c>
      <c r="O15" s="376"/>
      <c r="P15" s="376" t="s">
        <v>1502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6.45" outlineLevel="3">
      <c r="A16" s="376"/>
      <c r="B16" s="376" t="s">
        <v>891</v>
      </c>
      <c r="C16" s="376" t="s">
        <v>1247</v>
      </c>
      <c r="D16" s="376" t="s">
        <v>518</v>
      </c>
      <c r="E16" s="376" t="s">
        <v>56</v>
      </c>
      <c r="F16" s="608" t="s">
        <v>1505</v>
      </c>
      <c r="G16" s="609">
        <v>2.1106865436972901E-2</v>
      </c>
      <c r="H16" s="692">
        <v>1</v>
      </c>
      <c r="I16" s="626"/>
      <c r="J16" s="751"/>
      <c r="K16" s="416"/>
      <c r="L16" s="376" t="s">
        <v>56</v>
      </c>
      <c r="M16" s="376" t="s">
        <v>1024</v>
      </c>
      <c r="N16" s="376" t="s">
        <v>1504</v>
      </c>
      <c r="O16" s="376"/>
      <c r="P16" s="376" t="s">
        <v>1502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891</v>
      </c>
      <c r="C17" s="376" t="s">
        <v>1247</v>
      </c>
      <c r="D17" s="376" t="s">
        <v>518</v>
      </c>
      <c r="E17" s="376" t="s">
        <v>56</v>
      </c>
      <c r="F17" s="608" t="s">
        <v>1506</v>
      </c>
      <c r="G17" s="609">
        <v>3.166029815545935E-2</v>
      </c>
      <c r="H17" s="692">
        <v>1</v>
      </c>
      <c r="I17" s="626"/>
      <c r="J17" s="751"/>
      <c r="K17" s="416"/>
      <c r="L17" s="376" t="s">
        <v>56</v>
      </c>
      <c r="M17" s="376" t="s">
        <v>1024</v>
      </c>
      <c r="N17" s="376" t="s">
        <v>1504</v>
      </c>
      <c r="O17" s="376"/>
      <c r="P17" s="376" t="s">
        <v>1502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6.45" outlineLevel="3">
      <c r="A18" s="376"/>
      <c r="B18" s="376" t="s">
        <v>891</v>
      </c>
      <c r="C18" s="376" t="s">
        <v>1247</v>
      </c>
      <c r="D18" s="376" t="s">
        <v>518</v>
      </c>
      <c r="E18" s="376" t="s">
        <v>56</v>
      </c>
      <c r="F18" s="608" t="s">
        <v>1256</v>
      </c>
      <c r="G18" s="609">
        <v>5.2767163592432253E-3</v>
      </c>
      <c r="H18" s="692">
        <v>1</v>
      </c>
      <c r="I18" s="626"/>
      <c r="J18" s="751"/>
      <c r="K18" s="416"/>
      <c r="L18" s="376" t="s">
        <v>56</v>
      </c>
      <c r="M18" s="376" t="s">
        <v>1024</v>
      </c>
      <c r="N18" s="376" t="s">
        <v>1504</v>
      </c>
      <c r="O18" s="376"/>
      <c r="P18" s="376" t="s">
        <v>1502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6.45" outlineLevel="3">
      <c r="A19" s="376"/>
      <c r="B19" s="376" t="s">
        <v>891</v>
      </c>
      <c r="C19" s="376" t="s">
        <v>1247</v>
      </c>
      <c r="D19" s="376" t="s">
        <v>518</v>
      </c>
      <c r="E19" s="376" t="s">
        <v>56</v>
      </c>
      <c r="F19" s="608" t="s">
        <v>1507</v>
      </c>
      <c r="G19" s="609">
        <v>2.1106865436972901E-2</v>
      </c>
      <c r="H19" s="692">
        <v>1</v>
      </c>
      <c r="I19" s="626"/>
      <c r="J19" s="751"/>
      <c r="K19" s="416"/>
      <c r="L19" s="376" t="s">
        <v>56</v>
      </c>
      <c r="M19" s="376" t="s">
        <v>1024</v>
      </c>
      <c r="N19" s="376" t="s">
        <v>1504</v>
      </c>
      <c r="O19" s="376"/>
      <c r="P19" s="376" t="s">
        <v>1502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891</v>
      </c>
      <c r="C20" s="376" t="s">
        <v>1247</v>
      </c>
      <c r="D20" s="376" t="s">
        <v>518</v>
      </c>
      <c r="E20" s="376" t="s">
        <v>56</v>
      </c>
      <c r="F20" s="608" t="s">
        <v>1508</v>
      </c>
      <c r="G20" s="609">
        <v>3.166029815545935E-2</v>
      </c>
      <c r="H20" s="692">
        <v>1</v>
      </c>
      <c r="I20" s="626"/>
      <c r="J20" s="751"/>
      <c r="K20" s="416"/>
      <c r="L20" s="376" t="s">
        <v>56</v>
      </c>
      <c r="M20" s="376" t="s">
        <v>1024</v>
      </c>
      <c r="N20" s="376" t="s">
        <v>1504</v>
      </c>
      <c r="O20" s="376"/>
      <c r="P20" s="376" t="s">
        <v>1502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6.45" outlineLevel="3">
      <c r="A21" s="376"/>
      <c r="B21" s="376" t="s">
        <v>891</v>
      </c>
      <c r="C21" s="376" t="s">
        <v>1247</v>
      </c>
      <c r="D21" s="376" t="s">
        <v>518</v>
      </c>
      <c r="E21" s="376" t="s">
        <v>56</v>
      </c>
      <c r="F21" s="608" t="s">
        <v>1258</v>
      </c>
      <c r="G21" s="609">
        <v>5.2767163592432253E-3</v>
      </c>
      <c r="H21" s="692">
        <v>1</v>
      </c>
      <c r="I21" s="626"/>
      <c r="J21" s="751"/>
      <c r="K21" s="416"/>
      <c r="L21" s="376" t="s">
        <v>56</v>
      </c>
      <c r="M21" s="376" t="s">
        <v>1024</v>
      </c>
      <c r="N21" s="376" t="s">
        <v>1504</v>
      </c>
      <c r="O21" s="376"/>
      <c r="P21" s="376" t="s">
        <v>1502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6.45" outlineLevel="3">
      <c r="A22" s="376"/>
      <c r="B22" s="376" t="s">
        <v>891</v>
      </c>
      <c r="C22" s="376" t="s">
        <v>1247</v>
      </c>
      <c r="D22" s="376" t="s">
        <v>518</v>
      </c>
      <c r="E22" s="376" t="s">
        <v>56</v>
      </c>
      <c r="F22" s="608" t="s">
        <v>1259</v>
      </c>
      <c r="G22" s="609">
        <v>1E-3</v>
      </c>
      <c r="H22" s="692">
        <v>1</v>
      </c>
      <c r="I22" s="626"/>
      <c r="J22" s="751"/>
      <c r="K22" s="416"/>
      <c r="L22" s="376" t="s">
        <v>56</v>
      </c>
      <c r="M22" s="376" t="s">
        <v>1024</v>
      </c>
      <c r="N22" s="376" t="s">
        <v>1504</v>
      </c>
      <c r="O22" s="376"/>
      <c r="P22" s="376" t="s">
        <v>1502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6.45" outlineLevel="3">
      <c r="A23" s="376"/>
      <c r="B23" s="376" t="s">
        <v>891</v>
      </c>
      <c r="C23" s="376" t="s">
        <v>1247</v>
      </c>
      <c r="D23" s="376" t="s">
        <v>518</v>
      </c>
      <c r="E23" s="376" t="s">
        <v>56</v>
      </c>
      <c r="F23" s="608" t="s">
        <v>1260</v>
      </c>
      <c r="G23" s="609">
        <v>2.3452072707747665E-3</v>
      </c>
      <c r="H23" s="692">
        <v>1</v>
      </c>
      <c r="I23" s="626"/>
      <c r="J23" s="751"/>
      <c r="K23" s="416"/>
      <c r="L23" s="376" t="s">
        <v>56</v>
      </c>
      <c r="M23" s="376" t="s">
        <v>1024</v>
      </c>
      <c r="N23" s="376" t="s">
        <v>1504</v>
      </c>
      <c r="O23" s="376"/>
      <c r="P23" s="376" t="s">
        <v>1502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6.45" outlineLevel="3">
      <c r="A24" s="376"/>
      <c r="B24" s="376" t="s">
        <v>891</v>
      </c>
      <c r="C24" s="376" t="s">
        <v>1247</v>
      </c>
      <c r="D24" s="376" t="s">
        <v>518</v>
      </c>
      <c r="E24" s="376" t="s">
        <v>56</v>
      </c>
      <c r="F24" s="608" t="s">
        <v>1509</v>
      </c>
      <c r="G24" s="609">
        <v>1.4071243624648597E-2</v>
      </c>
      <c r="H24" s="692">
        <v>1</v>
      </c>
      <c r="I24" s="626"/>
      <c r="J24" s="751"/>
      <c r="K24" s="416"/>
      <c r="L24" s="376" t="s">
        <v>56</v>
      </c>
      <c r="M24" s="376" t="s">
        <v>1024</v>
      </c>
      <c r="N24" s="376" t="s">
        <v>1504</v>
      </c>
      <c r="O24" s="376"/>
      <c r="P24" s="376" t="s">
        <v>1502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891</v>
      </c>
      <c r="C25" s="376" t="s">
        <v>1247</v>
      </c>
      <c r="D25" s="376" t="s">
        <v>518</v>
      </c>
      <c r="E25" s="376" t="s">
        <v>56</v>
      </c>
      <c r="F25" s="608" t="s">
        <v>1510</v>
      </c>
      <c r="G25" s="609">
        <v>3.166029815545935E-2</v>
      </c>
      <c r="H25" s="692">
        <v>1</v>
      </c>
      <c r="I25" s="626"/>
      <c r="J25" s="751"/>
      <c r="K25" s="416"/>
      <c r="L25" s="376" t="s">
        <v>56</v>
      </c>
      <c r="M25" s="376" t="s">
        <v>1024</v>
      </c>
      <c r="N25" s="376" t="s">
        <v>1504</v>
      </c>
      <c r="O25" s="376"/>
      <c r="P25" s="376" t="s">
        <v>1502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6.45" outlineLevel="3">
      <c r="A26" s="376"/>
      <c r="B26" s="376" t="s">
        <v>891</v>
      </c>
      <c r="C26" s="376" t="s">
        <v>1247</v>
      </c>
      <c r="D26" s="376" t="s">
        <v>518</v>
      </c>
      <c r="E26" s="376" t="s">
        <v>56</v>
      </c>
      <c r="F26" s="608" t="s">
        <v>1261</v>
      </c>
      <c r="G26" s="609">
        <v>2.3452072707747665E-3</v>
      </c>
      <c r="H26" s="692">
        <v>1</v>
      </c>
      <c r="I26" s="626"/>
      <c r="J26" s="751"/>
      <c r="K26" s="416"/>
      <c r="L26" s="376" t="s">
        <v>56</v>
      </c>
      <c r="M26" s="376" t="s">
        <v>1024</v>
      </c>
      <c r="N26" s="376" t="s">
        <v>1504</v>
      </c>
      <c r="O26" s="376"/>
      <c r="P26" s="376" t="s">
        <v>1502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6.45" outlineLevel="3">
      <c r="A27" s="376"/>
      <c r="B27" s="376" t="s">
        <v>891</v>
      </c>
      <c r="C27" s="376" t="s">
        <v>1247</v>
      </c>
      <c r="D27" s="376" t="s">
        <v>518</v>
      </c>
      <c r="E27" s="376" t="s">
        <v>56</v>
      </c>
      <c r="F27" s="608" t="s">
        <v>1511</v>
      </c>
      <c r="G27" s="609">
        <v>1.4071243624648597E-2</v>
      </c>
      <c r="H27" s="692">
        <v>1</v>
      </c>
      <c r="I27" s="626"/>
      <c r="J27" s="751"/>
      <c r="K27" s="416"/>
      <c r="L27" s="376" t="s">
        <v>56</v>
      </c>
      <c r="M27" s="376" t="s">
        <v>1024</v>
      </c>
      <c r="N27" s="376" t="s">
        <v>1504</v>
      </c>
      <c r="O27" s="376"/>
      <c r="P27" s="376" t="s">
        <v>1502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891</v>
      </c>
      <c r="C28" s="376" t="s">
        <v>1247</v>
      </c>
      <c r="D28" s="376" t="s">
        <v>518</v>
      </c>
      <c r="E28" s="376" t="s">
        <v>56</v>
      </c>
      <c r="F28" s="608" t="s">
        <v>1512</v>
      </c>
      <c r="G28" s="609">
        <v>2.1106865436972894E-2</v>
      </c>
      <c r="H28" s="692">
        <v>1</v>
      </c>
      <c r="I28" s="626"/>
      <c r="J28" s="751"/>
      <c r="K28" s="416"/>
      <c r="L28" s="376" t="s">
        <v>56</v>
      </c>
      <c r="M28" s="376" t="s">
        <v>1024</v>
      </c>
      <c r="N28" s="376" t="s">
        <v>1504</v>
      </c>
      <c r="O28" s="376"/>
      <c r="P28" s="376" t="s">
        <v>1502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6.45" outlineLevel="3">
      <c r="A29" s="376"/>
      <c r="B29" s="376" t="s">
        <v>891</v>
      </c>
      <c r="C29" s="376" t="s">
        <v>1247</v>
      </c>
      <c r="D29" s="376" t="s">
        <v>518</v>
      </c>
      <c r="E29" s="376" t="s">
        <v>56</v>
      </c>
      <c r="F29" s="608" t="s">
        <v>1262</v>
      </c>
      <c r="G29" s="609">
        <v>3.5178109061621493E-3</v>
      </c>
      <c r="H29" s="692">
        <v>1</v>
      </c>
      <c r="I29" s="626"/>
      <c r="J29" s="751"/>
      <c r="K29" s="416"/>
      <c r="L29" s="376" t="s">
        <v>56</v>
      </c>
      <c r="M29" s="376" t="s">
        <v>1024</v>
      </c>
      <c r="N29" s="376" t="s">
        <v>1504</v>
      </c>
      <c r="O29" s="376"/>
      <c r="P29" s="376" t="s">
        <v>1502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891</v>
      </c>
      <c r="C30" s="376" t="s">
        <v>1247</v>
      </c>
      <c r="D30" s="376" t="s">
        <v>518</v>
      </c>
      <c r="E30" s="376" t="s">
        <v>56</v>
      </c>
      <c r="F30" s="608" t="s">
        <v>1264</v>
      </c>
      <c r="G30" s="609">
        <v>0.04</v>
      </c>
      <c r="H30" s="692">
        <v>1</v>
      </c>
      <c r="I30" s="626"/>
      <c r="J30" s="751"/>
      <c r="K30" s="416"/>
      <c r="L30" s="376" t="s">
        <v>56</v>
      </c>
      <c r="M30" s="376" t="s">
        <v>1024</v>
      </c>
      <c r="N30" s="376" t="s">
        <v>1504</v>
      </c>
      <c r="O30" s="376"/>
      <c r="P30" s="376" t="s">
        <v>1502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893</v>
      </c>
      <c r="C31" s="666" t="s">
        <v>1351</v>
      </c>
      <c r="D31" s="666"/>
      <c r="E31" s="666"/>
      <c r="F31" s="681" t="s">
        <v>1004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6.45" outlineLevel="2">
      <c r="A32" s="376"/>
      <c r="B32" s="684" t="s">
        <v>893</v>
      </c>
      <c r="C32" s="684" t="s">
        <v>1351</v>
      </c>
      <c r="D32" s="684" t="s">
        <v>518</v>
      </c>
      <c r="E32" s="684"/>
      <c r="F32" s="685" t="s">
        <v>1513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893</v>
      </c>
      <c r="C33" s="376" t="s">
        <v>1351</v>
      </c>
      <c r="D33" s="376" t="s">
        <v>518</v>
      </c>
      <c r="E33" s="376" t="s">
        <v>56</v>
      </c>
      <c r="F33" s="608" t="s">
        <v>1514</v>
      </c>
      <c r="G33" s="609">
        <v>0.25822711064277509</v>
      </c>
      <c r="H33" s="692">
        <v>1</v>
      </c>
      <c r="I33" s="626"/>
      <c r="J33" s="751"/>
      <c r="K33" s="416"/>
      <c r="L33" s="376" t="s">
        <v>56</v>
      </c>
      <c r="M33" s="376" t="s">
        <v>1515</v>
      </c>
      <c r="N33" s="376" t="s">
        <v>1516</v>
      </c>
      <c r="O33" s="376" t="s">
        <v>1517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893</v>
      </c>
      <c r="C34" s="376" t="s">
        <v>1351</v>
      </c>
      <c r="D34" s="376" t="s">
        <v>518</v>
      </c>
      <c r="E34" s="376" t="s">
        <v>56</v>
      </c>
      <c r="F34" s="608" t="s">
        <v>1518</v>
      </c>
      <c r="G34" s="609">
        <v>0.25822711064277509</v>
      </c>
      <c r="H34" s="692">
        <v>1</v>
      </c>
      <c r="I34" s="626"/>
      <c r="J34" s="751"/>
      <c r="K34" s="416"/>
      <c r="L34" s="376" t="s">
        <v>56</v>
      </c>
      <c r="M34" s="376" t="s">
        <v>1515</v>
      </c>
      <c r="N34" s="376" t="s">
        <v>1516</v>
      </c>
      <c r="O34" s="376" t="s">
        <v>1517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893</v>
      </c>
      <c r="C35" s="376" t="s">
        <v>1351</v>
      </c>
      <c r="D35" s="376" t="s">
        <v>518</v>
      </c>
      <c r="E35" s="376" t="s">
        <v>56</v>
      </c>
      <c r="F35" s="608" t="s">
        <v>1519</v>
      </c>
      <c r="G35" s="609">
        <v>0.25822711064277509</v>
      </c>
      <c r="H35" s="692">
        <v>1</v>
      </c>
      <c r="I35" s="626"/>
      <c r="J35" s="751"/>
      <c r="K35" s="416"/>
      <c r="L35" s="376" t="s">
        <v>56</v>
      </c>
      <c r="M35" s="376" t="s">
        <v>1515</v>
      </c>
      <c r="N35" s="376" t="s">
        <v>1516</v>
      </c>
      <c r="O35" s="376" t="s">
        <v>1517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893</v>
      </c>
      <c r="C36" s="376" t="s">
        <v>1351</v>
      </c>
      <c r="D36" s="376" t="s">
        <v>518</v>
      </c>
      <c r="E36" s="376" t="s">
        <v>56</v>
      </c>
      <c r="F36" s="608" t="s">
        <v>75</v>
      </c>
      <c r="G36" s="609">
        <v>1.4486092893899998E-2</v>
      </c>
      <c r="H36" s="692">
        <v>1</v>
      </c>
      <c r="I36" s="626"/>
      <c r="J36" s="751"/>
      <c r="K36" s="416"/>
      <c r="L36" s="376" t="s">
        <v>56</v>
      </c>
      <c r="M36" s="376" t="s">
        <v>1515</v>
      </c>
      <c r="N36" s="376" t="s">
        <v>1520</v>
      </c>
      <c r="O36" s="376" t="s">
        <v>1521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893</v>
      </c>
      <c r="C37" s="376" t="s">
        <v>1351</v>
      </c>
      <c r="D37" s="376" t="s">
        <v>518</v>
      </c>
      <c r="E37" s="376" t="s">
        <v>56</v>
      </c>
      <c r="F37" s="608" t="s">
        <v>1246</v>
      </c>
      <c r="G37" s="609">
        <v>1.2071744078249999E-2</v>
      </c>
      <c r="H37" s="692">
        <v>1</v>
      </c>
      <c r="I37" s="626"/>
      <c r="J37" s="751"/>
      <c r="K37" s="416"/>
      <c r="L37" s="376" t="s">
        <v>56</v>
      </c>
      <c r="M37" s="376" t="s">
        <v>1515</v>
      </c>
      <c r="N37" s="376" t="s">
        <v>1522</v>
      </c>
      <c r="O37" s="376" t="s">
        <v>1523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894</v>
      </c>
      <c r="C38" s="666" t="s">
        <v>1265</v>
      </c>
      <c r="D38" s="666"/>
      <c r="E38" s="666"/>
      <c r="F38" s="681" t="s">
        <v>1004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894</v>
      </c>
      <c r="C39" s="684" t="s">
        <v>1265</v>
      </c>
      <c r="D39" s="684" t="s">
        <v>518</v>
      </c>
      <c r="E39" s="684"/>
      <c r="F39" s="712" t="s">
        <v>1179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894</v>
      </c>
      <c r="C40" s="376" t="s">
        <v>1265</v>
      </c>
      <c r="D40" s="376" t="s">
        <v>518</v>
      </c>
      <c r="E40" s="376" t="s">
        <v>56</v>
      </c>
      <c r="F40" s="623" t="s">
        <v>1304</v>
      </c>
      <c r="G40" s="723">
        <v>0.19</v>
      </c>
      <c r="H40" s="692">
        <v>1</v>
      </c>
      <c r="I40" s="626"/>
      <c r="J40" s="751"/>
      <c r="K40" s="416"/>
      <c r="L40" s="376" t="s">
        <v>56</v>
      </c>
      <c r="M40" s="376" t="s">
        <v>1524</v>
      </c>
      <c r="N40" s="376" t="s">
        <v>1525</v>
      </c>
      <c r="O40" s="376"/>
      <c r="P40" s="376" t="s">
        <v>1526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894</v>
      </c>
      <c r="C41" s="376" t="s">
        <v>1265</v>
      </c>
      <c r="D41" s="376" t="s">
        <v>518</v>
      </c>
      <c r="E41" s="376" t="s">
        <v>56</v>
      </c>
      <c r="F41" s="623" t="s">
        <v>1301</v>
      </c>
      <c r="G41" s="723">
        <v>0.16</v>
      </c>
      <c r="H41" s="692">
        <v>1</v>
      </c>
      <c r="I41" s="626"/>
      <c r="J41" s="751"/>
      <c r="K41" s="416"/>
      <c r="L41" s="376" t="s">
        <v>56</v>
      </c>
      <c r="M41" s="376" t="s">
        <v>1524</v>
      </c>
      <c r="N41" s="376" t="s">
        <v>1525</v>
      </c>
      <c r="O41" s="376"/>
      <c r="P41" s="376" t="s">
        <v>1526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894</v>
      </c>
      <c r="C42" s="376" t="s">
        <v>1265</v>
      </c>
      <c r="D42" s="376" t="s">
        <v>518</v>
      </c>
      <c r="E42" s="376" t="s">
        <v>56</v>
      </c>
      <c r="F42" s="623" t="s">
        <v>1404</v>
      </c>
      <c r="G42" s="723">
        <v>0.01</v>
      </c>
      <c r="H42" s="692">
        <v>1</v>
      </c>
      <c r="I42" s="626"/>
      <c r="J42" s="751"/>
      <c r="K42" s="416"/>
      <c r="L42" s="376" t="s">
        <v>56</v>
      </c>
      <c r="M42" s="376" t="s">
        <v>1524</v>
      </c>
      <c r="N42" s="376" t="s">
        <v>1525</v>
      </c>
      <c r="O42" s="376" t="s">
        <v>1527</v>
      </c>
      <c r="P42" s="376" t="s">
        <v>1526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469</v>
      </c>
      <c r="C43" s="666" t="s">
        <v>1281</v>
      </c>
      <c r="D43" s="666"/>
      <c r="E43" s="666"/>
      <c r="F43" s="681" t="s">
        <v>1004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469</v>
      </c>
      <c r="C44" s="684" t="s">
        <v>1281</v>
      </c>
      <c r="D44" s="684" t="s">
        <v>518</v>
      </c>
      <c r="E44" s="684"/>
      <c r="F44" s="712" t="s">
        <v>1179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469</v>
      </c>
      <c r="C45" s="376" t="s">
        <v>1281</v>
      </c>
      <c r="D45" s="376" t="s">
        <v>518</v>
      </c>
      <c r="E45" s="376" t="s">
        <v>56</v>
      </c>
      <c r="F45" s="623" t="s">
        <v>1407</v>
      </c>
      <c r="G45" s="723">
        <v>0.2</v>
      </c>
      <c r="H45" s="692">
        <v>1</v>
      </c>
      <c r="I45" s="626"/>
      <c r="J45" s="751"/>
      <c r="K45" s="416"/>
      <c r="L45" s="376" t="s">
        <v>56</v>
      </c>
      <c r="M45" s="376" t="s">
        <v>1524</v>
      </c>
      <c r="N45" s="376" t="s">
        <v>1528</v>
      </c>
      <c r="O45" s="376" t="s">
        <v>1525</v>
      </c>
      <c r="P45" s="376" t="s">
        <v>1526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469</v>
      </c>
      <c r="C46" s="376" t="s">
        <v>1281</v>
      </c>
      <c r="D46" s="376" t="s">
        <v>518</v>
      </c>
      <c r="E46" s="376" t="s">
        <v>56</v>
      </c>
      <c r="F46" s="623" t="s">
        <v>1410</v>
      </c>
      <c r="G46" s="723">
        <v>0.4</v>
      </c>
      <c r="H46" s="692">
        <v>1</v>
      </c>
      <c r="I46" s="626"/>
      <c r="J46" s="751"/>
      <c r="K46" s="416"/>
      <c r="L46" s="376" t="s">
        <v>56</v>
      </c>
      <c r="M46" s="376" t="s">
        <v>1524</v>
      </c>
      <c r="N46" s="376" t="s">
        <v>1528</v>
      </c>
      <c r="O46" s="376" t="s">
        <v>1525</v>
      </c>
      <c r="P46" s="376" t="s">
        <v>1526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469</v>
      </c>
      <c r="C47" s="376" t="s">
        <v>1281</v>
      </c>
      <c r="D47" s="376" t="s">
        <v>518</v>
      </c>
      <c r="E47" s="376" t="s">
        <v>56</v>
      </c>
      <c r="F47" s="623" t="s">
        <v>1529</v>
      </c>
      <c r="G47" s="723">
        <v>0.32</v>
      </c>
      <c r="H47" s="692">
        <v>1</v>
      </c>
      <c r="I47" s="626"/>
      <c r="J47" s="751"/>
      <c r="K47" s="416"/>
      <c r="L47" s="376" t="s">
        <v>56</v>
      </c>
      <c r="M47" s="376" t="s">
        <v>1524</v>
      </c>
      <c r="N47" s="376" t="s">
        <v>1530</v>
      </c>
      <c r="O47" s="376" t="s">
        <v>953</v>
      </c>
      <c r="P47" s="376" t="s">
        <v>1526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469</v>
      </c>
      <c r="C48" s="376" t="s">
        <v>1281</v>
      </c>
      <c r="D48" s="376" t="s">
        <v>518</v>
      </c>
      <c r="E48" s="376" t="s">
        <v>56</v>
      </c>
      <c r="F48" s="623" t="s">
        <v>1531</v>
      </c>
      <c r="G48" s="723">
        <v>0.32</v>
      </c>
      <c r="H48" s="692">
        <v>1</v>
      </c>
      <c r="I48" s="626"/>
      <c r="J48" s="751"/>
      <c r="K48" s="416"/>
      <c r="L48" s="376" t="s">
        <v>56</v>
      </c>
      <c r="M48" s="376" t="s">
        <v>1524</v>
      </c>
      <c r="N48" s="376" t="s">
        <v>1530</v>
      </c>
      <c r="O48" s="376" t="s">
        <v>953</v>
      </c>
      <c r="P48" s="376" t="s">
        <v>1526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469</v>
      </c>
      <c r="C49" s="376" t="s">
        <v>1281</v>
      </c>
      <c r="D49" s="376" t="s">
        <v>518</v>
      </c>
      <c r="E49" s="376" t="s">
        <v>56</v>
      </c>
      <c r="F49" s="623" t="s">
        <v>1532</v>
      </c>
      <c r="G49" s="723">
        <v>0.43</v>
      </c>
      <c r="H49" s="692">
        <v>1</v>
      </c>
      <c r="I49" s="626"/>
      <c r="J49" s="751"/>
      <c r="K49" s="416"/>
      <c r="L49" s="376" t="s">
        <v>56</v>
      </c>
      <c r="M49" s="376" t="s">
        <v>1524</v>
      </c>
      <c r="N49" s="376" t="s">
        <v>1530</v>
      </c>
      <c r="O49" s="376" t="s">
        <v>1525</v>
      </c>
      <c r="P49" s="376" t="s">
        <v>1533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469</v>
      </c>
      <c r="C50" s="376" t="s">
        <v>1281</v>
      </c>
      <c r="D50" s="376" t="s">
        <v>518</v>
      </c>
      <c r="E50" s="376" t="s">
        <v>56</v>
      </c>
      <c r="F50" s="623" t="s">
        <v>1304</v>
      </c>
      <c r="G50" s="723">
        <v>0.02</v>
      </c>
      <c r="H50" s="692">
        <v>1</v>
      </c>
      <c r="I50" s="626"/>
      <c r="J50" s="751"/>
      <c r="K50" s="416"/>
      <c r="L50" s="376" t="s">
        <v>56</v>
      </c>
      <c r="M50" s="376" t="s">
        <v>1524</v>
      </c>
      <c r="N50" s="376" t="s">
        <v>1525</v>
      </c>
      <c r="O50" s="376" t="s">
        <v>953</v>
      </c>
      <c r="P50" s="376" t="s">
        <v>1533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469</v>
      </c>
      <c r="C51" s="376" t="s">
        <v>1281</v>
      </c>
      <c r="D51" s="376" t="s">
        <v>518</v>
      </c>
      <c r="E51" s="376" t="s">
        <v>56</v>
      </c>
      <c r="F51" s="623" t="s">
        <v>1301</v>
      </c>
      <c r="G51" s="723">
        <v>0.01</v>
      </c>
      <c r="H51" s="692">
        <v>1</v>
      </c>
      <c r="I51" s="626"/>
      <c r="J51" s="751"/>
      <c r="K51" s="416"/>
      <c r="L51" s="376" t="s">
        <v>56</v>
      </c>
      <c r="M51" s="376" t="s">
        <v>1524</v>
      </c>
      <c r="N51" s="376" t="s">
        <v>1525</v>
      </c>
      <c r="O51" s="376" t="s">
        <v>953</v>
      </c>
      <c r="P51" s="376" t="s">
        <v>1533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897</v>
      </c>
      <c r="C52" s="665" t="s">
        <v>1201</v>
      </c>
      <c r="D52" s="665"/>
      <c r="E52" s="665"/>
      <c r="F52" s="681" t="s">
        <v>1004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1213</v>
      </c>
      <c r="O52" s="665" t="s">
        <v>1418</v>
      </c>
      <c r="P52" s="665" t="s">
        <v>1419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897</v>
      </c>
      <c r="C53" s="684" t="s">
        <v>1201</v>
      </c>
      <c r="D53" s="684" t="s">
        <v>518</v>
      </c>
      <c r="E53" s="684"/>
      <c r="F53" s="685" t="s">
        <v>1179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6.45" outlineLevel="3">
      <c r="A54" s="376"/>
      <c r="B54" s="376" t="s">
        <v>897</v>
      </c>
      <c r="C54" s="376" t="s">
        <v>1201</v>
      </c>
      <c r="D54" s="376" t="s">
        <v>518</v>
      </c>
      <c r="E54" s="376" t="s">
        <v>56</v>
      </c>
      <c r="F54" s="608" t="s">
        <v>1534</v>
      </c>
      <c r="G54" s="609">
        <v>1.1911781127994301E-2</v>
      </c>
      <c r="H54" s="692">
        <v>1</v>
      </c>
      <c r="I54" s="626"/>
      <c r="J54" s="751"/>
      <c r="K54" s="416"/>
      <c r="L54" s="376" t="s">
        <v>56</v>
      </c>
      <c r="M54" s="376" t="s">
        <v>1024</v>
      </c>
      <c r="N54" s="376" t="s">
        <v>1043</v>
      </c>
      <c r="O54" s="376"/>
      <c r="P54" s="376" t="s">
        <v>1026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897</v>
      </c>
      <c r="C55" s="376" t="s">
        <v>1201</v>
      </c>
      <c r="D55" s="376" t="s">
        <v>518</v>
      </c>
      <c r="E55" s="376" t="s">
        <v>56</v>
      </c>
      <c r="F55" s="608" t="s">
        <v>1535</v>
      </c>
      <c r="G55" s="609">
        <v>1.1911781127994301E-2</v>
      </c>
      <c r="H55" s="692">
        <v>1</v>
      </c>
      <c r="I55" s="626"/>
      <c r="J55" s="751"/>
      <c r="K55" s="416"/>
      <c r="L55" s="376" t="s">
        <v>56</v>
      </c>
      <c r="M55" s="376" t="s">
        <v>1024</v>
      </c>
      <c r="N55" s="376" t="s">
        <v>1043</v>
      </c>
      <c r="O55" s="376"/>
      <c r="P55" s="376" t="s">
        <v>1026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899</v>
      </c>
      <c r="C56" s="665" t="s">
        <v>1178</v>
      </c>
      <c r="D56" s="665"/>
      <c r="E56" s="665"/>
      <c r="F56" s="681" t="s">
        <v>1004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899</v>
      </c>
      <c r="C57" s="684" t="s">
        <v>1178</v>
      </c>
      <c r="D57" s="684" t="s">
        <v>518</v>
      </c>
      <c r="E57" s="684"/>
      <c r="F57" s="685" t="s">
        <v>1179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899</v>
      </c>
      <c r="C58" s="376" t="s">
        <v>1178</v>
      </c>
      <c r="D58" s="376" t="s">
        <v>518</v>
      </c>
      <c r="E58" s="376" t="s">
        <v>56</v>
      </c>
      <c r="F58" s="608" t="s">
        <v>1536</v>
      </c>
      <c r="G58" s="609">
        <v>0.09</v>
      </c>
      <c r="H58" s="692">
        <v>1</v>
      </c>
      <c r="I58" s="626"/>
      <c r="J58" s="751"/>
      <c r="K58" s="416"/>
      <c r="L58" s="376" t="s">
        <v>56</v>
      </c>
      <c r="M58" s="376" t="s">
        <v>1024</v>
      </c>
      <c r="N58" s="376" t="s">
        <v>1421</v>
      </c>
      <c r="O58" s="376"/>
      <c r="P58" s="376" t="s">
        <v>1422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899</v>
      </c>
      <c r="C59" s="376" t="s">
        <v>1178</v>
      </c>
      <c r="D59" s="376" t="s">
        <v>518</v>
      </c>
      <c r="E59" s="376" t="s">
        <v>56</v>
      </c>
      <c r="F59" s="608" t="s">
        <v>1537</v>
      </c>
      <c r="G59" s="609">
        <v>0.09</v>
      </c>
      <c r="H59" s="692">
        <v>1</v>
      </c>
      <c r="I59" s="626"/>
      <c r="J59" s="751"/>
      <c r="K59" s="416"/>
      <c r="L59" s="376" t="s">
        <v>56</v>
      </c>
      <c r="M59" s="376" t="s">
        <v>1024</v>
      </c>
      <c r="N59" s="376" t="s">
        <v>1421</v>
      </c>
      <c r="O59" s="376"/>
      <c r="P59" s="376" t="s">
        <v>1422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899</v>
      </c>
      <c r="C60" s="376" t="s">
        <v>1178</v>
      </c>
      <c r="D60" s="376" t="s">
        <v>518</v>
      </c>
      <c r="E60" s="376" t="s">
        <v>56</v>
      </c>
      <c r="F60" s="608" t="s">
        <v>1538</v>
      </c>
      <c r="G60" s="609">
        <v>0.09</v>
      </c>
      <c r="H60" s="692">
        <v>1</v>
      </c>
      <c r="I60" s="626"/>
      <c r="J60" s="751"/>
      <c r="K60" s="416"/>
      <c r="L60" s="376" t="s">
        <v>56</v>
      </c>
      <c r="M60" s="376" t="s">
        <v>1024</v>
      </c>
      <c r="N60" s="376" t="s">
        <v>1421</v>
      </c>
      <c r="O60" s="376"/>
      <c r="P60" s="376" t="s">
        <v>1422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899</v>
      </c>
      <c r="C61" s="376" t="s">
        <v>1178</v>
      </c>
      <c r="D61" s="376" t="s">
        <v>518</v>
      </c>
      <c r="E61" s="376" t="s">
        <v>56</v>
      </c>
      <c r="F61" s="608" t="s">
        <v>1539</v>
      </c>
      <c r="G61" s="609">
        <v>0.18</v>
      </c>
      <c r="H61" s="692">
        <v>1</v>
      </c>
      <c r="I61" s="626"/>
      <c r="J61" s="751"/>
      <c r="K61" s="416"/>
      <c r="L61" s="376" t="s">
        <v>56</v>
      </c>
      <c r="M61" s="376" t="s">
        <v>1024</v>
      </c>
      <c r="N61" s="376" t="s">
        <v>1540</v>
      </c>
      <c r="O61" s="376"/>
      <c r="P61" s="376" t="s">
        <v>1422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899</v>
      </c>
      <c r="C62" s="376" t="s">
        <v>1178</v>
      </c>
      <c r="D62" s="376" t="s">
        <v>518</v>
      </c>
      <c r="E62" s="376" t="s">
        <v>56</v>
      </c>
      <c r="F62" s="608" t="s">
        <v>1541</v>
      </c>
      <c r="G62" s="609">
        <v>0.13</v>
      </c>
      <c r="H62" s="692">
        <v>1</v>
      </c>
      <c r="I62" s="626"/>
      <c r="J62" s="751"/>
      <c r="K62" s="416"/>
      <c r="L62" s="376" t="s">
        <v>56</v>
      </c>
      <c r="M62" s="376" t="s">
        <v>1024</v>
      </c>
      <c r="N62" s="376" t="s">
        <v>1540</v>
      </c>
      <c r="O62" s="376"/>
      <c r="P62" s="376" t="s">
        <v>1422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899</v>
      </c>
      <c r="C63" s="376" t="s">
        <v>1178</v>
      </c>
      <c r="D63" s="376" t="s">
        <v>518</v>
      </c>
      <c r="E63" s="376" t="s">
        <v>56</v>
      </c>
      <c r="F63" s="608" t="s">
        <v>1542</v>
      </c>
      <c r="G63" s="609">
        <v>0.13</v>
      </c>
      <c r="H63" s="692">
        <v>1</v>
      </c>
      <c r="I63" s="626"/>
      <c r="J63" s="751"/>
      <c r="K63" s="416"/>
      <c r="L63" s="376" t="s">
        <v>56</v>
      </c>
      <c r="M63" s="376" t="s">
        <v>1024</v>
      </c>
      <c r="N63" s="376" t="s">
        <v>1540</v>
      </c>
      <c r="O63" s="376"/>
      <c r="P63" s="376" t="s">
        <v>1422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899</v>
      </c>
      <c r="C64" s="376" t="s">
        <v>1178</v>
      </c>
      <c r="D64" s="376" t="s">
        <v>518</v>
      </c>
      <c r="E64" s="376" t="s">
        <v>56</v>
      </c>
      <c r="F64" s="608" t="s">
        <v>1191</v>
      </c>
      <c r="G64" s="609">
        <v>0</v>
      </c>
      <c r="H64" s="692">
        <v>1</v>
      </c>
      <c r="I64" s="626"/>
      <c r="J64" s="751"/>
      <c r="K64" s="416"/>
      <c r="L64" s="376" t="s">
        <v>56</v>
      </c>
      <c r="M64" s="376" t="s">
        <v>1024</v>
      </c>
      <c r="N64" s="376" t="s">
        <v>1540</v>
      </c>
      <c r="O64" s="376"/>
      <c r="P64" s="376" t="s">
        <v>1422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899</v>
      </c>
      <c r="C65" s="376" t="s">
        <v>1178</v>
      </c>
      <c r="D65" s="376" t="s">
        <v>518</v>
      </c>
      <c r="E65" s="376" t="s">
        <v>56</v>
      </c>
      <c r="F65" s="608" t="s">
        <v>1192</v>
      </c>
      <c r="G65" s="609">
        <v>0</v>
      </c>
      <c r="H65" s="692">
        <v>1</v>
      </c>
      <c r="I65" s="626"/>
      <c r="J65" s="751"/>
      <c r="K65" s="416"/>
      <c r="L65" s="376" t="s">
        <v>56</v>
      </c>
      <c r="M65" s="376" t="s">
        <v>1024</v>
      </c>
      <c r="N65" s="376" t="s">
        <v>1540</v>
      </c>
      <c r="O65" s="376"/>
      <c r="P65" s="376" t="s">
        <v>1422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946</v>
      </c>
      <c r="C66" s="666" t="s">
        <v>1195</v>
      </c>
      <c r="D66" s="666"/>
      <c r="E66" s="666"/>
      <c r="F66" s="681" t="s">
        <v>1004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6.45" outlineLevel="2">
      <c r="A67" s="376"/>
      <c r="B67" s="684" t="s">
        <v>946</v>
      </c>
      <c r="C67" s="684" t="s">
        <v>1195</v>
      </c>
      <c r="D67" s="684" t="s">
        <v>518</v>
      </c>
      <c r="E67" s="684"/>
      <c r="F67" s="685" t="s">
        <v>1196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946</v>
      </c>
      <c r="C68" s="376" t="s">
        <v>1195</v>
      </c>
      <c r="D68" s="376" t="s">
        <v>518</v>
      </c>
      <c r="E68" s="376" t="s">
        <v>56</v>
      </c>
      <c r="F68" s="608" t="s">
        <v>1197</v>
      </c>
      <c r="G68" s="609">
        <v>0.11799571852507491</v>
      </c>
      <c r="H68" s="692">
        <v>1</v>
      </c>
      <c r="I68" s="626"/>
      <c r="J68" s="751"/>
      <c r="K68" s="416"/>
      <c r="L68" s="376" t="s">
        <v>56</v>
      </c>
      <c r="M68" s="376" t="s">
        <v>1024</v>
      </c>
      <c r="N68" s="376" t="s">
        <v>1043</v>
      </c>
      <c r="O68" s="376"/>
      <c r="P68" s="376" t="s">
        <v>1543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946</v>
      </c>
      <c r="C69" s="376" t="s">
        <v>1195</v>
      </c>
      <c r="D69" s="376" t="s">
        <v>518</v>
      </c>
      <c r="E69" s="376" t="s">
        <v>56</v>
      </c>
      <c r="F69" s="608" t="s">
        <v>1199</v>
      </c>
      <c r="G69" s="609">
        <v>0.11799571852507491</v>
      </c>
      <c r="H69" s="692">
        <v>1</v>
      </c>
      <c r="I69" s="626"/>
      <c r="J69" s="751"/>
      <c r="K69" s="416"/>
      <c r="L69" s="376" t="s">
        <v>56</v>
      </c>
      <c r="M69" s="376" t="s">
        <v>1024</v>
      </c>
      <c r="N69" s="376" t="s">
        <v>1043</v>
      </c>
      <c r="O69" s="376"/>
      <c r="P69" s="376" t="s">
        <v>1543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946</v>
      </c>
      <c r="C70" s="376" t="s">
        <v>1195</v>
      </c>
      <c r="D70" s="376" t="s">
        <v>518</v>
      </c>
      <c r="E70" s="376" t="s">
        <v>56</v>
      </c>
      <c r="F70" s="608" t="s">
        <v>1544</v>
      </c>
      <c r="G70" s="609">
        <v>9.7617811500000009E-3</v>
      </c>
      <c r="H70" s="692">
        <v>1</v>
      </c>
      <c r="I70" s="626"/>
      <c r="J70" s="751"/>
      <c r="K70" s="416"/>
      <c r="L70" s="376" t="s">
        <v>56</v>
      </c>
      <c r="M70" s="376"/>
      <c r="N70" s="376" t="s">
        <v>1545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946</v>
      </c>
      <c r="C71" s="376" t="s">
        <v>1195</v>
      </c>
      <c r="D71" s="376" t="s">
        <v>518</v>
      </c>
      <c r="E71" s="376" t="s">
        <v>56</v>
      </c>
      <c r="F71" s="608" t="s">
        <v>1200</v>
      </c>
      <c r="G71" s="609">
        <v>3.9047124600000004E-2</v>
      </c>
      <c r="H71" s="692">
        <v>1</v>
      </c>
      <c r="I71" s="626"/>
      <c r="J71" s="751"/>
      <c r="K71" s="416"/>
      <c r="L71" s="376" t="s">
        <v>56</v>
      </c>
      <c r="M71" s="376"/>
      <c r="N71" s="376" t="s">
        <v>1545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901</v>
      </c>
      <c r="C72" s="665" t="s">
        <v>1201</v>
      </c>
      <c r="D72" s="665"/>
      <c r="E72" s="665"/>
      <c r="F72" s="681" t="s">
        <v>1004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901</v>
      </c>
      <c r="C73" s="684" t="s">
        <v>1201</v>
      </c>
      <c r="D73" s="684" t="s">
        <v>518</v>
      </c>
      <c r="E73" s="684"/>
      <c r="F73" s="685" t="s">
        <v>1179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901</v>
      </c>
      <c r="C74" s="376" t="s">
        <v>1201</v>
      </c>
      <c r="D74" s="376" t="s">
        <v>518</v>
      </c>
      <c r="E74" s="376" t="s">
        <v>56</v>
      </c>
      <c r="F74" s="608" t="s">
        <v>1546</v>
      </c>
      <c r="G74" s="609">
        <v>0.17</v>
      </c>
      <c r="H74" s="692">
        <v>1</v>
      </c>
      <c r="I74" s="626"/>
      <c r="J74" s="751"/>
      <c r="K74" s="416"/>
      <c r="L74" s="376" t="s">
        <v>56</v>
      </c>
      <c r="M74" s="376" t="s">
        <v>1024</v>
      </c>
      <c r="N74" s="376" t="s">
        <v>1547</v>
      </c>
      <c r="O74" s="376"/>
      <c r="P74" s="376" t="s">
        <v>1548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901</v>
      </c>
      <c r="C75" s="376" t="s">
        <v>1201</v>
      </c>
      <c r="D75" s="376" t="s">
        <v>518</v>
      </c>
      <c r="E75" s="376" t="s">
        <v>56</v>
      </c>
      <c r="F75" s="608" t="s">
        <v>1191</v>
      </c>
      <c r="G75" s="609">
        <v>0.03</v>
      </c>
      <c r="H75" s="692">
        <v>1</v>
      </c>
      <c r="I75" s="626"/>
      <c r="J75" s="751"/>
      <c r="K75" s="416"/>
      <c r="L75" s="376" t="s">
        <v>56</v>
      </c>
      <c r="M75" s="376" t="s">
        <v>1024</v>
      </c>
      <c r="N75" s="376" t="s">
        <v>1547</v>
      </c>
      <c r="O75" s="376"/>
      <c r="P75" s="376" t="s">
        <v>1548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901</v>
      </c>
      <c r="C76" s="376" t="s">
        <v>1201</v>
      </c>
      <c r="D76" s="376" t="s">
        <v>518</v>
      </c>
      <c r="E76" s="376" t="s">
        <v>56</v>
      </c>
      <c r="F76" s="608" t="s">
        <v>1192</v>
      </c>
      <c r="G76" s="609">
        <v>0.03</v>
      </c>
      <c r="H76" s="692">
        <v>1</v>
      </c>
      <c r="I76" s="626"/>
      <c r="J76" s="751"/>
      <c r="K76" s="416"/>
      <c r="L76" s="376" t="s">
        <v>56</v>
      </c>
      <c r="M76" s="376" t="s">
        <v>1024</v>
      </c>
      <c r="N76" s="376" t="s">
        <v>1547</v>
      </c>
      <c r="O76" s="376"/>
      <c r="P76" s="376" t="s">
        <v>1548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6.45" outlineLevel="3">
      <c r="A77" s="376"/>
      <c r="B77" s="376" t="s">
        <v>901</v>
      </c>
      <c r="C77" s="376" t="s">
        <v>1201</v>
      </c>
      <c r="D77" s="376" t="s">
        <v>518</v>
      </c>
      <c r="E77" s="376" t="s">
        <v>56</v>
      </c>
      <c r="F77" s="608" t="s">
        <v>1549</v>
      </c>
      <c r="G77" s="609">
        <v>7.0000000000000007E-2</v>
      </c>
      <c r="H77" s="692">
        <v>1</v>
      </c>
      <c r="I77" s="626"/>
      <c r="J77" s="751"/>
      <c r="K77" s="416"/>
      <c r="L77" s="376" t="s">
        <v>56</v>
      </c>
      <c r="M77" s="376" t="s">
        <v>1024</v>
      </c>
      <c r="N77" s="376" t="s">
        <v>1547</v>
      </c>
      <c r="O77" s="376"/>
      <c r="P77" s="376" t="s">
        <v>1548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162</v>
      </c>
      <c r="C78" s="665" t="s">
        <v>162</v>
      </c>
      <c r="D78" s="665"/>
      <c r="E78" s="665"/>
      <c r="F78" s="681" t="s">
        <v>1004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6.45" outlineLevel="2">
      <c r="A79" s="376"/>
      <c r="B79" s="684" t="s">
        <v>162</v>
      </c>
      <c r="C79" s="684" t="s">
        <v>162</v>
      </c>
      <c r="D79" s="684" t="s">
        <v>518</v>
      </c>
      <c r="E79" s="684"/>
      <c r="F79" s="685" t="s">
        <v>1550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162</v>
      </c>
      <c r="C80" s="376" t="s">
        <v>162</v>
      </c>
      <c r="D80" s="376" t="s">
        <v>518</v>
      </c>
      <c r="E80" s="376" t="s">
        <v>56</v>
      </c>
      <c r="F80" s="608" t="s">
        <v>1551</v>
      </c>
      <c r="G80" s="609">
        <v>0.40295193575893268</v>
      </c>
      <c r="H80" s="692">
        <v>1</v>
      </c>
      <c r="I80" s="626"/>
      <c r="J80" s="751"/>
      <c r="K80" s="416"/>
      <c r="L80" s="376" t="s">
        <v>56</v>
      </c>
      <c r="M80" s="376" t="s">
        <v>1024</v>
      </c>
      <c r="N80" s="376" t="s">
        <v>1497</v>
      </c>
      <c r="O80" s="376"/>
      <c r="P80" s="376" t="s">
        <v>1552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162</v>
      </c>
      <c r="C81" s="376" t="s">
        <v>162</v>
      </c>
      <c r="D81" s="376" t="s">
        <v>518</v>
      </c>
      <c r="E81" s="376" t="s">
        <v>56</v>
      </c>
      <c r="F81" s="608" t="s">
        <v>104</v>
      </c>
      <c r="G81" s="609">
        <v>0.33579327979911056</v>
      </c>
      <c r="H81" s="692">
        <v>1</v>
      </c>
      <c r="I81" s="626"/>
      <c r="J81" s="751"/>
      <c r="K81" s="416"/>
      <c r="L81" s="376" t="s">
        <v>56</v>
      </c>
      <c r="M81" s="376" t="s">
        <v>1024</v>
      </c>
      <c r="N81" s="376" t="s">
        <v>1497</v>
      </c>
      <c r="O81" s="376"/>
      <c r="P81" s="376" t="s">
        <v>1552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162</v>
      </c>
      <c r="C82" s="376" t="s">
        <v>162</v>
      </c>
      <c r="D82" s="376" t="s">
        <v>518</v>
      </c>
      <c r="E82" s="376" t="s">
        <v>56</v>
      </c>
      <c r="F82" s="608" t="s">
        <v>1313</v>
      </c>
      <c r="G82" s="609">
        <v>0.21693581286679067</v>
      </c>
      <c r="H82" s="692">
        <v>1</v>
      </c>
      <c r="I82" s="626"/>
      <c r="J82" s="751"/>
      <c r="K82" s="416"/>
      <c r="L82" s="376" t="s">
        <v>56</v>
      </c>
      <c r="M82" s="376" t="s">
        <v>1024</v>
      </c>
      <c r="N82" s="376" t="s">
        <v>1553</v>
      </c>
      <c r="O82" s="376"/>
      <c r="P82" s="376" t="s">
        <v>1552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162</v>
      </c>
      <c r="C83" s="376" t="s">
        <v>162</v>
      </c>
      <c r="D83" s="376" t="s">
        <v>518</v>
      </c>
      <c r="E83" s="376" t="s">
        <v>56</v>
      </c>
      <c r="F83" s="608" t="s">
        <v>1328</v>
      </c>
      <c r="G83" s="609">
        <v>4.9573986319083066E-2</v>
      </c>
      <c r="H83" s="692">
        <v>1</v>
      </c>
      <c r="I83" s="626"/>
      <c r="J83" s="751"/>
      <c r="K83" s="416"/>
      <c r="L83" s="376" t="s">
        <v>56</v>
      </c>
      <c r="M83" s="376" t="s">
        <v>1024</v>
      </c>
      <c r="N83" s="376" t="s">
        <v>1553</v>
      </c>
      <c r="O83" s="376"/>
      <c r="P83" s="376" t="s">
        <v>1552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252</v>
      </c>
      <c r="C84" s="666" t="s">
        <v>252</v>
      </c>
      <c r="D84" s="666"/>
      <c r="E84" s="666"/>
      <c r="F84" s="681" t="s">
        <v>1004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252</v>
      </c>
      <c r="C85" s="684" t="s">
        <v>252</v>
      </c>
      <c r="D85" s="684" t="s">
        <v>518</v>
      </c>
      <c r="E85" s="684"/>
      <c r="F85" s="685" t="s">
        <v>1319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252</v>
      </c>
      <c r="C86" s="376" t="s">
        <v>252</v>
      </c>
      <c r="D86" s="376" t="s">
        <v>518</v>
      </c>
      <c r="E86" s="376" t="s">
        <v>56</v>
      </c>
      <c r="F86" s="608" t="s">
        <v>1323</v>
      </c>
      <c r="G86" s="609">
        <v>0.5295810499200001</v>
      </c>
      <c r="H86" s="692">
        <v>1</v>
      </c>
      <c r="I86" s="626"/>
      <c r="J86" s="751"/>
      <c r="K86" s="416"/>
      <c r="L86" s="376" t="s">
        <v>56</v>
      </c>
      <c r="M86" s="376" t="s">
        <v>1024</v>
      </c>
      <c r="N86" s="376" t="s">
        <v>1497</v>
      </c>
      <c r="O86" s="376" t="s">
        <v>1554</v>
      </c>
      <c r="P86" s="376" t="s">
        <v>1502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252</v>
      </c>
      <c r="C87" s="376" t="s">
        <v>252</v>
      </c>
      <c r="D87" s="376" t="s">
        <v>518</v>
      </c>
      <c r="E87" s="376" t="s">
        <v>56</v>
      </c>
      <c r="F87" s="608" t="s">
        <v>1555</v>
      </c>
      <c r="G87" s="609">
        <v>0.39718578744000005</v>
      </c>
      <c r="H87" s="692">
        <v>1</v>
      </c>
      <c r="I87" s="626"/>
      <c r="J87" s="751"/>
      <c r="K87" s="416"/>
      <c r="L87" s="376" t="s">
        <v>56</v>
      </c>
      <c r="M87" s="376" t="s">
        <v>1024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252</v>
      </c>
      <c r="C88" s="376" t="s">
        <v>252</v>
      </c>
      <c r="D88" s="376" t="s">
        <v>518</v>
      </c>
      <c r="E88" s="376" t="s">
        <v>56</v>
      </c>
      <c r="F88" s="608" t="s">
        <v>1324</v>
      </c>
      <c r="G88" s="609">
        <v>0.39718578744000005</v>
      </c>
      <c r="H88" s="692">
        <v>1</v>
      </c>
      <c r="I88" s="626"/>
      <c r="J88" s="751"/>
      <c r="K88" s="416"/>
      <c r="L88" s="376" t="s">
        <v>56</v>
      </c>
      <c r="M88" s="376" t="s">
        <v>1024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252</v>
      </c>
      <c r="C89" s="376" t="s">
        <v>252</v>
      </c>
      <c r="D89" s="376" t="s">
        <v>518</v>
      </c>
      <c r="E89" s="376" t="s">
        <v>56</v>
      </c>
      <c r="F89" s="608" t="s">
        <v>1556</v>
      </c>
      <c r="G89" s="609">
        <v>2.5612785000000002E-2</v>
      </c>
      <c r="H89" s="692">
        <v>1</v>
      </c>
      <c r="I89" s="626"/>
      <c r="J89" s="751"/>
      <c r="K89" s="416"/>
      <c r="L89" s="376" t="s">
        <v>56</v>
      </c>
      <c r="M89" s="376" t="s">
        <v>1024</v>
      </c>
      <c r="N89" s="376" t="s">
        <v>1497</v>
      </c>
      <c r="O89" s="376" t="s">
        <v>1554</v>
      </c>
      <c r="P89" s="376" t="s">
        <v>1502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252</v>
      </c>
      <c r="C90" s="376" t="s">
        <v>252</v>
      </c>
      <c r="D90" s="376" t="s">
        <v>518</v>
      </c>
      <c r="E90" s="376" t="s">
        <v>56</v>
      </c>
      <c r="F90" s="608" t="s">
        <v>1557</v>
      </c>
      <c r="G90" s="609">
        <v>2.5612785000000002E-2</v>
      </c>
      <c r="H90" s="692">
        <v>1</v>
      </c>
      <c r="I90" s="626"/>
      <c r="J90" s="751"/>
      <c r="K90" s="416"/>
      <c r="L90" s="376" t="s">
        <v>56</v>
      </c>
      <c r="M90" s="376" t="s">
        <v>1024</v>
      </c>
      <c r="N90" s="376" t="s">
        <v>1497</v>
      </c>
      <c r="O90" s="376" t="s">
        <v>1554</v>
      </c>
      <c r="P90" s="376" t="s">
        <v>1502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252</v>
      </c>
      <c r="C91" s="376" t="s">
        <v>252</v>
      </c>
      <c r="D91" s="376" t="s">
        <v>518</v>
      </c>
      <c r="E91" s="376" t="s">
        <v>56</v>
      </c>
      <c r="F91" s="608" t="s">
        <v>1558</v>
      </c>
      <c r="G91" s="609">
        <v>5.4169665000000013E-2</v>
      </c>
      <c r="H91" s="692">
        <v>1</v>
      </c>
      <c r="I91" s="626"/>
      <c r="J91" s="751"/>
      <c r="K91" s="416"/>
      <c r="L91" s="376" t="s">
        <v>56</v>
      </c>
      <c r="M91" s="376" t="s">
        <v>1024</v>
      </c>
      <c r="N91" s="376" t="s">
        <v>1497</v>
      </c>
      <c r="O91" s="376" t="s">
        <v>1554</v>
      </c>
      <c r="P91" s="376" t="s">
        <v>1502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252</v>
      </c>
      <c r="C92" s="376" t="s">
        <v>252</v>
      </c>
      <c r="D92" s="376" t="s">
        <v>518</v>
      </c>
      <c r="E92" s="376" t="s">
        <v>56</v>
      </c>
      <c r="F92" s="608" t="s">
        <v>1559</v>
      </c>
      <c r="G92" s="609">
        <v>5.4169665000000013E-2</v>
      </c>
      <c r="H92" s="692">
        <v>1</v>
      </c>
      <c r="I92" s="626"/>
      <c r="J92" s="751"/>
      <c r="K92" s="416"/>
      <c r="L92" s="376" t="s">
        <v>56</v>
      </c>
      <c r="M92" s="376" t="s">
        <v>1024</v>
      </c>
      <c r="N92" s="376" t="s">
        <v>1497</v>
      </c>
      <c r="O92" s="376" t="s">
        <v>1554</v>
      </c>
      <c r="P92" s="376" t="s">
        <v>1502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252</v>
      </c>
      <c r="C93" s="376" t="s">
        <v>252</v>
      </c>
      <c r="D93" s="376" t="s">
        <v>518</v>
      </c>
      <c r="E93" s="376" t="s">
        <v>56</v>
      </c>
      <c r="F93" s="608" t="s">
        <v>1560</v>
      </c>
      <c r="G93" s="609">
        <v>5.4169665000000013E-2</v>
      </c>
      <c r="H93" s="692">
        <v>1</v>
      </c>
      <c r="I93" s="626"/>
      <c r="J93" s="751"/>
      <c r="K93" s="416"/>
      <c r="L93" s="376" t="s">
        <v>56</v>
      </c>
      <c r="M93" s="376" t="s">
        <v>1024</v>
      </c>
      <c r="N93" s="376" t="s">
        <v>1497</v>
      </c>
      <c r="O93" s="376" t="s">
        <v>1554</v>
      </c>
      <c r="P93" s="376" t="s">
        <v>1502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252</v>
      </c>
      <c r="C94" s="376" t="s">
        <v>252</v>
      </c>
      <c r="D94" s="376" t="s">
        <v>518</v>
      </c>
      <c r="E94" s="376" t="s">
        <v>56</v>
      </c>
      <c r="F94" s="608" t="s">
        <v>1561</v>
      </c>
      <c r="G94" s="609">
        <v>5.4169665000000013E-2</v>
      </c>
      <c r="H94" s="692">
        <v>1</v>
      </c>
      <c r="I94" s="626"/>
      <c r="J94" s="751"/>
      <c r="K94" s="416"/>
      <c r="L94" s="376" t="s">
        <v>56</v>
      </c>
      <c r="M94" s="376" t="s">
        <v>1024</v>
      </c>
      <c r="N94" s="376" t="s">
        <v>1497</v>
      </c>
      <c r="O94" s="376" t="s">
        <v>1554</v>
      </c>
      <c r="P94" s="376" t="s">
        <v>1502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252</v>
      </c>
      <c r="C95" s="376" t="s">
        <v>252</v>
      </c>
      <c r="D95" s="376" t="s">
        <v>518</v>
      </c>
      <c r="E95" s="376" t="s">
        <v>56</v>
      </c>
      <c r="F95" s="608" t="s">
        <v>1562</v>
      </c>
      <c r="G95" s="609">
        <v>5.4169665000000013E-2</v>
      </c>
      <c r="H95" s="692">
        <v>1</v>
      </c>
      <c r="I95" s="626"/>
      <c r="J95" s="751"/>
      <c r="K95" s="416"/>
      <c r="L95" s="376" t="s">
        <v>56</v>
      </c>
      <c r="M95" s="376" t="s">
        <v>1024</v>
      </c>
      <c r="N95" s="376" t="s">
        <v>1497</v>
      </c>
      <c r="O95" s="376" t="s">
        <v>1554</v>
      </c>
      <c r="P95" s="376" t="s">
        <v>1552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252</v>
      </c>
      <c r="C96" s="376" t="s">
        <v>252</v>
      </c>
      <c r="D96" s="376" t="s">
        <v>518</v>
      </c>
      <c r="E96" s="376" t="s">
        <v>56</v>
      </c>
      <c r="F96" s="608" t="s">
        <v>1563</v>
      </c>
      <c r="G96" s="609">
        <v>5.4169665000000013E-2</v>
      </c>
      <c r="H96" s="692">
        <v>1</v>
      </c>
      <c r="I96" s="626"/>
      <c r="J96" s="751"/>
      <c r="K96" s="416"/>
      <c r="L96" s="376" t="s">
        <v>56</v>
      </c>
      <c r="M96" s="376" t="s">
        <v>1024</v>
      </c>
      <c r="N96" s="376" t="s">
        <v>1497</v>
      </c>
      <c r="O96" s="376" t="s">
        <v>1554</v>
      </c>
      <c r="P96" s="376" t="s">
        <v>1552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252</v>
      </c>
      <c r="C97" s="376" t="s">
        <v>252</v>
      </c>
      <c r="D97" s="376" t="s">
        <v>518</v>
      </c>
      <c r="E97" s="376" t="s">
        <v>56</v>
      </c>
      <c r="F97" s="608" t="s">
        <v>1564</v>
      </c>
      <c r="G97" s="609">
        <v>0.10833933000000003</v>
      </c>
      <c r="H97" s="692">
        <v>1</v>
      </c>
      <c r="I97" s="626"/>
      <c r="J97" s="751"/>
      <c r="K97" s="416"/>
      <c r="L97" s="376" t="s">
        <v>56</v>
      </c>
      <c r="M97" s="376" t="s">
        <v>1024</v>
      </c>
      <c r="N97" s="376" t="s">
        <v>1497</v>
      </c>
      <c r="O97" s="376" t="s">
        <v>1554</v>
      </c>
      <c r="P97" s="376" t="s">
        <v>1552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252</v>
      </c>
      <c r="C98" s="376" t="s">
        <v>252</v>
      </c>
      <c r="D98" s="376" t="s">
        <v>518</v>
      </c>
      <c r="E98" s="376" t="s">
        <v>56</v>
      </c>
      <c r="F98" s="608" t="s">
        <v>1565</v>
      </c>
      <c r="G98" s="609">
        <v>5.4169665000000013E-2</v>
      </c>
      <c r="H98" s="692">
        <v>1</v>
      </c>
      <c r="I98" s="626"/>
      <c r="J98" s="751"/>
      <c r="K98" s="416"/>
      <c r="L98" s="376" t="s">
        <v>56</v>
      </c>
      <c r="M98" s="376" t="s">
        <v>1024</v>
      </c>
      <c r="N98" s="376" t="s">
        <v>1497</v>
      </c>
      <c r="O98" s="376" t="s">
        <v>1554</v>
      </c>
      <c r="P98" s="376" t="s">
        <v>1552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252</v>
      </c>
      <c r="C99" s="376" t="s">
        <v>252</v>
      </c>
      <c r="D99" s="376" t="s">
        <v>518</v>
      </c>
      <c r="E99" s="376" t="s">
        <v>56</v>
      </c>
      <c r="F99" s="608" t="s">
        <v>1566</v>
      </c>
      <c r="G99" s="609">
        <v>5.4169665000000013E-2</v>
      </c>
      <c r="H99" s="692">
        <v>1</v>
      </c>
      <c r="I99" s="626"/>
      <c r="J99" s="751"/>
      <c r="K99" s="416"/>
      <c r="L99" s="376" t="s">
        <v>56</v>
      </c>
      <c r="M99" s="376" t="s">
        <v>1024</v>
      </c>
      <c r="N99" s="376" t="s">
        <v>1497</v>
      </c>
      <c r="O99" s="376" t="s">
        <v>1554</v>
      </c>
      <c r="P99" s="376" t="s">
        <v>1552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252</v>
      </c>
      <c r="C100" s="376" t="s">
        <v>252</v>
      </c>
      <c r="D100" s="376" t="s">
        <v>518</v>
      </c>
      <c r="E100" s="376" t="s">
        <v>56</v>
      </c>
      <c r="F100" s="608" t="s">
        <v>1567</v>
      </c>
      <c r="G100" s="609">
        <v>5.1225570000000005E-2</v>
      </c>
      <c r="H100" s="692">
        <v>1</v>
      </c>
      <c r="I100" s="626"/>
      <c r="J100" s="751"/>
      <c r="K100" s="416"/>
      <c r="L100" s="376" t="s">
        <v>56</v>
      </c>
      <c r="M100" s="376" t="s">
        <v>1024</v>
      </c>
      <c r="N100" s="376" t="s">
        <v>1497</v>
      </c>
      <c r="O100" s="376" t="s">
        <v>1554</v>
      </c>
      <c r="P100" s="376" t="s">
        <v>1552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252</v>
      </c>
      <c r="C101" s="376" t="s">
        <v>252</v>
      </c>
      <c r="D101" s="376" t="s">
        <v>518</v>
      </c>
      <c r="E101" s="376" t="s">
        <v>56</v>
      </c>
      <c r="F101" s="608" t="s">
        <v>1568</v>
      </c>
      <c r="G101" s="609">
        <v>5.1225570000000005E-2</v>
      </c>
      <c r="H101" s="692">
        <v>1</v>
      </c>
      <c r="I101" s="626"/>
      <c r="J101" s="751"/>
      <c r="K101" s="416"/>
      <c r="L101" s="376" t="s">
        <v>56</v>
      </c>
      <c r="M101" s="376" t="s">
        <v>1024</v>
      </c>
      <c r="N101" s="376" t="s">
        <v>1497</v>
      </c>
      <c r="O101" s="376" t="s">
        <v>1554</v>
      </c>
      <c r="P101" s="376" t="s">
        <v>1552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252</v>
      </c>
      <c r="C102" s="376" t="s">
        <v>252</v>
      </c>
      <c r="D102" s="376" t="s">
        <v>518</v>
      </c>
      <c r="E102" s="376" t="s">
        <v>56</v>
      </c>
      <c r="F102" s="608" t="s">
        <v>1569</v>
      </c>
      <c r="G102" s="609">
        <v>5.1225570000000005E-2</v>
      </c>
      <c r="H102" s="692">
        <v>1</v>
      </c>
      <c r="I102" s="626"/>
      <c r="J102" s="751"/>
      <c r="K102" s="416"/>
      <c r="L102" s="376" t="s">
        <v>56</v>
      </c>
      <c r="M102" s="376" t="s">
        <v>1024</v>
      </c>
      <c r="N102" s="376" t="s">
        <v>1497</v>
      </c>
      <c r="O102" s="376" t="s">
        <v>1554</v>
      </c>
      <c r="P102" s="376" t="s">
        <v>1552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252</v>
      </c>
      <c r="C103" s="376" t="s">
        <v>252</v>
      </c>
      <c r="D103" s="376" t="s">
        <v>518</v>
      </c>
      <c r="E103" s="376" t="s">
        <v>56</v>
      </c>
      <c r="F103" s="608" t="s">
        <v>1570</v>
      </c>
      <c r="G103" s="609">
        <v>2.5612785000000002E-2</v>
      </c>
      <c r="H103" s="692">
        <v>1</v>
      </c>
      <c r="I103" s="626"/>
      <c r="J103" s="751"/>
      <c r="K103" s="416"/>
      <c r="L103" s="376" t="s">
        <v>56</v>
      </c>
      <c r="M103" s="376" t="s">
        <v>1024</v>
      </c>
      <c r="N103" s="376" t="s">
        <v>1497</v>
      </c>
      <c r="O103" s="376" t="s">
        <v>1554</v>
      </c>
      <c r="P103" s="376" t="s">
        <v>1552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252</v>
      </c>
      <c r="C104" s="376" t="s">
        <v>252</v>
      </c>
      <c r="D104" s="376" t="s">
        <v>518</v>
      </c>
      <c r="E104" s="376" t="s">
        <v>56</v>
      </c>
      <c r="F104" s="608" t="s">
        <v>1571</v>
      </c>
      <c r="G104" s="609">
        <v>2.5612785000000002E-2</v>
      </c>
      <c r="H104" s="692">
        <v>1</v>
      </c>
      <c r="I104" s="626"/>
      <c r="J104" s="751"/>
      <c r="K104" s="416"/>
      <c r="L104" s="376" t="s">
        <v>56</v>
      </c>
      <c r="M104" s="376" t="s">
        <v>1024</v>
      </c>
      <c r="N104" s="376" t="s">
        <v>1497</v>
      </c>
      <c r="O104" s="376" t="s">
        <v>1554</v>
      </c>
      <c r="P104" s="376" t="s">
        <v>1552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903</v>
      </c>
      <c r="C105" s="665" t="s">
        <v>903</v>
      </c>
      <c r="D105" s="665"/>
      <c r="E105" s="665"/>
      <c r="F105" s="681" t="s">
        <v>1004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outlineLevel="2">
      <c r="A106" s="376"/>
      <c r="B106" s="684" t="s">
        <v>903</v>
      </c>
      <c r="C106" s="684" t="s">
        <v>903</v>
      </c>
      <c r="D106" s="684" t="s">
        <v>518</v>
      </c>
      <c r="E106" s="684"/>
      <c r="F106" s="685" t="s">
        <v>1023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903</v>
      </c>
      <c r="C107" s="376" t="s">
        <v>903</v>
      </c>
      <c r="D107" s="376" t="s">
        <v>518</v>
      </c>
      <c r="E107" s="376" t="s">
        <v>56</v>
      </c>
      <c r="F107" s="608" t="s">
        <v>1572</v>
      </c>
      <c r="G107" s="609">
        <v>0.20115878538561949</v>
      </c>
      <c r="H107" s="692">
        <v>1</v>
      </c>
      <c r="I107" s="626"/>
      <c r="J107" s="751"/>
      <c r="K107" s="416"/>
      <c r="L107" s="376" t="s">
        <v>56</v>
      </c>
      <c r="M107" s="376" t="s">
        <v>1515</v>
      </c>
      <c r="N107" s="376" t="s">
        <v>1573</v>
      </c>
      <c r="O107" s="376" t="s">
        <v>1521</v>
      </c>
      <c r="P107" s="376" t="s">
        <v>1038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903</v>
      </c>
      <c r="C108" s="376" t="s">
        <v>903</v>
      </c>
      <c r="D108" s="376" t="s">
        <v>518</v>
      </c>
      <c r="E108" s="376" t="s">
        <v>56</v>
      </c>
      <c r="F108" s="608" t="s">
        <v>1018</v>
      </c>
      <c r="G108" s="609">
        <v>5.8456730700000001E-2</v>
      </c>
      <c r="H108" s="692">
        <v>1</v>
      </c>
      <c r="I108" s="626"/>
      <c r="J108" s="751"/>
      <c r="K108" s="416"/>
      <c r="L108" s="376" t="s">
        <v>56</v>
      </c>
      <c r="M108" s="376" t="s">
        <v>1024</v>
      </c>
      <c r="N108" s="376" t="s">
        <v>1037</v>
      </c>
      <c r="O108" s="376"/>
      <c r="P108" s="376" t="s">
        <v>1038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903</v>
      </c>
      <c r="C109" s="376" t="s">
        <v>903</v>
      </c>
      <c r="D109" s="376" t="s">
        <v>518</v>
      </c>
      <c r="E109" s="376" t="s">
        <v>56</v>
      </c>
      <c r="F109" s="608" t="s">
        <v>1021</v>
      </c>
      <c r="G109" s="609">
        <v>4.8713942250000003E-2</v>
      </c>
      <c r="H109" s="692">
        <v>1</v>
      </c>
      <c r="I109" s="626"/>
      <c r="J109" s="751"/>
      <c r="K109" s="416"/>
      <c r="L109" s="376" t="s">
        <v>56</v>
      </c>
      <c r="M109" s="376" t="s">
        <v>1024</v>
      </c>
      <c r="N109" s="376" t="s">
        <v>1037</v>
      </c>
      <c r="O109" s="376"/>
      <c r="P109" s="376" t="s">
        <v>1038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903</v>
      </c>
      <c r="C110" s="376" t="s">
        <v>903</v>
      </c>
      <c r="D110" s="376" t="s">
        <v>518</v>
      </c>
      <c r="E110" s="376" t="s">
        <v>56</v>
      </c>
      <c r="F110" s="608" t="s">
        <v>1020</v>
      </c>
      <c r="G110" s="609">
        <v>2.5989279749999997E-2</v>
      </c>
      <c r="H110" s="692">
        <v>1</v>
      </c>
      <c r="I110" s="626"/>
      <c r="J110" s="751"/>
      <c r="K110" s="416"/>
      <c r="L110" s="376" t="s">
        <v>56</v>
      </c>
      <c r="M110" s="376" t="s">
        <v>1024</v>
      </c>
      <c r="N110" s="376" t="s">
        <v>1025</v>
      </c>
      <c r="O110" s="376"/>
      <c r="P110" s="376" t="s">
        <v>1026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903</v>
      </c>
      <c r="C111" s="376" t="s">
        <v>903</v>
      </c>
      <c r="D111" s="376" t="s">
        <v>518</v>
      </c>
      <c r="E111" s="376" t="s">
        <v>56</v>
      </c>
      <c r="F111" s="608" t="s">
        <v>1022</v>
      </c>
      <c r="G111" s="609">
        <v>3.7127542499999998E-3</v>
      </c>
      <c r="H111" s="692">
        <v>1</v>
      </c>
      <c r="I111" s="626"/>
      <c r="J111" s="751"/>
      <c r="K111" s="416"/>
      <c r="L111" s="376" t="s">
        <v>56</v>
      </c>
      <c r="M111" s="376" t="s">
        <v>1024</v>
      </c>
      <c r="N111" s="376" t="s">
        <v>1043</v>
      </c>
      <c r="O111" s="376"/>
      <c r="P111" s="376" t="s">
        <v>1026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903</v>
      </c>
      <c r="C112" s="376" t="s">
        <v>903</v>
      </c>
      <c r="D112" s="376" t="s">
        <v>518</v>
      </c>
      <c r="E112" s="376" t="s">
        <v>56</v>
      </c>
      <c r="F112" s="608" t="s">
        <v>1017</v>
      </c>
      <c r="G112" s="609">
        <v>7.4255085000000005E-3</v>
      </c>
      <c r="H112" s="692">
        <v>1</v>
      </c>
      <c r="I112" s="626"/>
      <c r="J112" s="751"/>
      <c r="K112" s="416"/>
      <c r="L112" s="376" t="s">
        <v>56</v>
      </c>
      <c r="M112" s="376" t="s">
        <v>1024</v>
      </c>
      <c r="N112" s="376" t="s">
        <v>1574</v>
      </c>
      <c r="O112" s="376"/>
      <c r="P112" s="376" t="s">
        <v>1026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502</v>
      </c>
      <c r="C113" s="665" t="s">
        <v>502</v>
      </c>
      <c r="D113" s="665"/>
      <c r="E113" s="665"/>
      <c r="F113" s="681" t="s">
        <v>1004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502</v>
      </c>
      <c r="C114" s="684" t="s">
        <v>502</v>
      </c>
      <c r="D114" s="684" t="s">
        <v>518</v>
      </c>
      <c r="E114" s="684"/>
      <c r="F114" s="685" t="s">
        <v>1331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502</v>
      </c>
      <c r="C115" s="376" t="s">
        <v>502</v>
      </c>
      <c r="D115" s="376" t="s">
        <v>518</v>
      </c>
      <c r="E115" s="376" t="s">
        <v>56</v>
      </c>
      <c r="F115" s="608" t="s">
        <v>36</v>
      </c>
      <c r="G115" s="609">
        <v>6.4518858880000002E-2</v>
      </c>
      <c r="H115" s="692">
        <v>1</v>
      </c>
      <c r="I115" s="626"/>
      <c r="J115" s="751"/>
      <c r="K115" s="416"/>
      <c r="L115" s="376" t="s">
        <v>56</v>
      </c>
      <c r="M115" s="376" t="s">
        <v>1515</v>
      </c>
      <c r="N115" s="376" t="s">
        <v>1575</v>
      </c>
      <c r="O115" s="376" t="s">
        <v>1521</v>
      </c>
      <c r="P115" s="376" t="s">
        <v>1576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225</v>
      </c>
      <c r="C116" s="665" t="s">
        <v>1206</v>
      </c>
      <c r="D116" s="665"/>
      <c r="E116" s="665"/>
      <c r="F116" s="681" t="s">
        <v>1004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outlineLevel="2">
      <c r="A117" s="376"/>
      <c r="B117" s="684" t="s">
        <v>225</v>
      </c>
      <c r="C117" s="684" t="s">
        <v>1206</v>
      </c>
      <c r="D117" s="684" t="s">
        <v>518</v>
      </c>
      <c r="E117" s="684"/>
      <c r="F117" s="685" t="s">
        <v>1207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225</v>
      </c>
      <c r="C118" s="376" t="s">
        <v>1206</v>
      </c>
      <c r="D118" s="376" t="s">
        <v>518</v>
      </c>
      <c r="E118" s="376" t="s">
        <v>56</v>
      </c>
      <c r="F118" s="608" t="s">
        <v>36</v>
      </c>
      <c r="G118" s="609">
        <v>1.9200000000000002E-2</v>
      </c>
      <c r="H118" s="692">
        <v>1</v>
      </c>
      <c r="I118" s="626"/>
      <c r="J118" s="751"/>
      <c r="K118" s="416"/>
      <c r="L118" s="376" t="s">
        <v>56</v>
      </c>
      <c r="M118" s="376" t="s">
        <v>1524</v>
      </c>
      <c r="N118" s="376" t="s">
        <v>1525</v>
      </c>
      <c r="O118" s="376" t="s">
        <v>1527</v>
      </c>
      <c r="P118" s="376" t="s">
        <v>1526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225</v>
      </c>
      <c r="C119" s="376" t="s">
        <v>1206</v>
      </c>
      <c r="D119" s="376" t="s">
        <v>518</v>
      </c>
      <c r="E119" s="376" t="s">
        <v>56</v>
      </c>
      <c r="F119" s="608" t="s">
        <v>1209</v>
      </c>
      <c r="G119" s="609">
        <v>1.9199999999999998E-2</v>
      </c>
      <c r="H119" s="692">
        <v>1</v>
      </c>
      <c r="I119" s="626"/>
      <c r="J119" s="751"/>
      <c r="K119" s="416"/>
      <c r="L119" s="376" t="s">
        <v>56</v>
      </c>
      <c r="M119" s="376" t="s">
        <v>1524</v>
      </c>
      <c r="N119" s="376" t="s">
        <v>1525</v>
      </c>
      <c r="O119" s="376" t="s">
        <v>1527</v>
      </c>
      <c r="P119" s="376" t="s">
        <v>1526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225</v>
      </c>
      <c r="C120" s="376" t="s">
        <v>1206</v>
      </c>
      <c r="D120" s="376" t="s">
        <v>518</v>
      </c>
      <c r="E120" s="376" t="s">
        <v>56</v>
      </c>
      <c r="F120" s="608" t="s">
        <v>1210</v>
      </c>
      <c r="G120" s="609">
        <v>4.8000000000000001E-2</v>
      </c>
      <c r="H120" s="692">
        <v>1</v>
      </c>
      <c r="I120" s="626"/>
      <c r="J120" s="751"/>
      <c r="K120" s="416"/>
      <c r="L120" s="376" t="s">
        <v>56</v>
      </c>
      <c r="M120" s="376" t="s">
        <v>1524</v>
      </c>
      <c r="N120" s="376" t="s">
        <v>1525</v>
      </c>
      <c r="O120" s="376" t="s">
        <v>1527</v>
      </c>
      <c r="P120" s="376" t="s">
        <v>1526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229</v>
      </c>
      <c r="C121" s="665" t="s">
        <v>1211</v>
      </c>
      <c r="D121" s="665"/>
      <c r="E121" s="665"/>
      <c r="F121" s="681" t="s">
        <v>1004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229</v>
      </c>
      <c r="C122" s="684" t="s">
        <v>1211</v>
      </c>
      <c r="D122" s="684" t="s">
        <v>518</v>
      </c>
      <c r="E122" s="684"/>
      <c r="F122" s="685" t="s">
        <v>1179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229</v>
      </c>
      <c r="C123" s="376" t="s">
        <v>1211</v>
      </c>
      <c r="D123" s="376" t="s">
        <v>518</v>
      </c>
      <c r="E123" s="376" t="s">
        <v>56</v>
      </c>
      <c r="F123" s="608" t="s">
        <v>1209</v>
      </c>
      <c r="G123" s="609">
        <v>5.9424000000000005E-2</v>
      </c>
      <c r="H123" s="692">
        <v>1</v>
      </c>
      <c r="I123" s="626"/>
      <c r="J123" s="751"/>
      <c r="K123" s="416"/>
      <c r="L123" s="376" t="s">
        <v>56</v>
      </c>
      <c r="M123" s="376" t="s">
        <v>1524</v>
      </c>
      <c r="N123" s="376" t="s">
        <v>1527</v>
      </c>
      <c r="O123" s="376" t="s">
        <v>1525</v>
      </c>
      <c r="P123" s="376" t="s">
        <v>1526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229</v>
      </c>
      <c r="C124" s="376" t="s">
        <v>1211</v>
      </c>
      <c r="D124" s="376" t="s">
        <v>518</v>
      </c>
      <c r="E124" s="376" t="s">
        <v>56</v>
      </c>
      <c r="F124" s="608" t="s">
        <v>1210</v>
      </c>
      <c r="G124" s="609">
        <v>0.14856</v>
      </c>
      <c r="H124" s="692">
        <v>1</v>
      </c>
      <c r="I124" s="626"/>
      <c r="J124" s="751"/>
      <c r="K124" s="416"/>
      <c r="L124" s="376" t="s">
        <v>56</v>
      </c>
      <c r="M124" s="376" t="s">
        <v>1524</v>
      </c>
      <c r="N124" s="376" t="s">
        <v>1527</v>
      </c>
      <c r="O124" s="376" t="s">
        <v>1525</v>
      </c>
      <c r="P124" s="376" t="s">
        <v>1526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229</v>
      </c>
      <c r="C125" s="376" t="s">
        <v>1211</v>
      </c>
      <c r="D125" s="376" t="s">
        <v>518</v>
      </c>
      <c r="E125" s="376" t="s">
        <v>56</v>
      </c>
      <c r="F125" s="608" t="s">
        <v>1215</v>
      </c>
      <c r="G125" s="609">
        <v>1.4856000000000001E-2</v>
      </c>
      <c r="H125" s="692">
        <v>1</v>
      </c>
      <c r="I125" s="626"/>
      <c r="J125" s="751"/>
      <c r="K125" s="416"/>
      <c r="L125" s="376" t="s">
        <v>56</v>
      </c>
      <c r="M125" s="376" t="s">
        <v>1524</v>
      </c>
      <c r="N125" s="376" t="s">
        <v>1527</v>
      </c>
      <c r="O125" s="376" t="s">
        <v>1525</v>
      </c>
      <c r="P125" s="376" t="s">
        <v>1526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918</v>
      </c>
      <c r="C126" s="665" t="s">
        <v>1378</v>
      </c>
      <c r="D126" s="665"/>
      <c r="E126" s="665"/>
      <c r="F126" s="681" t="s">
        <v>1004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918</v>
      </c>
      <c r="C127" s="684" t="s">
        <v>1378</v>
      </c>
      <c r="D127" s="684" t="s">
        <v>518</v>
      </c>
      <c r="E127" s="684"/>
      <c r="F127" s="685" t="s">
        <v>1379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918</v>
      </c>
      <c r="C128" s="376" t="s">
        <v>1378</v>
      </c>
      <c r="D128" s="376" t="s">
        <v>518</v>
      </c>
      <c r="E128" s="376" t="s">
        <v>56</v>
      </c>
      <c r="F128" s="608" t="s">
        <v>1383</v>
      </c>
      <c r="G128" s="609">
        <v>8.0000000000000004E-4</v>
      </c>
      <c r="H128" s="692">
        <v>1</v>
      </c>
      <c r="I128" s="626"/>
      <c r="J128" s="751"/>
      <c r="K128" s="416"/>
      <c r="L128" s="376" t="s">
        <v>56</v>
      </c>
      <c r="M128" s="376" t="s">
        <v>1577</v>
      </c>
      <c r="N128" s="376"/>
      <c r="O128" s="376">
        <v>0</v>
      </c>
      <c r="P128" s="376" t="s">
        <v>1026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498</v>
      </c>
      <c r="C129" s="665" t="s">
        <v>1217</v>
      </c>
      <c r="D129" s="665"/>
      <c r="E129" s="665"/>
      <c r="F129" s="681" t="s">
        <v>1004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498</v>
      </c>
      <c r="C130" s="684" t="s">
        <v>1217</v>
      </c>
      <c r="D130" s="684" t="s">
        <v>518</v>
      </c>
      <c r="E130" s="684"/>
      <c r="F130" s="685" t="s">
        <v>1218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498</v>
      </c>
      <c r="C131" s="376" t="s">
        <v>1217</v>
      </c>
      <c r="D131" s="376" t="s">
        <v>518</v>
      </c>
      <c r="E131" s="376" t="s">
        <v>56</v>
      </c>
      <c r="F131" s="608" t="s">
        <v>36</v>
      </c>
      <c r="G131" s="609">
        <v>8.0449832960000009E-2</v>
      </c>
      <c r="H131" s="692">
        <v>1</v>
      </c>
      <c r="I131" s="626"/>
      <c r="J131" s="751"/>
      <c r="K131" s="416"/>
      <c r="L131" s="376" t="s">
        <v>56</v>
      </c>
      <c r="M131" s="376" t="s">
        <v>1024</v>
      </c>
      <c r="N131" s="376" t="s">
        <v>1547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1578</v>
      </c>
      <c r="C132" s="665" t="s">
        <v>1579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469</v>
      </c>
      <c r="C133" s="376" t="s">
        <v>1281</v>
      </c>
      <c r="D133" s="376" t="s">
        <v>518</v>
      </c>
      <c r="E133" s="376" t="s">
        <v>56</v>
      </c>
      <c r="F133" s="608" t="s">
        <v>1580</v>
      </c>
      <c r="G133" s="609">
        <v>0.4</v>
      </c>
      <c r="H133" s="692">
        <v>1</v>
      </c>
      <c r="I133" s="626"/>
      <c r="J133" s="751"/>
      <c r="K133" s="416"/>
      <c r="L133" s="376" t="s">
        <v>56</v>
      </c>
      <c r="M133" s="376" t="s">
        <v>1524</v>
      </c>
      <c r="N133" s="376" t="s">
        <v>1581</v>
      </c>
      <c r="O133" s="376"/>
      <c r="P133" s="376" t="s">
        <v>1526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1582</v>
      </c>
      <c r="B134" s="732" t="s">
        <v>1168</v>
      </c>
      <c r="C134" s="732" t="s">
        <v>1583</v>
      </c>
      <c r="D134" s="732" t="s">
        <v>518</v>
      </c>
      <c r="E134" s="732" t="s">
        <v>56</v>
      </c>
      <c r="F134" s="733" t="s">
        <v>1584</v>
      </c>
      <c r="G134" s="800">
        <v>0.04</v>
      </c>
      <c r="H134" s="745">
        <v>1</v>
      </c>
      <c r="I134" s="736"/>
      <c r="J134" s="756"/>
      <c r="K134" s="737"/>
      <c r="L134" s="732" t="s">
        <v>56</v>
      </c>
      <c r="M134" s="732" t="s">
        <v>1585</v>
      </c>
      <c r="N134" s="732" t="s">
        <v>1421</v>
      </c>
      <c r="O134" s="732"/>
      <c r="P134" s="732" t="s">
        <v>1552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">
      <c r="A136" s="376"/>
      <c r="B136" s="430" t="s">
        <v>962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990</v>
      </c>
      <c r="C138" s="666" t="s">
        <v>990</v>
      </c>
      <c r="D138" s="667"/>
      <c r="E138" s="665"/>
      <c r="F138" s="681" t="s">
        <v>1004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990</v>
      </c>
      <c r="C139" s="687" t="s">
        <v>990</v>
      </c>
      <c r="D139" s="684" t="s">
        <v>518</v>
      </c>
      <c r="E139" s="684"/>
      <c r="F139" s="685" t="s">
        <v>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990</v>
      </c>
      <c r="C140" s="387" t="s">
        <v>990</v>
      </c>
      <c r="D140" s="376" t="s">
        <v>518</v>
      </c>
      <c r="E140" s="376" t="s">
        <v>56</v>
      </c>
      <c r="F140" s="608" t="s">
        <v>36</v>
      </c>
      <c r="G140" s="609"/>
      <c r="H140" s="692">
        <v>1</v>
      </c>
      <c r="I140" s="626"/>
      <c r="J140" s="751"/>
      <c r="K140" s="416"/>
      <c r="L140" s="376" t="s">
        <v>56</v>
      </c>
      <c r="M140" s="376" t="s">
        <v>1586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990</v>
      </c>
      <c r="C141" s="387" t="s">
        <v>990</v>
      </c>
      <c r="D141" s="376" t="s">
        <v>518</v>
      </c>
      <c r="E141" s="376" t="s">
        <v>56</v>
      </c>
      <c r="F141" s="608" t="s">
        <v>1333</v>
      </c>
      <c r="G141" s="609"/>
      <c r="H141" s="692"/>
      <c r="I141" s="626"/>
      <c r="J141" s="751"/>
      <c r="K141" s="416"/>
      <c r="L141" s="376" t="s">
        <v>56</v>
      </c>
      <c r="M141" s="376" t="s">
        <v>1586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902</v>
      </c>
      <c r="C142" s="665" t="s">
        <v>1220</v>
      </c>
      <c r="D142" s="665"/>
      <c r="E142" s="665"/>
      <c r="F142" s="681" t="s">
        <v>1004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902</v>
      </c>
      <c r="C143" s="684" t="s">
        <v>1220</v>
      </c>
      <c r="D143" s="684" t="s">
        <v>518</v>
      </c>
      <c r="E143" s="684"/>
      <c r="F143" s="685" t="s">
        <v>1218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902</v>
      </c>
      <c r="C144" s="376" t="s">
        <v>1220</v>
      </c>
      <c r="D144" s="376" t="s">
        <v>518</v>
      </c>
      <c r="E144" s="376" t="s">
        <v>56</v>
      </c>
      <c r="F144" s="608" t="s">
        <v>36</v>
      </c>
      <c r="G144" s="609">
        <v>0.17172000000000001</v>
      </c>
      <c r="H144" s="692">
        <v>1</v>
      </c>
      <c r="I144" s="626"/>
      <c r="J144" s="751"/>
      <c r="K144" s="416"/>
      <c r="L144" s="376" t="s">
        <v>56</v>
      </c>
      <c r="M144" s="376" t="s">
        <v>1585</v>
      </c>
      <c r="N144" s="376" t="s">
        <v>1587</v>
      </c>
      <c r="O144" s="376"/>
      <c r="P144" s="376" t="s">
        <v>1548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964</v>
      </c>
      <c r="C145" s="665" t="s">
        <v>1247</v>
      </c>
      <c r="D145" s="665"/>
      <c r="E145" s="665"/>
      <c r="F145" s="681" t="s">
        <v>1004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964</v>
      </c>
      <c r="C146" s="684" t="s">
        <v>1247</v>
      </c>
      <c r="D146" s="684" t="s">
        <v>518</v>
      </c>
      <c r="E146" s="684"/>
      <c r="F146" s="685" t="s">
        <v>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964</v>
      </c>
      <c r="C147" s="376" t="s">
        <v>1247</v>
      </c>
      <c r="D147" s="376" t="s">
        <v>518</v>
      </c>
      <c r="E147" s="376" t="s">
        <v>56</v>
      </c>
      <c r="F147" s="608" t="s">
        <v>36</v>
      </c>
      <c r="G147" s="609">
        <v>7.8635040000000003E-2</v>
      </c>
      <c r="H147" s="692">
        <v>1</v>
      </c>
      <c r="I147" s="626"/>
      <c r="J147" s="751"/>
      <c r="K147" s="416"/>
      <c r="L147" s="376" t="s">
        <v>56</v>
      </c>
      <c r="M147" s="376" t="s">
        <v>1515</v>
      </c>
      <c r="N147" s="376" t="s">
        <v>1588</v>
      </c>
      <c r="O147" s="376" t="s">
        <v>1517</v>
      </c>
      <c r="P147" s="376" t="s">
        <v>1589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966</v>
      </c>
      <c r="C148" s="666" t="s">
        <v>1222</v>
      </c>
      <c r="D148" s="666"/>
      <c r="E148" s="666"/>
      <c r="F148" s="681" t="s">
        <v>1004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6.45" outlineLevel="2">
      <c r="B149" s="684" t="s">
        <v>966</v>
      </c>
      <c r="C149" s="684" t="s">
        <v>1222</v>
      </c>
      <c r="D149" s="684" t="s">
        <v>518</v>
      </c>
      <c r="E149" s="684"/>
      <c r="F149" s="685" t="s">
        <v>1590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966</v>
      </c>
      <c r="C150" s="376" t="s">
        <v>1222</v>
      </c>
      <c r="D150" s="376" t="s">
        <v>518</v>
      </c>
      <c r="E150" s="376" t="s">
        <v>56</v>
      </c>
      <c r="F150" s="608" t="s">
        <v>36</v>
      </c>
      <c r="G150" s="609">
        <v>1.3962417684976238</v>
      </c>
      <c r="H150" s="692">
        <v>1</v>
      </c>
      <c r="I150" s="626"/>
      <c r="J150" s="751"/>
      <c r="K150" s="416"/>
      <c r="L150" s="376" t="s">
        <v>56</v>
      </c>
      <c r="M150" s="376" t="s">
        <v>1585</v>
      </c>
      <c r="N150" s="376" t="s">
        <v>1591</v>
      </c>
      <c r="O150" s="376"/>
      <c r="P150" s="376" t="s">
        <v>1026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966</v>
      </c>
      <c r="C151" s="376" t="s">
        <v>1222</v>
      </c>
      <c r="D151" s="376" t="s">
        <v>518</v>
      </c>
      <c r="E151" s="376" t="s">
        <v>56</v>
      </c>
      <c r="F151" s="608" t="s">
        <v>1224</v>
      </c>
      <c r="G151" s="609">
        <v>1.8616556913301652</v>
      </c>
      <c r="H151" s="692">
        <v>1</v>
      </c>
      <c r="I151" s="626"/>
      <c r="J151" s="751"/>
      <c r="K151" s="416"/>
      <c r="L151" s="376" t="s">
        <v>56</v>
      </c>
      <c r="M151" s="376" t="s">
        <v>1585</v>
      </c>
      <c r="N151" s="376" t="s">
        <v>1591</v>
      </c>
      <c r="O151" s="376"/>
      <c r="P151" s="376" t="s">
        <v>1026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968</v>
      </c>
      <c r="C152" s="666" t="s">
        <v>1163</v>
      </c>
      <c r="D152" s="666"/>
      <c r="E152" s="666"/>
      <c r="F152" s="681" t="s">
        <v>1004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1163</v>
      </c>
      <c r="C153" s="687" t="s">
        <v>1163</v>
      </c>
      <c r="D153" s="687" t="s">
        <v>518</v>
      </c>
      <c r="E153" s="687"/>
      <c r="F153" s="717" t="s">
        <v>1442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1163</v>
      </c>
      <c r="C154" s="387" t="s">
        <v>1163</v>
      </c>
      <c r="D154" s="387" t="s">
        <v>518</v>
      </c>
      <c r="E154" s="387" t="s">
        <v>56</v>
      </c>
      <c r="F154" s="705" t="s">
        <v>36</v>
      </c>
      <c r="G154" s="706">
        <v>1.5183228000000002</v>
      </c>
      <c r="H154" s="707">
        <v>1</v>
      </c>
      <c r="I154" s="740"/>
      <c r="J154" s="757"/>
      <c r="K154" s="748"/>
      <c r="L154" s="387" t="s">
        <v>56</v>
      </c>
      <c r="M154" s="387" t="s">
        <v>1524</v>
      </c>
      <c r="N154" s="387" t="s">
        <v>1528</v>
      </c>
      <c r="O154" s="387" t="s">
        <v>1581</v>
      </c>
      <c r="P154" s="387" t="s">
        <v>1526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1163</v>
      </c>
      <c r="C155" s="387" t="s">
        <v>1163</v>
      </c>
      <c r="D155" s="387" t="s">
        <v>518</v>
      </c>
      <c r="E155" s="387" t="s">
        <v>56</v>
      </c>
      <c r="F155" s="705" t="s">
        <v>1226</v>
      </c>
      <c r="G155" s="706">
        <v>0.5061076000000001</v>
      </c>
      <c r="H155" s="707">
        <v>1</v>
      </c>
      <c r="I155" s="740"/>
      <c r="J155" s="757"/>
      <c r="K155" s="748"/>
      <c r="L155" s="387" t="s">
        <v>56</v>
      </c>
      <c r="M155" s="387" t="s">
        <v>1524</v>
      </c>
      <c r="N155" s="387" t="s">
        <v>1528</v>
      </c>
      <c r="O155" s="387" t="s">
        <v>1581</v>
      </c>
      <c r="P155" s="387" t="s">
        <v>1526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1163</v>
      </c>
      <c r="C156" s="387" t="s">
        <v>1163</v>
      </c>
      <c r="D156" s="387" t="s">
        <v>518</v>
      </c>
      <c r="E156" s="387" t="s">
        <v>56</v>
      </c>
      <c r="F156" s="705" t="s">
        <v>1234</v>
      </c>
      <c r="G156" s="706">
        <v>2.0244304000000004</v>
      </c>
      <c r="H156" s="707">
        <v>1</v>
      </c>
      <c r="I156" s="740"/>
      <c r="J156" s="757"/>
      <c r="K156" s="748"/>
      <c r="L156" s="387" t="s">
        <v>56</v>
      </c>
      <c r="M156" s="387" t="s">
        <v>1524</v>
      </c>
      <c r="N156" s="387" t="s">
        <v>1528</v>
      </c>
      <c r="O156" s="387" t="s">
        <v>1581</v>
      </c>
      <c r="P156" s="387" t="s">
        <v>1526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970</v>
      </c>
      <c r="C157" s="666" t="s">
        <v>1165</v>
      </c>
      <c r="D157" s="666"/>
      <c r="E157" s="666"/>
      <c r="F157" s="681" t="s">
        <v>1004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1165</v>
      </c>
      <c r="C158" s="687" t="s">
        <v>1165</v>
      </c>
      <c r="D158" s="687" t="s">
        <v>518</v>
      </c>
      <c r="E158" s="687"/>
      <c r="F158" s="717" t="s">
        <v>1445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1165</v>
      </c>
      <c r="C159" s="387" t="s">
        <v>1165</v>
      </c>
      <c r="D159" s="387" t="s">
        <v>518</v>
      </c>
      <c r="E159" s="387" t="s">
        <v>56</v>
      </c>
      <c r="F159" s="705" t="s">
        <v>36</v>
      </c>
      <c r="G159" s="706">
        <v>1.5621756360000001</v>
      </c>
      <c r="H159" s="707">
        <v>1</v>
      </c>
      <c r="I159" s="740"/>
      <c r="J159" s="757"/>
      <c r="K159" s="748"/>
      <c r="L159" s="387" t="s">
        <v>56</v>
      </c>
      <c r="M159" s="387" t="s">
        <v>1524</v>
      </c>
      <c r="N159" s="387" t="s">
        <v>953</v>
      </c>
      <c r="O159" s="387" t="s">
        <v>953</v>
      </c>
      <c r="P159" s="387" t="s">
        <v>1526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1165</v>
      </c>
      <c r="C160" s="387" t="s">
        <v>1165</v>
      </c>
      <c r="D160" s="387" t="s">
        <v>518</v>
      </c>
      <c r="E160" s="387" t="s">
        <v>56</v>
      </c>
      <c r="F160" s="705" t="s">
        <v>1234</v>
      </c>
      <c r="G160" s="706">
        <v>1.5621756360000001</v>
      </c>
      <c r="H160" s="707">
        <v>1</v>
      </c>
      <c r="I160" s="740"/>
      <c r="J160" s="757"/>
      <c r="K160" s="748"/>
      <c r="L160" s="387" t="s">
        <v>56</v>
      </c>
      <c r="M160" s="387" t="s">
        <v>1524</v>
      </c>
      <c r="N160" s="387" t="s">
        <v>953</v>
      </c>
      <c r="O160" s="387" t="s">
        <v>953</v>
      </c>
      <c r="P160" s="387" t="s">
        <v>1526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972</v>
      </c>
      <c r="C161" s="666" t="s">
        <v>1164</v>
      </c>
      <c r="D161" s="666"/>
      <c r="E161" s="666"/>
      <c r="F161" s="681" t="s">
        <v>1004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1164</v>
      </c>
      <c r="C162" s="687" t="s">
        <v>1164</v>
      </c>
      <c r="D162" s="684" t="s">
        <v>518</v>
      </c>
      <c r="E162" s="684"/>
      <c r="F162" s="717" t="s">
        <v>1445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1164</v>
      </c>
      <c r="C163" s="387" t="s">
        <v>1164</v>
      </c>
      <c r="D163" s="376" t="s">
        <v>518</v>
      </c>
      <c r="E163" s="376" t="s">
        <v>56</v>
      </c>
      <c r="F163" s="705" t="s">
        <v>36</v>
      </c>
      <c r="G163" s="706">
        <v>0.52072521199999999</v>
      </c>
      <c r="H163" s="707">
        <v>1</v>
      </c>
      <c r="I163" s="626"/>
      <c r="J163" s="751"/>
      <c r="K163" s="416"/>
      <c r="L163" s="376" t="s">
        <v>56</v>
      </c>
      <c r="M163" s="376" t="s">
        <v>1524</v>
      </c>
      <c r="N163" s="376" t="s">
        <v>1592</v>
      </c>
      <c r="O163" s="376" t="s">
        <v>953</v>
      </c>
      <c r="P163" s="376" t="s">
        <v>1526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1164</v>
      </c>
      <c r="C164" s="387" t="s">
        <v>1164</v>
      </c>
      <c r="D164" s="376" t="s">
        <v>518</v>
      </c>
      <c r="E164" s="376" t="s">
        <v>56</v>
      </c>
      <c r="F164" s="705" t="s">
        <v>1234</v>
      </c>
      <c r="G164" s="706">
        <v>0.52072521199999999</v>
      </c>
      <c r="H164" s="707">
        <v>1</v>
      </c>
      <c r="I164" s="626"/>
      <c r="J164" s="751"/>
      <c r="K164" s="416"/>
      <c r="L164" s="376" t="s">
        <v>56</v>
      </c>
      <c r="M164" s="376" t="s">
        <v>1524</v>
      </c>
      <c r="N164" s="376" t="s">
        <v>1592</v>
      </c>
      <c r="O164" s="376" t="s">
        <v>953</v>
      </c>
      <c r="P164" s="376" t="s">
        <v>1526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973</v>
      </c>
      <c r="C165" s="665" t="s">
        <v>973</v>
      </c>
      <c r="D165" s="665"/>
      <c r="E165" s="665"/>
      <c r="F165" s="681" t="s">
        <v>1004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973</v>
      </c>
      <c r="C166" s="684" t="s">
        <v>973</v>
      </c>
      <c r="D166" s="684" t="s">
        <v>518</v>
      </c>
      <c r="E166" s="684"/>
      <c r="F166" s="685" t="s">
        <v>1361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973</v>
      </c>
      <c r="C167" s="376" t="s">
        <v>973</v>
      </c>
      <c r="D167" s="376" t="s">
        <v>518</v>
      </c>
      <c r="E167" s="376" t="s">
        <v>56</v>
      </c>
      <c r="F167" s="608" t="s">
        <v>36</v>
      </c>
      <c r="G167" s="609">
        <v>0.1431</v>
      </c>
      <c r="H167" s="692">
        <v>1</v>
      </c>
      <c r="I167" s="626"/>
      <c r="J167" s="751"/>
      <c r="K167" s="416"/>
      <c r="L167" s="376" t="s">
        <v>56</v>
      </c>
      <c r="M167" s="376" t="s">
        <v>1585</v>
      </c>
      <c r="N167" s="376" t="s">
        <v>1497</v>
      </c>
      <c r="O167" s="376" t="s">
        <v>1593</v>
      </c>
      <c r="P167" s="376" t="s">
        <v>1526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973</v>
      </c>
      <c r="C168" s="376" t="s">
        <v>973</v>
      </c>
      <c r="D168" s="376" t="s">
        <v>518</v>
      </c>
      <c r="E168" s="376" t="s">
        <v>56</v>
      </c>
      <c r="F168" s="608" t="s">
        <v>1224</v>
      </c>
      <c r="G168" s="609">
        <v>0.28620000000000001</v>
      </c>
      <c r="H168" s="692">
        <v>1</v>
      </c>
      <c r="I168" s="626"/>
      <c r="J168" s="751"/>
      <c r="K168" s="416"/>
      <c r="L168" s="376" t="s">
        <v>56</v>
      </c>
      <c r="M168" s="376" t="s">
        <v>1585</v>
      </c>
      <c r="N168" s="376" t="s">
        <v>1497</v>
      </c>
      <c r="O168" s="376" t="s">
        <v>1593</v>
      </c>
      <c r="P168" s="376" t="s">
        <v>1526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973</v>
      </c>
      <c r="C169" s="376" t="s">
        <v>973</v>
      </c>
      <c r="D169" s="376" t="s">
        <v>518</v>
      </c>
      <c r="E169" s="376" t="s">
        <v>56</v>
      </c>
      <c r="F169" s="608" t="s">
        <v>1366</v>
      </c>
      <c r="G169" s="609">
        <v>0.1431</v>
      </c>
      <c r="H169" s="692">
        <v>1</v>
      </c>
      <c r="I169" s="626"/>
      <c r="J169" s="751"/>
      <c r="K169" s="416"/>
      <c r="L169" s="376" t="s">
        <v>56</v>
      </c>
      <c r="M169" s="376" t="s">
        <v>1585</v>
      </c>
      <c r="N169" s="376" t="s">
        <v>1497</v>
      </c>
      <c r="O169" s="376" t="s">
        <v>1593</v>
      </c>
      <c r="P169" s="376" t="s">
        <v>1526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973</v>
      </c>
      <c r="C170" s="376" t="s">
        <v>973</v>
      </c>
      <c r="D170" s="376" t="s">
        <v>518</v>
      </c>
      <c r="E170" s="376" t="s">
        <v>56</v>
      </c>
      <c r="F170" s="608" t="s">
        <v>1367</v>
      </c>
      <c r="G170" s="609">
        <v>0.06</v>
      </c>
      <c r="H170" s="692">
        <v>1</v>
      </c>
      <c r="I170" s="626"/>
      <c r="J170" s="751"/>
      <c r="K170" s="416"/>
      <c r="L170" s="376" t="s">
        <v>56</v>
      </c>
      <c r="M170" s="376" t="s">
        <v>1585</v>
      </c>
      <c r="N170" s="376" t="s">
        <v>1497</v>
      </c>
      <c r="O170" s="376" t="s">
        <v>1593</v>
      </c>
      <c r="P170" s="376" t="s">
        <v>1526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975</v>
      </c>
      <c r="C171" s="665" t="s">
        <v>163</v>
      </c>
      <c r="D171" s="665"/>
      <c r="E171" s="665"/>
      <c r="F171" s="681" t="s">
        <v>1004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975</v>
      </c>
      <c r="C172" s="684" t="s">
        <v>1201</v>
      </c>
      <c r="D172" s="684" t="s">
        <v>518</v>
      </c>
      <c r="E172" s="684"/>
      <c r="F172" s="685" t="s">
        <v>1343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975</v>
      </c>
      <c r="C173" s="376" t="s">
        <v>1201</v>
      </c>
      <c r="D173" s="376" t="s">
        <v>518</v>
      </c>
      <c r="E173" s="376" t="s">
        <v>56</v>
      </c>
      <c r="F173" s="608" t="s">
        <v>36</v>
      </c>
      <c r="G173" s="609">
        <v>0.36252000000000001</v>
      </c>
      <c r="H173" s="692">
        <v>1</v>
      </c>
      <c r="I173" s="626"/>
      <c r="J173" s="751"/>
      <c r="K173" s="416"/>
      <c r="L173" s="376" t="s">
        <v>56</v>
      </c>
      <c r="M173" s="376" t="s">
        <v>1585</v>
      </c>
      <c r="N173" s="376" t="s">
        <v>1497</v>
      </c>
      <c r="O173" s="376" t="s">
        <v>1593</v>
      </c>
      <c r="P173" s="376" t="s">
        <v>1502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977</v>
      </c>
      <c r="C174" s="666" t="s">
        <v>1201</v>
      </c>
      <c r="D174" s="667"/>
      <c r="E174" s="665"/>
      <c r="F174" s="681" t="s">
        <v>1004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977</v>
      </c>
      <c r="C175" s="687" t="s">
        <v>1201</v>
      </c>
      <c r="D175" s="684" t="s">
        <v>518</v>
      </c>
      <c r="E175" s="684"/>
      <c r="F175" s="685" t="s">
        <v>1594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977</v>
      </c>
      <c r="C176" s="387" t="s">
        <v>1201</v>
      </c>
      <c r="D176" s="376" t="s">
        <v>518</v>
      </c>
      <c r="E176" s="376" t="s">
        <v>56</v>
      </c>
      <c r="F176" s="608" t="s">
        <v>36</v>
      </c>
      <c r="G176" s="609">
        <v>0.20033977216751808</v>
      </c>
      <c r="H176" s="692">
        <v>1</v>
      </c>
      <c r="I176" s="626"/>
      <c r="J176" s="751"/>
      <c r="K176" s="416"/>
      <c r="L176" s="376" t="s">
        <v>56</v>
      </c>
      <c r="M176" s="376" t="s">
        <v>1585</v>
      </c>
      <c r="N176" s="376" t="s">
        <v>1497</v>
      </c>
      <c r="O176" s="376" t="s">
        <v>1593</v>
      </c>
      <c r="P176" s="376" t="s">
        <v>1422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977</v>
      </c>
      <c r="C177" s="387" t="s">
        <v>1201</v>
      </c>
      <c r="D177" s="376" t="s">
        <v>518</v>
      </c>
      <c r="E177" s="376" t="s">
        <v>56</v>
      </c>
      <c r="F177" s="608" t="s">
        <v>1224</v>
      </c>
      <c r="G177" s="609">
        <v>0.40067954433503616</v>
      </c>
      <c r="H177" s="692">
        <v>1</v>
      </c>
      <c r="I177" s="626"/>
      <c r="J177" s="751"/>
      <c r="K177" s="416"/>
      <c r="L177" s="376" t="s">
        <v>56</v>
      </c>
      <c r="M177" s="376" t="s">
        <v>1585</v>
      </c>
      <c r="N177" s="376" t="s">
        <v>1497</v>
      </c>
      <c r="O177" s="376" t="s">
        <v>1593</v>
      </c>
      <c r="P177" s="376" t="s">
        <v>1422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977</v>
      </c>
      <c r="C178" s="387" t="s">
        <v>1201</v>
      </c>
      <c r="D178" s="376" t="s">
        <v>518</v>
      </c>
      <c r="E178" s="376" t="s">
        <v>56</v>
      </c>
      <c r="F178" s="785" t="s">
        <v>608</v>
      </c>
      <c r="G178" s="609">
        <v>0.20033977216751808</v>
      </c>
      <c r="H178" s="692">
        <v>1</v>
      </c>
      <c r="I178" s="626"/>
      <c r="J178" s="751"/>
      <c r="K178" s="416"/>
      <c r="L178" s="376" t="s">
        <v>56</v>
      </c>
      <c r="M178" s="376" t="s">
        <v>1585</v>
      </c>
      <c r="N178" s="376" t="s">
        <v>1497</v>
      </c>
      <c r="O178" s="376" t="s">
        <v>1593</v>
      </c>
      <c r="P178" s="376" t="s">
        <v>1422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979</v>
      </c>
      <c r="C179" s="666" t="s">
        <v>1201</v>
      </c>
      <c r="D179" s="667" t="s">
        <v>1176</v>
      </c>
      <c r="E179" s="665"/>
      <c r="F179" s="681" t="s">
        <v>1004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6.45" outlineLevel="2">
      <c r="B180" s="684" t="s">
        <v>979</v>
      </c>
      <c r="C180" s="687" t="s">
        <v>1201</v>
      </c>
      <c r="D180" s="684" t="s">
        <v>518</v>
      </c>
      <c r="E180" s="684"/>
      <c r="F180" s="685" t="s">
        <v>1460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979</v>
      </c>
      <c r="C181" s="387" t="s">
        <v>1201</v>
      </c>
      <c r="D181" s="376" t="s">
        <v>518</v>
      </c>
      <c r="E181" s="376" t="s">
        <v>56</v>
      </c>
      <c r="F181" s="608" t="s">
        <v>1224</v>
      </c>
      <c r="G181" s="609">
        <v>0.11386451109389673</v>
      </c>
      <c r="H181" s="692">
        <v>1</v>
      </c>
      <c r="I181" s="626"/>
      <c r="J181" s="751"/>
      <c r="K181" s="416"/>
      <c r="L181" s="376" t="s">
        <v>56</v>
      </c>
      <c r="M181" s="376" t="s">
        <v>1585</v>
      </c>
      <c r="N181" s="376" t="s">
        <v>1497</v>
      </c>
      <c r="O181" s="376" t="s">
        <v>1593</v>
      </c>
      <c r="P181" s="376" t="s">
        <v>1502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979</v>
      </c>
      <c r="C182" s="387" t="s">
        <v>1201</v>
      </c>
      <c r="D182" s="376" t="s">
        <v>518</v>
      </c>
      <c r="E182" s="376" t="s">
        <v>56</v>
      </c>
      <c r="F182" s="608" t="s">
        <v>981</v>
      </c>
      <c r="G182" s="609">
        <v>5.6932255546948363E-2</v>
      </c>
      <c r="H182" s="692">
        <v>1</v>
      </c>
      <c r="I182" s="626"/>
      <c r="J182" s="751"/>
      <c r="K182" s="416"/>
      <c r="L182" s="376" t="s">
        <v>56</v>
      </c>
      <c r="M182" s="376" t="s">
        <v>1595</v>
      </c>
      <c r="N182" s="376" t="s">
        <v>1596</v>
      </c>
      <c r="O182" s="376" t="s">
        <v>1593</v>
      </c>
      <c r="P182" s="376" t="s">
        <v>1502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979</v>
      </c>
      <c r="C183" s="387" t="s">
        <v>1201</v>
      </c>
      <c r="D183" s="376" t="s">
        <v>518</v>
      </c>
      <c r="E183" s="376" t="s">
        <v>56</v>
      </c>
      <c r="F183" s="608" t="s">
        <v>1367</v>
      </c>
      <c r="G183" s="609">
        <v>2.5779755299655999E-2</v>
      </c>
      <c r="H183" s="692">
        <v>1</v>
      </c>
      <c r="I183" s="626"/>
      <c r="J183" s="751"/>
      <c r="K183" s="416"/>
      <c r="L183" s="376" t="s">
        <v>56</v>
      </c>
      <c r="M183" s="376" t="s">
        <v>1585</v>
      </c>
      <c r="N183" s="376" t="s">
        <v>1497</v>
      </c>
      <c r="O183" s="376" t="s">
        <v>1593</v>
      </c>
      <c r="P183" s="376" t="s">
        <v>1502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979</v>
      </c>
      <c r="C184" s="387" t="s">
        <v>1201</v>
      </c>
      <c r="D184" s="376" t="s">
        <v>518</v>
      </c>
      <c r="E184" s="376" t="s">
        <v>56</v>
      </c>
      <c r="F184" s="608" t="s">
        <v>1465</v>
      </c>
      <c r="G184" s="609">
        <v>5.1559510599311999E-2</v>
      </c>
      <c r="H184" s="692">
        <v>1</v>
      </c>
      <c r="I184" s="626"/>
      <c r="J184" s="751"/>
      <c r="K184" s="416"/>
      <c r="L184" s="376" t="s">
        <v>56</v>
      </c>
      <c r="M184" s="376" t="s">
        <v>1585</v>
      </c>
      <c r="N184" s="376" t="s">
        <v>1497</v>
      </c>
      <c r="O184" s="376" t="s">
        <v>1593</v>
      </c>
      <c r="P184" s="376" t="s">
        <v>1502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979</v>
      </c>
      <c r="C185" s="387" t="s">
        <v>1201</v>
      </c>
      <c r="D185" s="376" t="s">
        <v>518</v>
      </c>
      <c r="E185" s="376" t="s">
        <v>56</v>
      </c>
      <c r="F185" s="608" t="s">
        <v>1461</v>
      </c>
      <c r="G185" s="609">
        <v>2.5779755299655999E-2</v>
      </c>
      <c r="H185" s="692">
        <v>1</v>
      </c>
      <c r="I185" s="626"/>
      <c r="J185" s="751"/>
      <c r="K185" s="416"/>
      <c r="L185" s="376" t="s">
        <v>56</v>
      </c>
      <c r="M185" s="376" t="s">
        <v>1524</v>
      </c>
      <c r="N185" s="376" t="s">
        <v>1525</v>
      </c>
      <c r="O185" s="376" t="s">
        <v>953</v>
      </c>
      <c r="P185" s="376" t="s">
        <v>1502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979</v>
      </c>
      <c r="C186" s="387" t="s">
        <v>1597</v>
      </c>
      <c r="D186" s="376" t="s">
        <v>518</v>
      </c>
      <c r="E186" s="376" t="s">
        <v>56</v>
      </c>
      <c r="F186" s="608" t="s">
        <v>1462</v>
      </c>
      <c r="G186" s="609">
        <v>2.5779755299655999E-2</v>
      </c>
      <c r="H186" s="692">
        <v>1</v>
      </c>
      <c r="I186" s="626"/>
      <c r="J186" s="751"/>
      <c r="K186" s="416"/>
      <c r="L186" s="376" t="s">
        <v>437</v>
      </c>
      <c r="M186" s="376" t="s">
        <v>1598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982</v>
      </c>
      <c r="C187" s="666" t="s">
        <v>1220</v>
      </c>
      <c r="D187" s="667" t="s">
        <v>1176</v>
      </c>
      <c r="E187" s="665"/>
      <c r="F187" s="681" t="s">
        <v>1004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982</v>
      </c>
      <c r="C188" s="687" t="s">
        <v>1220</v>
      </c>
      <c r="D188" s="684" t="s">
        <v>518</v>
      </c>
      <c r="E188" s="684"/>
      <c r="F188" s="685" t="s">
        <v>1458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982</v>
      </c>
      <c r="C189" s="387" t="s">
        <v>1220</v>
      </c>
      <c r="D189" s="376" t="s">
        <v>518</v>
      </c>
      <c r="E189" s="376" t="s">
        <v>56</v>
      </c>
      <c r="F189" s="608" t="s">
        <v>36</v>
      </c>
      <c r="G189" s="609">
        <v>7.133861740420798E-2</v>
      </c>
      <c r="H189" s="692">
        <v>1</v>
      </c>
      <c r="I189" s="626"/>
      <c r="J189" s="751"/>
      <c r="K189" s="416"/>
      <c r="L189" s="376" t="s">
        <v>56</v>
      </c>
      <c r="M189" s="376" t="s">
        <v>1585</v>
      </c>
      <c r="N189" s="376" t="s">
        <v>1497</v>
      </c>
      <c r="O189" s="376" t="s">
        <v>1593</v>
      </c>
      <c r="P189" s="376" t="s">
        <v>1502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985</v>
      </c>
      <c r="C190" s="665" t="s">
        <v>985</v>
      </c>
      <c r="D190" s="665"/>
      <c r="E190" s="665"/>
      <c r="F190" s="681" t="s">
        <v>1004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985</v>
      </c>
      <c r="C191" s="684" t="s">
        <v>985</v>
      </c>
      <c r="D191" s="684" t="s">
        <v>518</v>
      </c>
      <c r="E191" s="684"/>
      <c r="F191" s="685" t="s">
        <v>1368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985</v>
      </c>
      <c r="C192" s="376" t="s">
        <v>985</v>
      </c>
      <c r="D192" s="376" t="s">
        <v>518</v>
      </c>
      <c r="E192" s="376" t="s">
        <v>56</v>
      </c>
      <c r="F192" s="608" t="s">
        <v>36</v>
      </c>
      <c r="G192" s="609"/>
      <c r="H192" s="692">
        <v>1</v>
      </c>
      <c r="I192" s="626"/>
      <c r="J192" s="751"/>
      <c r="K192" s="416"/>
      <c r="L192" s="376" t="s">
        <v>56</v>
      </c>
      <c r="M192" s="376" t="s">
        <v>1585</v>
      </c>
      <c r="N192" s="376" t="s">
        <v>1497</v>
      </c>
      <c r="O192" s="376" t="s">
        <v>1593</v>
      </c>
      <c r="P192" s="376" t="s">
        <v>1026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497</v>
      </c>
      <c r="C193" s="665" t="s">
        <v>1371</v>
      </c>
      <c r="D193" s="665"/>
      <c r="E193" s="665"/>
      <c r="F193" s="681" t="s">
        <v>1004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497</v>
      </c>
      <c r="C194" s="684" t="s">
        <v>1371</v>
      </c>
      <c r="D194" s="684" t="s">
        <v>518</v>
      </c>
      <c r="E194" s="684"/>
      <c r="F194" s="685" t="s">
        <v>1467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497</v>
      </c>
      <c r="C195" s="376" t="s">
        <v>1371</v>
      </c>
      <c r="D195" s="376" t="s">
        <v>518</v>
      </c>
      <c r="E195" s="376" t="s">
        <v>56</v>
      </c>
      <c r="F195" s="608" t="s">
        <v>36</v>
      </c>
      <c r="G195" s="609">
        <v>0.19</v>
      </c>
      <c r="H195" s="692">
        <v>1</v>
      </c>
      <c r="I195" s="626"/>
      <c r="J195" s="751"/>
      <c r="K195" s="416"/>
      <c r="L195" s="376" t="s">
        <v>56</v>
      </c>
      <c r="M195" s="376" t="s">
        <v>1524</v>
      </c>
      <c r="N195" s="376" t="s">
        <v>1581</v>
      </c>
      <c r="O195" s="376" t="s">
        <v>953</v>
      </c>
      <c r="P195" s="376" t="s">
        <v>1533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988</v>
      </c>
      <c r="C196" s="682" t="s">
        <v>1384</v>
      </c>
      <c r="D196" s="682"/>
      <c r="E196" s="682"/>
      <c r="F196" s="681" t="s">
        <v>1004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1384</v>
      </c>
      <c r="C197" s="688" t="s">
        <v>1384</v>
      </c>
      <c r="D197" s="688" t="s">
        <v>518</v>
      </c>
      <c r="E197" s="688"/>
      <c r="F197" s="712" t="s">
        <v>1218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1384</v>
      </c>
      <c r="C198" s="456" t="s">
        <v>1384</v>
      </c>
      <c r="D198" s="456" t="s">
        <v>518</v>
      </c>
      <c r="E198" s="456" t="s">
        <v>56</v>
      </c>
      <c r="F198" s="623" t="s">
        <v>36</v>
      </c>
      <c r="G198" s="744">
        <v>2.0043571200000002E-2</v>
      </c>
      <c r="H198" s="745">
        <v>1</v>
      </c>
      <c r="I198" s="626"/>
      <c r="J198" s="751"/>
      <c r="K198" s="416"/>
      <c r="L198" s="456" t="s">
        <v>56</v>
      </c>
      <c r="M198" s="456" t="s">
        <v>1577</v>
      </c>
      <c r="N198" s="456" t="s">
        <v>953</v>
      </c>
      <c r="O198" s="456"/>
      <c r="P198" s="456" t="s">
        <v>1548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989</v>
      </c>
      <c r="C199" s="682" t="s">
        <v>1349</v>
      </c>
      <c r="D199" s="682"/>
      <c r="E199" s="682"/>
      <c r="F199" s="681" t="s">
        <v>1004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989</v>
      </c>
      <c r="C200" s="684" t="s">
        <v>1349</v>
      </c>
      <c r="D200" s="684" t="s">
        <v>518</v>
      </c>
      <c r="E200" s="684"/>
      <c r="F200" s="685" t="s">
        <v>1224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989</v>
      </c>
      <c r="C201" s="376" t="s">
        <v>1349</v>
      </c>
      <c r="D201" s="376" t="s">
        <v>518</v>
      </c>
      <c r="E201" s="376" t="s">
        <v>56</v>
      </c>
      <c r="F201" s="608" t="s">
        <v>1373</v>
      </c>
      <c r="G201" s="609">
        <v>1.0864152</v>
      </c>
      <c r="H201" s="692">
        <v>1</v>
      </c>
      <c r="I201" s="626"/>
      <c r="J201" s="751"/>
      <c r="K201" s="416"/>
      <c r="L201" s="376" t="s">
        <v>56</v>
      </c>
      <c r="M201" s="376" t="s">
        <v>1524</v>
      </c>
      <c r="N201" s="376" t="s">
        <v>1525</v>
      </c>
      <c r="O201" s="376" t="s">
        <v>953</v>
      </c>
      <c r="P201" s="376" t="s">
        <v>1526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989</v>
      </c>
      <c r="C202" s="376" t="s">
        <v>1349</v>
      </c>
      <c r="D202" s="376" t="s">
        <v>518</v>
      </c>
      <c r="E202" s="376" t="s">
        <v>56</v>
      </c>
      <c r="F202" s="608" t="s">
        <v>1365</v>
      </c>
      <c r="G202" s="609">
        <v>1.45</v>
      </c>
      <c r="H202" s="692">
        <v>1</v>
      </c>
      <c r="I202" s="626"/>
      <c r="J202" s="751"/>
      <c r="K202" s="416"/>
      <c r="L202" s="376" t="s">
        <v>56</v>
      </c>
      <c r="M202" s="376" t="s">
        <v>1524</v>
      </c>
      <c r="N202" s="376" t="s">
        <v>1525</v>
      </c>
      <c r="O202" s="376" t="s">
        <v>953</v>
      </c>
      <c r="P202" s="376" t="s">
        <v>1526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236</v>
      </c>
      <c r="C203" s="666" t="s">
        <v>1235</v>
      </c>
      <c r="D203" s="667"/>
      <c r="E203" s="665"/>
      <c r="F203" s="681" t="s">
        <v>1004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236</v>
      </c>
      <c r="C204" s="687" t="s">
        <v>1235</v>
      </c>
      <c r="D204" s="684" t="s">
        <v>518</v>
      </c>
      <c r="E204" s="684"/>
      <c r="F204" s="685" t="s">
        <v>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236</v>
      </c>
      <c r="C205" s="387" t="s">
        <v>1235</v>
      </c>
      <c r="D205" s="376" t="s">
        <v>518</v>
      </c>
      <c r="E205" s="376" t="s">
        <v>56</v>
      </c>
      <c r="F205" s="608" t="s">
        <v>36</v>
      </c>
      <c r="G205" s="609">
        <v>4.0201798335435006</v>
      </c>
      <c r="H205" s="692">
        <v>1</v>
      </c>
      <c r="I205" s="626"/>
      <c r="J205" s="751"/>
      <c r="K205" s="416"/>
      <c r="L205" s="376" t="s">
        <v>56</v>
      </c>
      <c r="M205" s="376" t="s">
        <v>1585</v>
      </c>
      <c r="N205" s="376" t="s">
        <v>1497</v>
      </c>
      <c r="O205" s="376" t="s">
        <v>1593</v>
      </c>
      <c r="P205" s="376" t="s">
        <v>1526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1599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958</v>
      </c>
      <c r="C8" s="666" t="s">
        <v>160</v>
      </c>
      <c r="D8" s="666"/>
      <c r="E8" s="666"/>
      <c r="F8" s="681" t="s">
        <v>1004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162</v>
      </c>
      <c r="C9" s="684" t="s">
        <v>1600</v>
      </c>
      <c r="D9" s="684" t="s">
        <v>159</v>
      </c>
      <c r="E9" s="684"/>
      <c r="F9" s="685" t="s">
        <v>1600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162</v>
      </c>
      <c r="C10" s="387" t="s">
        <v>160</v>
      </c>
      <c r="D10" s="376" t="s">
        <v>159</v>
      </c>
      <c r="E10" s="376" t="s">
        <v>47</v>
      </c>
      <c r="F10" s="705" t="s">
        <v>1601</v>
      </c>
      <c r="H10" s="768">
        <v>1</v>
      </c>
      <c r="I10" s="626"/>
      <c r="J10" s="751"/>
      <c r="L10" s="376" t="s">
        <v>47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162</v>
      </c>
      <c r="C11" s="387" t="s">
        <v>160</v>
      </c>
      <c r="D11" s="376" t="s">
        <v>159</v>
      </c>
      <c r="E11" s="376" t="s">
        <v>47</v>
      </c>
      <c r="F11" s="705" t="s">
        <v>1602</v>
      </c>
      <c r="H11" s="768">
        <v>1</v>
      </c>
      <c r="I11" s="626"/>
      <c r="J11" s="751"/>
      <c r="L11" s="376" t="s">
        <v>47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162</v>
      </c>
      <c r="C12" s="684" t="s">
        <v>1603</v>
      </c>
      <c r="D12" s="684" t="s">
        <v>159</v>
      </c>
      <c r="E12" s="684"/>
      <c r="F12" s="685" t="s">
        <v>1603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162</v>
      </c>
      <c r="C13" s="387" t="s">
        <v>160</v>
      </c>
      <c r="D13" s="376" t="s">
        <v>159</v>
      </c>
      <c r="E13" s="376" t="s">
        <v>47</v>
      </c>
      <c r="F13" s="705" t="s">
        <v>1604</v>
      </c>
      <c r="G13" s="695"/>
      <c r="H13" s="768">
        <v>1</v>
      </c>
      <c r="I13" s="626"/>
      <c r="J13" s="751"/>
      <c r="L13" s="376" t="s">
        <v>47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162</v>
      </c>
      <c r="C14" s="387" t="s">
        <v>160</v>
      </c>
      <c r="D14" s="376" t="s">
        <v>159</v>
      </c>
      <c r="E14" s="376" t="s">
        <v>47</v>
      </c>
      <c r="F14" s="705" t="s">
        <v>1601</v>
      </c>
      <c r="G14" s="695"/>
      <c r="H14" s="768">
        <v>1</v>
      </c>
      <c r="I14" s="626"/>
      <c r="J14" s="751"/>
      <c r="L14" s="376" t="s">
        <v>47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162</v>
      </c>
      <c r="C15" s="387" t="s">
        <v>160</v>
      </c>
      <c r="D15" s="376" t="s">
        <v>159</v>
      </c>
      <c r="E15" s="376" t="s">
        <v>47</v>
      </c>
      <c r="F15" s="705" t="s">
        <v>1602</v>
      </c>
      <c r="G15" s="695"/>
      <c r="H15" s="768">
        <v>1</v>
      </c>
      <c r="I15" s="626"/>
      <c r="J15" s="751"/>
      <c r="L15" s="376" t="s">
        <v>47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162</v>
      </c>
      <c r="C16" s="684" t="s">
        <v>1605</v>
      </c>
      <c r="D16" s="684" t="s">
        <v>159</v>
      </c>
      <c r="E16" s="684"/>
      <c r="F16" s="685" t="s">
        <v>1605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162</v>
      </c>
      <c r="C17" s="387" t="s">
        <v>160</v>
      </c>
      <c r="D17" s="376" t="s">
        <v>159</v>
      </c>
      <c r="E17" s="376" t="s">
        <v>47</v>
      </c>
      <c r="F17" s="705" t="s">
        <v>1604</v>
      </c>
      <c r="G17" s="695"/>
      <c r="H17" s="768">
        <v>1</v>
      </c>
      <c r="I17" s="626"/>
      <c r="J17" s="751"/>
      <c r="L17" s="376" t="s">
        <v>47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162</v>
      </c>
      <c r="C18" s="387" t="s">
        <v>160</v>
      </c>
      <c r="D18" s="376" t="s">
        <v>159</v>
      </c>
      <c r="E18" s="376" t="s">
        <v>47</v>
      </c>
      <c r="F18" s="705" t="s">
        <v>1601</v>
      </c>
      <c r="G18" s="695"/>
      <c r="H18" s="768">
        <v>1</v>
      </c>
      <c r="I18" s="626"/>
      <c r="J18" s="751"/>
      <c r="L18" s="376" t="s">
        <v>47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162</v>
      </c>
      <c r="C19" s="387" t="s">
        <v>160</v>
      </c>
      <c r="D19" s="376" t="s">
        <v>159</v>
      </c>
      <c r="E19" s="376" t="s">
        <v>47</v>
      </c>
      <c r="F19" s="705" t="s">
        <v>1602</v>
      </c>
      <c r="G19" s="695"/>
      <c r="H19" s="768">
        <v>1</v>
      </c>
      <c r="I19" s="626"/>
      <c r="J19" s="751"/>
      <c r="L19" s="376" t="s">
        <v>47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163</v>
      </c>
      <c r="C20" s="685" t="s">
        <v>1606</v>
      </c>
      <c r="D20" s="684" t="s">
        <v>159</v>
      </c>
      <c r="E20" s="684"/>
      <c r="F20" s="685" t="s">
        <v>1606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163</v>
      </c>
      <c r="C21" s="387" t="s">
        <v>160</v>
      </c>
      <c r="D21" s="376" t="s">
        <v>159</v>
      </c>
      <c r="E21" s="376" t="s">
        <v>47</v>
      </c>
      <c r="F21" s="705" t="s">
        <v>1604</v>
      </c>
      <c r="H21" s="768">
        <v>1</v>
      </c>
      <c r="I21" s="626"/>
      <c r="J21" s="751"/>
      <c r="L21" s="376" t="s">
        <v>47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163</v>
      </c>
      <c r="C22" s="387" t="s">
        <v>160</v>
      </c>
      <c r="D22" s="376" t="s">
        <v>159</v>
      </c>
      <c r="E22" s="376" t="s">
        <v>47</v>
      </c>
      <c r="F22" s="705" t="s">
        <v>1601</v>
      </c>
      <c r="H22" s="768">
        <v>1</v>
      </c>
      <c r="I22" s="626"/>
      <c r="J22" s="751"/>
      <c r="L22" s="376" t="s">
        <v>47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163</v>
      </c>
      <c r="C23" s="685" t="s">
        <v>1607</v>
      </c>
      <c r="D23" s="684" t="s">
        <v>159</v>
      </c>
      <c r="E23" s="684"/>
      <c r="F23" s="685" t="s">
        <v>1607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163</v>
      </c>
      <c r="C24" s="387" t="s">
        <v>160</v>
      </c>
      <c r="D24" s="376" t="s">
        <v>159</v>
      </c>
      <c r="E24" s="376" t="s">
        <v>47</v>
      </c>
      <c r="F24" s="705" t="s">
        <v>1604</v>
      </c>
      <c r="G24" s="695"/>
      <c r="H24" s="768">
        <v>1</v>
      </c>
      <c r="I24" s="626"/>
      <c r="J24" s="751"/>
      <c r="L24" s="376" t="s">
        <v>47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163</v>
      </c>
      <c r="C25" s="387" t="s">
        <v>160</v>
      </c>
      <c r="D25" s="376" t="s">
        <v>159</v>
      </c>
      <c r="E25" s="376" t="s">
        <v>47</v>
      </c>
      <c r="F25" s="705" t="s">
        <v>1601</v>
      </c>
      <c r="G25" s="695"/>
      <c r="H25" s="768">
        <v>1</v>
      </c>
      <c r="I25" s="626"/>
      <c r="J25" s="751"/>
      <c r="L25" s="376" t="s">
        <v>47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163</v>
      </c>
      <c r="C26" s="685" t="s">
        <v>1608</v>
      </c>
      <c r="D26" s="684" t="s">
        <v>159</v>
      </c>
      <c r="E26" s="684"/>
      <c r="F26" s="685" t="s">
        <v>1608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163</v>
      </c>
      <c r="C27" s="387" t="s">
        <v>160</v>
      </c>
      <c r="D27" s="376" t="s">
        <v>159</v>
      </c>
      <c r="E27" s="376" t="s">
        <v>47</v>
      </c>
      <c r="F27" s="705" t="s">
        <v>1604</v>
      </c>
      <c r="G27" s="695"/>
      <c r="H27" s="768">
        <v>1</v>
      </c>
      <c r="I27" s="626"/>
      <c r="J27" s="751"/>
      <c r="L27" s="376" t="s">
        <v>47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163</v>
      </c>
      <c r="C28" s="387" t="s">
        <v>160</v>
      </c>
      <c r="D28" s="376" t="s">
        <v>159</v>
      </c>
      <c r="E28" s="376" t="s">
        <v>47</v>
      </c>
      <c r="F28" s="705" t="s">
        <v>1601</v>
      </c>
      <c r="G28" s="695"/>
      <c r="H28" s="768">
        <v>1</v>
      </c>
      <c r="I28" s="626"/>
      <c r="J28" s="751"/>
      <c r="L28" s="376" t="s">
        <v>47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164</v>
      </c>
      <c r="C29" s="685" t="s">
        <v>1609</v>
      </c>
      <c r="D29" s="684" t="s">
        <v>159</v>
      </c>
      <c r="E29" s="684"/>
      <c r="F29" s="685" t="s">
        <v>1609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164</v>
      </c>
      <c r="C30" s="387" t="s">
        <v>160</v>
      </c>
      <c r="D30" s="376" t="s">
        <v>159</v>
      </c>
      <c r="E30" s="376" t="s">
        <v>47</v>
      </c>
      <c r="F30" s="705" t="s">
        <v>1604</v>
      </c>
      <c r="G30" s="695"/>
      <c r="H30" s="768">
        <v>1</v>
      </c>
      <c r="I30" s="626"/>
      <c r="J30" s="751"/>
      <c r="L30" s="376" t="s">
        <v>47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164</v>
      </c>
      <c r="C31" s="387" t="s">
        <v>160</v>
      </c>
      <c r="D31" s="376" t="s">
        <v>159</v>
      </c>
      <c r="E31" s="376" t="s">
        <v>47</v>
      </c>
      <c r="F31" s="705" t="s">
        <v>1601</v>
      </c>
      <c r="G31" s="695"/>
      <c r="H31" s="768">
        <v>1</v>
      </c>
      <c r="I31" s="626"/>
      <c r="J31" s="751"/>
      <c r="L31" s="376" t="s">
        <v>47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164</v>
      </c>
      <c r="C32" s="387" t="s">
        <v>160</v>
      </c>
      <c r="D32" s="376" t="s">
        <v>159</v>
      </c>
      <c r="E32" s="376" t="s">
        <v>47</v>
      </c>
      <c r="F32" s="705" t="s">
        <v>1602</v>
      </c>
      <c r="G32" s="609"/>
      <c r="H32" s="769">
        <v>1</v>
      </c>
      <c r="I32" s="626"/>
      <c r="J32" s="751"/>
      <c r="K32" s="416"/>
      <c r="L32" s="376" t="s">
        <v>47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164</v>
      </c>
      <c r="C33" s="685" t="s">
        <v>1610</v>
      </c>
      <c r="D33" s="684" t="s">
        <v>159</v>
      </c>
      <c r="E33" s="684"/>
      <c r="F33" s="685" t="s">
        <v>1610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164</v>
      </c>
      <c r="C34" s="387" t="s">
        <v>160</v>
      </c>
      <c r="D34" s="376" t="s">
        <v>159</v>
      </c>
      <c r="E34" s="376" t="s">
        <v>47</v>
      </c>
      <c r="F34" s="705" t="s">
        <v>1604</v>
      </c>
      <c r="G34" s="695"/>
      <c r="H34" s="768">
        <v>1</v>
      </c>
      <c r="I34" s="626"/>
      <c r="J34" s="751"/>
      <c r="L34" s="376" t="s">
        <v>47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164</v>
      </c>
      <c r="C35" s="387" t="s">
        <v>160</v>
      </c>
      <c r="D35" s="376" t="s">
        <v>159</v>
      </c>
      <c r="E35" s="376" t="s">
        <v>47</v>
      </c>
      <c r="F35" s="705" t="s">
        <v>1601</v>
      </c>
      <c r="G35" s="695"/>
      <c r="H35" s="768">
        <v>1</v>
      </c>
      <c r="I35" s="626"/>
      <c r="J35" s="751"/>
      <c r="L35" s="376" t="s">
        <v>47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164</v>
      </c>
      <c r="C36" s="387" t="s">
        <v>160</v>
      </c>
      <c r="D36" s="376" t="s">
        <v>159</v>
      </c>
      <c r="E36" s="376" t="s">
        <v>47</v>
      </c>
      <c r="F36" s="705" t="s">
        <v>1602</v>
      </c>
      <c r="G36" s="609"/>
      <c r="H36" s="769">
        <v>1</v>
      </c>
      <c r="I36" s="626"/>
      <c r="J36" s="751"/>
      <c r="K36" s="416"/>
      <c r="L36" s="376" t="s">
        <v>47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165</v>
      </c>
      <c r="C37" s="685" t="s">
        <v>1611</v>
      </c>
      <c r="D37" s="684" t="s">
        <v>159</v>
      </c>
      <c r="E37" s="684"/>
      <c r="F37" s="685" t="s">
        <v>1611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165</v>
      </c>
      <c r="C38" s="387" t="s">
        <v>160</v>
      </c>
      <c r="D38" s="376" t="s">
        <v>159</v>
      </c>
      <c r="E38" s="376" t="s">
        <v>47</v>
      </c>
      <c r="F38" s="705" t="s">
        <v>1604</v>
      </c>
      <c r="G38" s="695"/>
      <c r="H38" s="768">
        <v>1</v>
      </c>
      <c r="I38" s="626"/>
      <c r="J38" s="751"/>
      <c r="L38" s="376" t="s">
        <v>47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973</v>
      </c>
      <c r="C39" s="684" t="s">
        <v>1612</v>
      </c>
      <c r="D39" s="684" t="s">
        <v>159</v>
      </c>
      <c r="E39" s="684"/>
      <c r="F39" s="685" t="s">
        <v>1612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973</v>
      </c>
      <c r="C40" s="387" t="s">
        <v>160</v>
      </c>
      <c r="D40" s="376" t="s">
        <v>159</v>
      </c>
      <c r="E40" s="376" t="s">
        <v>47</v>
      </c>
      <c r="F40" s="705" t="s">
        <v>1604</v>
      </c>
      <c r="H40" s="769">
        <v>1</v>
      </c>
      <c r="I40" s="626"/>
      <c r="J40" s="751"/>
      <c r="L40" s="376" t="s">
        <v>47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973</v>
      </c>
      <c r="C41" s="387" t="s">
        <v>160</v>
      </c>
      <c r="D41" s="376" t="s">
        <v>159</v>
      </c>
      <c r="E41" s="376" t="s">
        <v>47</v>
      </c>
      <c r="F41" s="705" t="s">
        <v>1601</v>
      </c>
      <c r="H41" s="769">
        <v>1</v>
      </c>
      <c r="I41" s="626"/>
      <c r="J41" s="751"/>
      <c r="L41" s="376" t="s">
        <v>47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973</v>
      </c>
      <c r="C42" s="684" t="s">
        <v>1613</v>
      </c>
      <c r="D42" s="684" t="s">
        <v>159</v>
      </c>
      <c r="E42" s="684"/>
      <c r="F42" s="685" t="s">
        <v>1613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973</v>
      </c>
      <c r="C43" s="387" t="s">
        <v>160</v>
      </c>
      <c r="D43" s="376" t="s">
        <v>159</v>
      </c>
      <c r="E43" s="376" t="s">
        <v>47</v>
      </c>
      <c r="F43" s="705" t="s">
        <v>1604</v>
      </c>
      <c r="G43" s="609"/>
      <c r="H43" s="769">
        <v>1</v>
      </c>
      <c r="I43" s="626"/>
      <c r="J43" s="751"/>
      <c r="L43" s="376" t="s">
        <v>47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973</v>
      </c>
      <c r="C44" s="387" t="s">
        <v>160</v>
      </c>
      <c r="D44" s="376" t="s">
        <v>159</v>
      </c>
      <c r="E44" s="376" t="s">
        <v>47</v>
      </c>
      <c r="F44" s="705" t="s">
        <v>1601</v>
      </c>
      <c r="G44" s="609"/>
      <c r="H44" s="769">
        <v>1</v>
      </c>
      <c r="I44" s="626"/>
      <c r="J44" s="751"/>
      <c r="L44" s="376" t="s">
        <v>47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1307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617</v>
      </c>
      <c r="C48" s="666" t="s">
        <v>1308</v>
      </c>
      <c r="D48" s="667"/>
      <c r="E48" s="665"/>
      <c r="F48" s="681" t="s">
        <v>1004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1161</v>
      </c>
      <c r="C49" s="687" t="s">
        <v>1309</v>
      </c>
      <c r="D49" s="684" t="s">
        <v>617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1161</v>
      </c>
      <c r="C50" s="803" t="s">
        <v>1309</v>
      </c>
      <c r="D50" s="376" t="s">
        <v>617</v>
      </c>
      <c r="E50" s="376" t="s">
        <v>47</v>
      </c>
      <c r="F50" s="608" t="s">
        <v>1614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3.15" outlineLevelRow="1"/>
  <cols>
    <col min="2" max="2" width="18.7109375" customWidth="1"/>
    <col min="3" max="3" width="18.28515625" bestFit="1" customWidth="1"/>
    <col min="4" max="4" width="13.7109375" bestFit="1" customWidth="1"/>
    <col min="5" max="5" width="2" bestFit="1" customWidth="1"/>
    <col min="6" max="6" width="14.5703125" bestFit="1" customWidth="1"/>
    <col min="7" max="7" width="26.7109375" bestFit="1" customWidth="1"/>
    <col min="8" max="8" width="57.28515625" bestFit="1" customWidth="1"/>
    <col min="9" max="9" width="37.28515625" bestFit="1" customWidth="1"/>
    <col min="10" max="10" width="55.7109375" bestFit="1" customWidth="1"/>
    <col min="11" max="11" width="26.7109375" bestFit="1" customWidth="1"/>
    <col min="12" max="12" width="52.28515625" bestFit="1" customWidth="1"/>
    <col min="13" max="13" width="51.28515625" bestFit="1" customWidth="1"/>
    <col min="14" max="14" width="59.7109375" bestFit="1" customWidth="1"/>
    <col min="15" max="15" width="32.7109375" bestFit="1" customWidth="1"/>
    <col min="16" max="16" width="19.7109375" bestFit="1" customWidth="1"/>
    <col min="17" max="17" width="20.42578125" bestFit="1" customWidth="1"/>
    <col min="18" max="18" width="47.7109375" bestFit="1" customWidth="1"/>
    <col min="19" max="20" width="28.7109375" bestFit="1" customWidth="1"/>
    <col min="21" max="21" width="26" bestFit="1" customWidth="1"/>
    <col min="22" max="22" width="62" bestFit="1" customWidth="1"/>
    <col min="23" max="23" width="68.7109375" bestFit="1" customWidth="1"/>
    <col min="24" max="24" width="41.42578125" bestFit="1" customWidth="1"/>
    <col min="25" max="25" width="26" bestFit="1" customWidth="1"/>
    <col min="26" max="26" width="31.7109375" bestFit="1" customWidth="1"/>
    <col min="27" max="27" width="32.7109375" bestFit="1" customWidth="1"/>
    <col min="28" max="28" width="44.28515625" bestFit="1" customWidth="1"/>
    <col min="29" max="29" width="21.7109375" bestFit="1" customWidth="1"/>
    <col min="30" max="30" width="19.7109375" bestFit="1" customWidth="1"/>
    <col min="31" max="31" width="23.7109375" bestFit="1" customWidth="1"/>
    <col min="32" max="32" width="31.7109375" bestFit="1" customWidth="1"/>
    <col min="33" max="33" width="29.28515625" bestFit="1" customWidth="1"/>
    <col min="34" max="34" width="27.710937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7109375" bestFit="1" customWidth="1"/>
    <col min="39" max="39" width="29.28515625" bestFit="1" customWidth="1"/>
    <col min="40" max="40" width="29.7109375" bestFit="1" customWidth="1"/>
    <col min="41" max="41" width="30.42578125" bestFit="1" customWidth="1"/>
    <col min="42" max="42" width="34.28515625" bestFit="1" customWidth="1"/>
    <col min="43" max="43" width="28.5703125" bestFit="1" customWidth="1"/>
    <col min="44" max="44" width="29.28515625" bestFit="1" customWidth="1"/>
    <col min="45" max="45" width="95.7109375" bestFit="1" customWidth="1"/>
    <col min="46" max="46" width="37" bestFit="1" customWidth="1"/>
    <col min="47" max="47" width="68.5703125" bestFit="1" customWidth="1"/>
    <col min="48" max="48" width="51.5703125" bestFit="1" customWidth="1"/>
    <col min="49" max="50" width="27.7109375" bestFit="1" customWidth="1"/>
    <col min="51" max="51" width="27.5703125" bestFit="1" customWidth="1"/>
    <col min="52" max="52" width="54.5703125" bestFit="1" customWidth="1"/>
    <col min="53" max="53" width="39.7109375" bestFit="1" customWidth="1"/>
    <col min="54" max="54" width="46.28515625" bestFit="1" customWidth="1"/>
    <col min="55" max="55" width="28.28515625" bestFit="1" customWidth="1"/>
    <col min="56" max="56" width="66" bestFit="1" customWidth="1"/>
    <col min="57" max="57" width="82.7109375" bestFit="1" customWidth="1"/>
    <col min="58" max="58" width="50.5703125" bestFit="1" customWidth="1"/>
    <col min="59" max="59" width="37.28515625" bestFit="1" customWidth="1"/>
    <col min="60" max="60" width="45.28515625" bestFit="1" customWidth="1"/>
    <col min="61" max="61" width="43" bestFit="1" customWidth="1"/>
    <col min="62" max="62" width="42.7109375" bestFit="1" customWidth="1"/>
    <col min="63" max="63" width="45.5703125" bestFit="1" customWidth="1"/>
    <col min="64" max="64" width="42.7109375" bestFit="1" customWidth="1"/>
    <col min="65" max="65" width="43.42578125" bestFit="1" customWidth="1"/>
    <col min="66" max="66" width="58.28515625" bestFit="1" customWidth="1"/>
    <col min="67" max="67" width="51.5703125" bestFit="1" customWidth="1"/>
    <col min="68" max="68" width="45.7109375" bestFit="1" customWidth="1"/>
    <col min="69" max="69" width="34" bestFit="1" customWidth="1"/>
    <col min="70" max="70" width="25.7109375" bestFit="1" customWidth="1"/>
    <col min="71" max="71" width="39" bestFit="1" customWidth="1"/>
    <col min="72" max="73" width="53.28515625" bestFit="1" customWidth="1"/>
    <col min="74" max="74" width="37.7109375" bestFit="1" customWidth="1"/>
    <col min="75" max="75" width="53.7109375" bestFit="1" customWidth="1"/>
    <col min="76" max="76" width="28.28515625" bestFit="1" customWidth="1"/>
    <col min="77" max="77" width="24.28515625" bestFit="1" customWidth="1"/>
    <col min="78" max="78" width="21.28515625" bestFit="1" customWidth="1"/>
    <col min="79" max="79" width="43.28515625" bestFit="1" customWidth="1"/>
    <col min="80" max="80" width="18.42578125" bestFit="1" customWidth="1"/>
    <col min="81" max="81" width="40.285156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7109375" bestFit="1" customWidth="1"/>
    <col min="87" max="87" width="29.28515625" bestFit="1" customWidth="1"/>
    <col min="88" max="88" width="46.28515625" bestFit="1" customWidth="1"/>
    <col min="89" max="89" width="26.7109375" bestFit="1" customWidth="1"/>
    <col min="90" max="90" width="42" bestFit="1" customWidth="1"/>
    <col min="91" max="91" width="31.28515625" bestFit="1" customWidth="1"/>
    <col min="92" max="92" width="47.28515625" bestFit="1" customWidth="1"/>
    <col min="93" max="93" width="90.28515625" bestFit="1" customWidth="1"/>
    <col min="94" max="94" width="62.28515625" bestFit="1" customWidth="1"/>
    <col min="95" max="95" width="35.28515625" bestFit="1" customWidth="1"/>
    <col min="96" max="96" width="34.7109375" bestFit="1" customWidth="1"/>
    <col min="97" max="97" width="39.7109375" bestFit="1" customWidth="1"/>
    <col min="98" max="98" width="32.28515625" bestFit="1" customWidth="1"/>
    <col min="99" max="99" width="35.42578125" bestFit="1" customWidth="1"/>
    <col min="100" max="100" width="39.710937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28515625" bestFit="1" customWidth="1"/>
    <col min="106" max="106" width="31.28515625" bestFit="1" customWidth="1"/>
    <col min="107" max="107" width="20.5703125" bestFit="1" customWidth="1"/>
    <col min="108" max="108" width="41" bestFit="1" customWidth="1"/>
    <col min="109" max="109" width="25.7109375" bestFit="1" customWidth="1"/>
    <col min="110" max="110" width="27.5703125" bestFit="1" customWidth="1"/>
    <col min="111" max="111" width="54" bestFit="1" customWidth="1"/>
    <col min="112" max="113" width="26.7109375" bestFit="1" customWidth="1"/>
    <col min="114" max="114" width="43.28515625" bestFit="1" customWidth="1"/>
    <col min="115" max="115" width="19" bestFit="1" customWidth="1"/>
    <col min="116" max="116" width="27.28515625" bestFit="1" customWidth="1"/>
    <col min="117" max="117" width="26.28515625" bestFit="1" customWidth="1"/>
    <col min="118" max="118" width="43" bestFit="1" customWidth="1"/>
    <col min="119" max="119" width="47.7109375" bestFit="1" customWidth="1"/>
    <col min="120" max="120" width="56.42578125" bestFit="1" customWidth="1"/>
    <col min="121" max="122" width="25.7109375" bestFit="1" customWidth="1"/>
    <col min="123" max="123" width="93.42578125" bestFit="1" customWidth="1"/>
    <col min="124" max="124" width="71.5703125" bestFit="1" customWidth="1"/>
    <col min="125" max="125" width="32.7109375" bestFit="1" customWidth="1"/>
    <col min="126" max="126" width="33.42578125" bestFit="1" customWidth="1"/>
    <col min="127" max="127" width="44.7109375" bestFit="1" customWidth="1"/>
    <col min="128" max="128" width="46.5703125" bestFit="1" customWidth="1"/>
    <col min="129" max="129" width="42.28515625" bestFit="1" customWidth="1"/>
    <col min="130" max="130" width="41.42578125" bestFit="1" customWidth="1"/>
    <col min="131" max="131" width="33.42578125" bestFit="1" customWidth="1"/>
    <col min="132" max="132" width="44.7109375" bestFit="1" customWidth="1"/>
    <col min="133" max="133" width="40.7109375" bestFit="1" customWidth="1"/>
    <col min="134" max="134" width="40" bestFit="1" customWidth="1"/>
    <col min="135" max="135" width="36.7109375" bestFit="1" customWidth="1"/>
    <col min="136" max="137" width="42.28515625" bestFit="1" customWidth="1"/>
    <col min="138" max="138" width="41.42578125" bestFit="1" customWidth="1"/>
    <col min="139" max="139" width="33.42578125" bestFit="1" customWidth="1"/>
    <col min="140" max="140" width="31.7109375" bestFit="1" customWidth="1"/>
    <col min="141" max="141" width="45.28515625" bestFit="1" customWidth="1"/>
    <col min="142" max="142" width="42.7109375" bestFit="1" customWidth="1"/>
    <col min="143" max="143" width="48.42578125" bestFit="1" customWidth="1"/>
    <col min="144" max="145" width="92.7109375" bestFit="1" customWidth="1"/>
    <col min="146" max="146" width="39.5703125" bestFit="1" customWidth="1"/>
    <col min="147" max="147" width="92.7109375" bestFit="1" customWidth="1"/>
    <col min="148" max="148" width="39.5703125" bestFit="1" customWidth="1"/>
    <col min="149" max="149" width="39.28515625" bestFit="1" customWidth="1"/>
    <col min="150" max="150" width="38.5703125" bestFit="1" customWidth="1"/>
    <col min="151" max="151" width="39.42578125" bestFit="1" customWidth="1"/>
    <col min="152" max="152" width="38.7109375" bestFit="1" customWidth="1"/>
    <col min="153" max="153" width="35.7109375" bestFit="1" customWidth="1"/>
    <col min="154" max="154" width="39.42578125" bestFit="1" customWidth="1"/>
    <col min="155" max="155" width="38.7109375" bestFit="1" customWidth="1"/>
    <col min="156" max="156" width="35.7109375" bestFit="1" customWidth="1"/>
    <col min="157" max="157" width="39.42578125" bestFit="1" customWidth="1"/>
    <col min="158" max="158" width="38.7109375" bestFit="1" customWidth="1"/>
    <col min="159" max="159" width="35.7109375" bestFit="1" customWidth="1"/>
    <col min="160" max="160" width="39.42578125" bestFit="1" customWidth="1"/>
    <col min="161" max="161" width="38.7109375" bestFit="1" customWidth="1"/>
    <col min="162" max="162" width="35.7109375" bestFit="1" customWidth="1"/>
    <col min="163" max="163" width="33.7109375" bestFit="1" customWidth="1"/>
    <col min="164" max="164" width="58" bestFit="1" customWidth="1"/>
    <col min="165" max="165" width="36.7109375" bestFit="1" customWidth="1"/>
    <col min="166" max="166" width="62" bestFit="1" customWidth="1"/>
    <col min="167" max="167" width="60.28515625" bestFit="1" customWidth="1"/>
    <col min="168" max="168" width="60.7109375" bestFit="1" customWidth="1"/>
    <col min="169" max="169" width="41.42578125" bestFit="1" customWidth="1"/>
    <col min="170" max="170" width="62" bestFit="1" customWidth="1"/>
    <col min="171" max="171" width="60.28515625" bestFit="1" customWidth="1"/>
    <col min="172" max="172" width="60.7109375" bestFit="1" customWidth="1"/>
    <col min="173" max="173" width="41.42578125" bestFit="1" customWidth="1"/>
    <col min="174" max="174" width="61.7109375" bestFit="1" customWidth="1"/>
    <col min="175" max="175" width="62" bestFit="1" customWidth="1"/>
    <col min="176" max="176" width="60.28515625" bestFit="1" customWidth="1"/>
    <col min="177" max="177" width="62" bestFit="1" customWidth="1"/>
    <col min="178" max="178" width="60.28515625" bestFit="1" customWidth="1"/>
    <col min="179" max="179" width="60.7109375" bestFit="1" customWidth="1"/>
    <col min="180" max="180" width="41.42578125" bestFit="1" customWidth="1"/>
    <col min="181" max="181" width="33.42578125" bestFit="1" customWidth="1"/>
    <col min="182" max="182" width="67.28515625" bestFit="1" customWidth="1"/>
    <col min="183" max="183" width="48.28515625" bestFit="1" customWidth="1"/>
    <col min="184" max="184" width="54.5703125" bestFit="1" customWidth="1"/>
    <col min="185" max="185" width="79.7109375" bestFit="1" customWidth="1"/>
    <col min="186" max="186" width="65.7109375" bestFit="1" customWidth="1"/>
    <col min="187" max="187" width="17.5703125" bestFit="1" customWidth="1"/>
    <col min="188" max="188" width="43.28515625" bestFit="1" customWidth="1"/>
    <col min="189" max="189" width="41.42578125" bestFit="1" customWidth="1"/>
    <col min="190" max="190" width="44.28515625" bestFit="1" customWidth="1"/>
    <col min="191" max="191" width="56.7109375" bestFit="1" customWidth="1"/>
    <col min="192" max="192" width="45.42578125" bestFit="1" customWidth="1"/>
    <col min="193" max="193" width="36.28515625" bestFit="1" customWidth="1"/>
    <col min="194" max="194" width="52.28515625" bestFit="1" customWidth="1"/>
    <col min="195" max="195" width="26.42578125" bestFit="1" customWidth="1"/>
    <col min="196" max="196" width="37.28515625" bestFit="1" customWidth="1"/>
    <col min="197" max="197" width="27.28515625" bestFit="1" customWidth="1"/>
    <col min="198" max="198" width="49.7109375" bestFit="1" customWidth="1"/>
    <col min="199" max="200" width="38.7109375" bestFit="1" customWidth="1"/>
    <col min="201" max="201" width="48.28515625" bestFit="1" customWidth="1"/>
    <col min="202" max="202" width="45.28515625" bestFit="1" customWidth="1"/>
    <col min="203" max="203" width="36" bestFit="1" customWidth="1"/>
    <col min="204" max="204" width="20.7109375" bestFit="1" customWidth="1"/>
    <col min="205" max="205" width="36.28515625" bestFit="1" customWidth="1"/>
    <col min="206" max="206" width="19" bestFit="1" customWidth="1"/>
    <col min="207" max="207" width="20.28515625" bestFit="1" customWidth="1"/>
    <col min="208" max="208" width="33" bestFit="1" customWidth="1"/>
    <col min="209" max="209" width="30" bestFit="1" customWidth="1"/>
    <col min="210" max="210" width="52.7109375" bestFit="1" customWidth="1"/>
    <col min="211" max="211" width="25.7109375" bestFit="1" customWidth="1"/>
    <col min="212" max="213" width="37.7109375" bestFit="1" customWidth="1"/>
    <col min="214" max="214" width="25.5703125" bestFit="1" customWidth="1"/>
    <col min="215" max="215" width="17.7109375" bestFit="1" customWidth="1"/>
    <col min="216" max="216" width="26" bestFit="1" customWidth="1"/>
    <col min="217" max="217" width="44.5703125" bestFit="1" customWidth="1"/>
    <col min="218" max="218" width="42.285156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28515625" bestFit="1" customWidth="1"/>
    <col min="225" max="225" width="50.7109375" bestFit="1" customWidth="1"/>
    <col min="226" max="226" width="36.28515625" bestFit="1" customWidth="1"/>
    <col min="227" max="227" width="33.7109375" bestFit="1" customWidth="1"/>
    <col min="228" max="228" width="59.7109375" bestFit="1" customWidth="1"/>
    <col min="229" max="229" width="49.7109375" bestFit="1" customWidth="1"/>
    <col min="230" max="230" width="18.42578125" bestFit="1" customWidth="1"/>
    <col min="231" max="231" width="20.7109375" bestFit="1" customWidth="1"/>
    <col min="232" max="232" width="15.7109375" bestFit="1" customWidth="1"/>
    <col min="233" max="233" width="80" bestFit="1" customWidth="1"/>
    <col min="234" max="234" width="42.28515625" bestFit="1" customWidth="1"/>
    <col min="235" max="235" width="48" bestFit="1" customWidth="1"/>
    <col min="236" max="237" width="43.28515625" bestFit="1" customWidth="1"/>
    <col min="238" max="238" width="41" bestFit="1" customWidth="1"/>
    <col min="239" max="239" width="46.42578125" bestFit="1" customWidth="1"/>
    <col min="240" max="240" width="86.28515625" bestFit="1" customWidth="1"/>
    <col min="241" max="241" width="54.28515625" bestFit="1" customWidth="1"/>
    <col min="242" max="242" width="79.7109375" bestFit="1" customWidth="1"/>
    <col min="243" max="244" width="46.28515625" bestFit="1" customWidth="1"/>
    <col min="245" max="247" width="43.28515625" bestFit="1" customWidth="1"/>
    <col min="248" max="248" width="36.7109375" bestFit="1" customWidth="1"/>
    <col min="249" max="249" width="53.7109375" bestFit="1" customWidth="1"/>
    <col min="250" max="250" width="90.7109375" bestFit="1" customWidth="1"/>
    <col min="251" max="251" width="54.28515625" bestFit="1" customWidth="1"/>
    <col min="252" max="252" width="51.5703125" bestFit="1" customWidth="1"/>
    <col min="253" max="253" width="59.5703125" bestFit="1" customWidth="1"/>
    <col min="254" max="254" width="69.28515625" bestFit="1" customWidth="1"/>
    <col min="255" max="255" width="43.7109375" bestFit="1" customWidth="1"/>
    <col min="256" max="256" width="86.7109375" bestFit="1" customWidth="1"/>
    <col min="257" max="257" width="34.28515625" bestFit="1" customWidth="1"/>
    <col min="258" max="258" width="70" bestFit="1" customWidth="1"/>
    <col min="259" max="260" width="78.28515625" bestFit="1" customWidth="1"/>
    <col min="261" max="261" width="25.42578125" bestFit="1" customWidth="1"/>
    <col min="262" max="262" width="40.28515625" bestFit="1" customWidth="1"/>
    <col min="263" max="263" width="48.28515625" bestFit="1" customWidth="1"/>
    <col min="264" max="264" width="49.7109375" bestFit="1" customWidth="1"/>
    <col min="265" max="265" width="63.5703125" bestFit="1" customWidth="1"/>
    <col min="266" max="266" width="68.28515625" bestFit="1" customWidth="1"/>
    <col min="267" max="267" width="49.28515625" bestFit="1" customWidth="1"/>
    <col min="268" max="268" width="53.28515625" bestFit="1" customWidth="1"/>
    <col min="269" max="269" width="7.28515625" bestFit="1" customWidth="1"/>
    <col min="270" max="270" width="77.28515625" bestFit="1" customWidth="1"/>
    <col min="271" max="271" width="67.5703125" bestFit="1" customWidth="1"/>
    <col min="272" max="272" width="56.28515625" bestFit="1" customWidth="1"/>
    <col min="273" max="273" width="21.28515625" bestFit="1" customWidth="1"/>
    <col min="274" max="274" width="9.7109375" bestFit="1" customWidth="1"/>
    <col min="275" max="275" width="10.5703125" bestFit="1" customWidth="1"/>
    <col min="276" max="276" width="14.5703125" bestFit="1" customWidth="1"/>
    <col min="277" max="277" width="33.7109375" bestFit="1" customWidth="1"/>
    <col min="278" max="278" width="25.28515625" bestFit="1" customWidth="1"/>
    <col min="279" max="279" width="39" bestFit="1" customWidth="1"/>
    <col min="280" max="280" width="46.7109375" bestFit="1" customWidth="1"/>
    <col min="281" max="281" width="26.7109375" bestFit="1" customWidth="1"/>
    <col min="282" max="282" width="57.28515625" bestFit="1" customWidth="1"/>
    <col min="283" max="283" width="37.28515625" bestFit="1" customWidth="1"/>
    <col min="284" max="284" width="55.7109375" bestFit="1" customWidth="1"/>
    <col min="285" max="285" width="26.7109375" bestFit="1" customWidth="1"/>
    <col min="286" max="286" width="52.28515625" bestFit="1" customWidth="1"/>
    <col min="287" max="287" width="51.28515625" bestFit="1" customWidth="1"/>
    <col min="288" max="288" width="59.7109375" bestFit="1" customWidth="1"/>
    <col min="289" max="289" width="32.7109375" bestFit="1" customWidth="1"/>
    <col min="290" max="290" width="19.7109375" bestFit="1" customWidth="1"/>
    <col min="291" max="291" width="20.42578125" bestFit="1" customWidth="1"/>
    <col min="292" max="292" width="47.7109375" bestFit="1" customWidth="1"/>
    <col min="293" max="294" width="28.7109375" bestFit="1" customWidth="1"/>
    <col min="295" max="295" width="26" bestFit="1" customWidth="1"/>
    <col min="296" max="296" width="62" bestFit="1" customWidth="1"/>
    <col min="297" max="297" width="68.7109375" bestFit="1" customWidth="1"/>
    <col min="298" max="298" width="41.42578125" bestFit="1" customWidth="1"/>
    <col min="299" max="299" width="26" bestFit="1" customWidth="1"/>
    <col min="300" max="300" width="31.7109375" bestFit="1" customWidth="1"/>
    <col min="301" max="301" width="32.7109375" bestFit="1" customWidth="1"/>
    <col min="302" max="302" width="44.28515625" bestFit="1" customWidth="1"/>
    <col min="303" max="303" width="21.7109375" bestFit="1" customWidth="1"/>
    <col min="304" max="304" width="19.7109375" bestFit="1" customWidth="1"/>
    <col min="305" max="305" width="23.7109375" bestFit="1" customWidth="1"/>
    <col min="306" max="306" width="31.7109375" bestFit="1" customWidth="1"/>
    <col min="307" max="307" width="29.28515625" bestFit="1" customWidth="1"/>
    <col min="308" max="308" width="27.710937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7109375" bestFit="1" customWidth="1"/>
    <col min="313" max="313" width="29.28515625" bestFit="1" customWidth="1"/>
    <col min="314" max="314" width="29.7109375" bestFit="1" customWidth="1"/>
    <col min="315" max="315" width="30.42578125" bestFit="1" customWidth="1"/>
    <col min="316" max="316" width="34.28515625" bestFit="1" customWidth="1"/>
    <col min="317" max="317" width="28.5703125" bestFit="1" customWidth="1"/>
    <col min="318" max="318" width="29.28515625" bestFit="1" customWidth="1"/>
    <col min="319" max="319" width="95.710937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4" width="27.7109375" bestFit="1" customWidth="1"/>
    <col min="325" max="325" width="27.5703125" bestFit="1" customWidth="1"/>
    <col min="326" max="326" width="54.5703125" bestFit="1" customWidth="1"/>
    <col min="327" max="327" width="39.7109375" bestFit="1" customWidth="1"/>
    <col min="328" max="328" width="46.28515625" bestFit="1" customWidth="1"/>
    <col min="329" max="329" width="28.28515625" bestFit="1" customWidth="1"/>
    <col min="330" max="330" width="66" bestFit="1" customWidth="1"/>
    <col min="331" max="331" width="82.7109375" bestFit="1" customWidth="1"/>
    <col min="332" max="332" width="50.5703125" bestFit="1" customWidth="1"/>
    <col min="333" max="333" width="37.28515625" bestFit="1" customWidth="1"/>
    <col min="334" max="334" width="45.28515625" bestFit="1" customWidth="1"/>
    <col min="335" max="335" width="43" bestFit="1" customWidth="1"/>
    <col min="336" max="336" width="42.7109375" bestFit="1" customWidth="1"/>
    <col min="337" max="337" width="45.5703125" bestFit="1" customWidth="1"/>
    <col min="338" max="338" width="42.7109375" bestFit="1" customWidth="1"/>
    <col min="339" max="339" width="43.42578125" bestFit="1" customWidth="1"/>
    <col min="340" max="340" width="58.28515625" bestFit="1" customWidth="1"/>
    <col min="341" max="341" width="51.5703125" bestFit="1" customWidth="1"/>
    <col min="342" max="342" width="45.7109375" bestFit="1" customWidth="1"/>
    <col min="343" max="343" width="34" bestFit="1" customWidth="1"/>
    <col min="344" max="344" width="25.7109375" bestFit="1" customWidth="1"/>
    <col min="345" max="345" width="39" bestFit="1" customWidth="1"/>
    <col min="346" max="347" width="53.28515625" bestFit="1" customWidth="1"/>
    <col min="348" max="348" width="37.7109375" bestFit="1" customWidth="1"/>
    <col min="349" max="349" width="53.7109375" bestFit="1" customWidth="1"/>
    <col min="350" max="350" width="28.28515625" bestFit="1" customWidth="1"/>
    <col min="351" max="351" width="24.28515625" bestFit="1" customWidth="1"/>
    <col min="352" max="352" width="21.28515625" bestFit="1" customWidth="1"/>
    <col min="353" max="353" width="43.28515625" bestFit="1" customWidth="1"/>
    <col min="354" max="354" width="18.42578125" bestFit="1" customWidth="1"/>
    <col min="355" max="355" width="40.285156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7109375" bestFit="1" customWidth="1"/>
    <col min="361" max="361" width="29.28515625" bestFit="1" customWidth="1"/>
    <col min="362" max="362" width="46.28515625" bestFit="1" customWidth="1"/>
    <col min="363" max="363" width="26.7109375" bestFit="1" customWidth="1"/>
    <col min="364" max="364" width="42" bestFit="1" customWidth="1"/>
    <col min="365" max="365" width="31.28515625" bestFit="1" customWidth="1"/>
    <col min="366" max="366" width="47.28515625" bestFit="1" customWidth="1"/>
    <col min="367" max="367" width="90.28515625" bestFit="1" customWidth="1"/>
    <col min="368" max="368" width="62.28515625" bestFit="1" customWidth="1"/>
    <col min="369" max="369" width="35.28515625" bestFit="1" customWidth="1"/>
    <col min="370" max="370" width="34.7109375" bestFit="1" customWidth="1"/>
    <col min="371" max="371" width="39.7109375" bestFit="1" customWidth="1"/>
    <col min="372" max="372" width="32.28515625" bestFit="1" customWidth="1"/>
    <col min="373" max="373" width="35.42578125" bestFit="1" customWidth="1"/>
    <col min="374" max="374" width="39.710937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28515625" bestFit="1" customWidth="1"/>
    <col min="380" max="380" width="31.28515625" bestFit="1" customWidth="1"/>
    <col min="381" max="381" width="20.5703125" bestFit="1" customWidth="1"/>
    <col min="382" max="382" width="41" bestFit="1" customWidth="1"/>
    <col min="383" max="383" width="25.7109375" bestFit="1" customWidth="1"/>
    <col min="384" max="384" width="27.5703125" bestFit="1" customWidth="1"/>
    <col min="385" max="385" width="54" bestFit="1" customWidth="1"/>
    <col min="386" max="387" width="26.7109375" bestFit="1" customWidth="1"/>
    <col min="388" max="388" width="43.28515625" bestFit="1" customWidth="1"/>
    <col min="389" max="389" width="19" bestFit="1" customWidth="1"/>
    <col min="390" max="390" width="27.28515625" bestFit="1" customWidth="1"/>
    <col min="391" max="391" width="26.28515625" bestFit="1" customWidth="1"/>
    <col min="392" max="392" width="43" bestFit="1" customWidth="1"/>
    <col min="393" max="393" width="47.7109375" bestFit="1" customWidth="1"/>
    <col min="394" max="394" width="56.42578125" bestFit="1" customWidth="1"/>
    <col min="395" max="396" width="25.7109375" bestFit="1" customWidth="1"/>
    <col min="397" max="397" width="93.42578125" bestFit="1" customWidth="1"/>
    <col min="398" max="398" width="71.5703125" bestFit="1" customWidth="1"/>
    <col min="399" max="399" width="32.7109375" bestFit="1" customWidth="1"/>
    <col min="400" max="400" width="33.42578125" bestFit="1" customWidth="1"/>
    <col min="401" max="401" width="44.7109375" bestFit="1" customWidth="1"/>
    <col min="402" max="402" width="46.5703125" bestFit="1" customWidth="1"/>
    <col min="403" max="403" width="42.28515625" bestFit="1" customWidth="1"/>
    <col min="404" max="404" width="41.42578125" bestFit="1" customWidth="1"/>
    <col min="405" max="405" width="33.42578125" bestFit="1" customWidth="1"/>
    <col min="406" max="406" width="44.7109375" bestFit="1" customWidth="1"/>
    <col min="407" max="407" width="40.7109375" bestFit="1" customWidth="1"/>
    <col min="408" max="408" width="40" bestFit="1" customWidth="1"/>
    <col min="409" max="409" width="36.7109375" bestFit="1" customWidth="1"/>
    <col min="410" max="411" width="42.28515625" bestFit="1" customWidth="1"/>
    <col min="412" max="412" width="41.42578125" bestFit="1" customWidth="1"/>
    <col min="413" max="413" width="33.42578125" bestFit="1" customWidth="1"/>
    <col min="414" max="414" width="31.7109375" bestFit="1" customWidth="1"/>
    <col min="415" max="415" width="45.28515625" bestFit="1" customWidth="1"/>
    <col min="416" max="416" width="42.7109375" bestFit="1" customWidth="1"/>
    <col min="417" max="417" width="48.42578125" bestFit="1" customWidth="1"/>
    <col min="418" max="419" width="92.7109375" bestFit="1" customWidth="1"/>
    <col min="420" max="420" width="39.5703125" bestFit="1" customWidth="1"/>
    <col min="421" max="421" width="92.7109375" bestFit="1" customWidth="1"/>
    <col min="422" max="422" width="39.5703125" bestFit="1" customWidth="1"/>
    <col min="423" max="423" width="39.28515625" bestFit="1" customWidth="1"/>
    <col min="424" max="424" width="38.5703125" bestFit="1" customWidth="1"/>
    <col min="425" max="425" width="39.42578125" bestFit="1" customWidth="1"/>
    <col min="426" max="426" width="38.7109375" bestFit="1" customWidth="1"/>
    <col min="427" max="427" width="35.7109375" bestFit="1" customWidth="1"/>
    <col min="428" max="428" width="39.42578125" bestFit="1" customWidth="1"/>
    <col min="429" max="429" width="38.7109375" bestFit="1" customWidth="1"/>
    <col min="430" max="430" width="35.7109375" bestFit="1" customWidth="1"/>
    <col min="431" max="431" width="39.42578125" bestFit="1" customWidth="1"/>
    <col min="432" max="432" width="38.7109375" bestFit="1" customWidth="1"/>
    <col min="433" max="433" width="35.7109375" bestFit="1" customWidth="1"/>
    <col min="434" max="434" width="39.42578125" bestFit="1" customWidth="1"/>
    <col min="435" max="435" width="38.7109375" bestFit="1" customWidth="1"/>
    <col min="436" max="436" width="35.7109375" bestFit="1" customWidth="1"/>
    <col min="437" max="437" width="33.7109375" bestFit="1" customWidth="1"/>
    <col min="438" max="438" width="58" bestFit="1" customWidth="1"/>
    <col min="439" max="439" width="36.7109375" bestFit="1" customWidth="1"/>
    <col min="440" max="440" width="62" bestFit="1" customWidth="1"/>
    <col min="441" max="441" width="60.28515625" bestFit="1" customWidth="1"/>
    <col min="442" max="442" width="60.7109375" bestFit="1" customWidth="1"/>
    <col min="443" max="443" width="41.42578125" bestFit="1" customWidth="1"/>
    <col min="444" max="444" width="62" bestFit="1" customWidth="1"/>
    <col min="445" max="445" width="60.28515625" bestFit="1" customWidth="1"/>
    <col min="446" max="446" width="60.7109375" bestFit="1" customWidth="1"/>
    <col min="447" max="447" width="41.42578125" bestFit="1" customWidth="1"/>
    <col min="448" max="448" width="61.7109375" bestFit="1" customWidth="1"/>
    <col min="449" max="449" width="62" bestFit="1" customWidth="1"/>
    <col min="450" max="450" width="60.28515625" bestFit="1" customWidth="1"/>
    <col min="451" max="451" width="62" bestFit="1" customWidth="1"/>
    <col min="452" max="452" width="60.28515625" bestFit="1" customWidth="1"/>
    <col min="453" max="453" width="60.7109375" bestFit="1" customWidth="1"/>
    <col min="454" max="454" width="41.42578125" bestFit="1" customWidth="1"/>
    <col min="455" max="455" width="33.42578125" bestFit="1" customWidth="1"/>
    <col min="456" max="456" width="67.28515625" bestFit="1" customWidth="1"/>
    <col min="457" max="457" width="48.28515625" bestFit="1" customWidth="1"/>
    <col min="458" max="458" width="54.5703125" bestFit="1" customWidth="1"/>
    <col min="459" max="459" width="79.7109375" bestFit="1" customWidth="1"/>
    <col min="460" max="460" width="65.7109375" bestFit="1" customWidth="1"/>
    <col min="461" max="461" width="17.5703125" bestFit="1" customWidth="1"/>
    <col min="462" max="462" width="43.28515625" bestFit="1" customWidth="1"/>
    <col min="463" max="463" width="41.42578125" bestFit="1" customWidth="1"/>
    <col min="464" max="464" width="44.28515625" bestFit="1" customWidth="1"/>
    <col min="465" max="465" width="56.7109375" bestFit="1" customWidth="1"/>
    <col min="466" max="466" width="45.42578125" bestFit="1" customWidth="1"/>
    <col min="467" max="467" width="36.28515625" bestFit="1" customWidth="1"/>
    <col min="468" max="468" width="52.28515625" bestFit="1" customWidth="1"/>
    <col min="469" max="469" width="26.42578125" bestFit="1" customWidth="1"/>
    <col min="470" max="470" width="37.28515625" bestFit="1" customWidth="1"/>
    <col min="471" max="471" width="27.28515625" bestFit="1" customWidth="1"/>
    <col min="472" max="472" width="49.7109375" bestFit="1" customWidth="1"/>
    <col min="473" max="474" width="38.7109375" bestFit="1" customWidth="1"/>
    <col min="475" max="475" width="48.28515625" bestFit="1" customWidth="1"/>
    <col min="476" max="476" width="45.28515625" bestFit="1" customWidth="1"/>
    <col min="477" max="477" width="36" bestFit="1" customWidth="1"/>
    <col min="478" max="478" width="20.7109375" bestFit="1" customWidth="1"/>
    <col min="479" max="479" width="36.28515625" bestFit="1" customWidth="1"/>
    <col min="480" max="480" width="19" bestFit="1" customWidth="1"/>
    <col min="481" max="481" width="20.28515625" bestFit="1" customWidth="1"/>
    <col min="482" max="482" width="33" bestFit="1" customWidth="1"/>
    <col min="483" max="483" width="30" bestFit="1" customWidth="1"/>
    <col min="484" max="484" width="52.7109375" bestFit="1" customWidth="1"/>
    <col min="485" max="485" width="25.7109375" bestFit="1" customWidth="1"/>
    <col min="486" max="487" width="37.7109375" bestFit="1" customWidth="1"/>
    <col min="488" max="488" width="25.5703125" bestFit="1" customWidth="1"/>
    <col min="489" max="489" width="17.7109375" bestFit="1" customWidth="1"/>
    <col min="490" max="490" width="26" bestFit="1" customWidth="1"/>
    <col min="491" max="491" width="44.5703125" bestFit="1" customWidth="1"/>
    <col min="492" max="492" width="42.285156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28515625" bestFit="1" customWidth="1"/>
    <col min="499" max="499" width="50.7109375" bestFit="1" customWidth="1"/>
    <col min="500" max="500" width="36.28515625" bestFit="1" customWidth="1"/>
    <col min="501" max="501" width="33.7109375" bestFit="1" customWidth="1"/>
    <col min="502" max="502" width="59.7109375" bestFit="1" customWidth="1"/>
    <col min="503" max="503" width="49.7109375" bestFit="1" customWidth="1"/>
    <col min="504" max="504" width="18.42578125" bestFit="1" customWidth="1"/>
    <col min="505" max="505" width="20.7109375" bestFit="1" customWidth="1"/>
    <col min="506" max="506" width="15.7109375" bestFit="1" customWidth="1"/>
    <col min="507" max="507" width="80" bestFit="1" customWidth="1"/>
    <col min="508" max="508" width="42.28515625" bestFit="1" customWidth="1"/>
    <col min="509" max="509" width="48" bestFit="1" customWidth="1"/>
    <col min="510" max="511" width="43.28515625" bestFit="1" customWidth="1"/>
    <col min="512" max="512" width="41" bestFit="1" customWidth="1"/>
    <col min="513" max="513" width="46.42578125" bestFit="1" customWidth="1"/>
    <col min="514" max="514" width="86.28515625" bestFit="1" customWidth="1"/>
    <col min="515" max="515" width="54.28515625" bestFit="1" customWidth="1"/>
    <col min="516" max="516" width="79.7109375" bestFit="1" customWidth="1"/>
    <col min="517" max="518" width="46.28515625" bestFit="1" customWidth="1"/>
    <col min="519" max="521" width="43.28515625" bestFit="1" customWidth="1"/>
    <col min="522" max="522" width="36.7109375" bestFit="1" customWidth="1"/>
    <col min="523" max="523" width="53.7109375" bestFit="1" customWidth="1"/>
    <col min="524" max="524" width="90.7109375" bestFit="1" customWidth="1"/>
    <col min="525" max="525" width="54.28515625" bestFit="1" customWidth="1"/>
    <col min="526" max="526" width="51.5703125" bestFit="1" customWidth="1"/>
    <col min="527" max="527" width="59.5703125" bestFit="1" customWidth="1"/>
    <col min="528" max="528" width="69.28515625" bestFit="1" customWidth="1"/>
    <col min="529" max="529" width="43.7109375" bestFit="1" customWidth="1"/>
    <col min="530" max="530" width="86.7109375" bestFit="1" customWidth="1"/>
    <col min="531" max="531" width="34.28515625" bestFit="1" customWidth="1"/>
    <col min="532" max="532" width="70" bestFit="1" customWidth="1"/>
    <col min="533" max="534" width="78.28515625" bestFit="1" customWidth="1"/>
    <col min="535" max="535" width="25.42578125" bestFit="1" customWidth="1"/>
    <col min="536" max="536" width="40.28515625" bestFit="1" customWidth="1"/>
    <col min="537" max="537" width="48.28515625" bestFit="1" customWidth="1"/>
    <col min="538" max="538" width="49.7109375" bestFit="1" customWidth="1"/>
    <col min="539" max="539" width="63.5703125" bestFit="1" customWidth="1"/>
    <col min="540" max="540" width="68.28515625" bestFit="1" customWidth="1"/>
    <col min="541" max="541" width="49.28515625" bestFit="1" customWidth="1"/>
    <col min="542" max="542" width="53.28515625" bestFit="1" customWidth="1"/>
    <col min="543" max="543" width="7.28515625" bestFit="1" customWidth="1"/>
    <col min="544" max="544" width="25" bestFit="1" customWidth="1"/>
    <col min="545" max="545" width="18.7109375" bestFit="1" customWidth="1"/>
  </cols>
  <sheetData>
    <row r="3" spans="2:11">
      <c r="B3" s="657" t="s">
        <v>1148</v>
      </c>
      <c r="C3" t="s">
        <v>1149</v>
      </c>
      <c r="D3" t="s">
        <v>1150</v>
      </c>
      <c r="H3">
        <f>57000/4024</f>
        <v>14.165009940357853</v>
      </c>
      <c r="I3" s="679" t="s">
        <v>152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47</v>
      </c>
      <c r="D4">
        <v>26</v>
      </c>
      <c r="I4" s="668"/>
      <c r="J4" s="674" t="s">
        <v>1152</v>
      </c>
      <c r="K4" s="674" t="s">
        <v>1615</v>
      </c>
    </row>
    <row r="5" spans="2:11">
      <c r="B5" s="658" t="s">
        <v>1162</v>
      </c>
      <c r="C5" s="770">
        <v>40.647977761675314</v>
      </c>
      <c r="D5">
        <v>39</v>
      </c>
      <c r="I5" s="678" t="s">
        <v>47</v>
      </c>
      <c r="J5" s="669"/>
      <c r="K5" s="669">
        <v>25</v>
      </c>
    </row>
    <row r="6" spans="2:11">
      <c r="B6" s="658" t="s">
        <v>437</v>
      </c>
      <c r="C6" s="770">
        <v>33.445203007903963</v>
      </c>
      <c r="D6">
        <v>133</v>
      </c>
      <c r="I6" s="678" t="s">
        <v>1162</v>
      </c>
      <c r="J6" s="670">
        <v>40.647977761675314</v>
      </c>
      <c r="K6" s="669">
        <v>39</v>
      </c>
    </row>
    <row r="7" spans="2:11">
      <c r="B7" s="658" t="s">
        <v>1167</v>
      </c>
      <c r="C7" s="770">
        <v>1.4242604669999994</v>
      </c>
      <c r="D7">
        <v>20</v>
      </c>
      <c r="I7" s="678" t="s">
        <v>1167</v>
      </c>
      <c r="J7" s="670">
        <v>1.4242604669999994</v>
      </c>
      <c r="K7" s="669">
        <v>20</v>
      </c>
    </row>
    <row r="8" spans="2:11">
      <c r="B8" s="658" t="s">
        <v>664</v>
      </c>
      <c r="C8" s="770">
        <v>29.731544429549601</v>
      </c>
      <c r="D8">
        <v>25</v>
      </c>
      <c r="I8" s="678" t="s">
        <v>437</v>
      </c>
      <c r="J8" s="670">
        <v>36.304088012300603</v>
      </c>
      <c r="K8" s="670">
        <v>147</v>
      </c>
    </row>
    <row r="9" spans="2:11">
      <c r="B9" s="658" t="s">
        <v>1007</v>
      </c>
      <c r="C9" s="770">
        <v>11.571288093812013</v>
      </c>
      <c r="D9">
        <v>38</v>
      </c>
      <c r="I9" s="678" t="s">
        <v>492</v>
      </c>
      <c r="J9" s="670">
        <v>22.171611822839047</v>
      </c>
      <c r="K9" s="669">
        <v>23</v>
      </c>
    </row>
    <row r="10" spans="2:11">
      <c r="B10" s="658" t="s">
        <v>56</v>
      </c>
      <c r="C10" s="770">
        <v>24.51600849931819</v>
      </c>
      <c r="D10">
        <v>124</v>
      </c>
      <c r="I10" s="678" t="s">
        <v>441</v>
      </c>
      <c r="J10" s="670">
        <v>9.0164274088537439</v>
      </c>
      <c r="K10" s="669">
        <v>76</v>
      </c>
    </row>
    <row r="11" spans="2:11">
      <c r="B11" s="658" t="s">
        <v>1169</v>
      </c>
      <c r="C11" s="770">
        <v>36.505592206741035</v>
      </c>
      <c r="D11">
        <v>47</v>
      </c>
      <c r="I11" s="678" t="s">
        <v>453</v>
      </c>
      <c r="J11" s="670">
        <v>5.1160487806077635</v>
      </c>
      <c r="K11" s="669">
        <v>48</v>
      </c>
    </row>
    <row r="12" spans="2:11">
      <c r="B12" s="658" t="s">
        <v>1175</v>
      </c>
      <c r="C12" s="770">
        <v>177.84187446600006</v>
      </c>
      <c r="D12">
        <v>452</v>
      </c>
      <c r="I12" s="678" t="s">
        <v>664</v>
      </c>
      <c r="J12" s="670">
        <v>29.731544429549594</v>
      </c>
      <c r="K12" s="669">
        <v>25</v>
      </c>
    </row>
    <row r="13" spans="2:11">
      <c r="I13" s="678" t="s">
        <v>1007</v>
      </c>
      <c r="J13" s="670">
        <v>11.39</v>
      </c>
      <c r="K13" s="669">
        <v>38</v>
      </c>
    </row>
    <row r="14" spans="2:11">
      <c r="I14" s="678" t="s">
        <v>56</v>
      </c>
      <c r="J14" s="670">
        <v>25.826624133107178</v>
      </c>
      <c r="K14" s="669">
        <v>126</v>
      </c>
    </row>
    <row r="15" spans="2:11">
      <c r="I15" s="678" t="s">
        <v>1169</v>
      </c>
      <c r="J15" s="670">
        <v>36.505592206741035</v>
      </c>
      <c r="K15" s="669">
        <v>47</v>
      </c>
    </row>
    <row r="18" spans="9:11">
      <c r="I18" s="679" t="s">
        <v>617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1616</v>
      </c>
      <c r="K19" s="674" t="s">
        <v>1617</v>
      </c>
    </row>
    <row r="20" spans="9:11">
      <c r="I20" s="678" t="s">
        <v>47</v>
      </c>
      <c r="J20" s="675">
        <f>SUM(J21:J21)</f>
        <v>0.26</v>
      </c>
      <c r="K20" s="675">
        <f>SUM(K21:K21)</f>
        <v>3</v>
      </c>
    </row>
    <row r="21" spans="9:11">
      <c r="I21" s="673" t="s">
        <v>1158</v>
      </c>
      <c r="J21" s="669">
        <v>0.26</v>
      </c>
      <c r="K21" s="672">
        <v>3</v>
      </c>
    </row>
    <row r="22" spans="9:11">
      <c r="I22" s="678" t="s">
        <v>618</v>
      </c>
      <c r="J22" s="675">
        <f>SUM(J23:J25)</f>
        <v>1.04</v>
      </c>
      <c r="K22" s="675">
        <f>SUM(K23:K25)</f>
        <v>90</v>
      </c>
    </row>
    <row r="23" spans="9:11">
      <c r="I23" s="673" t="s">
        <v>1160</v>
      </c>
      <c r="J23" s="672" t="s">
        <v>953</v>
      </c>
      <c r="K23" s="669">
        <v>14</v>
      </c>
    </row>
    <row r="24" spans="9:11">
      <c r="I24" s="673" t="s">
        <v>1174</v>
      </c>
      <c r="J24" s="670">
        <v>0.53</v>
      </c>
      <c r="K24" s="669">
        <v>69</v>
      </c>
    </row>
    <row r="25" spans="9:11">
      <c r="I25" s="673" t="s">
        <v>1158</v>
      </c>
      <c r="J25" s="670">
        <v>0.51</v>
      </c>
      <c r="K25" s="669">
        <v>7</v>
      </c>
    </row>
    <row r="26" spans="9:11">
      <c r="I26" s="678" t="s">
        <v>6</v>
      </c>
      <c r="J26" s="675">
        <f>SUM(J27:J29)</f>
        <v>1.68</v>
      </c>
      <c r="K26" s="675">
        <f>SUM(K27:K29)</f>
        <v>14</v>
      </c>
    </row>
    <row r="27" spans="9:11">
      <c r="I27" s="673" t="s">
        <v>1158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1618</v>
      </c>
    </row>
    <row r="253" spans="5:5">
      <c r="E253" t="s">
        <v>1618</v>
      </c>
    </row>
    <row r="254" spans="5:5">
      <c r="E254" t="s">
        <v>1618</v>
      </c>
    </row>
    <row r="255" spans="5:5">
      <c r="E255" t="s">
        <v>1618</v>
      </c>
    </row>
    <row r="256" spans="5:5">
      <c r="E256" t="s">
        <v>1618</v>
      </c>
    </row>
    <row r="453" spans="5:5">
      <c r="E453" t="s">
        <v>1618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7109375" defaultRowHeight="13.15"/>
  <cols>
    <col min="1" max="1" width="8.7109375" style="369"/>
    <col min="2" max="2" width="19.5703125" style="369" bestFit="1" customWidth="1"/>
    <col min="3" max="3" width="14.28515625" style="369" bestFit="1" customWidth="1"/>
    <col min="4" max="4" width="65.7109375" style="369" customWidth="1"/>
    <col min="5" max="16384" width="8.710937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">
      <c r="B3" s="621" t="s">
        <v>642</v>
      </c>
      <c r="C3" s="621" t="s">
        <v>643</v>
      </c>
      <c r="D3" s="621" t="s">
        <v>992</v>
      </c>
      <c r="E3" s="621" t="s">
        <v>1152</v>
      </c>
      <c r="F3" s="621" t="s">
        <v>726</v>
      </c>
    </row>
    <row r="4" spans="2:7">
      <c r="B4" s="376" t="s">
        <v>891</v>
      </c>
      <c r="C4" s="376" t="s">
        <v>1238</v>
      </c>
      <c r="D4" s="622" t="s">
        <v>1619</v>
      </c>
      <c r="E4" s="659">
        <v>0.43271940249580965</v>
      </c>
      <c r="F4" s="369">
        <v>8</v>
      </c>
    </row>
    <row r="5" spans="2:7">
      <c r="B5" s="376" t="s">
        <v>891</v>
      </c>
      <c r="C5" s="622" t="s">
        <v>1247</v>
      </c>
      <c r="D5" s="622" t="s">
        <v>1620</v>
      </c>
      <c r="E5" s="659">
        <v>1.7289022996610155</v>
      </c>
      <c r="F5" s="369">
        <v>32</v>
      </c>
    </row>
    <row r="6" spans="2:7">
      <c r="B6" s="376" t="s">
        <v>891</v>
      </c>
      <c r="C6" s="622" t="s">
        <v>1247</v>
      </c>
      <c r="D6" s="622" t="s">
        <v>1621</v>
      </c>
      <c r="E6" s="659"/>
    </row>
    <row r="7" spans="2:7">
      <c r="B7" s="376" t="s">
        <v>891</v>
      </c>
      <c r="C7" s="376" t="s">
        <v>1622</v>
      </c>
      <c r="D7" s="622" t="s">
        <v>1619</v>
      </c>
      <c r="E7" s="659">
        <v>0.81650520351452471</v>
      </c>
      <c r="F7" s="369">
        <v>8</v>
      </c>
    </row>
    <row r="8" spans="2:7">
      <c r="B8" s="376" t="s">
        <v>894</v>
      </c>
      <c r="C8" s="622" t="s">
        <v>1623</v>
      </c>
      <c r="D8" s="623" t="s">
        <v>1270</v>
      </c>
      <c r="E8" s="659">
        <v>4.1291744999999995</v>
      </c>
      <c r="F8" s="369">
        <v>15</v>
      </c>
    </row>
    <row r="9" spans="2:7">
      <c r="B9" s="376" t="s">
        <v>894</v>
      </c>
      <c r="C9" s="622" t="s">
        <v>1623</v>
      </c>
      <c r="D9" s="623" t="s">
        <v>1624</v>
      </c>
      <c r="E9" s="659"/>
    </row>
    <row r="10" spans="2:7" ht="26.45">
      <c r="B10" s="376" t="s">
        <v>894</v>
      </c>
      <c r="C10" s="622" t="s">
        <v>1623</v>
      </c>
      <c r="D10" s="624" t="s">
        <v>1625</v>
      </c>
      <c r="E10" s="659"/>
    </row>
    <row r="11" spans="2:7">
      <c r="B11" s="622" t="s">
        <v>894</v>
      </c>
      <c r="C11" s="622" t="s">
        <v>1626</v>
      </c>
      <c r="D11" s="622" t="s">
        <v>1627</v>
      </c>
      <c r="E11" s="659">
        <v>9.699329999999998</v>
      </c>
      <c r="F11" s="369">
        <v>39</v>
      </c>
    </row>
    <row r="12" spans="2:7">
      <c r="B12" s="622" t="s">
        <v>894</v>
      </c>
      <c r="C12" s="622" t="s">
        <v>1626</v>
      </c>
      <c r="D12" s="622" t="s">
        <v>1628</v>
      </c>
      <c r="E12" s="659"/>
    </row>
    <row r="13" spans="2:7">
      <c r="B13" s="622" t="s">
        <v>1629</v>
      </c>
      <c r="C13" s="622" t="s">
        <v>1597</v>
      </c>
      <c r="D13" s="622" t="s">
        <v>1630</v>
      </c>
      <c r="E13" s="659">
        <v>8.4072167695988034E-2</v>
      </c>
      <c r="F13" s="369">
        <v>3</v>
      </c>
    </row>
    <row r="14" spans="2:7">
      <c r="B14" s="622" t="s">
        <v>1629</v>
      </c>
      <c r="C14" s="622" t="s">
        <v>1631</v>
      </c>
      <c r="D14" s="608" t="s">
        <v>1632</v>
      </c>
      <c r="E14" s="659"/>
    </row>
    <row r="15" spans="2:7">
      <c r="B15" s="622" t="s">
        <v>1629</v>
      </c>
      <c r="C15" s="622" t="s">
        <v>1631</v>
      </c>
      <c r="D15" s="622" t="s">
        <v>1619</v>
      </c>
      <c r="E15" s="659">
        <v>0.41918995130000003</v>
      </c>
      <c r="F15" s="369">
        <v>5</v>
      </c>
    </row>
    <row r="16" spans="2:7">
      <c r="B16" s="622" t="s">
        <v>1629</v>
      </c>
      <c r="C16" s="622" t="s">
        <v>1633</v>
      </c>
      <c r="D16" s="622" t="s">
        <v>1634</v>
      </c>
      <c r="E16" s="659">
        <v>3.02</v>
      </c>
      <c r="F16" s="369">
        <v>21</v>
      </c>
    </row>
    <row r="17" spans="2:6">
      <c r="B17" s="622" t="s">
        <v>1629</v>
      </c>
      <c r="C17" s="622" t="s">
        <v>1633</v>
      </c>
      <c r="D17" s="622" t="s">
        <v>1635</v>
      </c>
    </row>
    <row r="18" spans="2:6">
      <c r="B18" s="622" t="s">
        <v>1629</v>
      </c>
      <c r="C18" s="622" t="s">
        <v>1636</v>
      </c>
      <c r="D18" s="622" t="s">
        <v>1637</v>
      </c>
      <c r="E18" s="659">
        <v>0.63298114171514985</v>
      </c>
      <c r="F18" s="369">
        <v>9</v>
      </c>
    </row>
    <row r="19" spans="2:6">
      <c r="B19" s="622" t="s">
        <v>214</v>
      </c>
      <c r="C19" s="622" t="s">
        <v>1597</v>
      </c>
      <c r="D19" s="622" t="s">
        <v>1619</v>
      </c>
      <c r="E19" s="659">
        <v>0.87000000000000011</v>
      </c>
      <c r="F19" s="369">
        <v>10</v>
      </c>
    </row>
    <row r="20" spans="2:6">
      <c r="B20" s="622" t="s">
        <v>162</v>
      </c>
      <c r="C20" s="622"/>
      <c r="D20" s="622" t="s">
        <v>1619</v>
      </c>
      <c r="E20" s="659">
        <v>2.4295570698446993</v>
      </c>
      <c r="F20" s="369">
        <v>10</v>
      </c>
    </row>
    <row r="21" spans="2:6">
      <c r="B21" s="369" t="s">
        <v>1638</v>
      </c>
      <c r="C21" s="369" t="s">
        <v>1220</v>
      </c>
      <c r="D21" s="622" t="s">
        <v>1619</v>
      </c>
      <c r="E21" s="659">
        <v>0.03</v>
      </c>
      <c r="F21" s="369">
        <v>1</v>
      </c>
    </row>
    <row r="22" spans="2:6">
      <c r="B22" s="625" t="s">
        <v>628</v>
      </c>
      <c r="C22" s="625"/>
      <c r="D22" s="625" t="s">
        <v>1619</v>
      </c>
      <c r="E22" s="659">
        <v>8.8226275250591328</v>
      </c>
      <c r="F22" s="369">
        <v>15</v>
      </c>
    </row>
    <row r="23" spans="2:6">
      <c r="B23" s="625" t="s">
        <v>903</v>
      </c>
      <c r="C23" s="625"/>
      <c r="D23" s="625" t="s">
        <v>1619</v>
      </c>
      <c r="E23" s="659">
        <v>1.2186362892862301</v>
      </c>
      <c r="F23" s="369">
        <v>17</v>
      </c>
    </row>
    <row r="24" spans="2:6">
      <c r="B24" s="622" t="s">
        <v>502</v>
      </c>
      <c r="C24" s="622"/>
      <c r="D24" s="622" t="s">
        <v>1639</v>
      </c>
      <c r="E24" s="659">
        <v>0.47795692392</v>
      </c>
      <c r="F24" s="369">
        <v>5</v>
      </c>
    </row>
    <row r="25" spans="2:6">
      <c r="B25" s="369" t="s">
        <v>612</v>
      </c>
      <c r="C25" s="369" t="s">
        <v>612</v>
      </c>
      <c r="D25" s="622" t="s">
        <v>1639</v>
      </c>
      <c r="E25" s="659">
        <v>1.2668018749999996</v>
      </c>
      <c r="F25" s="369">
        <v>13</v>
      </c>
    </row>
    <row r="26" spans="2:6">
      <c r="B26" s="622" t="s">
        <v>225</v>
      </c>
      <c r="C26" s="622"/>
      <c r="D26" s="622" t="s">
        <v>1640</v>
      </c>
      <c r="E26" s="659">
        <v>0.14100000000000001</v>
      </c>
      <c r="F26" s="369">
        <v>6</v>
      </c>
    </row>
    <row r="27" spans="2:6">
      <c r="B27" s="376" t="s">
        <v>229</v>
      </c>
      <c r="C27" s="622"/>
      <c r="D27" s="622" t="s">
        <v>1641</v>
      </c>
      <c r="E27" s="659">
        <v>1.2144779999999999</v>
      </c>
      <c r="F27" s="369">
        <v>14</v>
      </c>
    </row>
    <row r="28" spans="2:6">
      <c r="B28" s="622" t="s">
        <v>1642</v>
      </c>
      <c r="C28" s="622"/>
      <c r="D28" s="622" t="s">
        <v>1643</v>
      </c>
      <c r="E28" s="659">
        <v>4.9130000000000007E-3</v>
      </c>
      <c r="F28" s="369">
        <v>6</v>
      </c>
    </row>
    <row r="29" spans="2:6">
      <c r="B29" s="622" t="s">
        <v>1644</v>
      </c>
      <c r="C29" s="622"/>
      <c r="D29" s="622" t="s">
        <v>1639</v>
      </c>
      <c r="E29" s="659">
        <v>0.56189180207999989</v>
      </c>
      <c r="F29" s="369">
        <v>5</v>
      </c>
    </row>
    <row r="30" spans="2:6">
      <c r="B30" s="622" t="s">
        <v>1645</v>
      </c>
      <c r="C30" s="622"/>
      <c r="D30" s="622"/>
      <c r="E30" s="659"/>
      <c r="F30" s="369">
        <v>25</v>
      </c>
    </row>
    <row r="31" spans="2:6">
      <c r="B31" s="369" t="s">
        <v>1578</v>
      </c>
      <c r="C31" s="369" t="s">
        <v>1579</v>
      </c>
      <c r="E31" s="659">
        <v>0.44</v>
      </c>
      <c r="F31" s="369">
        <v>2</v>
      </c>
    </row>
    <row r="33" spans="2:7" ht="13.9">
      <c r="B33" s="663" t="s">
        <v>962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902</v>
      </c>
      <c r="C34" s="369" t="s">
        <v>1220</v>
      </c>
      <c r="D34" s="369" t="s">
        <v>1646</v>
      </c>
      <c r="E34" s="659">
        <v>1.6885800000000002</v>
      </c>
      <c r="F34" s="369">
        <v>10</v>
      </c>
    </row>
    <row r="35" spans="2:7">
      <c r="B35" s="369" t="s">
        <v>964</v>
      </c>
      <c r="C35" s="369" t="s">
        <v>1247</v>
      </c>
      <c r="D35" s="369" t="s">
        <v>1647</v>
      </c>
      <c r="E35" s="659">
        <v>0.62685480000000016</v>
      </c>
      <c r="F35" s="369">
        <v>5</v>
      </c>
    </row>
    <row r="36" spans="2:7">
      <c r="B36" s="369" t="s">
        <v>966</v>
      </c>
      <c r="C36" s="369" t="s">
        <v>1222</v>
      </c>
      <c r="D36" s="369" t="s">
        <v>1223</v>
      </c>
      <c r="E36" s="659">
        <v>14.203906041162936</v>
      </c>
      <c r="F36" s="369">
        <v>10</v>
      </c>
    </row>
    <row r="37" spans="2:7">
      <c r="B37" s="369" t="s">
        <v>968</v>
      </c>
      <c r="C37" s="369" t="s">
        <v>1163</v>
      </c>
      <c r="D37" s="369" t="s">
        <v>1648</v>
      </c>
      <c r="E37" s="659">
        <v>18.105283200000006</v>
      </c>
      <c r="F37" s="369">
        <v>13</v>
      </c>
    </row>
    <row r="38" spans="2:7">
      <c r="B38" s="369" t="s">
        <v>970</v>
      </c>
      <c r="C38" s="369" t="s">
        <v>1165</v>
      </c>
      <c r="D38" s="369" t="s">
        <v>1649</v>
      </c>
      <c r="E38" s="659">
        <v>15.691759513499999</v>
      </c>
      <c r="F38" s="369">
        <v>8</v>
      </c>
    </row>
    <row r="39" spans="2:7">
      <c r="B39" s="369" t="s">
        <v>972</v>
      </c>
      <c r="C39" s="369" t="s">
        <v>1164</v>
      </c>
      <c r="D39" s="369" t="s">
        <v>1649</v>
      </c>
      <c r="E39" s="659">
        <v>5.2305865045000006</v>
      </c>
      <c r="F39" s="369">
        <v>8</v>
      </c>
    </row>
    <row r="40" spans="2:7">
      <c r="B40" s="369" t="s">
        <v>973</v>
      </c>
      <c r="C40" s="369" t="s">
        <v>973</v>
      </c>
      <c r="D40" s="369" t="s">
        <v>1650</v>
      </c>
      <c r="E40" s="659">
        <v>3.8583000000000003</v>
      </c>
      <c r="F40" s="369">
        <v>18</v>
      </c>
    </row>
    <row r="41" spans="2:7">
      <c r="B41" s="369" t="s">
        <v>975</v>
      </c>
      <c r="C41" s="369" t="s">
        <v>163</v>
      </c>
      <c r="D41" s="369" t="s">
        <v>1651</v>
      </c>
      <c r="E41" s="659">
        <v>7.01722</v>
      </c>
      <c r="F41" s="369">
        <v>14</v>
      </c>
    </row>
    <row r="42" spans="2:7">
      <c r="B42" s="369" t="s">
        <v>977</v>
      </c>
      <c r="C42" s="369" t="s">
        <v>1201</v>
      </c>
      <c r="D42" s="369" t="s">
        <v>1458</v>
      </c>
      <c r="E42" s="659">
        <v>4.1961274774552741</v>
      </c>
      <c r="F42" s="369">
        <v>13</v>
      </c>
    </row>
    <row r="43" spans="2:7">
      <c r="B43" s="369" t="s">
        <v>979</v>
      </c>
      <c r="C43" s="369" t="s">
        <v>1201</v>
      </c>
      <c r="D43" s="369" t="s">
        <v>1652</v>
      </c>
      <c r="E43" s="659">
        <v>1.5429082353553014</v>
      </c>
      <c r="F43" s="369">
        <v>24</v>
      </c>
    </row>
    <row r="44" spans="2:7">
      <c r="B44" s="369" t="s">
        <v>982</v>
      </c>
      <c r="C44" s="369" t="s">
        <v>1220</v>
      </c>
      <c r="D44" s="369" t="s">
        <v>1458</v>
      </c>
      <c r="E44" s="659">
        <v>1.4611508182026358</v>
      </c>
      <c r="F44" s="369">
        <v>12</v>
      </c>
    </row>
    <row r="45" spans="2:7">
      <c r="B45" s="369" t="s">
        <v>984</v>
      </c>
      <c r="C45" s="369" t="s">
        <v>1346</v>
      </c>
      <c r="D45" s="369" t="s">
        <v>1653</v>
      </c>
      <c r="E45" s="659">
        <v>1.6141000000000003</v>
      </c>
      <c r="F45" s="369">
        <v>1</v>
      </c>
    </row>
    <row r="46" spans="2:7">
      <c r="B46" s="369" t="s">
        <v>912</v>
      </c>
      <c r="C46" s="369" t="s">
        <v>1654</v>
      </c>
      <c r="D46" s="369" t="s">
        <v>1655</v>
      </c>
      <c r="E46" s="659">
        <v>5.9650000000000007</v>
      </c>
      <c r="F46" s="369">
        <v>1</v>
      </c>
    </row>
    <row r="47" spans="2:7">
      <c r="B47" s="369" t="s">
        <v>985</v>
      </c>
      <c r="C47" s="369" t="s">
        <v>985</v>
      </c>
      <c r="D47" s="369" t="s">
        <v>1656</v>
      </c>
      <c r="E47" s="659">
        <v>0</v>
      </c>
      <c r="F47" s="369">
        <v>8</v>
      </c>
    </row>
    <row r="48" spans="2:7">
      <c r="B48" s="369" t="s">
        <v>497</v>
      </c>
      <c r="C48" s="369" t="s">
        <v>1371</v>
      </c>
      <c r="D48" s="369" t="s">
        <v>1657</v>
      </c>
      <c r="E48" s="659">
        <v>1.49</v>
      </c>
      <c r="F48" s="369">
        <v>6</v>
      </c>
    </row>
    <row r="49" spans="2:6">
      <c r="B49" s="369" t="s">
        <v>988</v>
      </c>
      <c r="C49" s="369" t="s">
        <v>1384</v>
      </c>
      <c r="D49" s="369" t="s">
        <v>1646</v>
      </c>
      <c r="E49" s="659">
        <v>0.19417209600000002</v>
      </c>
      <c r="F49" s="369">
        <v>8</v>
      </c>
    </row>
    <row r="50" spans="2:6">
      <c r="B50" s="369" t="s">
        <v>369</v>
      </c>
      <c r="C50" s="369" t="s">
        <v>843</v>
      </c>
      <c r="D50" s="369" t="s">
        <v>1658</v>
      </c>
      <c r="E50" s="659">
        <v>7.2666827999999999</v>
      </c>
      <c r="F50" s="369">
        <v>9</v>
      </c>
    </row>
    <row r="51" spans="2:6">
      <c r="B51" s="369" t="s">
        <v>507</v>
      </c>
      <c r="C51" s="369" t="s">
        <v>507</v>
      </c>
      <c r="D51" s="369" t="s">
        <v>1655</v>
      </c>
      <c r="E51" s="659">
        <v>18.399999999999999</v>
      </c>
      <c r="F51" s="369">
        <v>1</v>
      </c>
    </row>
    <row r="52" spans="2:6">
      <c r="B52" s="369" t="s">
        <v>236</v>
      </c>
      <c r="C52" s="369" t="s">
        <v>1235</v>
      </c>
      <c r="D52" s="369" t="s">
        <v>36</v>
      </c>
      <c r="E52" s="659">
        <v>34.856697651063755</v>
      </c>
      <c r="F52" s="369">
        <v>9</v>
      </c>
    </row>
    <row r="53" spans="2:6">
      <c r="B53" s="660" t="s">
        <v>1659</v>
      </c>
      <c r="C53" s="660" t="s">
        <v>1660</v>
      </c>
      <c r="D53" s="660" t="s">
        <v>1661</v>
      </c>
      <c r="E53" s="661">
        <v>0</v>
      </c>
      <c r="F53" s="660">
        <v>0</v>
      </c>
    </row>
    <row r="54" spans="2:6">
      <c r="B54" s="660" t="s">
        <v>1662</v>
      </c>
      <c r="C54" s="660" t="s">
        <v>1663</v>
      </c>
      <c r="D54" s="660" t="s">
        <v>1664</v>
      </c>
      <c r="E54" s="661">
        <v>0</v>
      </c>
      <c r="F54" s="660">
        <v>0</v>
      </c>
    </row>
    <row r="55" spans="2:6">
      <c r="B55" s="660" t="s">
        <v>1665</v>
      </c>
      <c r="C55" s="660" t="s">
        <v>1666</v>
      </c>
      <c r="D55" s="660" t="s">
        <v>1667</v>
      </c>
      <c r="E55" s="661">
        <v>0</v>
      </c>
      <c r="F55" s="660">
        <v>0</v>
      </c>
    </row>
    <row r="56" spans="2:6">
      <c r="B56" s="660" t="s">
        <v>293</v>
      </c>
      <c r="C56" s="660" t="s">
        <v>293</v>
      </c>
      <c r="D56" s="660" t="s">
        <v>1668</v>
      </c>
      <c r="E56" s="661">
        <v>0</v>
      </c>
      <c r="F56" s="660">
        <v>0</v>
      </c>
    </row>
    <row r="57" spans="2:6">
      <c r="B57" s="660" t="s">
        <v>723</v>
      </c>
      <c r="C57" s="660" t="s">
        <v>1669</v>
      </c>
      <c r="D57" s="660" t="s">
        <v>1670</v>
      </c>
      <c r="E57" s="661">
        <v>0</v>
      </c>
      <c r="F57" s="660">
        <v>0</v>
      </c>
    </row>
    <row r="58" spans="2:6">
      <c r="B58" s="660" t="s">
        <v>300</v>
      </c>
      <c r="C58" s="660" t="s">
        <v>1671</v>
      </c>
      <c r="D58" s="660" t="s">
        <v>1670</v>
      </c>
      <c r="E58" s="661">
        <v>0</v>
      </c>
      <c r="F58" s="660">
        <v>0</v>
      </c>
    </row>
    <row r="59" spans="2:6">
      <c r="B59" s="660" t="s">
        <v>506</v>
      </c>
      <c r="C59" s="660" t="s">
        <v>506</v>
      </c>
      <c r="D59" s="660" t="s">
        <v>1670</v>
      </c>
      <c r="E59" s="661">
        <v>0</v>
      </c>
      <c r="F59" s="660">
        <v>0</v>
      </c>
    </row>
    <row r="60" spans="2:6">
      <c r="B60" s="660" t="s">
        <v>509</v>
      </c>
      <c r="C60" s="660" t="s">
        <v>509</v>
      </c>
      <c r="D60" s="660" t="s">
        <v>1670</v>
      </c>
      <c r="E60" s="661">
        <v>0</v>
      </c>
      <c r="F60" s="660">
        <v>0</v>
      </c>
    </row>
    <row r="61" spans="2:6">
      <c r="B61" s="660" t="s">
        <v>913</v>
      </c>
      <c r="C61" s="660" t="s">
        <v>1672</v>
      </c>
      <c r="D61" s="660" t="s">
        <v>1670</v>
      </c>
      <c r="E61" s="661">
        <v>0</v>
      </c>
      <c r="F61" s="660">
        <v>0</v>
      </c>
    </row>
    <row r="62" spans="2:6">
      <c r="B62" s="660" t="s">
        <v>915</v>
      </c>
      <c r="C62" s="660" t="s">
        <v>1673</v>
      </c>
      <c r="D62" s="660" t="s">
        <v>1668</v>
      </c>
      <c r="E62" s="661">
        <v>0</v>
      </c>
      <c r="F62" s="660">
        <v>0</v>
      </c>
    </row>
    <row r="63" spans="2:6">
      <c r="B63" s="660" t="s">
        <v>284</v>
      </c>
      <c r="C63" s="660" t="s">
        <v>284</v>
      </c>
      <c r="D63" s="660" t="s">
        <v>911</v>
      </c>
      <c r="E63" s="661">
        <v>0</v>
      </c>
      <c r="F63" s="660">
        <v>0</v>
      </c>
    </row>
    <row r="64" spans="2:6">
      <c r="B64" s="660" t="s">
        <v>1674</v>
      </c>
      <c r="C64" s="660" t="s">
        <v>1674</v>
      </c>
      <c r="D64" s="660" t="s">
        <v>1675</v>
      </c>
      <c r="E64" s="661">
        <v>0</v>
      </c>
      <c r="F64" s="660">
        <v>0</v>
      </c>
    </row>
    <row r="65" spans="2:6">
      <c r="B65" s="660" t="s">
        <v>920</v>
      </c>
      <c r="C65" s="660" t="s">
        <v>1676</v>
      </c>
      <c r="D65" s="660" t="s">
        <v>1677</v>
      </c>
      <c r="E65" s="661">
        <v>0</v>
      </c>
      <c r="F65" s="660">
        <v>0</v>
      </c>
    </row>
    <row r="66" spans="2:6">
      <c r="B66" s="660" t="s">
        <v>922</v>
      </c>
      <c r="C66" s="660" t="s">
        <v>1678</v>
      </c>
      <c r="D66" s="660" t="s">
        <v>1679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7109375" defaultRowHeight="13.15"/>
  <cols>
    <col min="1" max="1" width="2.7109375" style="369" customWidth="1"/>
    <col min="2" max="16384" width="8.7109375" style="369"/>
  </cols>
  <sheetData>
    <row r="2" spans="2:4">
      <c r="B2" s="369" t="s">
        <v>1680</v>
      </c>
    </row>
    <row r="3" spans="2:4">
      <c r="B3" s="369" t="s">
        <v>1681</v>
      </c>
    </row>
    <row r="4" spans="2:4">
      <c r="B4" s="369" t="s">
        <v>1682</v>
      </c>
    </row>
    <row r="6" spans="2:4">
      <c r="B6" s="369" t="s">
        <v>204</v>
      </c>
    </row>
    <row r="7" spans="2:4">
      <c r="B7" s="369" t="s">
        <v>1683</v>
      </c>
    </row>
    <row r="8" spans="2:4">
      <c r="B8" s="369" t="s">
        <v>1684</v>
      </c>
    </row>
    <row r="9" spans="2:4">
      <c r="B9" s="369" t="s">
        <v>1685</v>
      </c>
    </row>
    <row r="11" spans="2:4">
      <c r="B11" s="369" t="s">
        <v>905</v>
      </c>
    </row>
    <row r="12" spans="2:4">
      <c r="B12" s="369" t="s">
        <v>1686</v>
      </c>
    </row>
    <row r="14" spans="2:4">
      <c r="B14" s="369" t="s">
        <v>1687</v>
      </c>
      <c r="D14" s="369" t="s">
        <v>1688</v>
      </c>
    </row>
    <row r="15" spans="2:4">
      <c r="B15" s="369" t="s">
        <v>1689</v>
      </c>
      <c r="D15" s="369" t="s">
        <v>1690</v>
      </c>
    </row>
    <row r="16" spans="2:4">
      <c r="B16" s="369" t="s">
        <v>1691</v>
      </c>
    </row>
    <row r="17" spans="2:5">
      <c r="B17" s="369" t="s">
        <v>1692</v>
      </c>
      <c r="D17" s="369" t="s">
        <v>1693</v>
      </c>
    </row>
    <row r="19" spans="2:5">
      <c r="B19" s="369" t="s">
        <v>1694</v>
      </c>
      <c r="E19" s="369" t="s">
        <v>1695</v>
      </c>
    </row>
    <row r="21" spans="2:5">
      <c r="B21" s="369" t="s">
        <v>1696</v>
      </c>
      <c r="D21" s="369" t="s">
        <v>1697</v>
      </c>
    </row>
    <row r="23" spans="2:5">
      <c r="B23" s="369" t="s">
        <v>1698</v>
      </c>
      <c r="D23" s="369" t="s">
        <v>1699</v>
      </c>
    </row>
    <row r="25" spans="2:5">
      <c r="B25" s="369" t="s">
        <v>1700</v>
      </c>
    </row>
    <row r="26" spans="2:5">
      <c r="B26" s="369" t="s">
        <v>1701</v>
      </c>
    </row>
    <row r="27" spans="2:5">
      <c r="B27" s="369" t="s">
        <v>1702</v>
      </c>
    </row>
    <row r="28" spans="2:5">
      <c r="B28" s="369" t="s">
        <v>1703</v>
      </c>
    </row>
    <row r="29" spans="2:5">
      <c r="B29" s="369" t="s">
        <v>1704</v>
      </c>
    </row>
    <row r="30" spans="2:5">
      <c r="B30" s="369" t="s">
        <v>1705</v>
      </c>
    </row>
    <row r="31" spans="2:5">
      <c r="B31" s="369" t="s">
        <v>1706</v>
      </c>
    </row>
    <row r="32" spans="2:5">
      <c r="B32" s="369" t="s">
        <v>1707</v>
      </c>
    </row>
    <row r="33" spans="2:2">
      <c r="B33" s="369" t="s">
        <v>1708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/>
  <cols>
    <col min="1" max="1" width="0.5703125" style="373" customWidth="1"/>
    <col min="2" max="2" width="32.28515625" style="373" bestFit="1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61.710937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710937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87" t="s">
        <v>1709</v>
      </c>
      <c r="I1" s="888"/>
      <c r="J1" s="372"/>
      <c r="K1" s="887" t="s">
        <v>1710</v>
      </c>
      <c r="L1" s="888"/>
      <c r="M1" s="372"/>
      <c r="O1" s="442" t="s">
        <v>1057</v>
      </c>
      <c r="P1" s="442" t="s">
        <v>1711</v>
      </c>
      <c r="Q1" s="615" t="s">
        <v>441</v>
      </c>
      <c r="R1" s="442" t="s">
        <v>1712</v>
      </c>
    </row>
    <row r="2" spans="1:33" s="416" customFormat="1" ht="17.45">
      <c r="A2" s="376"/>
      <c r="B2" s="418" t="s">
        <v>1713</v>
      </c>
      <c r="C2" s="418"/>
      <c r="D2" s="418"/>
      <c r="E2" s="418"/>
      <c r="F2" s="423"/>
      <c r="G2" s="376"/>
      <c r="H2" s="419" t="s">
        <v>1714</v>
      </c>
      <c r="I2" s="420" t="s">
        <v>726</v>
      </c>
      <c r="J2" s="376"/>
      <c r="K2" s="419" t="s">
        <v>1714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1176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891</v>
      </c>
      <c r="C8" s="633" t="s">
        <v>1238</v>
      </c>
      <c r="D8" s="633"/>
      <c r="E8" s="632"/>
      <c r="F8" s="634" t="s">
        <v>1715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891</v>
      </c>
      <c r="C9" s="385" t="s">
        <v>1238</v>
      </c>
      <c r="D9" s="385" t="s">
        <v>159</v>
      </c>
      <c r="E9" s="380"/>
      <c r="F9" s="424" t="s">
        <v>1715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1240</v>
      </c>
      <c r="D10" s="372" t="s">
        <v>159</v>
      </c>
      <c r="E10" s="376" t="s">
        <v>1169</v>
      </c>
      <c r="F10" s="422" t="s">
        <v>1716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1717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.45" hidden="1" outlineLevel="3">
      <c r="A12" s="372"/>
      <c r="B12" s="372" t="s">
        <v>891</v>
      </c>
      <c r="C12" s="372" t="s">
        <v>1240</v>
      </c>
      <c r="D12" s="372" t="s">
        <v>159</v>
      </c>
      <c r="E12" s="376" t="s">
        <v>1169</v>
      </c>
      <c r="F12" s="422" t="s">
        <v>1718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1719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891</v>
      </c>
      <c r="C14" s="372" t="s">
        <v>1195</v>
      </c>
      <c r="D14" s="372" t="s">
        <v>159</v>
      </c>
      <c r="E14" s="376" t="s">
        <v>1169</v>
      </c>
      <c r="F14" s="422" t="s">
        <v>247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1720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1721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1722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891</v>
      </c>
      <c r="C18" s="372" t="s">
        <v>1195</v>
      </c>
      <c r="D18" s="372" t="s">
        <v>159</v>
      </c>
      <c r="E18" s="376" t="s">
        <v>1169</v>
      </c>
      <c r="F18" s="422" t="s">
        <v>251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1723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891</v>
      </c>
      <c r="C20" s="385" t="s">
        <v>1238</v>
      </c>
      <c r="D20" s="385" t="s">
        <v>518</v>
      </c>
      <c r="E20" s="385"/>
      <c r="F20" s="424" t="s">
        <v>1715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.45" hidden="1" outlineLevel="3">
      <c r="B21" s="372" t="s">
        <v>891</v>
      </c>
      <c r="C21" s="372" t="s">
        <v>1240</v>
      </c>
      <c r="D21" s="372" t="s">
        <v>518</v>
      </c>
      <c r="E21" s="372" t="s">
        <v>56</v>
      </c>
      <c r="F21" s="422" t="s">
        <v>1718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891</v>
      </c>
      <c r="C22" s="372" t="s">
        <v>1195</v>
      </c>
      <c r="D22" s="372" t="s">
        <v>518</v>
      </c>
      <c r="E22" s="372" t="s">
        <v>56</v>
      </c>
      <c r="F22" s="422" t="s">
        <v>247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1721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1724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891</v>
      </c>
      <c r="C25" s="372" t="s">
        <v>1195</v>
      </c>
      <c r="D25" s="372" t="s">
        <v>518</v>
      </c>
      <c r="E25" s="372" t="s">
        <v>56</v>
      </c>
      <c r="F25" s="422" t="s">
        <v>251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1725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891</v>
      </c>
      <c r="C27" s="385" t="s">
        <v>1238</v>
      </c>
      <c r="D27" s="385" t="s">
        <v>441</v>
      </c>
      <c r="E27" s="385"/>
      <c r="F27" s="424" t="s">
        <v>1715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891</v>
      </c>
      <c r="C28" s="372" t="s">
        <v>1195</v>
      </c>
      <c r="D28" s="372" t="s">
        <v>441</v>
      </c>
      <c r="E28" s="372" t="s">
        <v>437</v>
      </c>
      <c r="F28" s="422" t="s">
        <v>247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1724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891</v>
      </c>
      <c r="C30" s="633" t="s">
        <v>1247</v>
      </c>
      <c r="D30" s="633"/>
      <c r="E30" s="632"/>
      <c r="F30" s="634" t="s">
        <v>1715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891</v>
      </c>
      <c r="C31" s="385" t="s">
        <v>1247</v>
      </c>
      <c r="D31" s="385" t="s">
        <v>159</v>
      </c>
      <c r="E31" s="380"/>
      <c r="F31" s="424" t="s">
        <v>1715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891</v>
      </c>
      <c r="C32" s="372" t="s">
        <v>1247</v>
      </c>
      <c r="D32" s="372" t="s">
        <v>159</v>
      </c>
      <c r="E32" s="387" t="s">
        <v>1169</v>
      </c>
      <c r="F32" s="422" t="s">
        <v>297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891</v>
      </c>
      <c r="C33" s="372" t="s">
        <v>1247</v>
      </c>
      <c r="D33" s="372" t="s">
        <v>159</v>
      </c>
      <c r="E33" s="387" t="s">
        <v>1169</v>
      </c>
      <c r="F33" s="422" t="s">
        <v>206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891</v>
      </c>
      <c r="C34" s="372" t="s">
        <v>1247</v>
      </c>
      <c r="D34" s="372" t="s">
        <v>159</v>
      </c>
      <c r="E34" s="387" t="s">
        <v>1169</v>
      </c>
      <c r="F34" s="422" t="s">
        <v>208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891</v>
      </c>
      <c r="C35" s="372" t="s">
        <v>1247</v>
      </c>
      <c r="D35" s="372" t="s">
        <v>159</v>
      </c>
      <c r="E35" s="387" t="s">
        <v>1169</v>
      </c>
      <c r="F35" s="422" t="s">
        <v>199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1247</v>
      </c>
      <c r="D36" s="372" t="s">
        <v>159</v>
      </c>
      <c r="E36" s="387" t="s">
        <v>1169</v>
      </c>
      <c r="F36" s="422" t="s">
        <v>1726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891</v>
      </c>
      <c r="C37" s="372" t="s">
        <v>1247</v>
      </c>
      <c r="D37" s="372" t="s">
        <v>159</v>
      </c>
      <c r="E37" s="387" t="s">
        <v>1169</v>
      </c>
      <c r="F37" s="422" t="s">
        <v>1727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891</v>
      </c>
      <c r="C38" s="372" t="s">
        <v>1247</v>
      </c>
      <c r="D38" s="372" t="s">
        <v>159</v>
      </c>
      <c r="E38" s="387" t="s">
        <v>1169</v>
      </c>
      <c r="F38" s="422" t="s">
        <v>1728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891</v>
      </c>
      <c r="C39" s="372" t="s">
        <v>1247</v>
      </c>
      <c r="D39" s="372" t="s">
        <v>159</v>
      </c>
      <c r="E39" s="387" t="s">
        <v>1169</v>
      </c>
      <c r="F39" s="422" t="s">
        <v>1729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891</v>
      </c>
      <c r="C40" s="372" t="s">
        <v>1247</v>
      </c>
      <c r="D40" s="372" t="s">
        <v>159</v>
      </c>
      <c r="E40" s="387" t="s">
        <v>1169</v>
      </c>
      <c r="F40" s="422" t="s">
        <v>1730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891</v>
      </c>
      <c r="C41" s="372" t="s">
        <v>1247</v>
      </c>
      <c r="D41" s="372" t="s">
        <v>159</v>
      </c>
      <c r="E41" s="387" t="s">
        <v>1169</v>
      </c>
      <c r="F41" s="422" t="s">
        <v>1731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891</v>
      </c>
      <c r="C42" s="372" t="s">
        <v>1247</v>
      </c>
      <c r="D42" s="372" t="s">
        <v>159</v>
      </c>
      <c r="E42" s="387" t="s">
        <v>1169</v>
      </c>
      <c r="F42" s="422" t="s">
        <v>1732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891</v>
      </c>
      <c r="C43" s="372" t="s">
        <v>1247</v>
      </c>
      <c r="D43" s="372" t="s">
        <v>159</v>
      </c>
      <c r="E43" s="387" t="s">
        <v>1169</v>
      </c>
      <c r="F43" s="422" t="s">
        <v>1733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891</v>
      </c>
      <c r="C44" s="372" t="s">
        <v>1247</v>
      </c>
      <c r="D44" s="372" t="s">
        <v>159</v>
      </c>
      <c r="E44" s="387" t="s">
        <v>1169</v>
      </c>
      <c r="F44" s="422" t="s">
        <v>1734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891</v>
      </c>
      <c r="C45" s="372" t="s">
        <v>1247</v>
      </c>
      <c r="D45" s="372" t="s">
        <v>159</v>
      </c>
      <c r="E45" s="387" t="s">
        <v>1169</v>
      </c>
      <c r="F45" s="422" t="s">
        <v>1735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891</v>
      </c>
      <c r="C46" s="372" t="s">
        <v>1247</v>
      </c>
      <c r="D46" s="372" t="s">
        <v>159</v>
      </c>
      <c r="E46" s="387" t="s">
        <v>1169</v>
      </c>
      <c r="F46" s="422" t="s">
        <v>490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891</v>
      </c>
      <c r="C47" s="385" t="s">
        <v>1247</v>
      </c>
      <c r="D47" s="385" t="s">
        <v>518</v>
      </c>
      <c r="E47" s="385"/>
      <c r="F47" s="424" t="s">
        <v>1715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891</v>
      </c>
      <c r="C48" s="372" t="s">
        <v>1247</v>
      </c>
      <c r="D48" s="372" t="s">
        <v>518</v>
      </c>
      <c r="E48" s="372" t="s">
        <v>56</v>
      </c>
      <c r="F48" s="422" t="s">
        <v>206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891</v>
      </c>
      <c r="C49" s="372" t="s">
        <v>1247</v>
      </c>
      <c r="D49" s="372" t="s">
        <v>518</v>
      </c>
      <c r="E49" s="372" t="s">
        <v>56</v>
      </c>
      <c r="F49" s="422" t="s">
        <v>199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1247</v>
      </c>
      <c r="D50" s="372" t="s">
        <v>518</v>
      </c>
      <c r="E50" s="372" t="s">
        <v>56</v>
      </c>
      <c r="F50" s="422" t="s">
        <v>1736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891</v>
      </c>
      <c r="C51" s="372" t="s">
        <v>1247</v>
      </c>
      <c r="D51" s="372" t="s">
        <v>518</v>
      </c>
      <c r="E51" s="372" t="s">
        <v>56</v>
      </c>
      <c r="F51" s="422" t="s">
        <v>1737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1247</v>
      </c>
      <c r="D52" s="372" t="s">
        <v>518</v>
      </c>
      <c r="E52" s="372" t="s">
        <v>56</v>
      </c>
      <c r="F52" s="422" t="s">
        <v>1730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891</v>
      </c>
      <c r="C53" s="372" t="s">
        <v>1247</v>
      </c>
      <c r="D53" s="372" t="s">
        <v>518</v>
      </c>
      <c r="E53" s="372" t="s">
        <v>56</v>
      </c>
      <c r="F53" s="422" t="s">
        <v>1738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891</v>
      </c>
      <c r="C54" s="372" t="s">
        <v>1247</v>
      </c>
      <c r="D54" s="372" t="s">
        <v>518</v>
      </c>
      <c r="E54" s="372" t="s">
        <v>56</v>
      </c>
      <c r="F54" s="422" t="s">
        <v>1739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891</v>
      </c>
      <c r="C55" s="372" t="s">
        <v>1247</v>
      </c>
      <c r="D55" s="372" t="s">
        <v>518</v>
      </c>
      <c r="E55" s="372" t="s">
        <v>56</v>
      </c>
      <c r="F55" s="422" t="s">
        <v>1732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891</v>
      </c>
      <c r="C56" s="372" t="s">
        <v>1247</v>
      </c>
      <c r="D56" s="372" t="s">
        <v>518</v>
      </c>
      <c r="E56" s="372" t="s">
        <v>56</v>
      </c>
      <c r="F56" s="422" t="s">
        <v>1740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891</v>
      </c>
      <c r="C57" s="372" t="s">
        <v>1247</v>
      </c>
      <c r="D57" s="372" t="s">
        <v>518</v>
      </c>
      <c r="E57" s="372" t="s">
        <v>56</v>
      </c>
      <c r="F57" s="422" t="s">
        <v>1741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891</v>
      </c>
      <c r="C58" s="372" t="s">
        <v>1247</v>
      </c>
      <c r="D58" s="372" t="s">
        <v>518</v>
      </c>
      <c r="E58" s="372" t="s">
        <v>56</v>
      </c>
      <c r="F58" s="422" t="s">
        <v>1733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891</v>
      </c>
      <c r="C59" s="372" t="s">
        <v>1247</v>
      </c>
      <c r="D59" s="372" t="s">
        <v>518</v>
      </c>
      <c r="E59" s="372" t="s">
        <v>56</v>
      </c>
      <c r="F59" s="422" t="s">
        <v>1734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891</v>
      </c>
      <c r="C60" s="372" t="s">
        <v>1247</v>
      </c>
      <c r="D60" s="372" t="s">
        <v>518</v>
      </c>
      <c r="E60" s="372" t="s">
        <v>56</v>
      </c>
      <c r="F60" s="422" t="s">
        <v>1742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891</v>
      </c>
      <c r="C61" s="372" t="s">
        <v>1247</v>
      </c>
      <c r="D61" s="372" t="s">
        <v>518</v>
      </c>
      <c r="E61" s="372" t="s">
        <v>56</v>
      </c>
      <c r="F61" s="422" t="s">
        <v>1743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891</v>
      </c>
      <c r="C62" s="372" t="s">
        <v>1247</v>
      </c>
      <c r="D62" s="372" t="s">
        <v>518</v>
      </c>
      <c r="E62" s="372" t="s">
        <v>56</v>
      </c>
      <c r="F62" s="422" t="s">
        <v>1735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891</v>
      </c>
      <c r="C63" s="385" t="s">
        <v>1247</v>
      </c>
      <c r="D63" s="385" t="s">
        <v>441</v>
      </c>
      <c r="E63" s="385"/>
      <c r="F63" s="424" t="s">
        <v>1715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891</v>
      </c>
      <c r="C64" s="372" t="s">
        <v>1247</v>
      </c>
      <c r="D64" s="372" t="s">
        <v>441</v>
      </c>
      <c r="E64" s="372" t="s">
        <v>437</v>
      </c>
      <c r="F64" s="422" t="s">
        <v>444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891</v>
      </c>
      <c r="C65" s="372" t="s">
        <v>1247</v>
      </c>
      <c r="D65" s="372" t="s">
        <v>441</v>
      </c>
      <c r="E65" s="372" t="s">
        <v>437</v>
      </c>
      <c r="F65" s="422" t="s">
        <v>481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891</v>
      </c>
      <c r="C66" s="372" t="s">
        <v>1247</v>
      </c>
      <c r="D66" s="372" t="s">
        <v>441</v>
      </c>
      <c r="E66" s="372" t="s">
        <v>437</v>
      </c>
      <c r="F66" s="422" t="s">
        <v>1744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891</v>
      </c>
      <c r="C67" s="372" t="s">
        <v>1247</v>
      </c>
      <c r="D67" s="372" t="s">
        <v>441</v>
      </c>
      <c r="E67" s="372" t="s">
        <v>437</v>
      </c>
      <c r="F67" s="422" t="s">
        <v>1745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891</v>
      </c>
      <c r="C68" s="372" t="s">
        <v>1247</v>
      </c>
      <c r="D68" s="372" t="s">
        <v>441</v>
      </c>
      <c r="E68" s="372" t="s">
        <v>437</v>
      </c>
      <c r="F68" s="422" t="s">
        <v>1728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891</v>
      </c>
      <c r="C69" s="372" t="s">
        <v>1247</v>
      </c>
      <c r="D69" s="372" t="s">
        <v>441</v>
      </c>
      <c r="E69" s="372" t="s">
        <v>437</v>
      </c>
      <c r="F69" s="422" t="s">
        <v>1726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891</v>
      </c>
      <c r="C70" s="372" t="s">
        <v>1247</v>
      </c>
      <c r="D70" s="372" t="s">
        <v>441</v>
      </c>
      <c r="E70" s="372" t="s">
        <v>437</v>
      </c>
      <c r="F70" s="422" t="s">
        <v>490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891</v>
      </c>
      <c r="C71" s="385" t="s">
        <v>1247</v>
      </c>
      <c r="D71" s="385" t="s">
        <v>860</v>
      </c>
      <c r="E71" s="385"/>
      <c r="F71" s="424" t="s">
        <v>1715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891</v>
      </c>
      <c r="C72" s="372" t="s">
        <v>1247</v>
      </c>
      <c r="D72" s="372" t="s">
        <v>860</v>
      </c>
      <c r="E72" s="372" t="s">
        <v>437</v>
      </c>
      <c r="F72" s="422" t="s">
        <v>206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891</v>
      </c>
      <c r="C73" s="372" t="s">
        <v>1247</v>
      </c>
      <c r="D73" s="372" t="s">
        <v>860</v>
      </c>
      <c r="E73" s="372" t="s">
        <v>437</v>
      </c>
      <c r="F73" s="422" t="s">
        <v>207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891</v>
      </c>
      <c r="C74" s="372" t="s">
        <v>1247</v>
      </c>
      <c r="D74" s="372" t="s">
        <v>860</v>
      </c>
      <c r="E74" s="372" t="s">
        <v>437</v>
      </c>
      <c r="F74" s="422" t="s">
        <v>1746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891</v>
      </c>
      <c r="C75" s="372" t="s">
        <v>1247</v>
      </c>
      <c r="D75" s="372" t="s">
        <v>860</v>
      </c>
      <c r="E75" s="372" t="s">
        <v>437</v>
      </c>
      <c r="F75" s="422" t="s">
        <v>244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891</v>
      </c>
      <c r="C76" s="372" t="s">
        <v>1247</v>
      </c>
      <c r="D76" s="372" t="s">
        <v>860</v>
      </c>
      <c r="E76" s="372" t="s">
        <v>437</v>
      </c>
      <c r="F76" s="422" t="s">
        <v>1747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893</v>
      </c>
      <c r="C77" s="640" t="s">
        <v>1351</v>
      </c>
      <c r="D77" s="639"/>
      <c r="E77" s="639"/>
      <c r="F77" s="641" t="s">
        <v>1715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893</v>
      </c>
      <c r="C78" s="385" t="s">
        <v>1351</v>
      </c>
      <c r="D78" s="385" t="s">
        <v>159</v>
      </c>
      <c r="E78" s="380"/>
      <c r="F78" s="452" t="s">
        <v>1715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893</v>
      </c>
      <c r="C79" s="372" t="s">
        <v>1351</v>
      </c>
      <c r="D79" s="372" t="s">
        <v>159</v>
      </c>
      <c r="E79" s="376" t="s">
        <v>664</v>
      </c>
      <c r="F79" s="422" t="s">
        <v>246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893</v>
      </c>
      <c r="C80" s="372" t="s">
        <v>1351</v>
      </c>
      <c r="D80" s="372" t="s">
        <v>159</v>
      </c>
      <c r="E80" s="376" t="s">
        <v>664</v>
      </c>
      <c r="F80" s="425" t="s">
        <v>247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893</v>
      </c>
      <c r="C81" s="372" t="s">
        <v>1351</v>
      </c>
      <c r="D81" s="372" t="s">
        <v>159</v>
      </c>
      <c r="E81" s="376" t="s">
        <v>664</v>
      </c>
      <c r="F81" s="425" t="s">
        <v>248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893</v>
      </c>
      <c r="C82" s="385" t="s">
        <v>1351</v>
      </c>
      <c r="D82" s="385" t="s">
        <v>518</v>
      </c>
      <c r="E82" s="385"/>
      <c r="F82" s="424" t="s">
        <v>1715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893</v>
      </c>
      <c r="C83" s="372" t="s">
        <v>1351</v>
      </c>
      <c r="D83" s="372" t="s">
        <v>518</v>
      </c>
      <c r="E83" s="372" t="s">
        <v>56</v>
      </c>
      <c r="F83" s="422" t="s">
        <v>1748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893</v>
      </c>
      <c r="C84" s="372" t="s">
        <v>1351</v>
      </c>
      <c r="D84" s="372" t="s">
        <v>518</v>
      </c>
      <c r="E84" s="372" t="s">
        <v>56</v>
      </c>
      <c r="F84" s="422" t="s">
        <v>1749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893</v>
      </c>
      <c r="C85" s="372" t="s">
        <v>1351</v>
      </c>
      <c r="D85" s="372" t="s">
        <v>518</v>
      </c>
      <c r="E85" s="372" t="s">
        <v>56</v>
      </c>
      <c r="F85" s="422" t="s">
        <v>246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893</v>
      </c>
      <c r="C86" s="372" t="s">
        <v>1351</v>
      </c>
      <c r="D86" s="372" t="s">
        <v>518</v>
      </c>
      <c r="E86" s="372" t="s">
        <v>56</v>
      </c>
      <c r="F86" s="422" t="s">
        <v>247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893</v>
      </c>
      <c r="C87" s="385" t="s">
        <v>1351</v>
      </c>
      <c r="D87" s="385" t="s">
        <v>441</v>
      </c>
      <c r="E87" s="385"/>
      <c r="F87" s="452" t="s">
        <v>1715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893</v>
      </c>
      <c r="C88" s="372" t="s">
        <v>1351</v>
      </c>
      <c r="D88" s="372" t="s">
        <v>441</v>
      </c>
      <c r="E88" s="372" t="s">
        <v>437</v>
      </c>
      <c r="F88" s="425" t="s">
        <v>490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893</v>
      </c>
      <c r="C89" s="372" t="s">
        <v>1351</v>
      </c>
      <c r="D89" s="372" t="s">
        <v>441</v>
      </c>
      <c r="E89" s="372" t="s">
        <v>437</v>
      </c>
      <c r="F89" s="425" t="s">
        <v>247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1399</v>
      </c>
      <c r="C90" s="640" t="s">
        <v>1220</v>
      </c>
      <c r="D90" s="639"/>
      <c r="E90" s="639"/>
      <c r="F90" s="641" t="s">
        <v>1750</v>
      </c>
      <c r="G90" s="640"/>
      <c r="H90" s="644" t="s">
        <v>953</v>
      </c>
      <c r="I90" s="643">
        <f>SUM(I91)</f>
        <v>0</v>
      </c>
      <c r="J90" s="640"/>
      <c r="K90" s="644" t="s">
        <v>953</v>
      </c>
      <c r="L90" s="643">
        <f>SUM(L91)</f>
        <v>0</v>
      </c>
      <c r="M90" s="407"/>
    </row>
    <row r="91" spans="2:13" hidden="1" outlineLevel="2">
      <c r="B91" s="386" t="s">
        <v>1399</v>
      </c>
      <c r="C91" s="386" t="s">
        <v>1220</v>
      </c>
      <c r="D91" s="385"/>
      <c r="E91" s="385"/>
      <c r="F91" s="426" t="s">
        <v>1751</v>
      </c>
      <c r="G91" s="385"/>
      <c r="H91" s="405" t="s">
        <v>953</v>
      </c>
      <c r="I91" s="396"/>
      <c r="J91" s="385"/>
      <c r="K91" s="405" t="s">
        <v>953</v>
      </c>
      <c r="L91" s="396"/>
      <c r="M91" s="372"/>
    </row>
    <row r="92" spans="2:13" s="415" customFormat="1" outlineLevel="1" collapsed="1">
      <c r="B92" s="639" t="s">
        <v>894</v>
      </c>
      <c r="C92" s="640" t="s">
        <v>1265</v>
      </c>
      <c r="D92" s="639"/>
      <c r="E92" s="639"/>
      <c r="F92" s="641" t="s">
        <v>1752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894</v>
      </c>
      <c r="C93" s="385" t="s">
        <v>1265</v>
      </c>
      <c r="D93" s="385" t="s">
        <v>159</v>
      </c>
      <c r="E93" s="380"/>
      <c r="F93" s="452" t="s">
        <v>1179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894</v>
      </c>
      <c r="C94" s="372" t="s">
        <v>1265</v>
      </c>
      <c r="D94" s="372" t="s">
        <v>159</v>
      </c>
      <c r="E94" s="376" t="s">
        <v>1169</v>
      </c>
      <c r="F94" s="425" t="s">
        <v>334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1753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1754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894</v>
      </c>
      <c r="C97" s="372" t="s">
        <v>1265</v>
      </c>
      <c r="D97" s="372" t="s">
        <v>159</v>
      </c>
      <c r="E97" s="376" t="s">
        <v>1169</v>
      </c>
      <c r="F97" s="425" t="s">
        <v>335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1755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1756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1757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894</v>
      </c>
      <c r="C101" s="372" t="s">
        <v>1265</v>
      </c>
      <c r="D101" s="372" t="s">
        <v>159</v>
      </c>
      <c r="E101" s="376" t="s">
        <v>1169</v>
      </c>
      <c r="F101" s="425" t="s">
        <v>336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894</v>
      </c>
      <c r="C102" s="372" t="s">
        <v>1265</v>
      </c>
      <c r="D102" s="372" t="s">
        <v>159</v>
      </c>
      <c r="E102" s="376" t="s">
        <v>1169</v>
      </c>
      <c r="F102" s="425" t="s">
        <v>1758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1759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1760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894</v>
      </c>
      <c r="C105" s="372" t="s">
        <v>1265</v>
      </c>
      <c r="D105" s="372" t="s">
        <v>159</v>
      </c>
      <c r="E105" s="376" t="s">
        <v>1169</v>
      </c>
      <c r="F105" s="425" t="s">
        <v>337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894</v>
      </c>
      <c r="C106" s="372" t="s">
        <v>1265</v>
      </c>
      <c r="D106" s="372" t="s">
        <v>159</v>
      </c>
      <c r="E106" s="376" t="s">
        <v>1169</v>
      </c>
      <c r="F106" s="425" t="s">
        <v>338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1761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1762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894</v>
      </c>
      <c r="C109" s="372" t="s">
        <v>1265</v>
      </c>
      <c r="D109" s="372" t="s">
        <v>159</v>
      </c>
      <c r="E109" s="376" t="s">
        <v>1169</v>
      </c>
      <c r="F109" s="425" t="s">
        <v>339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1763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1764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894</v>
      </c>
      <c r="C112" s="372" t="s">
        <v>1265</v>
      </c>
      <c r="D112" s="372" t="s">
        <v>159</v>
      </c>
      <c r="E112" s="376" t="s">
        <v>1169</v>
      </c>
      <c r="F112" s="425" t="s">
        <v>340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894</v>
      </c>
      <c r="C113" s="385" t="s">
        <v>1265</v>
      </c>
      <c r="D113" s="385" t="s">
        <v>518</v>
      </c>
      <c r="E113" s="385"/>
      <c r="F113" s="452" t="s">
        <v>1179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894</v>
      </c>
      <c r="C114" s="372" t="s">
        <v>1265</v>
      </c>
      <c r="D114" s="372" t="s">
        <v>518</v>
      </c>
      <c r="E114" s="372" t="s">
        <v>56</v>
      </c>
      <c r="F114" s="425" t="s">
        <v>543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1765</v>
      </c>
      <c r="G115" s="372"/>
      <c r="H115" s="398"/>
      <c r="I115" s="378"/>
      <c r="J115" s="372"/>
      <c r="K115" s="399"/>
      <c r="L115" s="378"/>
      <c r="M115" s="372"/>
    </row>
    <row r="116" spans="2:13" ht="26.45" hidden="1" outlineLevel="4">
      <c r="B116" s="372"/>
      <c r="C116" s="372"/>
      <c r="D116" s="372"/>
      <c r="E116" s="372"/>
      <c r="F116" s="656" t="s">
        <v>1766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894</v>
      </c>
      <c r="C117" s="372" t="s">
        <v>1265</v>
      </c>
      <c r="D117" s="372" t="s">
        <v>518</v>
      </c>
      <c r="E117" s="372" t="s">
        <v>56</v>
      </c>
      <c r="F117" s="425" t="s">
        <v>221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894</v>
      </c>
      <c r="C118" s="372" t="s">
        <v>1265</v>
      </c>
      <c r="D118" s="372" t="s">
        <v>518</v>
      </c>
      <c r="E118" s="372" t="s">
        <v>56</v>
      </c>
      <c r="F118" s="425" t="s">
        <v>254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894</v>
      </c>
      <c r="C119" s="385" t="s">
        <v>1265</v>
      </c>
      <c r="D119" s="385" t="s">
        <v>441</v>
      </c>
      <c r="E119" s="385"/>
      <c r="F119" s="452" t="s">
        <v>1179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894</v>
      </c>
      <c r="C120" s="372" t="s">
        <v>1265</v>
      </c>
      <c r="D120" s="372" t="s">
        <v>441</v>
      </c>
      <c r="E120" s="372" t="s">
        <v>437</v>
      </c>
      <c r="F120" s="425" t="s">
        <v>221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894</v>
      </c>
      <c r="C121" s="372" t="s">
        <v>1265</v>
      </c>
      <c r="D121" s="372" t="s">
        <v>441</v>
      </c>
      <c r="E121" s="372" t="s">
        <v>437</v>
      </c>
      <c r="F121" s="425" t="s">
        <v>1767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1768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894</v>
      </c>
      <c r="C123" s="372" t="s">
        <v>1265</v>
      </c>
      <c r="D123" s="372" t="s">
        <v>441</v>
      </c>
      <c r="E123" s="372" t="s">
        <v>437</v>
      </c>
      <c r="F123" s="425" t="s">
        <v>254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894</v>
      </c>
      <c r="C124" s="385" t="s">
        <v>1265</v>
      </c>
      <c r="D124" s="385" t="s">
        <v>860</v>
      </c>
      <c r="E124" s="385"/>
      <c r="F124" s="452" t="s">
        <v>1179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894</v>
      </c>
      <c r="C125" s="372" t="s">
        <v>1265</v>
      </c>
      <c r="D125" s="372" t="s">
        <v>860</v>
      </c>
      <c r="E125" s="372" t="s">
        <v>437</v>
      </c>
      <c r="F125" s="425" t="s">
        <v>468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469</v>
      </c>
      <c r="C126" s="640" t="s">
        <v>1281</v>
      </c>
      <c r="D126" s="639"/>
      <c r="E126" s="639"/>
      <c r="F126" s="641" t="s">
        <v>1752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6.45" hidden="1" outlineLevel="2">
      <c r="B127" s="385" t="s">
        <v>469</v>
      </c>
      <c r="C127" s="385" t="s">
        <v>1281</v>
      </c>
      <c r="D127" s="385" t="s">
        <v>159</v>
      </c>
      <c r="E127" s="386"/>
      <c r="F127" s="424" t="s">
        <v>1769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469</v>
      </c>
      <c r="C128" s="372" t="s">
        <v>1281</v>
      </c>
      <c r="D128" s="372" t="s">
        <v>159</v>
      </c>
      <c r="E128" s="387" t="s">
        <v>1169</v>
      </c>
      <c r="F128" s="425" t="s">
        <v>1770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469</v>
      </c>
      <c r="C129" s="372" t="s">
        <v>1281</v>
      </c>
      <c r="D129" s="372" t="s">
        <v>159</v>
      </c>
      <c r="E129" s="387" t="s">
        <v>1169</v>
      </c>
      <c r="F129" s="425" t="s">
        <v>1771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469</v>
      </c>
      <c r="C130" s="372" t="s">
        <v>1281</v>
      </c>
      <c r="D130" s="372" t="s">
        <v>159</v>
      </c>
      <c r="E130" s="387" t="s">
        <v>1169</v>
      </c>
      <c r="F130" s="425" t="s">
        <v>1772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469</v>
      </c>
      <c r="C131" s="372" t="s">
        <v>1281</v>
      </c>
      <c r="D131" s="372" t="s">
        <v>159</v>
      </c>
      <c r="E131" s="387" t="s">
        <v>1169</v>
      </c>
      <c r="F131" s="425" t="s">
        <v>1773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469</v>
      </c>
      <c r="C132" s="372" t="s">
        <v>1281</v>
      </c>
      <c r="D132" s="372" t="s">
        <v>159</v>
      </c>
      <c r="E132" s="387" t="s">
        <v>1169</v>
      </c>
      <c r="F132" s="425" t="s">
        <v>1078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469</v>
      </c>
      <c r="C133" s="372" t="s">
        <v>1281</v>
      </c>
      <c r="D133" s="372" t="s">
        <v>159</v>
      </c>
      <c r="E133" s="387" t="s">
        <v>1169</v>
      </c>
      <c r="F133" s="425" t="s">
        <v>1084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469</v>
      </c>
      <c r="C134" s="372" t="s">
        <v>1281</v>
      </c>
      <c r="D134" s="372" t="s">
        <v>159</v>
      </c>
      <c r="E134" s="387" t="s">
        <v>1169</v>
      </c>
      <c r="F134" s="425" t="s">
        <v>1774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469</v>
      </c>
      <c r="C135" s="372" t="s">
        <v>1281</v>
      </c>
      <c r="D135" s="372" t="s">
        <v>159</v>
      </c>
      <c r="E135" s="387" t="s">
        <v>1169</v>
      </c>
      <c r="F135" s="425" t="s">
        <v>1775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469</v>
      </c>
      <c r="C136" s="372" t="s">
        <v>1281</v>
      </c>
      <c r="D136" s="372" t="s">
        <v>159</v>
      </c>
      <c r="E136" s="387" t="s">
        <v>1169</v>
      </c>
      <c r="F136" s="425" t="s">
        <v>1776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469</v>
      </c>
      <c r="C137" s="372" t="s">
        <v>1281</v>
      </c>
      <c r="D137" s="372" t="s">
        <v>159</v>
      </c>
      <c r="E137" s="387" t="s">
        <v>1169</v>
      </c>
      <c r="F137" s="425" t="s">
        <v>244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469</v>
      </c>
      <c r="C138" s="372" t="s">
        <v>1281</v>
      </c>
      <c r="D138" s="372" t="s">
        <v>159</v>
      </c>
      <c r="E138" s="387" t="s">
        <v>1169</v>
      </c>
      <c r="F138" s="425" t="s">
        <v>544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469</v>
      </c>
      <c r="C139" s="372" t="s">
        <v>1281</v>
      </c>
      <c r="D139" s="372" t="s">
        <v>159</v>
      </c>
      <c r="E139" s="387" t="s">
        <v>1169</v>
      </c>
      <c r="F139" s="425" t="s">
        <v>545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.45" hidden="1" outlineLevel="3">
      <c r="B140" s="372" t="s">
        <v>469</v>
      </c>
      <c r="C140" s="372" t="s">
        <v>1281</v>
      </c>
      <c r="D140" s="372" t="s">
        <v>159</v>
      </c>
      <c r="E140" s="387" t="s">
        <v>1169</v>
      </c>
      <c r="F140" s="425" t="s">
        <v>1089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469</v>
      </c>
      <c r="C141" s="372" t="s">
        <v>1281</v>
      </c>
      <c r="D141" s="372" t="s">
        <v>159</v>
      </c>
      <c r="E141" s="387" t="s">
        <v>1169</v>
      </c>
      <c r="F141" s="425" t="s">
        <v>860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469</v>
      </c>
      <c r="C142" s="372" t="s">
        <v>1281</v>
      </c>
      <c r="D142" s="372" t="s">
        <v>159</v>
      </c>
      <c r="E142" s="387" t="s">
        <v>1169</v>
      </c>
      <c r="F142" s="425" t="s">
        <v>221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469</v>
      </c>
      <c r="C143" s="372" t="s">
        <v>1281</v>
      </c>
      <c r="D143" s="372" t="s">
        <v>159</v>
      </c>
      <c r="E143" s="387" t="s">
        <v>1169</v>
      </c>
      <c r="F143" s="425" t="s">
        <v>245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469</v>
      </c>
      <c r="C144" s="372" t="s">
        <v>1281</v>
      </c>
      <c r="D144" s="372" t="s">
        <v>159</v>
      </c>
      <c r="E144" s="387" t="s">
        <v>1169</v>
      </c>
      <c r="F144" s="425" t="s">
        <v>283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469</v>
      </c>
      <c r="C145" s="372" t="s">
        <v>1281</v>
      </c>
      <c r="D145" s="372" t="s">
        <v>159</v>
      </c>
      <c r="E145" s="387" t="s">
        <v>1169</v>
      </c>
      <c r="F145" s="425" t="s">
        <v>543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469</v>
      </c>
      <c r="C146" s="385" t="s">
        <v>1281</v>
      </c>
      <c r="D146" s="385" t="s">
        <v>518</v>
      </c>
      <c r="E146" s="385"/>
      <c r="F146" s="452" t="s">
        <v>1179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469</v>
      </c>
      <c r="C147" s="372" t="s">
        <v>1281</v>
      </c>
      <c r="D147" s="372" t="s">
        <v>518</v>
      </c>
      <c r="E147" s="372" t="s">
        <v>56</v>
      </c>
      <c r="F147" s="425" t="s">
        <v>544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469</v>
      </c>
      <c r="C148" s="372" t="s">
        <v>1281</v>
      </c>
      <c r="D148" s="372" t="s">
        <v>518</v>
      </c>
      <c r="E148" s="372" t="s">
        <v>56</v>
      </c>
      <c r="F148" s="425" t="s">
        <v>545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469</v>
      </c>
      <c r="C149" s="372" t="s">
        <v>1281</v>
      </c>
      <c r="D149" s="372" t="s">
        <v>518</v>
      </c>
      <c r="E149" s="372" t="s">
        <v>56</v>
      </c>
      <c r="F149" s="425" t="s">
        <v>342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469</v>
      </c>
      <c r="C150" s="372" t="s">
        <v>1281</v>
      </c>
      <c r="D150" s="372" t="s">
        <v>518</v>
      </c>
      <c r="E150" s="372" t="s">
        <v>56</v>
      </c>
      <c r="F150" s="425" t="s">
        <v>546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469</v>
      </c>
      <c r="C151" s="372" t="s">
        <v>1281</v>
      </c>
      <c r="D151" s="372" t="s">
        <v>518</v>
      </c>
      <c r="E151" s="372" t="s">
        <v>56</v>
      </c>
      <c r="F151" s="425" t="s">
        <v>547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469</v>
      </c>
      <c r="C152" s="372" t="s">
        <v>1281</v>
      </c>
      <c r="D152" s="372" t="s">
        <v>518</v>
      </c>
      <c r="E152" s="372" t="s">
        <v>56</v>
      </c>
      <c r="F152" s="425" t="s">
        <v>543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469</v>
      </c>
      <c r="C153" s="372" t="s">
        <v>1281</v>
      </c>
      <c r="D153" s="372" t="s">
        <v>518</v>
      </c>
      <c r="E153" s="372" t="s">
        <v>56</v>
      </c>
      <c r="F153" s="425" t="s">
        <v>221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469</v>
      </c>
      <c r="C154" s="385" t="s">
        <v>1281</v>
      </c>
      <c r="D154" s="385" t="s">
        <v>441</v>
      </c>
      <c r="E154" s="385"/>
      <c r="F154" s="424" t="s">
        <v>1282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469</v>
      </c>
      <c r="C155" s="372" t="s">
        <v>1281</v>
      </c>
      <c r="D155" s="372" t="s">
        <v>441</v>
      </c>
      <c r="E155" s="372" t="s">
        <v>437</v>
      </c>
      <c r="F155" s="452" t="s">
        <v>1777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469</v>
      </c>
      <c r="C156" s="372" t="s">
        <v>1281</v>
      </c>
      <c r="D156" s="372" t="s">
        <v>441</v>
      </c>
      <c r="E156" s="372" t="s">
        <v>437</v>
      </c>
      <c r="F156" s="425" t="s">
        <v>349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469</v>
      </c>
      <c r="C157" s="372" t="s">
        <v>1281</v>
      </c>
      <c r="D157" s="372" t="s">
        <v>441</v>
      </c>
      <c r="E157" s="372" t="s">
        <v>437</v>
      </c>
      <c r="F157" s="425" t="s">
        <v>350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469</v>
      </c>
      <c r="C158" s="385" t="s">
        <v>1281</v>
      </c>
      <c r="D158" s="385" t="s">
        <v>860</v>
      </c>
      <c r="E158" s="385"/>
      <c r="F158" s="424" t="s">
        <v>1282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897</v>
      </c>
      <c r="C159" s="633" t="s">
        <v>1201</v>
      </c>
      <c r="D159" s="632"/>
      <c r="E159" s="632"/>
      <c r="F159" s="641" t="s">
        <v>1752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897</v>
      </c>
      <c r="C160" s="385" t="s">
        <v>1201</v>
      </c>
      <c r="D160" s="385" t="s">
        <v>159</v>
      </c>
      <c r="E160" s="380"/>
      <c r="F160" s="424" t="s">
        <v>1179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897</v>
      </c>
      <c r="C162" s="385" t="s">
        <v>1201</v>
      </c>
      <c r="D162" s="385" t="s">
        <v>518</v>
      </c>
      <c r="E162" s="385"/>
      <c r="F162" s="424" t="s">
        <v>1179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897</v>
      </c>
      <c r="C163" s="372" t="s">
        <v>1201</v>
      </c>
      <c r="D163" s="372" t="s">
        <v>518</v>
      </c>
      <c r="E163" s="372" t="s">
        <v>56</v>
      </c>
      <c r="F163" s="422" t="s">
        <v>174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1778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897</v>
      </c>
      <c r="C165" s="372" t="s">
        <v>1201</v>
      </c>
      <c r="D165" s="372" t="s">
        <v>518</v>
      </c>
      <c r="E165" s="372" t="s">
        <v>56</v>
      </c>
      <c r="F165" s="422" t="s">
        <v>552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1779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1780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1781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1782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1783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897</v>
      </c>
      <c r="C171" s="372" t="s">
        <v>1201</v>
      </c>
      <c r="D171" s="372" t="s">
        <v>518</v>
      </c>
      <c r="E171" s="372" t="s">
        <v>56</v>
      </c>
      <c r="F171" s="422" t="s">
        <v>553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1784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897</v>
      </c>
      <c r="C173" s="385" t="s">
        <v>1201</v>
      </c>
      <c r="D173" s="385" t="s">
        <v>441</v>
      </c>
      <c r="E173" s="385"/>
      <c r="F173" s="424" t="s">
        <v>1179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897</v>
      </c>
      <c r="C174" s="385" t="s">
        <v>1201</v>
      </c>
      <c r="D174" s="385" t="s">
        <v>860</v>
      </c>
      <c r="E174" s="385"/>
      <c r="F174" s="424" t="s">
        <v>1179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898</v>
      </c>
      <c r="C175" s="633" t="s">
        <v>1785</v>
      </c>
      <c r="D175" s="632"/>
      <c r="E175" s="632"/>
      <c r="F175" s="641" t="s">
        <v>1752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898</v>
      </c>
      <c r="C176" s="385" t="s">
        <v>1785</v>
      </c>
      <c r="D176" s="385" t="s">
        <v>159</v>
      </c>
      <c r="E176" s="380"/>
      <c r="F176" s="424" t="s">
        <v>1179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898</v>
      </c>
      <c r="C177" s="372" t="s">
        <v>1785</v>
      </c>
      <c r="D177" s="372" t="s">
        <v>159</v>
      </c>
      <c r="E177" s="376" t="s">
        <v>1162</v>
      </c>
      <c r="F177" s="422" t="s">
        <v>174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1786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898</v>
      </c>
      <c r="C179" s="372" t="s">
        <v>1785</v>
      </c>
      <c r="D179" s="372" t="s">
        <v>159</v>
      </c>
      <c r="E179" s="376" t="s">
        <v>1162</v>
      </c>
      <c r="F179" s="422" t="s">
        <v>175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1787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898</v>
      </c>
      <c r="C181" s="385" t="s">
        <v>1785</v>
      </c>
      <c r="D181" s="385" t="s">
        <v>518</v>
      </c>
      <c r="E181" s="385"/>
      <c r="F181" s="424" t="s">
        <v>1179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898</v>
      </c>
      <c r="C182" s="372" t="s">
        <v>1785</v>
      </c>
      <c r="D182" s="372" t="s">
        <v>518</v>
      </c>
      <c r="E182" s="372" t="s">
        <v>56</v>
      </c>
      <c r="F182" s="422" t="s">
        <v>175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1787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898</v>
      </c>
      <c r="C184" s="372" t="s">
        <v>1785</v>
      </c>
      <c r="D184" s="372" t="s">
        <v>518</v>
      </c>
      <c r="E184" s="372" t="s">
        <v>56</v>
      </c>
      <c r="F184" s="422" t="s">
        <v>174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1778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1786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898</v>
      </c>
      <c r="C187" s="372" t="s">
        <v>1785</v>
      </c>
      <c r="D187" s="372" t="s">
        <v>518</v>
      </c>
      <c r="E187" s="372" t="s">
        <v>56</v>
      </c>
      <c r="F187" s="422" t="s">
        <v>195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1788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898</v>
      </c>
      <c r="C189" s="385" t="s">
        <v>1785</v>
      </c>
      <c r="D189" s="385" t="s">
        <v>441</v>
      </c>
      <c r="E189" s="385"/>
      <c r="F189" s="424" t="s">
        <v>1179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898</v>
      </c>
      <c r="C190" s="385" t="s">
        <v>1785</v>
      </c>
      <c r="D190" s="385" t="s">
        <v>860</v>
      </c>
      <c r="E190" s="385"/>
      <c r="F190" s="424" t="s">
        <v>1179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899</v>
      </c>
      <c r="C191" s="633" t="s">
        <v>1178</v>
      </c>
      <c r="D191" s="632"/>
      <c r="E191" s="632"/>
      <c r="F191" s="634" t="s">
        <v>1789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899</v>
      </c>
      <c r="C192" s="385" t="s">
        <v>1178</v>
      </c>
      <c r="D192" s="385" t="s">
        <v>159</v>
      </c>
      <c r="E192" s="380"/>
      <c r="F192" s="424" t="s">
        <v>1179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899</v>
      </c>
      <c r="C193" s="372" t="s">
        <v>1178</v>
      </c>
      <c r="D193" s="372" t="s">
        <v>159</v>
      </c>
      <c r="E193" s="376" t="s">
        <v>1162</v>
      </c>
      <c r="F193" s="422" t="s">
        <v>188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899</v>
      </c>
      <c r="C194" s="372" t="s">
        <v>1178</v>
      </c>
      <c r="D194" s="372" t="s">
        <v>159</v>
      </c>
      <c r="E194" s="376" t="s">
        <v>1162</v>
      </c>
      <c r="F194" s="422" t="s">
        <v>189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899</v>
      </c>
      <c r="C195" s="372" t="s">
        <v>1178</v>
      </c>
      <c r="D195" s="372" t="s">
        <v>159</v>
      </c>
      <c r="E195" s="376" t="s">
        <v>1162</v>
      </c>
      <c r="F195" s="422" t="s">
        <v>190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899</v>
      </c>
      <c r="C196" s="372" t="s">
        <v>1178</v>
      </c>
      <c r="D196" s="372" t="s">
        <v>159</v>
      </c>
      <c r="E196" s="376" t="s">
        <v>1162</v>
      </c>
      <c r="F196" s="422" t="s">
        <v>1790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899</v>
      </c>
      <c r="C197" s="385" t="s">
        <v>1178</v>
      </c>
      <c r="D197" s="385" t="s">
        <v>518</v>
      </c>
      <c r="E197" s="385"/>
      <c r="F197" s="424" t="s">
        <v>1179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899</v>
      </c>
      <c r="C198" s="372" t="s">
        <v>1178</v>
      </c>
      <c r="D198" s="372" t="s">
        <v>518</v>
      </c>
      <c r="E198" s="372" t="s">
        <v>56</v>
      </c>
      <c r="F198" s="422" t="s">
        <v>1791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899</v>
      </c>
      <c r="C199" s="372" t="s">
        <v>1178</v>
      </c>
      <c r="D199" s="372" t="s">
        <v>518</v>
      </c>
      <c r="E199" s="372" t="s">
        <v>56</v>
      </c>
      <c r="F199" s="422" t="s">
        <v>1792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899</v>
      </c>
      <c r="C200" s="372" t="s">
        <v>1178</v>
      </c>
      <c r="D200" s="372" t="s">
        <v>518</v>
      </c>
      <c r="E200" s="372" t="s">
        <v>56</v>
      </c>
      <c r="F200" s="422" t="s">
        <v>1793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1794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899</v>
      </c>
      <c r="C202" s="372" t="s">
        <v>1178</v>
      </c>
      <c r="D202" s="372" t="s">
        <v>518</v>
      </c>
      <c r="E202" s="372" t="s">
        <v>56</v>
      </c>
      <c r="F202" s="422" t="s">
        <v>1795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1796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899</v>
      </c>
      <c r="C204" s="372" t="s">
        <v>1178</v>
      </c>
      <c r="D204" s="372" t="s">
        <v>518</v>
      </c>
      <c r="E204" s="372" t="s">
        <v>56</v>
      </c>
      <c r="F204" s="422" t="s">
        <v>1797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899</v>
      </c>
      <c r="C205" s="372" t="s">
        <v>1178</v>
      </c>
      <c r="D205" s="372" t="s">
        <v>518</v>
      </c>
      <c r="E205" s="372" t="s">
        <v>56</v>
      </c>
      <c r="F205" s="422" t="s">
        <v>1798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899</v>
      </c>
      <c r="C206" s="372" t="s">
        <v>1178</v>
      </c>
      <c r="D206" s="372" t="s">
        <v>518</v>
      </c>
      <c r="E206" s="372" t="s">
        <v>56</v>
      </c>
      <c r="F206" s="422" t="s">
        <v>1799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1800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899</v>
      </c>
      <c r="C208" s="372" t="s">
        <v>1178</v>
      </c>
      <c r="D208" s="372" t="s">
        <v>518</v>
      </c>
      <c r="E208" s="372" t="s">
        <v>56</v>
      </c>
      <c r="F208" s="422" t="s">
        <v>1801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1802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899</v>
      </c>
      <c r="C210" s="372" t="s">
        <v>1178</v>
      </c>
      <c r="D210" s="372" t="s">
        <v>518</v>
      </c>
      <c r="E210" s="372" t="s">
        <v>56</v>
      </c>
      <c r="F210" s="422" t="s">
        <v>1803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1800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899</v>
      </c>
      <c r="C212" s="372" t="s">
        <v>1178</v>
      </c>
      <c r="D212" s="372" t="s">
        <v>518</v>
      </c>
      <c r="E212" s="372" t="s">
        <v>56</v>
      </c>
      <c r="F212" s="422" t="s">
        <v>1804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899</v>
      </c>
      <c r="C213" s="372" t="s">
        <v>1178</v>
      </c>
      <c r="D213" s="372" t="s">
        <v>518</v>
      </c>
      <c r="E213" s="372" t="s">
        <v>56</v>
      </c>
      <c r="F213" s="422" t="s">
        <v>192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899</v>
      </c>
      <c r="C214" s="385" t="s">
        <v>1178</v>
      </c>
      <c r="D214" s="385" t="s">
        <v>441</v>
      </c>
      <c r="E214" s="385"/>
      <c r="F214" s="424" t="s">
        <v>1179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899</v>
      </c>
      <c r="C215" s="372" t="s">
        <v>1178</v>
      </c>
      <c r="D215" s="372" t="s">
        <v>441</v>
      </c>
      <c r="E215" s="372" t="s">
        <v>437</v>
      </c>
      <c r="F215" s="422" t="s">
        <v>475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899</v>
      </c>
      <c r="C216" s="372" t="s">
        <v>1178</v>
      </c>
      <c r="D216" s="372" t="s">
        <v>441</v>
      </c>
      <c r="E216" s="372" t="s">
        <v>437</v>
      </c>
      <c r="F216" s="422" t="s">
        <v>476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899</v>
      </c>
      <c r="C217" s="385" t="s">
        <v>1178</v>
      </c>
      <c r="D217" s="385" t="s">
        <v>860</v>
      </c>
      <c r="E217" s="385"/>
      <c r="F217" s="424" t="s">
        <v>1179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946</v>
      </c>
      <c r="C218" s="639" t="s">
        <v>1195</v>
      </c>
      <c r="D218" s="639"/>
      <c r="E218" s="639"/>
      <c r="F218" s="641" t="s">
        <v>1805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946</v>
      </c>
      <c r="C219" s="385" t="s">
        <v>1195</v>
      </c>
      <c r="D219" s="385" t="s">
        <v>159</v>
      </c>
      <c r="E219" s="380"/>
      <c r="F219" s="424" t="s">
        <v>1806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946</v>
      </c>
      <c r="C220" s="372" t="s">
        <v>1195</v>
      </c>
      <c r="D220" s="372" t="s">
        <v>159</v>
      </c>
      <c r="E220" s="376" t="s">
        <v>1162</v>
      </c>
      <c r="F220" s="422" t="s">
        <v>1807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946</v>
      </c>
      <c r="C221" s="372" t="s">
        <v>1195</v>
      </c>
      <c r="D221" s="372" t="s">
        <v>159</v>
      </c>
      <c r="E221" s="376" t="s">
        <v>1162</v>
      </c>
      <c r="F221" s="422" t="s">
        <v>1808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946</v>
      </c>
      <c r="C222" s="372" t="s">
        <v>1195</v>
      </c>
      <c r="D222" s="372" t="s">
        <v>159</v>
      </c>
      <c r="E222" s="376" t="s">
        <v>1162</v>
      </c>
      <c r="F222" s="422" t="s">
        <v>1809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946</v>
      </c>
      <c r="C223" s="385" t="s">
        <v>1195</v>
      </c>
      <c r="D223" s="385" t="s">
        <v>518</v>
      </c>
      <c r="E223" s="385"/>
      <c r="F223" s="424" t="s">
        <v>1806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946</v>
      </c>
      <c r="C224" s="372" t="s">
        <v>1195</v>
      </c>
      <c r="D224" s="372" t="s">
        <v>518</v>
      </c>
      <c r="E224" s="372" t="s">
        <v>56</v>
      </c>
      <c r="F224" s="422" t="s">
        <v>1810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946</v>
      </c>
      <c r="C225" s="372" t="s">
        <v>1195</v>
      </c>
      <c r="D225" s="372" t="s">
        <v>518</v>
      </c>
      <c r="E225" s="372" t="s">
        <v>56</v>
      </c>
      <c r="F225" s="422" t="s">
        <v>1807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946</v>
      </c>
      <c r="C226" s="372" t="s">
        <v>1195</v>
      </c>
      <c r="D226" s="372" t="s">
        <v>518</v>
      </c>
      <c r="E226" s="372" t="s">
        <v>56</v>
      </c>
      <c r="F226" s="422" t="s">
        <v>1808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946</v>
      </c>
      <c r="C227" s="372" t="s">
        <v>1195</v>
      </c>
      <c r="D227" s="372" t="s">
        <v>518</v>
      </c>
      <c r="E227" s="372" t="s">
        <v>56</v>
      </c>
      <c r="F227" s="422" t="s">
        <v>1809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946</v>
      </c>
      <c r="C228" s="385" t="s">
        <v>1195</v>
      </c>
      <c r="D228" s="385" t="s">
        <v>441</v>
      </c>
      <c r="E228" s="385"/>
      <c r="F228" s="424" t="s">
        <v>1806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946</v>
      </c>
      <c r="C229" s="372" t="s">
        <v>1195</v>
      </c>
      <c r="D229" s="372" t="s">
        <v>441</v>
      </c>
      <c r="E229" s="372" t="s">
        <v>437</v>
      </c>
      <c r="F229" s="422" t="s">
        <v>1807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946</v>
      </c>
      <c r="C230" s="372" t="s">
        <v>1195</v>
      </c>
      <c r="D230" s="372" t="s">
        <v>441</v>
      </c>
      <c r="E230" s="372" t="s">
        <v>437</v>
      </c>
      <c r="F230" s="424" t="s">
        <v>1808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901</v>
      </c>
      <c r="C231" s="633" t="s">
        <v>1201</v>
      </c>
      <c r="D231" s="632"/>
      <c r="E231" s="632"/>
      <c r="F231" s="641" t="s">
        <v>1752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901</v>
      </c>
      <c r="C232" s="385" t="s">
        <v>1201</v>
      </c>
      <c r="D232" s="385" t="s">
        <v>159</v>
      </c>
      <c r="E232" s="380"/>
      <c r="F232" s="424" t="s">
        <v>1179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901</v>
      </c>
      <c r="C233" s="372" t="s">
        <v>1201</v>
      </c>
      <c r="D233" s="372" t="s">
        <v>159</v>
      </c>
      <c r="E233" s="376" t="s">
        <v>1162</v>
      </c>
      <c r="F233" s="422" t="s">
        <v>216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901</v>
      </c>
      <c r="C234" s="372" t="s">
        <v>1201</v>
      </c>
      <c r="D234" s="372" t="s">
        <v>159</v>
      </c>
      <c r="E234" s="376" t="s">
        <v>1162</v>
      </c>
      <c r="F234" s="422" t="s">
        <v>218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1811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901</v>
      </c>
      <c r="C236" s="372" t="s">
        <v>1201</v>
      </c>
      <c r="D236" s="372" t="s">
        <v>159</v>
      </c>
      <c r="E236" s="376" t="s">
        <v>1162</v>
      </c>
      <c r="F236" s="422" t="s">
        <v>190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1812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1813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901</v>
      </c>
      <c r="C239" s="372" t="s">
        <v>1201</v>
      </c>
      <c r="D239" s="372" t="s">
        <v>159</v>
      </c>
      <c r="E239" s="376" t="s">
        <v>1162</v>
      </c>
      <c r="F239" s="422" t="s">
        <v>174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1814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1815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1816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1817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901</v>
      </c>
      <c r="C244" s="372" t="s">
        <v>1201</v>
      </c>
      <c r="D244" s="372" t="s">
        <v>159</v>
      </c>
      <c r="E244" s="376" t="s">
        <v>1162</v>
      </c>
      <c r="F244" s="422" t="s">
        <v>195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901</v>
      </c>
      <c r="C245" s="385" t="s">
        <v>1201</v>
      </c>
      <c r="D245" s="385" t="s">
        <v>518</v>
      </c>
      <c r="E245" s="385"/>
      <c r="F245" s="424" t="s">
        <v>1179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901</v>
      </c>
      <c r="C246" s="372" t="s">
        <v>1201</v>
      </c>
      <c r="D246" s="372" t="s">
        <v>518</v>
      </c>
      <c r="E246" s="372" t="s">
        <v>56</v>
      </c>
      <c r="F246" s="422" t="s">
        <v>209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1818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1819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901</v>
      </c>
      <c r="C249" s="372" t="s">
        <v>1201</v>
      </c>
      <c r="D249" s="372" t="s">
        <v>518</v>
      </c>
      <c r="E249" s="372" t="s">
        <v>56</v>
      </c>
      <c r="F249" s="422" t="s">
        <v>217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1820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901</v>
      </c>
      <c r="C251" s="372" t="s">
        <v>1201</v>
      </c>
      <c r="D251" s="372" t="s">
        <v>518</v>
      </c>
      <c r="E251" s="372" t="s">
        <v>56</v>
      </c>
      <c r="F251" s="422" t="s">
        <v>174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1814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1815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1821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1817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901</v>
      </c>
      <c r="C256" s="372" t="s">
        <v>1201</v>
      </c>
      <c r="D256" s="372" t="s">
        <v>518</v>
      </c>
      <c r="E256" s="372" t="s">
        <v>56</v>
      </c>
      <c r="F256" s="422" t="s">
        <v>195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6.45" hidden="1" outlineLevel="3">
      <c r="A257" s="372"/>
      <c r="B257" s="376" t="s">
        <v>901</v>
      </c>
      <c r="C257" s="372" t="s">
        <v>1201</v>
      </c>
      <c r="D257" s="372" t="s">
        <v>518</v>
      </c>
      <c r="E257" s="372" t="s">
        <v>56</v>
      </c>
      <c r="F257" s="422" t="s">
        <v>1822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1823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901</v>
      </c>
      <c r="C259" s="385" t="s">
        <v>1201</v>
      </c>
      <c r="D259" s="385" t="s">
        <v>441</v>
      </c>
      <c r="E259" s="385"/>
      <c r="F259" s="424" t="s">
        <v>1179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901</v>
      </c>
      <c r="C260" s="372" t="s">
        <v>1201</v>
      </c>
      <c r="D260" s="372" t="s">
        <v>441</v>
      </c>
      <c r="E260" s="372" t="s">
        <v>437</v>
      </c>
      <c r="F260" s="422" t="s">
        <v>195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901</v>
      </c>
      <c r="C261" s="385" t="s">
        <v>1201</v>
      </c>
      <c r="D261" s="385" t="s">
        <v>860</v>
      </c>
      <c r="E261" s="385"/>
      <c r="F261" s="424" t="s">
        <v>1179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162</v>
      </c>
      <c r="C262" s="632" t="s">
        <v>162</v>
      </c>
      <c r="D262" s="632"/>
      <c r="E262" s="632"/>
      <c r="F262" s="634" t="s">
        <v>1824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162</v>
      </c>
      <c r="C263" s="380" t="s">
        <v>162</v>
      </c>
      <c r="D263" s="385" t="s">
        <v>1166</v>
      </c>
      <c r="E263" s="380"/>
      <c r="F263" s="424" t="s">
        <v>1282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162</v>
      </c>
      <c r="C264" s="380" t="s">
        <v>162</v>
      </c>
      <c r="D264" s="385" t="s">
        <v>159</v>
      </c>
      <c r="E264" s="380"/>
      <c r="F264" s="424" t="s">
        <v>1282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162</v>
      </c>
      <c r="C265" s="376" t="s">
        <v>162</v>
      </c>
      <c r="D265" s="372" t="s">
        <v>159</v>
      </c>
      <c r="E265" s="376" t="s">
        <v>1007</v>
      </c>
      <c r="F265" s="422" t="s">
        <v>245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1825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1826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162</v>
      </c>
      <c r="C268" s="380" t="s">
        <v>162</v>
      </c>
      <c r="D268" s="385" t="s">
        <v>518</v>
      </c>
      <c r="E268" s="385"/>
      <c r="F268" s="424" t="s">
        <v>1282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162</v>
      </c>
      <c r="C269" s="376" t="s">
        <v>162</v>
      </c>
      <c r="D269" s="372" t="s">
        <v>518</v>
      </c>
      <c r="E269" s="372" t="s">
        <v>56</v>
      </c>
      <c r="F269" s="422" t="s">
        <v>543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1827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1828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162</v>
      </c>
      <c r="C272" s="376" t="s">
        <v>162</v>
      </c>
      <c r="D272" s="372" t="s">
        <v>518</v>
      </c>
      <c r="E272" s="372" t="s">
        <v>56</v>
      </c>
      <c r="F272" s="422" t="s">
        <v>221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1044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1829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162</v>
      </c>
      <c r="C275" s="376" t="s">
        <v>162</v>
      </c>
      <c r="D275" s="372" t="s">
        <v>518</v>
      </c>
      <c r="E275" s="372" t="s">
        <v>56</v>
      </c>
      <c r="F275" s="422" t="s">
        <v>245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1830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1825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162</v>
      </c>
      <c r="C278" s="376" t="s">
        <v>162</v>
      </c>
      <c r="D278" s="372" t="s">
        <v>518</v>
      </c>
      <c r="E278" s="372" t="s">
        <v>56</v>
      </c>
      <c r="F278" s="422" t="s">
        <v>254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162</v>
      </c>
      <c r="C279" s="380" t="s">
        <v>162</v>
      </c>
      <c r="D279" s="385" t="s">
        <v>441</v>
      </c>
      <c r="E279" s="385"/>
      <c r="F279" s="424" t="s">
        <v>1282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162</v>
      </c>
      <c r="C280" s="376" t="s">
        <v>162</v>
      </c>
      <c r="D280" s="372" t="s">
        <v>441</v>
      </c>
      <c r="E280" s="372" t="s">
        <v>437</v>
      </c>
      <c r="F280" s="422" t="s">
        <v>243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162</v>
      </c>
      <c r="C281" s="376" t="s">
        <v>162</v>
      </c>
      <c r="D281" s="372" t="s">
        <v>441</v>
      </c>
      <c r="E281" s="372" t="s">
        <v>437</v>
      </c>
      <c r="F281" s="422" t="s">
        <v>1831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162</v>
      </c>
      <c r="C282" s="376" t="s">
        <v>162</v>
      </c>
      <c r="D282" s="372" t="s">
        <v>441</v>
      </c>
      <c r="E282" s="372" t="s">
        <v>437</v>
      </c>
      <c r="F282" s="422" t="s">
        <v>245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1832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1833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162</v>
      </c>
      <c r="C285" s="376" t="s">
        <v>162</v>
      </c>
      <c r="D285" s="372" t="s">
        <v>441</v>
      </c>
      <c r="E285" s="372" t="s">
        <v>437</v>
      </c>
      <c r="F285" s="422" t="s">
        <v>254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162</v>
      </c>
      <c r="C286" s="380" t="s">
        <v>162</v>
      </c>
      <c r="D286" s="385" t="s">
        <v>860</v>
      </c>
      <c r="E286" s="385"/>
      <c r="F286" s="424" t="s">
        <v>1282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162</v>
      </c>
      <c r="C287" s="376" t="s">
        <v>162</v>
      </c>
      <c r="D287" s="372" t="s">
        <v>860</v>
      </c>
      <c r="E287" s="372" t="s">
        <v>437</v>
      </c>
      <c r="F287" s="422" t="s">
        <v>1317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162</v>
      </c>
      <c r="C288" s="376" t="s">
        <v>162</v>
      </c>
      <c r="D288" s="372" t="s">
        <v>860</v>
      </c>
      <c r="E288" s="372" t="s">
        <v>437</v>
      </c>
      <c r="F288" s="422" t="s">
        <v>1834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162</v>
      </c>
      <c r="C289" s="376" t="s">
        <v>162</v>
      </c>
      <c r="D289" s="372" t="s">
        <v>860</v>
      </c>
      <c r="E289" s="372" t="s">
        <v>437</v>
      </c>
      <c r="F289" s="422" t="s">
        <v>283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1638</v>
      </c>
      <c r="C290" s="633" t="s">
        <v>1220</v>
      </c>
      <c r="D290" s="632"/>
      <c r="E290" s="632"/>
      <c r="F290" s="634" t="s">
        <v>1835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1638</v>
      </c>
      <c r="C291" s="385" t="s">
        <v>1220</v>
      </c>
      <c r="D291" s="385" t="s">
        <v>518</v>
      </c>
      <c r="E291" s="385"/>
      <c r="F291" s="424" t="s">
        <v>1179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1638</v>
      </c>
      <c r="C292" s="372" t="s">
        <v>1220</v>
      </c>
      <c r="D292" s="372" t="s">
        <v>518</v>
      </c>
      <c r="E292" s="372" t="s">
        <v>56</v>
      </c>
      <c r="F292" s="422" t="s">
        <v>1551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1836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252</v>
      </c>
      <c r="C294" s="639" t="s">
        <v>252</v>
      </c>
      <c r="D294" s="639"/>
      <c r="E294" s="639"/>
      <c r="F294" s="634" t="s">
        <v>1835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252</v>
      </c>
      <c r="C295" s="380" t="s">
        <v>252</v>
      </c>
      <c r="D295" s="385" t="s">
        <v>159</v>
      </c>
      <c r="E295" s="386"/>
      <c r="F295" s="424" t="s">
        <v>1319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252</v>
      </c>
      <c r="C296" s="376" t="s">
        <v>252</v>
      </c>
      <c r="D296" s="372" t="s">
        <v>159</v>
      </c>
      <c r="E296" s="387" t="s">
        <v>1007</v>
      </c>
      <c r="F296" s="422" t="s">
        <v>75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1085</v>
      </c>
      <c r="B297" s="376" t="s">
        <v>252</v>
      </c>
      <c r="C297" s="376" t="s">
        <v>252</v>
      </c>
      <c r="D297" s="372" t="s">
        <v>159</v>
      </c>
      <c r="E297" s="387" t="s">
        <v>1007</v>
      </c>
      <c r="F297" s="422" t="s">
        <v>1246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252</v>
      </c>
      <c r="C298" s="376" t="s">
        <v>252</v>
      </c>
      <c r="D298" s="372" t="s">
        <v>159</v>
      </c>
      <c r="E298" s="387" t="s">
        <v>1007</v>
      </c>
      <c r="F298" s="422" t="s">
        <v>1321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252</v>
      </c>
      <c r="C299" s="376" t="s">
        <v>252</v>
      </c>
      <c r="D299" s="372" t="s">
        <v>159</v>
      </c>
      <c r="E299" s="387" t="s">
        <v>1007</v>
      </c>
      <c r="F299" s="422" t="s">
        <v>1322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1837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252</v>
      </c>
      <c r="C301" s="376" t="s">
        <v>252</v>
      </c>
      <c r="D301" s="372" t="s">
        <v>159</v>
      </c>
      <c r="E301" s="387" t="s">
        <v>1007</v>
      </c>
      <c r="F301" s="422" t="s">
        <v>1323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252</v>
      </c>
      <c r="C302" s="376" t="s">
        <v>252</v>
      </c>
      <c r="D302" s="372" t="s">
        <v>159</v>
      </c>
      <c r="E302" s="387" t="s">
        <v>1007</v>
      </c>
      <c r="F302" s="422" t="s">
        <v>1324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1838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252</v>
      </c>
      <c r="C304" s="376" t="s">
        <v>252</v>
      </c>
      <c r="D304" s="372" t="s">
        <v>159</v>
      </c>
      <c r="E304" s="387" t="s">
        <v>1007</v>
      </c>
      <c r="F304" s="422" t="s">
        <v>1325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252</v>
      </c>
      <c r="C305" s="376" t="s">
        <v>252</v>
      </c>
      <c r="D305" s="372" t="s">
        <v>159</v>
      </c>
      <c r="E305" s="387" t="s">
        <v>1007</v>
      </c>
      <c r="F305" s="422" t="s">
        <v>1326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252</v>
      </c>
      <c r="C306" s="376" t="s">
        <v>252</v>
      </c>
      <c r="D306" s="372" t="s">
        <v>159</v>
      </c>
      <c r="E306" s="387" t="s">
        <v>1007</v>
      </c>
      <c r="F306" s="422" t="s">
        <v>1313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252</v>
      </c>
      <c r="C307" s="376" t="s">
        <v>252</v>
      </c>
      <c r="D307" s="372" t="s">
        <v>159</v>
      </c>
      <c r="E307" s="387" t="s">
        <v>1007</v>
      </c>
      <c r="F307" s="422" t="s">
        <v>1328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252</v>
      </c>
      <c r="C308" s="380" t="s">
        <v>252</v>
      </c>
      <c r="D308" s="385" t="s">
        <v>518</v>
      </c>
      <c r="E308" s="385"/>
      <c r="F308" s="424" t="s">
        <v>1319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252</v>
      </c>
      <c r="C309" s="376" t="s">
        <v>252</v>
      </c>
      <c r="D309" s="372" t="s">
        <v>518</v>
      </c>
      <c r="E309" s="372" t="s">
        <v>56</v>
      </c>
      <c r="F309" s="422" t="s">
        <v>1839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252</v>
      </c>
      <c r="C310" s="376" t="s">
        <v>252</v>
      </c>
      <c r="D310" s="372" t="s">
        <v>518</v>
      </c>
      <c r="E310" s="372" t="s">
        <v>56</v>
      </c>
      <c r="F310" s="422" t="s">
        <v>1323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252</v>
      </c>
      <c r="C311" s="376" t="s">
        <v>252</v>
      </c>
      <c r="D311" s="372" t="s">
        <v>518</v>
      </c>
      <c r="E311" s="372" t="s">
        <v>56</v>
      </c>
      <c r="F311" s="422" t="s">
        <v>1556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1840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252</v>
      </c>
      <c r="C313" s="376" t="s">
        <v>252</v>
      </c>
      <c r="D313" s="372" t="s">
        <v>518</v>
      </c>
      <c r="E313" s="372" t="s">
        <v>56</v>
      </c>
      <c r="F313" s="422" t="s">
        <v>1841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1842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252</v>
      </c>
      <c r="C315" s="376" t="s">
        <v>252</v>
      </c>
      <c r="D315" s="372" t="s">
        <v>518</v>
      </c>
      <c r="E315" s="372" t="s">
        <v>56</v>
      </c>
      <c r="F315" s="422" t="s">
        <v>1558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1843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252</v>
      </c>
      <c r="C317" s="376" t="s">
        <v>252</v>
      </c>
      <c r="D317" s="372" t="s">
        <v>518</v>
      </c>
      <c r="E317" s="372" t="s">
        <v>56</v>
      </c>
      <c r="F317" s="422" t="s">
        <v>1844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252</v>
      </c>
      <c r="C318" s="376" t="s">
        <v>252</v>
      </c>
      <c r="D318" s="372" t="s">
        <v>518</v>
      </c>
      <c r="E318" s="372" t="s">
        <v>56</v>
      </c>
      <c r="F318" s="422" t="s">
        <v>1560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252</v>
      </c>
      <c r="C319" s="376" t="s">
        <v>252</v>
      </c>
      <c r="D319" s="372" t="s">
        <v>518</v>
      </c>
      <c r="E319" s="372" t="s">
        <v>56</v>
      </c>
      <c r="F319" s="422" t="s">
        <v>1845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252</v>
      </c>
      <c r="C320" s="376" t="s">
        <v>252</v>
      </c>
      <c r="D320" s="372" t="s">
        <v>518</v>
      </c>
      <c r="E320" s="372" t="s">
        <v>56</v>
      </c>
      <c r="F320" s="422" t="s">
        <v>1562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252</v>
      </c>
      <c r="C321" s="376" t="s">
        <v>252</v>
      </c>
      <c r="D321" s="372" t="s">
        <v>518</v>
      </c>
      <c r="E321" s="372" t="s">
        <v>56</v>
      </c>
      <c r="F321" s="422" t="s">
        <v>1564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1846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252</v>
      </c>
      <c r="C323" s="376" t="s">
        <v>252</v>
      </c>
      <c r="D323" s="372" t="s">
        <v>518</v>
      </c>
      <c r="E323" s="372" t="s">
        <v>56</v>
      </c>
      <c r="F323" s="422" t="s">
        <v>1847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252</v>
      </c>
      <c r="C324" s="376" t="s">
        <v>252</v>
      </c>
      <c r="D324" s="372" t="s">
        <v>518</v>
      </c>
      <c r="E324" s="372" t="s">
        <v>56</v>
      </c>
      <c r="F324" s="422" t="s">
        <v>1565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252</v>
      </c>
      <c r="C325" s="376" t="s">
        <v>252</v>
      </c>
      <c r="D325" s="372" t="s">
        <v>518</v>
      </c>
      <c r="E325" s="372" t="s">
        <v>56</v>
      </c>
      <c r="F325" s="422" t="s">
        <v>1567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252</v>
      </c>
      <c r="C326" s="376" t="s">
        <v>252</v>
      </c>
      <c r="D326" s="372" t="s">
        <v>518</v>
      </c>
      <c r="E326" s="372" t="s">
        <v>56</v>
      </c>
      <c r="F326" s="422" t="s">
        <v>1568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252</v>
      </c>
      <c r="C327" s="376" t="s">
        <v>252</v>
      </c>
      <c r="D327" s="372" t="s">
        <v>518</v>
      </c>
      <c r="E327" s="372" t="s">
        <v>56</v>
      </c>
      <c r="F327" s="422" t="s">
        <v>1569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252</v>
      </c>
      <c r="C328" s="376" t="s">
        <v>252</v>
      </c>
      <c r="D328" s="372" t="s">
        <v>518</v>
      </c>
      <c r="E328" s="372" t="s">
        <v>56</v>
      </c>
      <c r="F328" s="422" t="s">
        <v>1570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252</v>
      </c>
      <c r="C329" s="380" t="s">
        <v>252</v>
      </c>
      <c r="D329" s="385" t="s">
        <v>441</v>
      </c>
      <c r="E329" s="385"/>
      <c r="F329" s="424" t="s">
        <v>1319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252</v>
      </c>
      <c r="C330" s="376" t="s">
        <v>252</v>
      </c>
      <c r="D330" s="372" t="s">
        <v>441</v>
      </c>
      <c r="E330" s="372" t="s">
        <v>437</v>
      </c>
      <c r="F330" s="422" t="s">
        <v>1426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903</v>
      </c>
      <c r="C331" s="632" t="s">
        <v>903</v>
      </c>
      <c r="D331" s="632"/>
      <c r="E331" s="632"/>
      <c r="F331" s="634" t="s">
        <v>1848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903</v>
      </c>
      <c r="C332" s="380" t="s">
        <v>903</v>
      </c>
      <c r="D332" s="385" t="s">
        <v>159</v>
      </c>
      <c r="E332" s="380"/>
      <c r="F332" s="424" t="s">
        <v>1179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903</v>
      </c>
      <c r="C333" s="376" t="s">
        <v>903</v>
      </c>
      <c r="D333" s="372" t="s">
        <v>159</v>
      </c>
      <c r="E333" s="376" t="s">
        <v>1007</v>
      </c>
      <c r="F333" s="422" t="s">
        <v>242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903</v>
      </c>
      <c r="C334" s="376" t="s">
        <v>903</v>
      </c>
      <c r="D334" s="372" t="s">
        <v>159</v>
      </c>
      <c r="E334" s="376" t="s">
        <v>1007</v>
      </c>
      <c r="F334" s="422" t="s">
        <v>243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903</v>
      </c>
      <c r="C335" s="376" t="s">
        <v>903</v>
      </c>
      <c r="D335" s="372" t="s">
        <v>159</v>
      </c>
      <c r="E335" s="376" t="s">
        <v>1007</v>
      </c>
      <c r="F335" s="422" t="s">
        <v>490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903</v>
      </c>
      <c r="C336" s="376" t="s">
        <v>903</v>
      </c>
      <c r="D336" s="372" t="s">
        <v>159</v>
      </c>
      <c r="E336" s="376" t="s">
        <v>1007</v>
      </c>
      <c r="F336" s="422" t="s">
        <v>245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903</v>
      </c>
      <c r="C337" s="376" t="s">
        <v>903</v>
      </c>
      <c r="D337" s="372" t="s">
        <v>159</v>
      </c>
      <c r="E337" s="376" t="s">
        <v>1007</v>
      </c>
      <c r="F337" s="422" t="s">
        <v>246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903</v>
      </c>
      <c r="C338" s="376" t="s">
        <v>903</v>
      </c>
      <c r="D338" s="372" t="s">
        <v>159</v>
      </c>
      <c r="E338" s="376" t="s">
        <v>1007</v>
      </c>
      <c r="F338" s="422" t="s">
        <v>247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903</v>
      </c>
      <c r="C339" s="376" t="s">
        <v>903</v>
      </c>
      <c r="D339" s="372" t="s">
        <v>159</v>
      </c>
      <c r="E339" s="376" t="s">
        <v>1007</v>
      </c>
      <c r="F339" s="429" t="s">
        <v>248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903</v>
      </c>
      <c r="C340" s="376" t="s">
        <v>903</v>
      </c>
      <c r="D340" s="372" t="s">
        <v>159</v>
      </c>
      <c r="E340" s="376" t="s">
        <v>1007</v>
      </c>
      <c r="F340" s="422" t="s">
        <v>251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903</v>
      </c>
      <c r="C341" s="376" t="s">
        <v>903</v>
      </c>
      <c r="D341" s="372" t="s">
        <v>159</v>
      </c>
      <c r="E341" s="376" t="s">
        <v>1007</v>
      </c>
      <c r="F341" s="429" t="s">
        <v>1849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903</v>
      </c>
      <c r="C342" s="380" t="s">
        <v>903</v>
      </c>
      <c r="D342" s="385" t="s">
        <v>518</v>
      </c>
      <c r="E342" s="385"/>
      <c r="F342" s="424" t="s">
        <v>1179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903</v>
      </c>
      <c r="C343" s="376" t="s">
        <v>903</v>
      </c>
      <c r="D343" s="372" t="s">
        <v>518</v>
      </c>
      <c r="E343" s="372" t="s">
        <v>56</v>
      </c>
      <c r="F343" s="422" t="s">
        <v>273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903</v>
      </c>
      <c r="C344" s="376" t="s">
        <v>903</v>
      </c>
      <c r="D344" s="372" t="s">
        <v>518</v>
      </c>
      <c r="E344" s="372" t="s">
        <v>56</v>
      </c>
      <c r="F344" s="422" t="s">
        <v>246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903</v>
      </c>
      <c r="C345" s="376" t="s">
        <v>903</v>
      </c>
      <c r="D345" s="372" t="s">
        <v>518</v>
      </c>
      <c r="E345" s="372" t="s">
        <v>56</v>
      </c>
      <c r="F345" s="422" t="s">
        <v>247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903</v>
      </c>
      <c r="C346" s="376" t="s">
        <v>903</v>
      </c>
      <c r="D346" s="372" t="s">
        <v>518</v>
      </c>
      <c r="E346" s="372" t="s">
        <v>56</v>
      </c>
      <c r="F346" s="422" t="s">
        <v>243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903</v>
      </c>
      <c r="C347" s="376" t="s">
        <v>903</v>
      </c>
      <c r="D347" s="372" t="s">
        <v>518</v>
      </c>
      <c r="E347" s="372" t="s">
        <v>56</v>
      </c>
      <c r="F347" s="422" t="s">
        <v>245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903</v>
      </c>
      <c r="C348" s="376" t="s">
        <v>903</v>
      </c>
      <c r="D348" s="372" t="s">
        <v>518</v>
      </c>
      <c r="E348" s="372" t="s">
        <v>56</v>
      </c>
      <c r="F348" s="422" t="s">
        <v>551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903</v>
      </c>
      <c r="C349" s="380" t="s">
        <v>903</v>
      </c>
      <c r="D349" s="385" t="s">
        <v>441</v>
      </c>
      <c r="E349" s="385"/>
      <c r="F349" s="424" t="s">
        <v>1179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903</v>
      </c>
      <c r="C350" s="376" t="s">
        <v>903</v>
      </c>
      <c r="D350" s="372" t="s">
        <v>441</v>
      </c>
      <c r="E350" s="372" t="s">
        <v>437</v>
      </c>
      <c r="F350" s="422" t="s">
        <v>442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903</v>
      </c>
      <c r="C351" s="376" t="s">
        <v>903</v>
      </c>
      <c r="D351" s="372" t="s">
        <v>441</v>
      </c>
      <c r="E351" s="372" t="s">
        <v>437</v>
      </c>
      <c r="F351" s="422" t="s">
        <v>463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903</v>
      </c>
      <c r="C352" s="380" t="s">
        <v>903</v>
      </c>
      <c r="D352" s="385" t="s">
        <v>860</v>
      </c>
      <c r="E352" s="385"/>
      <c r="F352" s="424" t="s">
        <v>1179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502</v>
      </c>
      <c r="C353" s="633" t="s">
        <v>502</v>
      </c>
      <c r="D353" s="633"/>
      <c r="E353" s="632"/>
      <c r="F353" s="634" t="s">
        <v>1656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502</v>
      </c>
      <c r="C354" s="385" t="s">
        <v>502</v>
      </c>
      <c r="D354" s="385" t="s">
        <v>159</v>
      </c>
      <c r="E354" s="380"/>
      <c r="F354" s="424" t="s">
        <v>1179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502</v>
      </c>
      <c r="C355" s="372" t="s">
        <v>502</v>
      </c>
      <c r="D355" s="372" t="s">
        <v>159</v>
      </c>
      <c r="E355" s="376" t="s">
        <v>1007</v>
      </c>
      <c r="F355" s="422" t="s">
        <v>226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502</v>
      </c>
      <c r="C356" s="372" t="s">
        <v>502</v>
      </c>
      <c r="D356" s="372" t="s">
        <v>159</v>
      </c>
      <c r="E356" s="376" t="s">
        <v>1007</v>
      </c>
      <c r="F356" s="422" t="s">
        <v>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502</v>
      </c>
      <c r="C357" s="385" t="s">
        <v>502</v>
      </c>
      <c r="D357" s="385" t="s">
        <v>518</v>
      </c>
      <c r="E357" s="385"/>
      <c r="F357" s="424" t="s">
        <v>1179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502</v>
      </c>
      <c r="C358" s="385" t="s">
        <v>502</v>
      </c>
      <c r="D358" s="385" t="s">
        <v>441</v>
      </c>
      <c r="E358" s="385"/>
      <c r="F358" s="424" t="s">
        <v>1179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502</v>
      </c>
      <c r="C359" s="385" t="s">
        <v>502</v>
      </c>
      <c r="D359" s="385" t="s">
        <v>860</v>
      </c>
      <c r="E359" s="385"/>
      <c r="F359" s="424" t="s">
        <v>1179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414</v>
      </c>
      <c r="C360" s="632" t="s">
        <v>414</v>
      </c>
      <c r="D360" s="632"/>
      <c r="E360" s="632"/>
      <c r="F360" s="634" t="s">
        <v>1656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414</v>
      </c>
      <c r="C361" s="380" t="s">
        <v>414</v>
      </c>
      <c r="D361" s="385" t="s">
        <v>159</v>
      </c>
      <c r="E361" s="380"/>
      <c r="F361" s="424" t="s">
        <v>1179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414</v>
      </c>
      <c r="C362" s="376" t="s">
        <v>414</v>
      </c>
      <c r="D362" s="372" t="s">
        <v>159</v>
      </c>
      <c r="E362" s="376" t="s">
        <v>1167</v>
      </c>
      <c r="F362" s="422" t="s">
        <v>226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414</v>
      </c>
      <c r="C363" s="376" t="s">
        <v>414</v>
      </c>
      <c r="D363" s="372" t="s">
        <v>159</v>
      </c>
      <c r="E363" s="376" t="s">
        <v>1167</v>
      </c>
      <c r="F363" s="422" t="s">
        <v>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414</v>
      </c>
      <c r="C364" s="376" t="s">
        <v>414</v>
      </c>
      <c r="D364" s="372" t="s">
        <v>159</v>
      </c>
      <c r="E364" s="376" t="s">
        <v>1167</v>
      </c>
      <c r="F364" s="422" t="s">
        <v>208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414</v>
      </c>
      <c r="C365" s="380" t="s">
        <v>414</v>
      </c>
      <c r="D365" s="385" t="s">
        <v>518</v>
      </c>
      <c r="E365" s="385"/>
      <c r="F365" s="424" t="s">
        <v>1179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414</v>
      </c>
      <c r="C366" s="376" t="s">
        <v>414</v>
      </c>
      <c r="D366" s="372" t="s">
        <v>518</v>
      </c>
      <c r="E366" s="372" t="s">
        <v>56</v>
      </c>
      <c r="F366" s="422" t="s">
        <v>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414</v>
      </c>
      <c r="C367" s="380" t="s">
        <v>414</v>
      </c>
      <c r="D367" s="385" t="s">
        <v>441</v>
      </c>
      <c r="E367" s="385"/>
      <c r="F367" s="424" t="s">
        <v>1179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414</v>
      </c>
      <c r="C368" s="376" t="s">
        <v>414</v>
      </c>
      <c r="D368" s="372" t="s">
        <v>441</v>
      </c>
      <c r="E368" s="372" t="s">
        <v>437</v>
      </c>
      <c r="F368" s="422" t="s">
        <v>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414</v>
      </c>
      <c r="C369" s="376" t="s">
        <v>414</v>
      </c>
      <c r="D369" s="372" t="s">
        <v>441</v>
      </c>
      <c r="E369" s="372" t="s">
        <v>437</v>
      </c>
      <c r="F369" s="422" t="s">
        <v>208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414</v>
      </c>
      <c r="C370" s="380" t="s">
        <v>414</v>
      </c>
      <c r="D370" s="385" t="s">
        <v>860</v>
      </c>
      <c r="E370" s="385"/>
      <c r="F370" s="424" t="s">
        <v>1179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414</v>
      </c>
      <c r="C371" s="376" t="s">
        <v>414</v>
      </c>
      <c r="D371" s="372" t="s">
        <v>860</v>
      </c>
      <c r="E371" s="372" t="s">
        <v>437</v>
      </c>
      <c r="F371" s="422" t="s">
        <v>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414</v>
      </c>
      <c r="C372" s="376" t="s">
        <v>414</v>
      </c>
      <c r="D372" s="372" t="s">
        <v>860</v>
      </c>
      <c r="E372" s="372" t="s">
        <v>437</v>
      </c>
      <c r="F372" s="422" t="s">
        <v>208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612</v>
      </c>
      <c r="C373" s="632" t="s">
        <v>612</v>
      </c>
      <c r="D373" s="632"/>
      <c r="E373" s="632"/>
      <c r="F373" s="634" t="s">
        <v>1850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612</v>
      </c>
      <c r="C374" s="380" t="s">
        <v>612</v>
      </c>
      <c r="D374" s="385" t="s">
        <v>159</v>
      </c>
      <c r="E374" s="380"/>
      <c r="F374" s="424" t="s">
        <v>1179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612</v>
      </c>
      <c r="C375" s="376" t="s">
        <v>612</v>
      </c>
      <c r="D375" s="372" t="s">
        <v>159</v>
      </c>
      <c r="E375" s="376" t="s">
        <v>1167</v>
      </c>
      <c r="F375" s="422" t="s">
        <v>226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612</v>
      </c>
      <c r="C376" s="376" t="s">
        <v>612</v>
      </c>
      <c r="D376" s="372" t="s">
        <v>159</v>
      </c>
      <c r="E376" s="376" t="s">
        <v>1167</v>
      </c>
      <c r="F376" s="422" t="s">
        <v>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612</v>
      </c>
      <c r="C377" s="376" t="s">
        <v>612</v>
      </c>
      <c r="D377" s="372" t="s">
        <v>159</v>
      </c>
      <c r="E377" s="376" t="s">
        <v>1167</v>
      </c>
      <c r="F377" s="422" t="s">
        <v>208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612</v>
      </c>
      <c r="C378" s="380" t="s">
        <v>612</v>
      </c>
      <c r="D378" s="385" t="s">
        <v>518</v>
      </c>
      <c r="E378" s="385"/>
      <c r="F378" s="424" t="s">
        <v>1179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612</v>
      </c>
      <c r="C379" s="376" t="s">
        <v>612</v>
      </c>
      <c r="D379" s="372" t="s">
        <v>518</v>
      </c>
      <c r="E379" s="376" t="s">
        <v>1167</v>
      </c>
      <c r="F379" s="422" t="s">
        <v>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612</v>
      </c>
      <c r="C380" s="380" t="s">
        <v>612</v>
      </c>
      <c r="D380" s="385" t="s">
        <v>441</v>
      </c>
      <c r="E380" s="385"/>
      <c r="F380" s="424" t="s">
        <v>1179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612</v>
      </c>
      <c r="C381" s="376" t="s">
        <v>612</v>
      </c>
      <c r="D381" s="372" t="s">
        <v>441</v>
      </c>
      <c r="E381" s="376" t="s">
        <v>1167</v>
      </c>
      <c r="F381" s="422" t="s">
        <v>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612</v>
      </c>
      <c r="C382" s="376" t="s">
        <v>612</v>
      </c>
      <c r="D382" s="372" t="s">
        <v>441</v>
      </c>
      <c r="E382" s="376" t="s">
        <v>1167</v>
      </c>
      <c r="F382" s="422" t="s">
        <v>208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612</v>
      </c>
      <c r="C383" s="380" t="s">
        <v>612</v>
      </c>
      <c r="D383" s="385" t="s">
        <v>860</v>
      </c>
      <c r="E383" s="380"/>
      <c r="F383" s="424" t="s">
        <v>1179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612</v>
      </c>
      <c r="C384" s="376" t="s">
        <v>612</v>
      </c>
      <c r="D384" s="372" t="s">
        <v>860</v>
      </c>
      <c r="E384" s="376" t="s">
        <v>1167</v>
      </c>
      <c r="F384" s="422" t="s">
        <v>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612</v>
      </c>
      <c r="C385" s="376" t="s">
        <v>612</v>
      </c>
      <c r="D385" s="372" t="s">
        <v>860</v>
      </c>
      <c r="E385" s="376" t="s">
        <v>1167</v>
      </c>
      <c r="F385" s="422" t="s">
        <v>208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225</v>
      </c>
      <c r="C386" s="632" t="s">
        <v>1206</v>
      </c>
      <c r="D386" s="633"/>
      <c r="E386" s="632"/>
      <c r="F386" s="634" t="s">
        <v>1851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225</v>
      </c>
      <c r="C387" s="380" t="s">
        <v>1206</v>
      </c>
      <c r="D387" s="385" t="s">
        <v>159</v>
      </c>
      <c r="E387" s="380"/>
      <c r="F387" s="424" t="s">
        <v>1179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225</v>
      </c>
      <c r="C388" s="376" t="s">
        <v>1206</v>
      </c>
      <c r="D388" s="372" t="s">
        <v>159</v>
      </c>
      <c r="E388" s="376" t="s">
        <v>1162</v>
      </c>
      <c r="F388" s="422" t="s">
        <v>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225</v>
      </c>
      <c r="C389" s="376" t="s">
        <v>1206</v>
      </c>
      <c r="D389" s="372" t="s">
        <v>159</v>
      </c>
      <c r="E389" s="376" t="s">
        <v>1162</v>
      </c>
      <c r="F389" s="422" t="s">
        <v>208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225</v>
      </c>
      <c r="C390" s="380" t="s">
        <v>1206</v>
      </c>
      <c r="D390" s="385" t="s">
        <v>518</v>
      </c>
      <c r="E390" s="385"/>
      <c r="F390" s="424" t="s">
        <v>1179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225</v>
      </c>
      <c r="C391" s="376" t="s">
        <v>1206</v>
      </c>
      <c r="D391" s="372" t="s">
        <v>518</v>
      </c>
      <c r="E391" s="372" t="s">
        <v>56</v>
      </c>
      <c r="F391" s="422" t="s">
        <v>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225</v>
      </c>
      <c r="C392" s="380" t="s">
        <v>1206</v>
      </c>
      <c r="D392" s="385" t="s">
        <v>441</v>
      </c>
      <c r="E392" s="385"/>
      <c r="F392" s="424" t="s">
        <v>1179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225</v>
      </c>
      <c r="C393" s="376" t="s">
        <v>1206</v>
      </c>
      <c r="D393" s="372" t="s">
        <v>441</v>
      </c>
      <c r="E393" s="372" t="s">
        <v>437</v>
      </c>
      <c r="F393" s="422" t="s">
        <v>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225</v>
      </c>
      <c r="C394" s="376" t="s">
        <v>1206</v>
      </c>
      <c r="D394" s="372" t="s">
        <v>441</v>
      </c>
      <c r="E394" s="372" t="s">
        <v>437</v>
      </c>
      <c r="F394" s="422" t="s">
        <v>208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225</v>
      </c>
      <c r="C395" s="380" t="s">
        <v>1206</v>
      </c>
      <c r="D395" s="385" t="s">
        <v>860</v>
      </c>
      <c r="E395" s="385"/>
      <c r="F395" s="424" t="s">
        <v>1179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225</v>
      </c>
      <c r="C396" s="376" t="s">
        <v>1206</v>
      </c>
      <c r="D396" s="372" t="s">
        <v>860</v>
      </c>
      <c r="E396" s="372" t="s">
        <v>437</v>
      </c>
      <c r="F396" s="422" t="s">
        <v>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229</v>
      </c>
      <c r="C397" s="632" t="s">
        <v>1211</v>
      </c>
      <c r="D397" s="633"/>
      <c r="E397" s="632"/>
      <c r="F397" s="634" t="s">
        <v>1852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229</v>
      </c>
      <c r="C398" s="380" t="s">
        <v>1211</v>
      </c>
      <c r="D398" s="385" t="s">
        <v>159</v>
      </c>
      <c r="E398" s="380"/>
      <c r="F398" s="424" t="s">
        <v>1179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229</v>
      </c>
      <c r="C399" s="376" t="s">
        <v>1211</v>
      </c>
      <c r="D399" s="372" t="s">
        <v>159</v>
      </c>
      <c r="E399" s="376" t="s">
        <v>1162</v>
      </c>
      <c r="F399" s="422" t="s">
        <v>1209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229</v>
      </c>
      <c r="C400" s="376" t="s">
        <v>1211</v>
      </c>
      <c r="D400" s="372" t="s">
        <v>159</v>
      </c>
      <c r="E400" s="376" t="s">
        <v>1162</v>
      </c>
      <c r="F400" s="422" t="s">
        <v>1210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229</v>
      </c>
      <c r="C401" s="376" t="s">
        <v>1211</v>
      </c>
      <c r="D401" s="372" t="s">
        <v>159</v>
      </c>
      <c r="E401" s="376" t="s">
        <v>1162</v>
      </c>
      <c r="F401" s="422" t="s">
        <v>1215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229</v>
      </c>
      <c r="C402" s="376" t="s">
        <v>1211</v>
      </c>
      <c r="D402" s="372" t="s">
        <v>159</v>
      </c>
      <c r="E402" s="376" t="s">
        <v>1162</v>
      </c>
      <c r="F402" s="422" t="s">
        <v>1216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229</v>
      </c>
      <c r="C403" s="380" t="s">
        <v>1211</v>
      </c>
      <c r="D403" s="385" t="s">
        <v>518</v>
      </c>
      <c r="E403" s="385"/>
      <c r="F403" s="424" t="s">
        <v>1179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229</v>
      </c>
      <c r="C404" s="376" t="s">
        <v>1211</v>
      </c>
      <c r="D404" s="372" t="s">
        <v>518</v>
      </c>
      <c r="E404" s="372" t="s">
        <v>56</v>
      </c>
      <c r="F404" s="422" t="s">
        <v>1209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229</v>
      </c>
      <c r="C405" s="376" t="s">
        <v>1211</v>
      </c>
      <c r="D405" s="372" t="s">
        <v>518</v>
      </c>
      <c r="E405" s="372" t="s">
        <v>56</v>
      </c>
      <c r="F405" s="422" t="s">
        <v>1210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229</v>
      </c>
      <c r="C406" s="376" t="s">
        <v>1211</v>
      </c>
      <c r="D406" s="372" t="s">
        <v>518</v>
      </c>
      <c r="E406" s="372" t="s">
        <v>56</v>
      </c>
      <c r="F406" s="422" t="s">
        <v>1215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229</v>
      </c>
      <c r="C407" s="380" t="s">
        <v>1211</v>
      </c>
      <c r="D407" s="385" t="s">
        <v>441</v>
      </c>
      <c r="E407" s="385"/>
      <c r="F407" s="424" t="s">
        <v>1179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229</v>
      </c>
      <c r="C408" s="376" t="s">
        <v>1211</v>
      </c>
      <c r="D408" s="372" t="s">
        <v>441</v>
      </c>
      <c r="E408" s="372" t="s">
        <v>437</v>
      </c>
      <c r="F408" s="422" t="s">
        <v>208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229</v>
      </c>
      <c r="C409" s="376" t="s">
        <v>1211</v>
      </c>
      <c r="D409" s="372" t="s">
        <v>441</v>
      </c>
      <c r="E409" s="372" t="s">
        <v>437</v>
      </c>
      <c r="F409" s="422" t="s">
        <v>1209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229</v>
      </c>
      <c r="C410" s="376" t="s">
        <v>1211</v>
      </c>
      <c r="D410" s="372" t="s">
        <v>441</v>
      </c>
      <c r="E410" s="372" t="s">
        <v>437</v>
      </c>
      <c r="F410" s="422" t="s">
        <v>1210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229</v>
      </c>
      <c r="C411" s="376" t="s">
        <v>1211</v>
      </c>
      <c r="D411" s="372" t="s">
        <v>441</v>
      </c>
      <c r="E411" s="372" t="s">
        <v>437</v>
      </c>
      <c r="F411" s="422" t="s">
        <v>1215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229</v>
      </c>
      <c r="C412" s="376" t="s">
        <v>1211</v>
      </c>
      <c r="D412" s="372" t="s">
        <v>441</v>
      </c>
      <c r="E412" s="372" t="s">
        <v>437</v>
      </c>
      <c r="F412" s="422" t="s">
        <v>1216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229</v>
      </c>
      <c r="C413" s="380" t="s">
        <v>1211</v>
      </c>
      <c r="D413" s="385" t="s">
        <v>860</v>
      </c>
      <c r="E413" s="385"/>
      <c r="F413" s="424" t="s">
        <v>1179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229</v>
      </c>
      <c r="C414" s="376" t="s">
        <v>1211</v>
      </c>
      <c r="D414" s="372" t="s">
        <v>860</v>
      </c>
      <c r="E414" s="372" t="s">
        <v>437</v>
      </c>
      <c r="F414" s="422" t="s">
        <v>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229</v>
      </c>
      <c r="C415" s="376" t="s">
        <v>1211</v>
      </c>
      <c r="D415" s="372" t="s">
        <v>860</v>
      </c>
      <c r="E415" s="372" t="s">
        <v>437</v>
      </c>
      <c r="F415" s="422" t="s">
        <v>1209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229</v>
      </c>
      <c r="C416" s="376" t="s">
        <v>1211</v>
      </c>
      <c r="D416" s="372" t="s">
        <v>860</v>
      </c>
      <c r="E416" s="372" t="s">
        <v>437</v>
      </c>
      <c r="F416" s="422" t="s">
        <v>1215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918</v>
      </c>
      <c r="C417" s="632" t="s">
        <v>1378</v>
      </c>
      <c r="D417" s="633"/>
      <c r="E417" s="632"/>
      <c r="F417" s="634" t="s">
        <v>1715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918</v>
      </c>
      <c r="C418" s="380" t="s">
        <v>1378</v>
      </c>
      <c r="D418" s="385" t="s">
        <v>159</v>
      </c>
      <c r="E418" s="380"/>
      <c r="F418" s="424" t="s">
        <v>1179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918</v>
      </c>
      <c r="C419" s="376" t="s">
        <v>1378</v>
      </c>
      <c r="D419" s="372" t="s">
        <v>159</v>
      </c>
      <c r="E419" s="376" t="s">
        <v>1167</v>
      </c>
      <c r="F419" s="422" t="s">
        <v>1380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918</v>
      </c>
      <c r="C420" s="376" t="s">
        <v>1378</v>
      </c>
      <c r="D420" s="372" t="s">
        <v>159</v>
      </c>
      <c r="E420" s="376" t="s">
        <v>1167</v>
      </c>
      <c r="F420" s="422" t="s">
        <v>1381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918</v>
      </c>
      <c r="C421" s="376" t="s">
        <v>1378</v>
      </c>
      <c r="D421" s="372" t="s">
        <v>159</v>
      </c>
      <c r="E421" s="376" t="s">
        <v>1167</v>
      </c>
      <c r="F421" s="422" t="s">
        <v>1382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918</v>
      </c>
      <c r="C422" s="376" t="s">
        <v>1378</v>
      </c>
      <c r="D422" s="372" t="s">
        <v>159</v>
      </c>
      <c r="E422" s="376" t="s">
        <v>1167</v>
      </c>
      <c r="F422" s="422" t="s">
        <v>1383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918</v>
      </c>
      <c r="C423" s="380" t="s">
        <v>1378</v>
      </c>
      <c r="D423" s="385" t="s">
        <v>860</v>
      </c>
      <c r="E423" s="385"/>
      <c r="F423" s="424" t="s">
        <v>1179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918</v>
      </c>
      <c r="C424" s="376" t="s">
        <v>1378</v>
      </c>
      <c r="D424" s="372" t="s">
        <v>860</v>
      </c>
      <c r="E424" s="372" t="s">
        <v>437</v>
      </c>
      <c r="F424" s="422" t="s">
        <v>1435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1853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918</v>
      </c>
      <c r="C426" s="380" t="s">
        <v>1378</v>
      </c>
      <c r="D426" s="385" t="s">
        <v>518</v>
      </c>
      <c r="E426" s="380"/>
      <c r="F426" s="424" t="s">
        <v>1179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918</v>
      </c>
      <c r="C427" s="376" t="s">
        <v>1378</v>
      </c>
      <c r="D427" s="372" t="s">
        <v>518</v>
      </c>
      <c r="E427" s="376" t="s">
        <v>56</v>
      </c>
      <c r="F427" s="422" t="s">
        <v>1383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1854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498</v>
      </c>
      <c r="C429" s="632" t="s">
        <v>1217</v>
      </c>
      <c r="D429" s="633"/>
      <c r="E429" s="632"/>
      <c r="F429" s="634" t="s">
        <v>1848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498</v>
      </c>
      <c r="C430" s="380" t="s">
        <v>1217</v>
      </c>
      <c r="D430" s="385" t="s">
        <v>159</v>
      </c>
      <c r="E430" s="380"/>
      <c r="F430" s="424" t="s">
        <v>1179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498</v>
      </c>
      <c r="C431" s="376" t="s">
        <v>1217</v>
      </c>
      <c r="D431" s="372" t="s">
        <v>159</v>
      </c>
      <c r="E431" s="376" t="s">
        <v>1162</v>
      </c>
      <c r="F431" s="422" t="s">
        <v>226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498</v>
      </c>
      <c r="C432" s="376" t="s">
        <v>1217</v>
      </c>
      <c r="D432" s="372" t="s">
        <v>159</v>
      </c>
      <c r="E432" s="376" t="s">
        <v>1162</v>
      </c>
      <c r="F432" s="422" t="s">
        <v>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498</v>
      </c>
      <c r="C433" s="380" t="s">
        <v>1217</v>
      </c>
      <c r="D433" s="385" t="s">
        <v>518</v>
      </c>
      <c r="E433" s="385"/>
      <c r="F433" s="424" t="s">
        <v>1179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498</v>
      </c>
      <c r="C434" s="380" t="s">
        <v>1217</v>
      </c>
      <c r="D434" s="385" t="s">
        <v>441</v>
      </c>
      <c r="E434" s="385"/>
      <c r="F434" s="424" t="s">
        <v>1179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498</v>
      </c>
      <c r="C435" s="380" t="s">
        <v>1217</v>
      </c>
      <c r="D435" s="385" t="s">
        <v>860</v>
      </c>
      <c r="E435" s="385"/>
      <c r="F435" s="424" t="s">
        <v>1179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958</v>
      </c>
      <c r="C436" s="639" t="s">
        <v>160</v>
      </c>
      <c r="D436" s="639"/>
      <c r="E436" s="639"/>
      <c r="F436" s="634" t="s">
        <v>1004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162</v>
      </c>
      <c r="C437" s="386" t="s">
        <v>160</v>
      </c>
      <c r="D437" s="385" t="s">
        <v>159</v>
      </c>
      <c r="E437" s="385" t="s">
        <v>47</v>
      </c>
      <c r="F437" s="426" t="s">
        <v>1855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163</v>
      </c>
      <c r="C438" s="386" t="s">
        <v>160</v>
      </c>
      <c r="D438" s="385" t="s">
        <v>159</v>
      </c>
      <c r="E438" s="385" t="s">
        <v>47</v>
      </c>
      <c r="F438" s="424" t="s">
        <v>1856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164</v>
      </c>
      <c r="C439" s="386" t="s">
        <v>160</v>
      </c>
      <c r="D439" s="385" t="s">
        <v>159</v>
      </c>
      <c r="E439" s="385" t="s">
        <v>47</v>
      </c>
      <c r="F439" s="424" t="s">
        <v>1857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165</v>
      </c>
      <c r="C440" s="386" t="s">
        <v>160</v>
      </c>
      <c r="D440" s="385" t="s">
        <v>159</v>
      </c>
      <c r="E440" s="385" t="s">
        <v>47</v>
      </c>
      <c r="F440" s="424" t="s">
        <v>1858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973</v>
      </c>
      <c r="C441" s="386" t="s">
        <v>160</v>
      </c>
      <c r="D441" s="385" t="s">
        <v>159</v>
      </c>
      <c r="E441" s="385" t="s">
        <v>47</v>
      </c>
      <c r="F441" s="424" t="s">
        <v>1859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1578</v>
      </c>
      <c r="C442" s="633" t="s">
        <v>1579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469</v>
      </c>
      <c r="C443" s="385" t="s">
        <v>1281</v>
      </c>
      <c r="D443" s="385" t="s">
        <v>518</v>
      </c>
      <c r="E443" s="385" t="s">
        <v>56</v>
      </c>
      <c r="F443" s="424" t="s">
        <v>1860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962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902</v>
      </c>
      <c r="C447" s="633" t="s">
        <v>1220</v>
      </c>
      <c r="D447" s="632"/>
      <c r="E447" s="632"/>
      <c r="F447" s="634" t="s">
        <v>1861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902</v>
      </c>
      <c r="C448" s="385" t="s">
        <v>1220</v>
      </c>
      <c r="D448" s="385" t="s">
        <v>159</v>
      </c>
      <c r="E448" s="380"/>
      <c r="F448" s="424" t="s">
        <v>1862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902</v>
      </c>
      <c r="C449" s="372" t="s">
        <v>1220</v>
      </c>
      <c r="D449" s="372" t="s">
        <v>159</v>
      </c>
      <c r="E449" s="376" t="s">
        <v>1162</v>
      </c>
      <c r="F449" s="422" t="s">
        <v>205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902</v>
      </c>
      <c r="C450" s="372" t="s">
        <v>1220</v>
      </c>
      <c r="D450" s="372" t="s">
        <v>159</v>
      </c>
      <c r="E450" s="376" t="s">
        <v>1162</v>
      </c>
      <c r="F450" s="422" t="s">
        <v>206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902</v>
      </c>
      <c r="C451" s="372" t="s">
        <v>1220</v>
      </c>
      <c r="D451" s="372" t="s">
        <v>159</v>
      </c>
      <c r="E451" s="376" t="s">
        <v>1162</v>
      </c>
      <c r="F451" s="422" t="s">
        <v>208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902</v>
      </c>
      <c r="C452" s="372" t="s">
        <v>1220</v>
      </c>
      <c r="D452" s="372" t="s">
        <v>159</v>
      </c>
      <c r="E452" s="376" t="s">
        <v>1007</v>
      </c>
      <c r="F452" s="422" t="s">
        <v>290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902</v>
      </c>
      <c r="C453" s="372" t="s">
        <v>1220</v>
      </c>
      <c r="D453" s="372" t="s">
        <v>159</v>
      </c>
      <c r="E453" s="376" t="s">
        <v>1007</v>
      </c>
      <c r="F453" s="422" t="s">
        <v>1334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902</v>
      </c>
      <c r="C454" s="385" t="s">
        <v>1220</v>
      </c>
      <c r="D454" s="385" t="s">
        <v>518</v>
      </c>
      <c r="E454" s="385"/>
      <c r="F454" s="424" t="s">
        <v>1862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902</v>
      </c>
      <c r="C455" s="372" t="s">
        <v>1220</v>
      </c>
      <c r="D455" s="372" t="s">
        <v>518</v>
      </c>
      <c r="E455" s="372" t="s">
        <v>56</v>
      </c>
      <c r="F455" s="427" t="s">
        <v>206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902</v>
      </c>
      <c r="C456" s="385" t="s">
        <v>1220</v>
      </c>
      <c r="D456" s="385" t="s">
        <v>441</v>
      </c>
      <c r="E456" s="385"/>
      <c r="F456" s="424" t="s">
        <v>1862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902</v>
      </c>
      <c r="C457" s="372" t="s">
        <v>1220</v>
      </c>
      <c r="D457" s="372" t="s">
        <v>441</v>
      </c>
      <c r="E457" s="372" t="s">
        <v>437</v>
      </c>
      <c r="F457" s="422" t="s">
        <v>206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902</v>
      </c>
      <c r="C458" s="372" t="s">
        <v>1220</v>
      </c>
      <c r="D458" s="372" t="s">
        <v>441</v>
      </c>
      <c r="E458" s="372" t="s">
        <v>437</v>
      </c>
      <c r="F458" s="422" t="s">
        <v>208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902</v>
      </c>
      <c r="C459" s="385" t="s">
        <v>1220</v>
      </c>
      <c r="D459" s="385" t="s">
        <v>860</v>
      </c>
      <c r="E459" s="385"/>
      <c r="F459" s="424" t="s">
        <v>1862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902</v>
      </c>
      <c r="C460" s="372" t="s">
        <v>1220</v>
      </c>
      <c r="D460" s="372" t="s">
        <v>860</v>
      </c>
      <c r="E460" s="372" t="s">
        <v>437</v>
      </c>
      <c r="F460" s="422" t="s">
        <v>206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902</v>
      </c>
      <c r="C461" s="372" t="s">
        <v>1220</v>
      </c>
      <c r="D461" s="372" t="s">
        <v>860</v>
      </c>
      <c r="E461" s="372" t="s">
        <v>437</v>
      </c>
      <c r="F461" s="422" t="s">
        <v>208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964</v>
      </c>
      <c r="C462" s="632" t="s">
        <v>1247</v>
      </c>
      <c r="D462" s="632"/>
      <c r="E462" s="632"/>
      <c r="F462" s="634" t="s">
        <v>1863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964</v>
      </c>
      <c r="C463" s="380" t="s">
        <v>1247</v>
      </c>
      <c r="D463" s="385" t="s">
        <v>159</v>
      </c>
      <c r="E463" s="380"/>
      <c r="F463" s="424" t="s">
        <v>1864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964</v>
      </c>
      <c r="C464" s="376" t="s">
        <v>1247</v>
      </c>
      <c r="D464" s="372" t="s">
        <v>159</v>
      </c>
      <c r="E464" s="376" t="s">
        <v>664</v>
      </c>
      <c r="F464" s="422" t="s">
        <v>205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964</v>
      </c>
      <c r="C465" s="376" t="s">
        <v>1247</v>
      </c>
      <c r="D465" s="372" t="s">
        <v>159</v>
      </c>
      <c r="E465" s="376" t="s">
        <v>664</v>
      </c>
      <c r="F465" s="422" t="s">
        <v>206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964</v>
      </c>
      <c r="C466" s="376" t="s">
        <v>1247</v>
      </c>
      <c r="D466" s="372" t="s">
        <v>159</v>
      </c>
      <c r="E466" s="372" t="s">
        <v>664</v>
      </c>
      <c r="F466" s="422" t="s">
        <v>208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964</v>
      </c>
      <c r="C467" s="380" t="s">
        <v>1247</v>
      </c>
      <c r="D467" s="385" t="s">
        <v>518</v>
      </c>
      <c r="E467" s="385"/>
      <c r="F467" s="424" t="s">
        <v>1865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964</v>
      </c>
      <c r="C468" s="376" t="s">
        <v>1247</v>
      </c>
      <c r="D468" s="372" t="s">
        <v>518</v>
      </c>
      <c r="E468" s="372" t="s">
        <v>56</v>
      </c>
      <c r="F468" s="422" t="s">
        <v>206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964</v>
      </c>
      <c r="C469" s="380" t="s">
        <v>1247</v>
      </c>
      <c r="D469" s="385" t="s">
        <v>441</v>
      </c>
      <c r="E469" s="385"/>
      <c r="F469" s="424" t="s">
        <v>1866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964</v>
      </c>
      <c r="C470" s="376" t="s">
        <v>1247</v>
      </c>
      <c r="D470" s="372" t="s">
        <v>441</v>
      </c>
      <c r="E470" s="372" t="s">
        <v>437</v>
      </c>
      <c r="F470" s="422" t="s">
        <v>206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964</v>
      </c>
      <c r="C471" s="376" t="s">
        <v>1247</v>
      </c>
      <c r="D471" s="372" t="s">
        <v>441</v>
      </c>
      <c r="E471" s="372" t="s">
        <v>437</v>
      </c>
      <c r="F471" s="422" t="s">
        <v>208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964</v>
      </c>
      <c r="C472" s="380" t="s">
        <v>1247</v>
      </c>
      <c r="D472" s="385" t="s">
        <v>860</v>
      </c>
      <c r="E472" s="385"/>
      <c r="F472" s="424" t="s">
        <v>1866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964</v>
      </c>
      <c r="C473" s="376" t="s">
        <v>1247</v>
      </c>
      <c r="D473" s="372" t="s">
        <v>860</v>
      </c>
      <c r="E473" s="372" t="s">
        <v>437</v>
      </c>
      <c r="F473" s="422" t="s">
        <v>206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964</v>
      </c>
      <c r="C474" s="376" t="s">
        <v>1247</v>
      </c>
      <c r="D474" s="372" t="s">
        <v>860</v>
      </c>
      <c r="E474" s="372" t="s">
        <v>437</v>
      </c>
      <c r="F474" s="422" t="s">
        <v>208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966</v>
      </c>
      <c r="C475" s="639" t="s">
        <v>1222</v>
      </c>
      <c r="D475" s="639"/>
      <c r="E475" s="639"/>
      <c r="F475" s="641" t="s">
        <v>1867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966</v>
      </c>
      <c r="C476" s="385" t="s">
        <v>1222</v>
      </c>
      <c r="D476" s="385" t="s">
        <v>159</v>
      </c>
      <c r="E476" s="380"/>
      <c r="F476" s="424" t="s">
        <v>1868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966</v>
      </c>
      <c r="C477" s="372" t="s">
        <v>1222</v>
      </c>
      <c r="D477" s="372" t="s">
        <v>159</v>
      </c>
      <c r="E477" s="376" t="s">
        <v>1162</v>
      </c>
      <c r="F477" s="422" t="s">
        <v>199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966</v>
      </c>
      <c r="C478" s="372" t="s">
        <v>1222</v>
      </c>
      <c r="D478" s="372" t="s">
        <v>159</v>
      </c>
      <c r="E478" s="376" t="s">
        <v>1162</v>
      </c>
      <c r="F478" s="422" t="s">
        <v>209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966</v>
      </c>
      <c r="C479" s="372" t="s">
        <v>1222</v>
      </c>
      <c r="D479" s="372" t="s">
        <v>159</v>
      </c>
      <c r="E479" s="376" t="s">
        <v>1162</v>
      </c>
      <c r="F479" s="422" t="s">
        <v>198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966</v>
      </c>
      <c r="C480" s="385" t="s">
        <v>1222</v>
      </c>
      <c r="D480" s="385" t="s">
        <v>518</v>
      </c>
      <c r="E480" s="385"/>
      <c r="F480" s="424" t="s">
        <v>1868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966</v>
      </c>
      <c r="C481" s="372" t="s">
        <v>1222</v>
      </c>
      <c r="D481" s="372" t="s">
        <v>518</v>
      </c>
      <c r="E481" s="372" t="s">
        <v>56</v>
      </c>
      <c r="F481" s="427" t="s">
        <v>206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966</v>
      </c>
      <c r="C482" s="372" t="s">
        <v>1222</v>
      </c>
      <c r="D482" s="372" t="s">
        <v>518</v>
      </c>
      <c r="E482" s="372" t="s">
        <v>56</v>
      </c>
      <c r="F482" s="422" t="s">
        <v>199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966</v>
      </c>
      <c r="C483" s="385" t="s">
        <v>1222</v>
      </c>
      <c r="D483" s="385" t="s">
        <v>441</v>
      </c>
      <c r="E483" s="385"/>
      <c r="F483" s="424" t="s">
        <v>1868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966</v>
      </c>
      <c r="C484" s="372" t="s">
        <v>1222</v>
      </c>
      <c r="D484" s="372" t="s">
        <v>441</v>
      </c>
      <c r="E484" s="372" t="s">
        <v>437</v>
      </c>
      <c r="F484" s="422" t="s">
        <v>206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966</v>
      </c>
      <c r="C485" s="372" t="s">
        <v>1222</v>
      </c>
      <c r="D485" s="372" t="s">
        <v>441</v>
      </c>
      <c r="E485" s="372" t="s">
        <v>437</v>
      </c>
      <c r="F485" s="422" t="s">
        <v>199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966</v>
      </c>
      <c r="C486" s="372" t="s">
        <v>1222</v>
      </c>
      <c r="D486" s="372" t="s">
        <v>441</v>
      </c>
      <c r="E486" s="372" t="s">
        <v>437</v>
      </c>
      <c r="F486" s="422" t="s">
        <v>209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966</v>
      </c>
      <c r="C487" s="385" t="s">
        <v>1222</v>
      </c>
      <c r="D487" s="385" t="s">
        <v>860</v>
      </c>
      <c r="E487" s="385"/>
      <c r="F487" s="424" t="s">
        <v>1868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966</v>
      </c>
      <c r="C488" s="372" t="s">
        <v>1222</v>
      </c>
      <c r="D488" s="372" t="s">
        <v>860</v>
      </c>
      <c r="E488" s="372" t="s">
        <v>437</v>
      </c>
      <c r="F488" s="422" t="s">
        <v>206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966</v>
      </c>
      <c r="C489" s="372" t="s">
        <v>1222</v>
      </c>
      <c r="D489" s="372" t="s">
        <v>860</v>
      </c>
      <c r="E489" s="372" t="s">
        <v>437</v>
      </c>
      <c r="F489" s="422" t="s">
        <v>199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.45" outlineLevel="1" collapsed="1">
      <c r="A490" s="393"/>
      <c r="B490" s="639" t="s">
        <v>968</v>
      </c>
      <c r="C490" s="639" t="s">
        <v>1163</v>
      </c>
      <c r="D490" s="640"/>
      <c r="E490" s="639"/>
      <c r="F490" s="641" t="s">
        <v>1869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1163</v>
      </c>
      <c r="C491" s="386" t="s">
        <v>1163</v>
      </c>
      <c r="D491" s="407" t="s">
        <v>159</v>
      </c>
      <c r="E491" s="386"/>
      <c r="F491" s="426" t="s">
        <v>1870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1163</v>
      </c>
      <c r="C492" s="387" t="s">
        <v>1163</v>
      </c>
      <c r="D492" s="441" t="s">
        <v>159</v>
      </c>
      <c r="E492" s="387" t="s">
        <v>1162</v>
      </c>
      <c r="F492" s="428" t="s">
        <v>205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1163</v>
      </c>
      <c r="C493" s="387" t="s">
        <v>1163</v>
      </c>
      <c r="D493" s="441" t="s">
        <v>159</v>
      </c>
      <c r="E493" s="387" t="s">
        <v>1162</v>
      </c>
      <c r="F493" s="428" t="s">
        <v>206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1163</v>
      </c>
      <c r="C494" s="387" t="s">
        <v>1163</v>
      </c>
      <c r="D494" s="441" t="s">
        <v>159</v>
      </c>
      <c r="E494" s="387" t="s">
        <v>1162</v>
      </c>
      <c r="F494" s="428" t="s">
        <v>208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1163</v>
      </c>
      <c r="C495" s="387" t="s">
        <v>1163</v>
      </c>
      <c r="D495" s="441" t="s">
        <v>159</v>
      </c>
      <c r="E495" s="387" t="s">
        <v>1162</v>
      </c>
      <c r="F495" s="428" t="s">
        <v>209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1163</v>
      </c>
      <c r="C496" s="387" t="s">
        <v>1163</v>
      </c>
      <c r="D496" s="441" t="s">
        <v>159</v>
      </c>
      <c r="E496" s="387" t="s">
        <v>1007</v>
      </c>
      <c r="F496" s="428" t="s">
        <v>1871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1163</v>
      </c>
      <c r="C497" s="387" t="s">
        <v>1163</v>
      </c>
      <c r="D497" s="441" t="s">
        <v>159</v>
      </c>
      <c r="E497" s="387" t="s">
        <v>1007</v>
      </c>
      <c r="F497" s="428" t="s">
        <v>1872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1163</v>
      </c>
      <c r="C498" s="386" t="s">
        <v>1163</v>
      </c>
      <c r="D498" s="407" t="s">
        <v>518</v>
      </c>
      <c r="E498" s="407"/>
      <c r="F498" s="426" t="s">
        <v>1870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1163</v>
      </c>
      <c r="C499" s="387" t="s">
        <v>1163</v>
      </c>
      <c r="D499" s="441" t="s">
        <v>518</v>
      </c>
      <c r="E499" s="441" t="s">
        <v>56</v>
      </c>
      <c r="F499" s="428" t="s">
        <v>206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1163</v>
      </c>
      <c r="C500" s="387" t="s">
        <v>1163</v>
      </c>
      <c r="D500" s="441" t="s">
        <v>518</v>
      </c>
      <c r="E500" s="441" t="s">
        <v>56</v>
      </c>
      <c r="F500" s="428" t="s">
        <v>209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1163</v>
      </c>
      <c r="C501" s="386" t="s">
        <v>1163</v>
      </c>
      <c r="D501" s="407" t="s">
        <v>441</v>
      </c>
      <c r="E501" s="407"/>
      <c r="F501" s="426" t="s">
        <v>1870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1163</v>
      </c>
      <c r="C502" s="387" t="s">
        <v>1163</v>
      </c>
      <c r="D502" s="441" t="s">
        <v>441</v>
      </c>
      <c r="E502" s="441" t="s">
        <v>437</v>
      </c>
      <c r="F502" s="428" t="s">
        <v>206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1163</v>
      </c>
      <c r="C503" s="387" t="s">
        <v>1163</v>
      </c>
      <c r="D503" s="441" t="s">
        <v>441</v>
      </c>
      <c r="E503" s="441" t="s">
        <v>437</v>
      </c>
      <c r="F503" s="428" t="s">
        <v>208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1163</v>
      </c>
      <c r="C504" s="387" t="s">
        <v>1163</v>
      </c>
      <c r="D504" s="441" t="s">
        <v>441</v>
      </c>
      <c r="E504" s="441" t="s">
        <v>437</v>
      </c>
      <c r="F504" s="428" t="s">
        <v>209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1163</v>
      </c>
      <c r="C505" s="386" t="s">
        <v>1163</v>
      </c>
      <c r="D505" s="407" t="s">
        <v>860</v>
      </c>
      <c r="E505" s="407"/>
      <c r="F505" s="426" t="s">
        <v>1873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1163</v>
      </c>
      <c r="C506" s="387" t="s">
        <v>1163</v>
      </c>
      <c r="D506" s="441" t="s">
        <v>860</v>
      </c>
      <c r="E506" s="441" t="s">
        <v>437</v>
      </c>
      <c r="F506" s="428" t="s">
        <v>206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1163</v>
      </c>
      <c r="C507" s="387" t="s">
        <v>1163</v>
      </c>
      <c r="D507" s="441" t="s">
        <v>860</v>
      </c>
      <c r="E507" s="441" t="s">
        <v>437</v>
      </c>
      <c r="F507" s="428" t="s">
        <v>209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970</v>
      </c>
      <c r="C508" s="639" t="s">
        <v>1165</v>
      </c>
      <c r="D508" s="639"/>
      <c r="E508" s="639"/>
      <c r="F508" s="641" t="s">
        <v>1874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1165</v>
      </c>
      <c r="C509" s="386" t="s">
        <v>1165</v>
      </c>
      <c r="D509" s="407" t="s">
        <v>159</v>
      </c>
      <c r="E509" s="386"/>
      <c r="F509" s="426" t="s">
        <v>1875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1165</v>
      </c>
      <c r="C510" s="387" t="s">
        <v>1165</v>
      </c>
      <c r="D510" s="441" t="s">
        <v>159</v>
      </c>
      <c r="E510" s="387" t="s">
        <v>664</v>
      </c>
      <c r="F510" s="428" t="s">
        <v>205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1165</v>
      </c>
      <c r="C511" s="387" t="s">
        <v>1165</v>
      </c>
      <c r="D511" s="441" t="s">
        <v>159</v>
      </c>
      <c r="E511" s="387" t="s">
        <v>664</v>
      </c>
      <c r="F511" s="428" t="s">
        <v>206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1165</v>
      </c>
      <c r="C512" s="387" t="s">
        <v>1165</v>
      </c>
      <c r="D512" s="441" t="s">
        <v>159</v>
      </c>
      <c r="E512" s="387" t="s">
        <v>664</v>
      </c>
      <c r="F512" s="428" t="s">
        <v>208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1165</v>
      </c>
      <c r="C513" s="386" t="s">
        <v>1165</v>
      </c>
      <c r="D513" s="407" t="s">
        <v>518</v>
      </c>
      <c r="E513" s="407"/>
      <c r="F513" s="426" t="s">
        <v>1875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1165</v>
      </c>
      <c r="C514" s="387" t="s">
        <v>1165</v>
      </c>
      <c r="D514" s="441" t="s">
        <v>518</v>
      </c>
      <c r="E514" s="441" t="s">
        <v>56</v>
      </c>
      <c r="F514" s="428" t="s">
        <v>206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1165</v>
      </c>
      <c r="C515" s="386" t="s">
        <v>1165</v>
      </c>
      <c r="D515" s="407" t="s">
        <v>441</v>
      </c>
      <c r="E515" s="407"/>
      <c r="F515" s="426" t="s">
        <v>1875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1165</v>
      </c>
      <c r="C516" s="387" t="s">
        <v>1165</v>
      </c>
      <c r="D516" s="441" t="s">
        <v>441</v>
      </c>
      <c r="E516" s="441" t="s">
        <v>437</v>
      </c>
      <c r="F516" s="428" t="s">
        <v>206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1165</v>
      </c>
      <c r="C517" s="387" t="s">
        <v>1165</v>
      </c>
      <c r="D517" s="441" t="s">
        <v>441</v>
      </c>
      <c r="E517" s="441" t="s">
        <v>437</v>
      </c>
      <c r="F517" s="428" t="s">
        <v>208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1165</v>
      </c>
      <c r="C518" s="386" t="s">
        <v>1165</v>
      </c>
      <c r="D518" s="407" t="s">
        <v>860</v>
      </c>
      <c r="E518" s="407"/>
      <c r="F518" s="426" t="s">
        <v>1875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972</v>
      </c>
      <c r="C519" s="639" t="s">
        <v>1164</v>
      </c>
      <c r="D519" s="639"/>
      <c r="E519" s="639"/>
      <c r="F519" s="641" t="s">
        <v>1874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1164</v>
      </c>
      <c r="C520" s="386" t="s">
        <v>1164</v>
      </c>
      <c r="D520" s="385" t="s">
        <v>159</v>
      </c>
      <c r="E520" s="386"/>
      <c r="F520" s="426" t="s">
        <v>1875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1164</v>
      </c>
      <c r="C521" s="387" t="s">
        <v>1164</v>
      </c>
      <c r="D521" s="372" t="s">
        <v>159</v>
      </c>
      <c r="E521" s="387" t="s">
        <v>664</v>
      </c>
      <c r="F521" s="428" t="s">
        <v>205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1164</v>
      </c>
      <c r="C522" s="387" t="s">
        <v>1164</v>
      </c>
      <c r="D522" s="372" t="s">
        <v>159</v>
      </c>
      <c r="E522" s="387" t="s">
        <v>664</v>
      </c>
      <c r="F522" s="428" t="s">
        <v>206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1164</v>
      </c>
      <c r="C523" s="387" t="s">
        <v>1164</v>
      </c>
      <c r="D523" s="372" t="s">
        <v>159</v>
      </c>
      <c r="E523" s="387" t="s">
        <v>664</v>
      </c>
      <c r="F523" s="428" t="s">
        <v>208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1164</v>
      </c>
      <c r="C524" s="386" t="s">
        <v>1164</v>
      </c>
      <c r="D524" s="385" t="s">
        <v>518</v>
      </c>
      <c r="E524" s="385"/>
      <c r="F524" s="426" t="s">
        <v>1875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1164</v>
      </c>
      <c r="C525" s="387" t="s">
        <v>1164</v>
      </c>
      <c r="D525" s="372" t="s">
        <v>518</v>
      </c>
      <c r="E525" s="372" t="s">
        <v>56</v>
      </c>
      <c r="F525" s="428" t="s">
        <v>206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1164</v>
      </c>
      <c r="C526" s="386" t="s">
        <v>1164</v>
      </c>
      <c r="D526" s="385" t="s">
        <v>441</v>
      </c>
      <c r="E526" s="385"/>
      <c r="F526" s="426" t="s">
        <v>1876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1164</v>
      </c>
      <c r="C527" s="387" t="s">
        <v>1164</v>
      </c>
      <c r="D527" s="372" t="s">
        <v>441</v>
      </c>
      <c r="E527" s="372" t="s">
        <v>437</v>
      </c>
      <c r="F527" s="428" t="s">
        <v>206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1164</v>
      </c>
      <c r="C528" s="387" t="s">
        <v>1164</v>
      </c>
      <c r="D528" s="372" t="s">
        <v>441</v>
      </c>
      <c r="E528" s="372" t="s">
        <v>437</v>
      </c>
      <c r="F528" s="428" t="s">
        <v>208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1164</v>
      </c>
      <c r="C529" s="386" t="s">
        <v>1164</v>
      </c>
      <c r="D529" s="385" t="s">
        <v>860</v>
      </c>
      <c r="E529" s="385"/>
      <c r="F529" s="426" t="s">
        <v>1876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973</v>
      </c>
      <c r="C530" s="632" t="s">
        <v>973</v>
      </c>
      <c r="D530" s="633"/>
      <c r="E530" s="632"/>
      <c r="F530" s="634" t="s">
        <v>1877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973</v>
      </c>
      <c r="C531" s="380" t="s">
        <v>973</v>
      </c>
      <c r="D531" s="385" t="s">
        <v>1166</v>
      </c>
      <c r="E531" s="385"/>
      <c r="F531" s="424" t="s">
        <v>1878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973</v>
      </c>
      <c r="C532" s="376" t="s">
        <v>973</v>
      </c>
      <c r="D532" s="372" t="s">
        <v>1166</v>
      </c>
      <c r="E532" s="372" t="s">
        <v>664</v>
      </c>
      <c r="F532" s="422" t="s">
        <v>374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973</v>
      </c>
      <c r="C533" s="376" t="s">
        <v>973</v>
      </c>
      <c r="D533" s="372" t="s">
        <v>1166</v>
      </c>
      <c r="E533" s="372" t="s">
        <v>664</v>
      </c>
      <c r="F533" s="422" t="s">
        <v>206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973</v>
      </c>
      <c r="C534" s="376" t="s">
        <v>973</v>
      </c>
      <c r="D534" s="372" t="s">
        <v>1166</v>
      </c>
      <c r="E534" s="372" t="s">
        <v>664</v>
      </c>
      <c r="F534" s="422" t="s">
        <v>1337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973</v>
      </c>
      <c r="C535" s="376" t="s">
        <v>973</v>
      </c>
      <c r="D535" s="372" t="s">
        <v>1166</v>
      </c>
      <c r="E535" s="372" t="s">
        <v>664</v>
      </c>
      <c r="F535" s="422" t="s">
        <v>1879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973</v>
      </c>
      <c r="C536" s="376" t="s">
        <v>973</v>
      </c>
      <c r="D536" s="372" t="s">
        <v>1166</v>
      </c>
      <c r="E536" s="372" t="s">
        <v>664</v>
      </c>
      <c r="F536" s="422" t="s">
        <v>198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973</v>
      </c>
      <c r="C537" s="376" t="s">
        <v>973</v>
      </c>
      <c r="D537" s="372" t="s">
        <v>1166</v>
      </c>
      <c r="E537" s="372" t="s">
        <v>664</v>
      </c>
      <c r="F537" s="422" t="s">
        <v>1880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973</v>
      </c>
      <c r="C538" s="380" t="s">
        <v>973</v>
      </c>
      <c r="D538" s="385" t="s">
        <v>159</v>
      </c>
      <c r="E538" s="380"/>
      <c r="F538" s="424" t="s">
        <v>1881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973</v>
      </c>
      <c r="C539" s="376" t="s">
        <v>973</v>
      </c>
      <c r="D539" s="372" t="s">
        <v>159</v>
      </c>
      <c r="E539" s="376" t="s">
        <v>1007</v>
      </c>
      <c r="F539" s="406" t="s">
        <v>290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1882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973</v>
      </c>
      <c r="C541" s="376" t="s">
        <v>973</v>
      </c>
      <c r="D541" s="372" t="s">
        <v>159</v>
      </c>
      <c r="E541" s="376" t="s">
        <v>1007</v>
      </c>
      <c r="F541" s="406" t="s">
        <v>1334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973</v>
      </c>
      <c r="C542" s="376" t="s">
        <v>973</v>
      </c>
      <c r="D542" s="372" t="s">
        <v>159</v>
      </c>
      <c r="E542" s="376" t="s">
        <v>1007</v>
      </c>
      <c r="F542" s="406" t="s">
        <v>1883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973</v>
      </c>
      <c r="C543" s="380" t="s">
        <v>973</v>
      </c>
      <c r="D543" s="385" t="s">
        <v>518</v>
      </c>
      <c r="E543" s="385"/>
      <c r="F543" s="424" t="s">
        <v>1884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973</v>
      </c>
      <c r="C544" s="376" t="s">
        <v>973</v>
      </c>
      <c r="D544" s="372" t="s">
        <v>518</v>
      </c>
      <c r="E544" s="372" t="s">
        <v>56</v>
      </c>
      <c r="F544" s="422" t="s">
        <v>206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973</v>
      </c>
      <c r="C545" s="376" t="s">
        <v>973</v>
      </c>
      <c r="D545" s="372" t="s">
        <v>518</v>
      </c>
      <c r="E545" s="372" t="s">
        <v>56</v>
      </c>
      <c r="F545" s="422" t="s">
        <v>199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973</v>
      </c>
      <c r="C546" s="376" t="s">
        <v>973</v>
      </c>
      <c r="D546" s="372" t="s">
        <v>518</v>
      </c>
      <c r="E546" s="372" t="s">
        <v>56</v>
      </c>
      <c r="F546" s="422" t="s">
        <v>1880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973</v>
      </c>
      <c r="C547" s="380" t="s">
        <v>973</v>
      </c>
      <c r="D547" s="385" t="s">
        <v>441</v>
      </c>
      <c r="E547" s="385"/>
      <c r="F547" s="424" t="s">
        <v>1885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973</v>
      </c>
      <c r="C548" s="376" t="s">
        <v>973</v>
      </c>
      <c r="D548" s="372" t="s">
        <v>441</v>
      </c>
      <c r="E548" s="372" t="s">
        <v>437</v>
      </c>
      <c r="F548" s="422" t="s">
        <v>206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973</v>
      </c>
      <c r="C549" s="376" t="s">
        <v>973</v>
      </c>
      <c r="D549" s="372" t="s">
        <v>441</v>
      </c>
      <c r="E549" s="372" t="s">
        <v>437</v>
      </c>
      <c r="F549" s="422" t="s">
        <v>208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973</v>
      </c>
      <c r="C550" s="376" t="s">
        <v>973</v>
      </c>
      <c r="D550" s="372" t="s">
        <v>441</v>
      </c>
      <c r="E550" s="372" t="s">
        <v>437</v>
      </c>
      <c r="F550" s="422" t="s">
        <v>199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973</v>
      </c>
      <c r="C551" s="376" t="s">
        <v>973</v>
      </c>
      <c r="D551" s="372" t="s">
        <v>441</v>
      </c>
      <c r="E551" s="372" t="s">
        <v>437</v>
      </c>
      <c r="F551" s="422" t="s">
        <v>1880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973</v>
      </c>
      <c r="C552" s="380" t="s">
        <v>973</v>
      </c>
      <c r="D552" s="385" t="s">
        <v>860</v>
      </c>
      <c r="E552" s="385"/>
      <c r="F552" s="424" t="s">
        <v>1885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973</v>
      </c>
      <c r="C553" s="376" t="s">
        <v>973</v>
      </c>
      <c r="D553" s="372" t="s">
        <v>860</v>
      </c>
      <c r="E553" s="372" t="s">
        <v>437</v>
      </c>
      <c r="F553" s="464" t="s">
        <v>206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.45" outlineLevel="3">
      <c r="A554" s="372"/>
      <c r="B554" s="372"/>
      <c r="C554" s="376"/>
      <c r="D554" s="372"/>
      <c r="E554" s="372"/>
      <c r="F554" s="671" t="s">
        <v>1886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973</v>
      </c>
      <c r="C555" s="376" t="s">
        <v>973</v>
      </c>
      <c r="D555" s="372" t="s">
        <v>860</v>
      </c>
      <c r="E555" s="372" t="s">
        <v>437</v>
      </c>
      <c r="F555" s="422" t="s">
        <v>199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973</v>
      </c>
      <c r="C556" s="376" t="s">
        <v>973</v>
      </c>
      <c r="D556" s="372" t="s">
        <v>860</v>
      </c>
      <c r="E556" s="372" t="s">
        <v>437</v>
      </c>
      <c r="F556" s="422" t="s">
        <v>1880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.45" outlineLevel="1" collapsed="1">
      <c r="A557" s="372"/>
      <c r="B557" s="632" t="s">
        <v>975</v>
      </c>
      <c r="C557" s="632" t="s">
        <v>163</v>
      </c>
      <c r="D557" s="632"/>
      <c r="E557" s="633"/>
      <c r="F557" s="634" t="s">
        <v>1887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975</v>
      </c>
      <c r="C558" s="380" t="s">
        <v>1201</v>
      </c>
      <c r="D558" s="385" t="s">
        <v>1166</v>
      </c>
      <c r="E558" s="385"/>
      <c r="F558" s="424" t="s">
        <v>1888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975</v>
      </c>
      <c r="C559" s="376" t="s">
        <v>1201</v>
      </c>
      <c r="D559" s="372" t="s">
        <v>1166</v>
      </c>
      <c r="E559" s="372" t="s">
        <v>437</v>
      </c>
      <c r="F559" s="422" t="s">
        <v>205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975</v>
      </c>
      <c r="C560" s="376" t="s">
        <v>1201</v>
      </c>
      <c r="D560" s="372" t="s">
        <v>1166</v>
      </c>
      <c r="E560" s="372" t="s">
        <v>437</v>
      </c>
      <c r="F560" s="422" t="s">
        <v>206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975</v>
      </c>
      <c r="C561" s="376" t="s">
        <v>1201</v>
      </c>
      <c r="D561" s="372" t="s">
        <v>1166</v>
      </c>
      <c r="E561" s="372" t="s">
        <v>437</v>
      </c>
      <c r="F561" s="422" t="s">
        <v>208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975</v>
      </c>
      <c r="C562" s="376" t="s">
        <v>1201</v>
      </c>
      <c r="D562" s="372" t="s">
        <v>1166</v>
      </c>
      <c r="E562" s="372" t="s">
        <v>437</v>
      </c>
      <c r="F562" s="422" t="s">
        <v>608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975</v>
      </c>
      <c r="C563" s="380" t="s">
        <v>1201</v>
      </c>
      <c r="D563" s="385" t="s">
        <v>159</v>
      </c>
      <c r="E563" s="385"/>
      <c r="F563" s="424" t="s">
        <v>1881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975</v>
      </c>
      <c r="C564" s="380" t="s">
        <v>1201</v>
      </c>
      <c r="D564" s="385" t="s">
        <v>518</v>
      </c>
      <c r="E564" s="385"/>
      <c r="F564" s="424" t="s">
        <v>1889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975</v>
      </c>
      <c r="C565" s="376" t="s">
        <v>1201</v>
      </c>
      <c r="D565" s="372" t="s">
        <v>518</v>
      </c>
      <c r="E565" s="372" t="s">
        <v>56</v>
      </c>
      <c r="F565" s="422" t="s">
        <v>206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975</v>
      </c>
      <c r="C566" s="376" t="s">
        <v>1201</v>
      </c>
      <c r="D566" s="372" t="s">
        <v>518</v>
      </c>
      <c r="E566" s="372" t="s">
        <v>56</v>
      </c>
      <c r="F566" s="422" t="s">
        <v>608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975</v>
      </c>
      <c r="C567" s="380" t="s">
        <v>1201</v>
      </c>
      <c r="D567" s="385" t="s">
        <v>441</v>
      </c>
      <c r="E567" s="385"/>
      <c r="F567" s="424" t="s">
        <v>1881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975</v>
      </c>
      <c r="C568" s="376" t="s">
        <v>1201</v>
      </c>
      <c r="D568" s="372" t="s">
        <v>441</v>
      </c>
      <c r="E568" s="372" t="s">
        <v>437</v>
      </c>
      <c r="F568" s="422" t="s">
        <v>206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975</v>
      </c>
      <c r="C569" s="376" t="s">
        <v>1201</v>
      </c>
      <c r="D569" s="372" t="s">
        <v>441</v>
      </c>
      <c r="E569" s="372" t="s">
        <v>437</v>
      </c>
      <c r="F569" s="422" t="s">
        <v>208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975</v>
      </c>
      <c r="C570" s="376" t="s">
        <v>1201</v>
      </c>
      <c r="D570" s="372" t="s">
        <v>441</v>
      </c>
      <c r="E570" s="372" t="s">
        <v>437</v>
      </c>
      <c r="F570" s="422" t="s">
        <v>608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975</v>
      </c>
      <c r="C571" s="380" t="s">
        <v>1201</v>
      </c>
      <c r="D571" s="385" t="s">
        <v>860</v>
      </c>
      <c r="E571" s="385"/>
      <c r="F571" s="424" t="s">
        <v>1881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975</v>
      </c>
      <c r="C572" s="376" t="s">
        <v>1201</v>
      </c>
      <c r="D572" s="372" t="s">
        <v>860</v>
      </c>
      <c r="E572" s="372" t="s">
        <v>437</v>
      </c>
      <c r="F572" s="422" t="s">
        <v>206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975</v>
      </c>
      <c r="C573" s="376" t="s">
        <v>1201</v>
      </c>
      <c r="D573" s="372" t="s">
        <v>860</v>
      </c>
      <c r="E573" s="372" t="s">
        <v>437</v>
      </c>
      <c r="F573" s="422" t="s">
        <v>208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975</v>
      </c>
      <c r="C574" s="376" t="s">
        <v>1201</v>
      </c>
      <c r="D574" s="372" t="s">
        <v>860</v>
      </c>
      <c r="E574" s="372" t="s">
        <v>437</v>
      </c>
      <c r="F574" s="422" t="s">
        <v>608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1890</v>
      </c>
      <c r="C575" s="639" t="s">
        <v>1201</v>
      </c>
      <c r="D575" s="647"/>
      <c r="E575" s="633"/>
      <c r="F575" s="634" t="s">
        <v>1891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1890</v>
      </c>
      <c r="C576" s="386" t="s">
        <v>1201</v>
      </c>
      <c r="D576" s="385" t="s">
        <v>1166</v>
      </c>
      <c r="E576" s="385"/>
      <c r="F576" s="424" t="s">
        <v>1892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1890</v>
      </c>
      <c r="C577" s="387" t="s">
        <v>1201</v>
      </c>
      <c r="D577" s="372" t="s">
        <v>1166</v>
      </c>
      <c r="E577" s="372" t="s">
        <v>437</v>
      </c>
      <c r="F577" s="422" t="s">
        <v>205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1890</v>
      </c>
      <c r="C578" s="387" t="s">
        <v>1201</v>
      </c>
      <c r="D578" s="372" t="s">
        <v>1166</v>
      </c>
      <c r="E578" s="372" t="s">
        <v>437</v>
      </c>
      <c r="F578" s="422" t="s">
        <v>206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1890</v>
      </c>
      <c r="C579" s="387" t="s">
        <v>1201</v>
      </c>
      <c r="D579" s="372" t="s">
        <v>1166</v>
      </c>
      <c r="E579" s="372" t="s">
        <v>437</v>
      </c>
      <c r="F579" s="422" t="s">
        <v>208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1890</v>
      </c>
      <c r="C580" s="386" t="s">
        <v>1201</v>
      </c>
      <c r="D580" s="385" t="s">
        <v>159</v>
      </c>
      <c r="E580" s="385"/>
      <c r="F580" s="424" t="s">
        <v>1892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1890</v>
      </c>
      <c r="C581" s="387" t="s">
        <v>1201</v>
      </c>
      <c r="D581" s="372" t="s">
        <v>159</v>
      </c>
      <c r="E581" s="372" t="s">
        <v>1007</v>
      </c>
      <c r="F581" s="422" t="s">
        <v>206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1890</v>
      </c>
      <c r="C582" s="386" t="s">
        <v>1201</v>
      </c>
      <c r="D582" s="385" t="s">
        <v>518</v>
      </c>
      <c r="E582" s="385"/>
      <c r="F582" s="424" t="s">
        <v>1892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1890</v>
      </c>
      <c r="C583" s="387" t="s">
        <v>1201</v>
      </c>
      <c r="D583" s="372" t="s">
        <v>518</v>
      </c>
      <c r="E583" s="372" t="s">
        <v>56</v>
      </c>
      <c r="F583" s="422" t="s">
        <v>206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1890</v>
      </c>
      <c r="C584" s="386" t="s">
        <v>1201</v>
      </c>
      <c r="D584" s="385" t="s">
        <v>441</v>
      </c>
      <c r="E584" s="385"/>
      <c r="F584" s="424" t="s">
        <v>1892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1890</v>
      </c>
      <c r="C585" s="387" t="s">
        <v>1201</v>
      </c>
      <c r="D585" s="373" t="s">
        <v>441</v>
      </c>
      <c r="E585" s="373" t="s">
        <v>437</v>
      </c>
      <c r="F585" s="422" t="s">
        <v>206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1890</v>
      </c>
      <c r="C586" s="387" t="s">
        <v>1201</v>
      </c>
      <c r="D586" s="373" t="s">
        <v>441</v>
      </c>
      <c r="E586" s="373" t="s">
        <v>437</v>
      </c>
      <c r="F586" s="422" t="s">
        <v>208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1890</v>
      </c>
      <c r="C587" s="386" t="s">
        <v>1201</v>
      </c>
      <c r="D587" s="385" t="s">
        <v>860</v>
      </c>
      <c r="E587" s="385"/>
      <c r="F587" s="424" t="s">
        <v>1892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1890</v>
      </c>
      <c r="C588" s="387" t="s">
        <v>1201</v>
      </c>
      <c r="D588" s="372" t="s">
        <v>860</v>
      </c>
      <c r="E588" s="373" t="s">
        <v>437</v>
      </c>
      <c r="F588" s="422" t="s">
        <v>206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1890</v>
      </c>
      <c r="C589" s="387" t="s">
        <v>1201</v>
      </c>
      <c r="D589" s="372" t="s">
        <v>860</v>
      </c>
      <c r="E589" s="373" t="s">
        <v>437</v>
      </c>
      <c r="F589" s="422" t="s">
        <v>208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609</v>
      </c>
      <c r="C590" s="639" t="s">
        <v>1201</v>
      </c>
      <c r="D590" s="647" t="s">
        <v>1176</v>
      </c>
      <c r="E590" s="633"/>
      <c r="F590" s="634" t="s">
        <v>1891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609</v>
      </c>
      <c r="C591" s="386" t="s">
        <v>1201</v>
      </c>
      <c r="D591" s="385" t="s">
        <v>1166</v>
      </c>
      <c r="E591" s="385"/>
      <c r="F591" s="424" t="s">
        <v>1892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609</v>
      </c>
      <c r="C592" s="387" t="s">
        <v>1201</v>
      </c>
      <c r="D592" s="372" t="s">
        <v>1166</v>
      </c>
      <c r="E592" s="372" t="s">
        <v>437</v>
      </c>
      <c r="F592" s="422" t="s">
        <v>1893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609</v>
      </c>
      <c r="C593" s="387" t="s">
        <v>1201</v>
      </c>
      <c r="D593" s="372" t="s">
        <v>1166</v>
      </c>
      <c r="E593" s="372" t="s">
        <v>437</v>
      </c>
      <c r="F593" s="422" t="s">
        <v>1894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609</v>
      </c>
      <c r="C594" s="387" t="s">
        <v>1201</v>
      </c>
      <c r="D594" s="372" t="s">
        <v>1166</v>
      </c>
      <c r="E594" s="372" t="s">
        <v>437</v>
      </c>
      <c r="F594" s="422" t="s">
        <v>199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609</v>
      </c>
      <c r="C595" s="387" t="s">
        <v>1201</v>
      </c>
      <c r="D595" s="372" t="s">
        <v>1166</v>
      </c>
      <c r="E595" s="372" t="s">
        <v>437</v>
      </c>
      <c r="F595" s="422" t="s">
        <v>608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609</v>
      </c>
      <c r="C596" s="387" t="s">
        <v>1201</v>
      </c>
      <c r="D596" s="372" t="s">
        <v>1166</v>
      </c>
      <c r="E596" s="372" t="s">
        <v>437</v>
      </c>
      <c r="F596" s="422" t="s">
        <v>198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609</v>
      </c>
      <c r="C597" s="387" t="s">
        <v>1201</v>
      </c>
      <c r="D597" s="372" t="s">
        <v>1166</v>
      </c>
      <c r="E597" s="372" t="s">
        <v>437</v>
      </c>
      <c r="F597" s="422" t="s">
        <v>1895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609</v>
      </c>
      <c r="C598" s="386" t="s">
        <v>1201</v>
      </c>
      <c r="D598" s="385" t="s">
        <v>159</v>
      </c>
      <c r="E598" s="385"/>
      <c r="F598" s="424" t="s">
        <v>1892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609</v>
      </c>
      <c r="C599" s="387" t="s">
        <v>1201</v>
      </c>
      <c r="D599" s="372" t="s">
        <v>159</v>
      </c>
      <c r="E599" s="372" t="s">
        <v>1007</v>
      </c>
      <c r="F599" s="422" t="s">
        <v>206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609</v>
      </c>
      <c r="C600" s="386" t="s">
        <v>1201</v>
      </c>
      <c r="D600" s="385" t="s">
        <v>518</v>
      </c>
      <c r="E600" s="385"/>
      <c r="F600" s="424" t="s">
        <v>1892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609</v>
      </c>
      <c r="C601" s="387" t="s">
        <v>1201</v>
      </c>
      <c r="D601" s="372" t="s">
        <v>518</v>
      </c>
      <c r="E601" s="372" t="s">
        <v>56</v>
      </c>
      <c r="F601" s="422" t="s">
        <v>206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609</v>
      </c>
      <c r="C602" s="387" t="s">
        <v>1201</v>
      </c>
      <c r="D602" s="372" t="s">
        <v>518</v>
      </c>
      <c r="E602" s="372" t="s">
        <v>56</v>
      </c>
      <c r="F602" s="422" t="s">
        <v>199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609</v>
      </c>
      <c r="C603" s="387" t="s">
        <v>1201</v>
      </c>
      <c r="D603" s="372" t="s">
        <v>518</v>
      </c>
      <c r="E603" s="372" t="s">
        <v>56</v>
      </c>
      <c r="F603" s="422" t="s">
        <v>608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609</v>
      </c>
      <c r="C604" s="387" t="s">
        <v>1201</v>
      </c>
      <c r="D604" s="372" t="s">
        <v>518</v>
      </c>
      <c r="E604" s="372" t="s">
        <v>56</v>
      </c>
      <c r="F604" s="422" t="s">
        <v>1895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609</v>
      </c>
      <c r="C605" s="386" t="s">
        <v>1201</v>
      </c>
      <c r="D605" s="385" t="s">
        <v>441</v>
      </c>
      <c r="E605" s="385"/>
      <c r="F605" s="424" t="s">
        <v>1892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609</v>
      </c>
      <c r="C606" s="387" t="s">
        <v>1201</v>
      </c>
      <c r="D606" s="372" t="s">
        <v>441</v>
      </c>
      <c r="E606" s="372" t="s">
        <v>437</v>
      </c>
      <c r="F606" s="422" t="s">
        <v>206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1896</v>
      </c>
      <c r="B607" s="372" t="s">
        <v>609</v>
      </c>
      <c r="C607" s="387" t="s">
        <v>1201</v>
      </c>
      <c r="D607" s="372" t="s">
        <v>441</v>
      </c>
      <c r="E607" s="372" t="s">
        <v>437</v>
      </c>
      <c r="F607" s="422" t="s">
        <v>1894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609</v>
      </c>
      <c r="C608" s="387" t="s">
        <v>1201</v>
      </c>
      <c r="D608" s="372" t="s">
        <v>441</v>
      </c>
      <c r="E608" s="372" t="s">
        <v>437</v>
      </c>
      <c r="F608" s="422" t="s">
        <v>199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609</v>
      </c>
      <c r="C609" s="387" t="s">
        <v>1201</v>
      </c>
      <c r="D609" s="372" t="s">
        <v>441</v>
      </c>
      <c r="E609" s="372" t="s">
        <v>437</v>
      </c>
      <c r="F609" s="422" t="s">
        <v>608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609</v>
      </c>
      <c r="C610" s="387" t="s">
        <v>1201</v>
      </c>
      <c r="D610" s="372" t="s">
        <v>441</v>
      </c>
      <c r="E610" s="372" t="s">
        <v>437</v>
      </c>
      <c r="F610" s="422" t="s">
        <v>1897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609</v>
      </c>
      <c r="C611" s="386" t="s">
        <v>1201</v>
      </c>
      <c r="D611" s="385" t="s">
        <v>860</v>
      </c>
      <c r="E611" s="385"/>
      <c r="F611" s="424" t="s">
        <v>1892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609</v>
      </c>
      <c r="C612" s="387" t="s">
        <v>1201</v>
      </c>
      <c r="D612" s="372" t="s">
        <v>860</v>
      </c>
      <c r="E612" s="372" t="s">
        <v>437</v>
      </c>
      <c r="F612" s="422" t="s">
        <v>206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609</v>
      </c>
      <c r="C613" s="387" t="s">
        <v>1201</v>
      </c>
      <c r="D613" s="372" t="s">
        <v>860</v>
      </c>
      <c r="E613" s="372" t="s">
        <v>437</v>
      </c>
      <c r="F613" s="422" t="s">
        <v>199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609</v>
      </c>
      <c r="C614" s="387" t="s">
        <v>1201</v>
      </c>
      <c r="D614" s="372" t="s">
        <v>860</v>
      </c>
      <c r="E614" s="372" t="s">
        <v>437</v>
      </c>
      <c r="F614" s="422" t="s">
        <v>608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609</v>
      </c>
      <c r="C615" s="387" t="s">
        <v>1201</v>
      </c>
      <c r="D615" s="372" t="s">
        <v>860</v>
      </c>
      <c r="E615" s="372" t="s">
        <v>437</v>
      </c>
      <c r="F615" s="422" t="s">
        <v>198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609</v>
      </c>
      <c r="C616" s="387" t="s">
        <v>1201</v>
      </c>
      <c r="D616" s="372" t="s">
        <v>860</v>
      </c>
      <c r="E616" s="372" t="s">
        <v>437</v>
      </c>
      <c r="F616" s="422" t="s">
        <v>1897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285</v>
      </c>
      <c r="C617" s="632" t="s">
        <v>285</v>
      </c>
      <c r="D617" s="632" t="s">
        <v>1898</v>
      </c>
      <c r="E617" s="633"/>
      <c r="F617" s="634" t="s">
        <v>1899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285</v>
      </c>
      <c r="C618" s="380" t="s">
        <v>1201</v>
      </c>
      <c r="D618" s="385" t="s">
        <v>1166</v>
      </c>
      <c r="E618" s="385"/>
      <c r="F618" s="424" t="s">
        <v>1888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285</v>
      </c>
      <c r="C619" s="380" t="s">
        <v>1201</v>
      </c>
      <c r="D619" s="385" t="s">
        <v>159</v>
      </c>
      <c r="E619" s="385"/>
      <c r="F619" s="424" t="s">
        <v>1881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285</v>
      </c>
      <c r="C620" s="380" t="s">
        <v>1201</v>
      </c>
      <c r="D620" s="385" t="s">
        <v>518</v>
      </c>
      <c r="E620" s="385"/>
      <c r="F620" s="424" t="s">
        <v>1900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285</v>
      </c>
      <c r="C621" s="380" t="s">
        <v>1201</v>
      </c>
      <c r="D621" s="385" t="s">
        <v>441</v>
      </c>
      <c r="E621" s="385"/>
      <c r="F621" s="424" t="s">
        <v>1881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285</v>
      </c>
      <c r="C622" s="380" t="s">
        <v>1201</v>
      </c>
      <c r="D622" s="385" t="s">
        <v>860</v>
      </c>
      <c r="E622" s="385"/>
      <c r="F622" s="424" t="s">
        <v>1881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916</v>
      </c>
      <c r="C623" s="632" t="s">
        <v>916</v>
      </c>
      <c r="D623" s="647"/>
      <c r="E623" s="632"/>
      <c r="F623" s="641" t="s">
        <v>1901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916</v>
      </c>
      <c r="C624" s="385" t="s">
        <v>916</v>
      </c>
      <c r="D624" s="385" t="s">
        <v>159</v>
      </c>
      <c r="E624" s="380"/>
      <c r="F624" s="424" t="s">
        <v>1902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916</v>
      </c>
      <c r="C625" s="372" t="s">
        <v>916</v>
      </c>
      <c r="D625" s="372" t="s">
        <v>159</v>
      </c>
      <c r="E625" s="376" t="s">
        <v>1007</v>
      </c>
      <c r="F625" s="422" t="s">
        <v>205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916</v>
      </c>
      <c r="C626" s="385" t="s">
        <v>916</v>
      </c>
      <c r="D626" s="385" t="s">
        <v>518</v>
      </c>
      <c r="E626" s="385"/>
      <c r="F626" s="424" t="s">
        <v>1884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916</v>
      </c>
      <c r="C627" s="385" t="s">
        <v>916</v>
      </c>
      <c r="D627" s="385" t="s">
        <v>441</v>
      </c>
      <c r="E627" s="385"/>
      <c r="F627" s="424" t="s">
        <v>1903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916</v>
      </c>
      <c r="C628" s="385" t="s">
        <v>916</v>
      </c>
      <c r="D628" s="385" t="s">
        <v>860</v>
      </c>
      <c r="E628" s="385"/>
      <c r="F628" s="424" t="s">
        <v>1903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912</v>
      </c>
      <c r="C629" s="639" t="s">
        <v>1654</v>
      </c>
      <c r="D629" s="639"/>
      <c r="E629" s="640"/>
      <c r="F629" s="641" t="s">
        <v>1901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1170</v>
      </c>
      <c r="C630" s="385" t="s">
        <v>1170</v>
      </c>
      <c r="D630" s="385" t="s">
        <v>159</v>
      </c>
      <c r="E630" s="380"/>
      <c r="F630" s="424" t="s">
        <v>1902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1170</v>
      </c>
      <c r="C631" s="385" t="s">
        <v>1170</v>
      </c>
      <c r="D631" s="385" t="s">
        <v>518</v>
      </c>
      <c r="E631" s="385"/>
      <c r="F631" s="424" t="s">
        <v>1884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1170</v>
      </c>
      <c r="C632" s="385" t="s">
        <v>1170</v>
      </c>
      <c r="D632" s="385" t="s">
        <v>441</v>
      </c>
      <c r="E632" s="385"/>
      <c r="F632" s="424" t="s">
        <v>1903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1170</v>
      </c>
      <c r="C633" s="385" t="s">
        <v>1170</v>
      </c>
      <c r="D633" s="385" t="s">
        <v>860</v>
      </c>
      <c r="E633" s="385"/>
      <c r="F633" s="424" t="s">
        <v>1903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985</v>
      </c>
      <c r="C634" s="632" t="s">
        <v>985</v>
      </c>
      <c r="D634" s="632"/>
      <c r="E634" s="632"/>
      <c r="F634" s="634" t="s">
        <v>1656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985</v>
      </c>
      <c r="C635" s="380" t="s">
        <v>985</v>
      </c>
      <c r="D635" s="385" t="s">
        <v>1166</v>
      </c>
      <c r="E635" s="380"/>
      <c r="F635" s="424" t="s">
        <v>1368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985</v>
      </c>
      <c r="C636" s="376" t="s">
        <v>985</v>
      </c>
      <c r="D636" s="372" t="s">
        <v>1166</v>
      </c>
      <c r="E636" s="376" t="s">
        <v>437</v>
      </c>
      <c r="F636" s="422" t="s">
        <v>205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985</v>
      </c>
      <c r="C637" s="376" t="s">
        <v>985</v>
      </c>
      <c r="D637" s="372" t="s">
        <v>1166</v>
      </c>
      <c r="E637" s="376" t="s">
        <v>437</v>
      </c>
      <c r="F637" s="422" t="s">
        <v>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985</v>
      </c>
      <c r="C638" s="376" t="s">
        <v>985</v>
      </c>
      <c r="D638" s="372" t="s">
        <v>1166</v>
      </c>
      <c r="E638" s="376" t="s">
        <v>437</v>
      </c>
      <c r="F638" s="422" t="s">
        <v>208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985</v>
      </c>
      <c r="C639" s="380" t="s">
        <v>985</v>
      </c>
      <c r="D639" s="385" t="s">
        <v>518</v>
      </c>
      <c r="E639" s="385"/>
      <c r="F639" s="424" t="s">
        <v>1368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985</v>
      </c>
      <c r="C640" s="376" t="s">
        <v>985</v>
      </c>
      <c r="D640" s="372" t="s">
        <v>518</v>
      </c>
      <c r="E640" s="372" t="s">
        <v>56</v>
      </c>
      <c r="F640" s="422" t="s">
        <v>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985</v>
      </c>
      <c r="C641" s="380" t="s">
        <v>985</v>
      </c>
      <c r="D641" s="385" t="s">
        <v>441</v>
      </c>
      <c r="E641" s="385"/>
      <c r="F641" s="424" t="s">
        <v>1368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985</v>
      </c>
      <c r="C642" s="376" t="s">
        <v>985</v>
      </c>
      <c r="D642" s="372" t="s">
        <v>441</v>
      </c>
      <c r="E642" s="372" t="s">
        <v>437</v>
      </c>
      <c r="F642" s="422" t="s">
        <v>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985</v>
      </c>
      <c r="C643" s="376" t="s">
        <v>985</v>
      </c>
      <c r="D643" s="372" t="s">
        <v>441</v>
      </c>
      <c r="E643" s="372" t="s">
        <v>437</v>
      </c>
      <c r="F643" s="422" t="s">
        <v>208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985</v>
      </c>
      <c r="C644" s="380" t="s">
        <v>985</v>
      </c>
      <c r="D644" s="385" t="s">
        <v>860</v>
      </c>
      <c r="E644" s="385"/>
      <c r="F644" s="424" t="s">
        <v>1368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985</v>
      </c>
      <c r="C645" s="376" t="s">
        <v>985</v>
      </c>
      <c r="D645" s="372" t="s">
        <v>860</v>
      </c>
      <c r="E645" s="372" t="s">
        <v>437</v>
      </c>
      <c r="F645" s="422" t="s">
        <v>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985</v>
      </c>
      <c r="C646" s="376" t="s">
        <v>985</v>
      </c>
      <c r="D646" s="372" t="s">
        <v>860</v>
      </c>
      <c r="E646" s="372" t="s">
        <v>437</v>
      </c>
      <c r="F646" s="422" t="s">
        <v>208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497</v>
      </c>
      <c r="C647" s="633" t="s">
        <v>1371</v>
      </c>
      <c r="D647" s="633"/>
      <c r="E647" s="632"/>
      <c r="F647" s="634" t="s">
        <v>1656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497</v>
      </c>
      <c r="C648" s="385" t="s">
        <v>1371</v>
      </c>
      <c r="D648" s="385" t="s">
        <v>159</v>
      </c>
      <c r="E648" s="380"/>
      <c r="F648" s="424" t="s">
        <v>1656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497</v>
      </c>
      <c r="C649" s="372" t="s">
        <v>1371</v>
      </c>
      <c r="D649" s="372" t="s">
        <v>159</v>
      </c>
      <c r="E649" s="376" t="s">
        <v>664</v>
      </c>
      <c r="F649" s="422" t="s">
        <v>226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497</v>
      </c>
      <c r="C650" s="372" t="s">
        <v>1371</v>
      </c>
      <c r="D650" s="372" t="s">
        <v>159</v>
      </c>
      <c r="E650" s="376" t="s">
        <v>664</v>
      </c>
      <c r="F650" s="422" t="s">
        <v>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497</v>
      </c>
      <c r="C651" s="372" t="s">
        <v>1371</v>
      </c>
      <c r="D651" s="372" t="s">
        <v>159</v>
      </c>
      <c r="E651" s="376" t="s">
        <v>664</v>
      </c>
      <c r="F651" s="422" t="s">
        <v>208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497</v>
      </c>
      <c r="C652" s="385" t="s">
        <v>1371</v>
      </c>
      <c r="D652" s="385" t="s">
        <v>518</v>
      </c>
      <c r="E652" s="385"/>
      <c r="F652" s="424" t="s">
        <v>1656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497</v>
      </c>
      <c r="C653" s="372" t="s">
        <v>1371</v>
      </c>
      <c r="D653" s="372" t="s">
        <v>518</v>
      </c>
      <c r="E653" s="372" t="s">
        <v>56</v>
      </c>
      <c r="F653" s="422" t="s">
        <v>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497</v>
      </c>
      <c r="C654" s="385" t="s">
        <v>1371</v>
      </c>
      <c r="D654" s="385" t="s">
        <v>441</v>
      </c>
      <c r="E654" s="385"/>
      <c r="F654" s="424" t="s">
        <v>1656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497</v>
      </c>
      <c r="C655" s="372" t="s">
        <v>1371</v>
      </c>
      <c r="D655" s="372" t="s">
        <v>441</v>
      </c>
      <c r="E655" s="372" t="s">
        <v>437</v>
      </c>
      <c r="F655" s="422" t="s">
        <v>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497</v>
      </c>
      <c r="C656" s="372" t="s">
        <v>1371</v>
      </c>
      <c r="D656" s="372" t="s">
        <v>441</v>
      </c>
      <c r="E656" s="372" t="s">
        <v>437</v>
      </c>
      <c r="F656" s="422" t="s">
        <v>208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497</v>
      </c>
      <c r="C657" s="385" t="s">
        <v>1371</v>
      </c>
      <c r="D657" s="385" t="s">
        <v>860</v>
      </c>
      <c r="E657" s="385"/>
      <c r="F657" s="424" t="s">
        <v>1656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497</v>
      </c>
      <c r="C658" s="372" t="s">
        <v>1371</v>
      </c>
      <c r="D658" s="372" t="s">
        <v>860</v>
      </c>
      <c r="E658" s="372" t="s">
        <v>437</v>
      </c>
      <c r="F658" s="422" t="s">
        <v>208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988</v>
      </c>
      <c r="C659" s="650" t="s">
        <v>1384</v>
      </c>
      <c r="D659" s="651"/>
      <c r="E659" s="650"/>
      <c r="F659" s="652" t="s">
        <v>1904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1384</v>
      </c>
      <c r="C660" s="450" t="s">
        <v>1384</v>
      </c>
      <c r="D660" s="451" t="s">
        <v>159</v>
      </c>
      <c r="E660" s="450"/>
      <c r="F660" s="452" t="s">
        <v>1179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1384</v>
      </c>
      <c r="C661" s="456" t="s">
        <v>1384</v>
      </c>
      <c r="D661" s="457" t="s">
        <v>159</v>
      </c>
      <c r="E661" s="456" t="s">
        <v>1167</v>
      </c>
      <c r="F661" s="425" t="s">
        <v>226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1384</v>
      </c>
      <c r="C662" s="456" t="s">
        <v>1384</v>
      </c>
      <c r="D662" s="457" t="s">
        <v>159</v>
      </c>
      <c r="E662" s="456" t="s">
        <v>1167</v>
      </c>
      <c r="F662" s="425" t="s">
        <v>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1384</v>
      </c>
      <c r="C663" s="456" t="s">
        <v>1384</v>
      </c>
      <c r="D663" s="457" t="s">
        <v>159</v>
      </c>
      <c r="E663" s="456" t="s">
        <v>1167</v>
      </c>
      <c r="F663" s="425" t="s">
        <v>208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1384</v>
      </c>
      <c r="C664" s="450" t="s">
        <v>1384</v>
      </c>
      <c r="D664" s="451" t="s">
        <v>518</v>
      </c>
      <c r="E664" s="451"/>
      <c r="F664" s="452" t="s">
        <v>1179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1384</v>
      </c>
      <c r="C665" s="456" t="s">
        <v>1384</v>
      </c>
      <c r="D665" s="457" t="s">
        <v>518</v>
      </c>
      <c r="E665" s="457" t="s">
        <v>56</v>
      </c>
      <c r="F665" s="425" t="s">
        <v>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1384</v>
      </c>
      <c r="C666" s="450" t="s">
        <v>1384</v>
      </c>
      <c r="D666" s="451" t="s">
        <v>441</v>
      </c>
      <c r="E666" s="451"/>
      <c r="F666" s="452" t="s">
        <v>1179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1384</v>
      </c>
      <c r="C667" s="456" t="s">
        <v>1384</v>
      </c>
      <c r="D667" s="457" t="s">
        <v>441</v>
      </c>
      <c r="E667" s="457" t="s">
        <v>437</v>
      </c>
      <c r="F667" s="425" t="s">
        <v>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1384</v>
      </c>
      <c r="C668" s="456" t="s">
        <v>1384</v>
      </c>
      <c r="D668" s="457" t="s">
        <v>441</v>
      </c>
      <c r="E668" s="457" t="s">
        <v>437</v>
      </c>
      <c r="F668" s="425" t="s">
        <v>208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1384</v>
      </c>
      <c r="C669" s="450" t="s">
        <v>1384</v>
      </c>
      <c r="D669" s="451" t="s">
        <v>860</v>
      </c>
      <c r="E669" s="451"/>
      <c r="F669" s="452" t="s">
        <v>1179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1384</v>
      </c>
      <c r="C670" s="456" t="s">
        <v>1384</v>
      </c>
      <c r="D670" s="457" t="s">
        <v>860</v>
      </c>
      <c r="E670" s="457" t="s">
        <v>437</v>
      </c>
      <c r="F670" s="425" t="s">
        <v>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1384</v>
      </c>
      <c r="C671" s="456" t="s">
        <v>1384</v>
      </c>
      <c r="D671" s="457" t="s">
        <v>860</v>
      </c>
      <c r="E671" s="457" t="s">
        <v>437</v>
      </c>
      <c r="F671" s="425" t="s">
        <v>208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.45" outlineLevel="1" collapsed="1">
      <c r="A672" s="457"/>
      <c r="B672" s="650" t="s">
        <v>369</v>
      </c>
      <c r="C672" s="650" t="s">
        <v>843</v>
      </c>
      <c r="D672" s="650"/>
      <c r="E672" s="650"/>
      <c r="F672" s="652" t="s">
        <v>1905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369</v>
      </c>
      <c r="C673" s="380" t="s">
        <v>843</v>
      </c>
      <c r="D673" s="385" t="s">
        <v>159</v>
      </c>
      <c r="E673" s="380"/>
      <c r="F673" s="424" t="s">
        <v>1906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369</v>
      </c>
      <c r="C674" s="376" t="s">
        <v>843</v>
      </c>
      <c r="D674" s="372" t="s">
        <v>159</v>
      </c>
      <c r="E674" s="376" t="s">
        <v>664</v>
      </c>
      <c r="F674" s="422" t="s">
        <v>370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369</v>
      </c>
      <c r="C675" s="376" t="s">
        <v>843</v>
      </c>
      <c r="D675" s="372" t="s">
        <v>159</v>
      </c>
      <c r="E675" s="376" t="s">
        <v>664</v>
      </c>
      <c r="F675" s="422" t="s">
        <v>230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369</v>
      </c>
      <c r="C676" s="376" t="s">
        <v>843</v>
      </c>
      <c r="D676" s="372" t="s">
        <v>159</v>
      </c>
      <c r="E676" s="376" t="s">
        <v>664</v>
      </c>
      <c r="F676" s="422" t="s">
        <v>208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369</v>
      </c>
      <c r="C677" s="376" t="s">
        <v>843</v>
      </c>
      <c r="D677" s="372" t="s">
        <v>159</v>
      </c>
      <c r="E677" s="376" t="s">
        <v>1007</v>
      </c>
      <c r="F677" s="406" t="s">
        <v>38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369</v>
      </c>
      <c r="C678" s="376" t="s">
        <v>843</v>
      </c>
      <c r="D678" s="372" t="s">
        <v>159</v>
      </c>
      <c r="E678" s="376" t="s">
        <v>1007</v>
      </c>
      <c r="F678" s="406" t="s">
        <v>1341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369</v>
      </c>
      <c r="C679" s="380" t="s">
        <v>843</v>
      </c>
      <c r="D679" s="385" t="s">
        <v>518</v>
      </c>
      <c r="E679" s="385"/>
      <c r="F679" s="424" t="s">
        <v>1884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369</v>
      </c>
      <c r="C680" s="376" t="s">
        <v>843</v>
      </c>
      <c r="D680" s="372" t="s">
        <v>518</v>
      </c>
      <c r="E680" s="372" t="s">
        <v>56</v>
      </c>
      <c r="F680" s="422" t="s">
        <v>370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369</v>
      </c>
      <c r="C681" s="376" t="s">
        <v>843</v>
      </c>
      <c r="D681" s="372" t="s">
        <v>518</v>
      </c>
      <c r="E681" s="372" t="s">
        <v>56</v>
      </c>
      <c r="F681" s="422" t="s">
        <v>230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369</v>
      </c>
      <c r="C682" s="380" t="s">
        <v>843</v>
      </c>
      <c r="D682" s="385" t="s">
        <v>441</v>
      </c>
      <c r="E682" s="385"/>
      <c r="F682" s="424" t="s">
        <v>1907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369</v>
      </c>
      <c r="C683" s="376" t="s">
        <v>843</v>
      </c>
      <c r="D683" s="372" t="s">
        <v>441</v>
      </c>
      <c r="E683" s="372" t="s">
        <v>437</v>
      </c>
      <c r="F683" s="422" t="s">
        <v>206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369</v>
      </c>
      <c r="C684" s="376" t="s">
        <v>843</v>
      </c>
      <c r="D684" s="372" t="s">
        <v>441</v>
      </c>
      <c r="E684" s="372" t="s">
        <v>437</v>
      </c>
      <c r="F684" s="422" t="s">
        <v>208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369</v>
      </c>
      <c r="C685" s="376" t="s">
        <v>843</v>
      </c>
      <c r="D685" s="372" t="s">
        <v>441</v>
      </c>
      <c r="E685" s="372" t="s">
        <v>437</v>
      </c>
      <c r="F685" s="422" t="s">
        <v>230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369</v>
      </c>
      <c r="C686" s="380" t="s">
        <v>843</v>
      </c>
      <c r="D686" s="385" t="s">
        <v>860</v>
      </c>
      <c r="E686" s="385"/>
      <c r="F686" s="424" t="s">
        <v>1907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369</v>
      </c>
      <c r="C687" s="376" t="s">
        <v>843</v>
      </c>
      <c r="D687" s="372" t="s">
        <v>860</v>
      </c>
      <c r="E687" s="372" t="s">
        <v>437</v>
      </c>
      <c r="F687" s="422" t="s">
        <v>206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369</v>
      </c>
      <c r="C688" s="376" t="s">
        <v>843</v>
      </c>
      <c r="D688" s="372" t="s">
        <v>860</v>
      </c>
      <c r="E688" s="372" t="s">
        <v>437</v>
      </c>
      <c r="F688" s="422" t="s">
        <v>208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5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 outlineLevelCol="1"/>
  <cols>
    <col min="1" max="1" width="0.5703125" style="416" customWidth="1"/>
    <col min="2" max="2" width="31.570312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1908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93" t="s">
        <v>997</v>
      </c>
      <c r="W4" s="693" t="s">
        <v>998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">
      <c r="A6" s="376"/>
      <c r="B6" s="430" t="s">
        <v>935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891</v>
      </c>
      <c r="C8" s="665" t="s">
        <v>1238</v>
      </c>
      <c r="D8" s="665"/>
      <c r="E8" s="665"/>
      <c r="F8" s="681" t="s">
        <v>1004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891</v>
      </c>
      <c r="C9" s="684" t="s">
        <v>1238</v>
      </c>
      <c r="D9" s="684" t="s">
        <v>159</v>
      </c>
      <c r="E9" s="684"/>
      <c r="F9" s="685" t="s">
        <v>1239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.45" outlineLevel="3">
      <c r="A10" s="376"/>
      <c r="B10" s="376" t="s">
        <v>891</v>
      </c>
      <c r="C10" s="376" t="s">
        <v>1240</v>
      </c>
      <c r="D10" s="376" t="s">
        <v>159</v>
      </c>
      <c r="E10" s="376" t="s">
        <v>1169</v>
      </c>
      <c r="F10" s="608" t="s">
        <v>9</v>
      </c>
      <c r="G10" s="609">
        <v>0.27</v>
      </c>
      <c r="H10" s="700">
        <v>1</v>
      </c>
      <c r="I10" s="626"/>
      <c r="J10" s="751"/>
      <c r="L10" s="608" t="s">
        <v>1169</v>
      </c>
      <c r="M10" s="608" t="s">
        <v>1241</v>
      </c>
      <c r="N10" s="608" t="s">
        <v>1242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891</v>
      </c>
      <c r="C11" s="376" t="s">
        <v>1240</v>
      </c>
      <c r="D11" s="376" t="s">
        <v>159</v>
      </c>
      <c r="E11" s="376" t="s">
        <v>1169</v>
      </c>
      <c r="F11" s="608" t="s">
        <v>1243</v>
      </c>
      <c r="G11" s="695">
        <v>4.5377035860000005E-2</v>
      </c>
      <c r="H11" s="700">
        <v>1</v>
      </c>
      <c r="I11" s="626"/>
      <c r="J11" s="751"/>
      <c r="L11" s="608" t="s">
        <v>1169</v>
      </c>
      <c r="M11" s="608" t="s">
        <v>1244</v>
      </c>
      <c r="N11" s="608" t="s">
        <v>1245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891</v>
      </c>
      <c r="C12" s="376" t="s">
        <v>1195</v>
      </c>
      <c r="D12" s="376" t="s">
        <v>159</v>
      </c>
      <c r="E12" s="376" t="s">
        <v>1169</v>
      </c>
      <c r="F12" s="608" t="s">
        <v>1246</v>
      </c>
      <c r="G12" s="609">
        <v>4.2238262499999998E-2</v>
      </c>
      <c r="H12" s="692">
        <v>1</v>
      </c>
      <c r="I12" s="626"/>
      <c r="J12" s="751"/>
      <c r="L12" s="608" t="s">
        <v>1169</v>
      </c>
      <c r="M12" s="608" t="s">
        <v>1244</v>
      </c>
      <c r="N12" s="608" t="s">
        <v>1245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891</v>
      </c>
      <c r="C13" s="376" t="s">
        <v>1195</v>
      </c>
      <c r="D13" s="376" t="s">
        <v>159</v>
      </c>
      <c r="E13" s="376" t="s">
        <v>1169</v>
      </c>
      <c r="F13" s="608" t="s">
        <v>1503</v>
      </c>
      <c r="G13" s="695">
        <v>3.9416283817853004E-2</v>
      </c>
      <c r="H13" s="700">
        <v>1</v>
      </c>
      <c r="I13" s="626"/>
      <c r="J13" s="751"/>
      <c r="L13" s="608" t="s">
        <v>1169</v>
      </c>
      <c r="M13" s="608" t="s">
        <v>1241</v>
      </c>
      <c r="N13" s="608" t="s">
        <v>1242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891</v>
      </c>
      <c r="C14" s="684" t="s">
        <v>1238</v>
      </c>
      <c r="D14" s="684" t="s">
        <v>518</v>
      </c>
      <c r="E14" s="684"/>
      <c r="F14" s="685" t="s">
        <v>1239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5" outlineLevel="3">
      <c r="A15" s="376"/>
      <c r="B15" s="376" t="s">
        <v>891</v>
      </c>
      <c r="C15" s="376" t="s">
        <v>1240</v>
      </c>
      <c r="D15" s="376" t="s">
        <v>518</v>
      </c>
      <c r="E15" s="376" t="s">
        <v>56</v>
      </c>
      <c r="F15" s="608" t="s">
        <v>1243</v>
      </c>
      <c r="G15" s="609">
        <v>5.2867302539999998E-3</v>
      </c>
      <c r="H15" s="700">
        <v>1</v>
      </c>
      <c r="I15" s="626"/>
      <c r="J15" s="751"/>
      <c r="L15" s="608" t="s">
        <v>56</v>
      </c>
      <c r="M15" s="608" t="s">
        <v>1024</v>
      </c>
      <c r="N15" s="608" t="s">
        <v>1497</v>
      </c>
      <c r="O15" s="608" t="s">
        <v>1498</v>
      </c>
      <c r="P15" s="608" t="s">
        <v>1499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.45" outlineLevel="3">
      <c r="A16" s="376"/>
      <c r="B16" s="376" t="s">
        <v>891</v>
      </c>
      <c r="C16" s="376" t="s">
        <v>1195</v>
      </c>
      <c r="D16" s="376" t="s">
        <v>518</v>
      </c>
      <c r="E16" s="376" t="s">
        <v>56</v>
      </c>
      <c r="F16" s="608" t="s">
        <v>1246</v>
      </c>
      <c r="G16" s="609">
        <v>1.0861267500000001E-2</v>
      </c>
      <c r="H16" s="700">
        <v>1</v>
      </c>
      <c r="I16" s="626"/>
      <c r="J16" s="751"/>
      <c r="L16" s="608" t="s">
        <v>56</v>
      </c>
      <c r="M16" s="608" t="s">
        <v>1024</v>
      </c>
      <c r="N16" s="608" t="s">
        <v>1500</v>
      </c>
      <c r="O16" s="608" t="s">
        <v>1501</v>
      </c>
      <c r="P16" s="608" t="s">
        <v>1502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891</v>
      </c>
      <c r="C17" s="376" t="s">
        <v>1195</v>
      </c>
      <c r="D17" s="376" t="s">
        <v>518</v>
      </c>
      <c r="E17" s="376" t="s">
        <v>56</v>
      </c>
      <c r="F17" s="608" t="s">
        <v>1503</v>
      </c>
      <c r="G17" s="609">
        <v>5.2029494639565963E-3</v>
      </c>
      <c r="H17" s="700">
        <v>1</v>
      </c>
      <c r="I17" s="626"/>
      <c r="J17" s="751"/>
      <c r="L17" s="608" t="s">
        <v>56</v>
      </c>
      <c r="M17" s="608" t="s">
        <v>1024</v>
      </c>
      <c r="N17" s="608" t="s">
        <v>1497</v>
      </c>
      <c r="O17" s="608" t="s">
        <v>1498</v>
      </c>
      <c r="P17" s="608" t="s">
        <v>1502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891</v>
      </c>
      <c r="C18" s="684" t="s">
        <v>1238</v>
      </c>
      <c r="D18" s="684" t="s">
        <v>441</v>
      </c>
      <c r="E18" s="684"/>
      <c r="F18" s="685" t="s">
        <v>1239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2.9" outlineLevel="3">
      <c r="A19" s="376"/>
      <c r="B19" s="376" t="s">
        <v>891</v>
      </c>
      <c r="C19" s="376" t="s">
        <v>1195</v>
      </c>
      <c r="D19" s="376" t="s">
        <v>441</v>
      </c>
      <c r="E19" s="376" t="s">
        <v>437</v>
      </c>
      <c r="F19" s="376" t="s">
        <v>1246</v>
      </c>
      <c r="G19" s="609">
        <v>1.4336873100000001E-2</v>
      </c>
      <c r="H19" s="700">
        <v>1</v>
      </c>
      <c r="I19" s="626"/>
      <c r="J19" s="751"/>
      <c r="L19" s="608" t="s">
        <v>437</v>
      </c>
      <c r="M19" s="608" t="s">
        <v>1046</v>
      </c>
      <c r="N19" s="608" t="s">
        <v>1388</v>
      </c>
      <c r="O19" s="608" t="s">
        <v>1389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891</v>
      </c>
      <c r="C20" s="665" t="s">
        <v>1247</v>
      </c>
      <c r="D20" s="665"/>
      <c r="E20" s="665"/>
      <c r="F20" s="681" t="s">
        <v>1004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891</v>
      </c>
      <c r="C21" s="684" t="s">
        <v>1247</v>
      </c>
      <c r="D21" s="684" t="s">
        <v>159</v>
      </c>
      <c r="E21" s="684"/>
      <c r="F21" s="685" t="s">
        <v>1909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891</v>
      </c>
      <c r="C22" s="376" t="s">
        <v>1247</v>
      </c>
      <c r="D22" s="376" t="s">
        <v>159</v>
      </c>
      <c r="E22" s="387" t="s">
        <v>1169</v>
      </c>
      <c r="F22" s="608" t="s">
        <v>1224</v>
      </c>
      <c r="G22" s="609">
        <v>0.27398366869616486</v>
      </c>
      <c r="H22" s="692">
        <v>1</v>
      </c>
      <c r="I22" s="626"/>
      <c r="J22" s="751"/>
      <c r="K22" s="416"/>
      <c r="L22" s="705" t="s">
        <v>1169</v>
      </c>
      <c r="M22" s="705" t="s">
        <v>1241</v>
      </c>
      <c r="N22" s="705" t="s">
        <v>1249</v>
      </c>
      <c r="O22" s="705" t="s">
        <v>1245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891</v>
      </c>
      <c r="C23" s="376" t="s">
        <v>1247</v>
      </c>
      <c r="D23" s="376" t="s">
        <v>159</v>
      </c>
      <c r="E23" s="387" t="s">
        <v>1169</v>
      </c>
      <c r="F23" s="608" t="s">
        <v>1250</v>
      </c>
      <c r="G23" s="609">
        <v>0.36</v>
      </c>
      <c r="H23" s="692">
        <v>1</v>
      </c>
      <c r="I23" s="626"/>
      <c r="J23" s="751"/>
      <c r="K23" s="416"/>
      <c r="L23" s="705" t="s">
        <v>1169</v>
      </c>
      <c r="M23" s="705" t="s">
        <v>1241</v>
      </c>
      <c r="N23" s="705" t="s">
        <v>1249</v>
      </c>
      <c r="O23" s="705" t="s">
        <v>1251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6.45" outlineLevel="3">
      <c r="A24" s="376"/>
      <c r="B24" s="376" t="s">
        <v>891</v>
      </c>
      <c r="C24" s="376" t="s">
        <v>1247</v>
      </c>
      <c r="D24" s="376" t="s">
        <v>159</v>
      </c>
      <c r="E24" s="387" t="s">
        <v>1169</v>
      </c>
      <c r="F24" s="608" t="s">
        <v>1253</v>
      </c>
      <c r="G24" s="609">
        <v>4.3982695586700871E-2</v>
      </c>
      <c r="H24" s="692">
        <v>1</v>
      </c>
      <c r="I24" s="626"/>
      <c r="J24" s="751"/>
      <c r="K24" s="416"/>
      <c r="L24" s="705" t="s">
        <v>1169</v>
      </c>
      <c r="M24" s="705" t="s">
        <v>1241</v>
      </c>
      <c r="N24" s="705" t="s">
        <v>1245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6.45" outlineLevel="3">
      <c r="A25" s="376"/>
      <c r="B25" s="376" t="s">
        <v>891</v>
      </c>
      <c r="C25" s="376" t="s">
        <v>1247</v>
      </c>
      <c r="D25" s="376" t="s">
        <v>159</v>
      </c>
      <c r="E25" s="387" t="s">
        <v>1169</v>
      </c>
      <c r="F25" s="608" t="s">
        <v>1254</v>
      </c>
      <c r="G25" s="609">
        <v>4.3982695586700871E-2</v>
      </c>
      <c r="H25" s="692">
        <v>1</v>
      </c>
      <c r="I25" s="626"/>
      <c r="J25" s="751"/>
      <c r="K25" s="416"/>
      <c r="L25" s="705" t="s">
        <v>1169</v>
      </c>
      <c r="M25" s="705" t="s">
        <v>1241</v>
      </c>
      <c r="N25" s="705" t="s">
        <v>1242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6.45" outlineLevel="3">
      <c r="A26" s="376"/>
      <c r="B26" s="376" t="s">
        <v>891</v>
      </c>
      <c r="C26" s="376" t="s">
        <v>1247</v>
      </c>
      <c r="D26" s="376" t="s">
        <v>159</v>
      </c>
      <c r="E26" s="387" t="s">
        <v>1169</v>
      </c>
      <c r="F26" s="608" t="s">
        <v>1255</v>
      </c>
      <c r="G26" s="609">
        <v>6.5974043380051306E-2</v>
      </c>
      <c r="H26" s="692">
        <v>1</v>
      </c>
      <c r="I26" s="626"/>
      <c r="J26" s="751"/>
      <c r="K26" s="416"/>
      <c r="L26" s="705" t="s">
        <v>1169</v>
      </c>
      <c r="M26" s="705" t="s">
        <v>1241</v>
      </c>
      <c r="N26" s="705" t="s">
        <v>1249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6.45" outlineLevel="3">
      <c r="A27" s="376"/>
      <c r="B27" s="376" t="s">
        <v>891</v>
      </c>
      <c r="C27" s="376" t="s">
        <v>1247</v>
      </c>
      <c r="D27" s="376" t="s">
        <v>159</v>
      </c>
      <c r="E27" s="387" t="s">
        <v>1169</v>
      </c>
      <c r="F27" s="608" t="s">
        <v>1256</v>
      </c>
      <c r="G27" s="609">
        <v>6.5974043380051306E-2</v>
      </c>
      <c r="H27" s="692">
        <v>1</v>
      </c>
      <c r="I27" s="626"/>
      <c r="J27" s="751"/>
      <c r="K27" s="416"/>
      <c r="L27" s="705" t="s">
        <v>1169</v>
      </c>
      <c r="M27" s="705" t="s">
        <v>1241</v>
      </c>
      <c r="N27" s="705" t="s">
        <v>1249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6.45" outlineLevel="3">
      <c r="A28" s="376"/>
      <c r="B28" s="376" t="s">
        <v>891</v>
      </c>
      <c r="C28" s="376" t="s">
        <v>1247</v>
      </c>
      <c r="D28" s="376" t="s">
        <v>159</v>
      </c>
      <c r="E28" s="387" t="s">
        <v>1169</v>
      </c>
      <c r="F28" s="608" t="s">
        <v>1257</v>
      </c>
      <c r="G28" s="609">
        <v>6.5974043380051306E-2</v>
      </c>
      <c r="H28" s="692">
        <v>1</v>
      </c>
      <c r="I28" s="626"/>
      <c r="J28" s="751"/>
      <c r="K28" s="416"/>
      <c r="L28" s="705" t="s">
        <v>1169</v>
      </c>
      <c r="M28" s="705" t="s">
        <v>1241</v>
      </c>
      <c r="N28" s="705" t="s">
        <v>1249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6.45" outlineLevel="3">
      <c r="A29" s="376"/>
      <c r="B29" s="376" t="s">
        <v>891</v>
      </c>
      <c r="C29" s="376" t="s">
        <v>1247</v>
      </c>
      <c r="D29" s="376" t="s">
        <v>159</v>
      </c>
      <c r="E29" s="387" t="s">
        <v>1169</v>
      </c>
      <c r="F29" s="608" t="s">
        <v>1258</v>
      </c>
      <c r="G29" s="609">
        <v>6.5974043380051306E-2</v>
      </c>
      <c r="H29" s="692">
        <v>1</v>
      </c>
      <c r="I29" s="626"/>
      <c r="J29" s="751"/>
      <c r="K29" s="416"/>
      <c r="L29" s="705" t="s">
        <v>1169</v>
      </c>
      <c r="M29" s="705" t="s">
        <v>1241</v>
      </c>
      <c r="N29" s="705" t="s">
        <v>1249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6.45" outlineLevel="3">
      <c r="A30" s="376"/>
      <c r="B30" s="376" t="s">
        <v>891</v>
      </c>
      <c r="C30" s="376" t="s">
        <v>1247</v>
      </c>
      <c r="D30" s="376" t="s">
        <v>159</v>
      </c>
      <c r="E30" s="387" t="s">
        <v>1169</v>
      </c>
      <c r="F30" s="608" t="s">
        <v>1259</v>
      </c>
      <c r="G30" s="609">
        <v>1.466089852890029E-2</v>
      </c>
      <c r="H30" s="692">
        <v>1</v>
      </c>
      <c r="I30" s="626"/>
      <c r="J30" s="751"/>
      <c r="K30" s="416"/>
      <c r="L30" s="705" t="s">
        <v>1169</v>
      </c>
      <c r="M30" s="705" t="s">
        <v>1241</v>
      </c>
      <c r="N30" s="705" t="s">
        <v>1249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6.45" outlineLevel="3">
      <c r="A31" s="376"/>
      <c r="B31" s="376" t="s">
        <v>891</v>
      </c>
      <c r="C31" s="376" t="s">
        <v>1247</v>
      </c>
      <c r="D31" s="376" t="s">
        <v>159</v>
      </c>
      <c r="E31" s="387" t="s">
        <v>1169</v>
      </c>
      <c r="F31" s="608" t="s">
        <v>1260</v>
      </c>
      <c r="G31" s="609">
        <v>2.932179705780058E-2</v>
      </c>
      <c r="H31" s="692">
        <v>1</v>
      </c>
      <c r="I31" s="626"/>
      <c r="J31" s="751"/>
      <c r="K31" s="416"/>
      <c r="L31" s="705" t="s">
        <v>1169</v>
      </c>
      <c r="M31" s="705" t="s">
        <v>1241</v>
      </c>
      <c r="N31" s="705" t="s">
        <v>1242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6.45" outlineLevel="3">
      <c r="A32" s="376"/>
      <c r="B32" s="376" t="s">
        <v>891</v>
      </c>
      <c r="C32" s="376" t="s">
        <v>1247</v>
      </c>
      <c r="D32" s="376" t="s">
        <v>159</v>
      </c>
      <c r="E32" s="387" t="s">
        <v>1169</v>
      </c>
      <c r="F32" s="608" t="s">
        <v>1262</v>
      </c>
      <c r="G32" s="609">
        <v>4.3982695586700871E-2</v>
      </c>
      <c r="H32" s="692">
        <v>1</v>
      </c>
      <c r="I32" s="626"/>
      <c r="J32" s="751"/>
      <c r="K32" s="416"/>
      <c r="L32" s="705" t="s">
        <v>1169</v>
      </c>
      <c r="M32" s="705" t="s">
        <v>1241</v>
      </c>
      <c r="N32" s="705" t="s">
        <v>1242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891</v>
      </c>
      <c r="C33" s="387" t="s">
        <v>1247</v>
      </c>
      <c r="D33" s="387" t="s">
        <v>159</v>
      </c>
      <c r="E33" s="387" t="s">
        <v>1169</v>
      </c>
      <c r="F33" s="705" t="s">
        <v>1263</v>
      </c>
      <c r="G33" s="706">
        <v>0.05</v>
      </c>
      <c r="H33" s="707">
        <v>1</v>
      </c>
      <c r="I33" s="626"/>
      <c r="J33" s="751"/>
      <c r="K33" s="416"/>
      <c r="L33" s="705" t="s">
        <v>1169</v>
      </c>
      <c r="M33" s="705" t="s">
        <v>1244</v>
      </c>
      <c r="N33" s="705" t="s">
        <v>1245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891</v>
      </c>
      <c r="C34" s="387" t="s">
        <v>1247</v>
      </c>
      <c r="D34" s="387" t="s">
        <v>159</v>
      </c>
      <c r="E34" s="387" t="s">
        <v>1169</v>
      </c>
      <c r="F34" s="705" t="s">
        <v>1264</v>
      </c>
      <c r="G34" s="706">
        <v>0.05</v>
      </c>
      <c r="H34" s="707">
        <v>1</v>
      </c>
      <c r="I34" s="626"/>
      <c r="J34" s="751"/>
      <c r="K34" s="416"/>
      <c r="L34" s="705" t="s">
        <v>1169</v>
      </c>
      <c r="M34" s="705" t="s">
        <v>1244</v>
      </c>
      <c r="N34" s="705" t="s">
        <v>1245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891</v>
      </c>
      <c r="C35" s="684" t="s">
        <v>1247</v>
      </c>
      <c r="D35" s="684" t="s">
        <v>518</v>
      </c>
      <c r="E35" s="684"/>
      <c r="F35" s="685" t="s">
        <v>1909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891</v>
      </c>
      <c r="C36" s="376" t="s">
        <v>1247</v>
      </c>
      <c r="D36" s="376" t="s">
        <v>518</v>
      </c>
      <c r="E36" s="376" t="s">
        <v>56</v>
      </c>
      <c r="F36" s="608" t="s">
        <v>1391</v>
      </c>
      <c r="G36" s="609">
        <v>9.3421603890201377E-2</v>
      </c>
      <c r="H36" s="700">
        <v>1</v>
      </c>
      <c r="I36" s="626"/>
      <c r="J36" s="751"/>
      <c r="L36" s="608" t="s">
        <v>56</v>
      </c>
      <c r="M36" s="608" t="s">
        <v>1024</v>
      </c>
      <c r="N36" s="608" t="s">
        <v>1504</v>
      </c>
      <c r="O36" s="608"/>
      <c r="P36" s="608" t="s">
        <v>1502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6.45" outlineLevel="3">
      <c r="A37" s="376"/>
      <c r="B37" s="376" t="s">
        <v>891</v>
      </c>
      <c r="C37" s="376" t="s">
        <v>1247</v>
      </c>
      <c r="D37" s="376" t="s">
        <v>518</v>
      </c>
      <c r="E37" s="376" t="s">
        <v>56</v>
      </c>
      <c r="F37" s="608" t="s">
        <v>1505</v>
      </c>
      <c r="G37" s="609">
        <v>2.1106865436972901E-2</v>
      </c>
      <c r="H37" s="700">
        <v>1</v>
      </c>
      <c r="I37" s="626"/>
      <c r="J37" s="751"/>
      <c r="L37" s="608" t="s">
        <v>56</v>
      </c>
      <c r="M37" s="608" t="s">
        <v>1024</v>
      </c>
      <c r="N37" s="608" t="s">
        <v>1504</v>
      </c>
      <c r="O37" s="608"/>
      <c r="P37" s="608" t="s">
        <v>1502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891</v>
      </c>
      <c r="C38" s="376" t="s">
        <v>1247</v>
      </c>
      <c r="D38" s="376" t="s">
        <v>518</v>
      </c>
      <c r="E38" s="376" t="s">
        <v>56</v>
      </c>
      <c r="F38" s="608" t="s">
        <v>1506</v>
      </c>
      <c r="G38" s="609">
        <v>3.166029815545935E-2</v>
      </c>
      <c r="H38" s="700">
        <v>1</v>
      </c>
      <c r="I38" s="626"/>
      <c r="J38" s="751"/>
      <c r="L38" s="608" t="s">
        <v>56</v>
      </c>
      <c r="M38" s="608" t="s">
        <v>1024</v>
      </c>
      <c r="N38" s="608" t="s">
        <v>1504</v>
      </c>
      <c r="O38" s="608"/>
      <c r="P38" s="608" t="s">
        <v>1502</v>
      </c>
      <c r="Q38" s="608"/>
      <c r="R38" s="608"/>
      <c r="T38" s="751"/>
      <c r="V38" s="609">
        <f t="shared" si="3"/>
        <v>0</v>
      </c>
      <c r="W38" s="700"/>
    </row>
    <row r="39" spans="1:23" ht="26.45" outlineLevel="3">
      <c r="A39" s="376"/>
      <c r="B39" s="376" t="s">
        <v>891</v>
      </c>
      <c r="C39" s="376" t="s">
        <v>1247</v>
      </c>
      <c r="D39" s="376" t="s">
        <v>518</v>
      </c>
      <c r="E39" s="376" t="s">
        <v>56</v>
      </c>
      <c r="F39" s="608" t="s">
        <v>1256</v>
      </c>
      <c r="G39" s="609">
        <v>5.2767163592432253E-3</v>
      </c>
      <c r="H39" s="700">
        <v>1</v>
      </c>
      <c r="I39" s="626"/>
      <c r="J39" s="751"/>
      <c r="L39" s="608" t="s">
        <v>56</v>
      </c>
      <c r="M39" s="608" t="s">
        <v>1024</v>
      </c>
      <c r="N39" s="608" t="s">
        <v>1504</v>
      </c>
      <c r="O39" s="608"/>
      <c r="P39" s="608" t="s">
        <v>1502</v>
      </c>
      <c r="Q39" s="608"/>
      <c r="R39" s="608"/>
      <c r="T39" s="751"/>
      <c r="V39" s="609">
        <f t="shared" si="3"/>
        <v>0</v>
      </c>
      <c r="W39" s="700"/>
    </row>
    <row r="40" spans="1:23" ht="26.45" outlineLevel="3">
      <c r="A40" s="376"/>
      <c r="B40" s="376" t="s">
        <v>891</v>
      </c>
      <c r="C40" s="376" t="s">
        <v>1247</v>
      </c>
      <c r="D40" s="376" t="s">
        <v>518</v>
      </c>
      <c r="E40" s="376" t="s">
        <v>56</v>
      </c>
      <c r="F40" s="608" t="s">
        <v>1507</v>
      </c>
      <c r="G40" s="609">
        <v>2.1106865436972901E-2</v>
      </c>
      <c r="H40" s="700">
        <v>1</v>
      </c>
      <c r="I40" s="626"/>
      <c r="J40" s="751"/>
      <c r="L40" s="608" t="s">
        <v>56</v>
      </c>
      <c r="M40" s="608" t="s">
        <v>1024</v>
      </c>
      <c r="N40" s="608" t="s">
        <v>1504</v>
      </c>
      <c r="O40" s="608"/>
      <c r="P40" s="608" t="s">
        <v>1502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891</v>
      </c>
      <c r="C41" s="376" t="s">
        <v>1247</v>
      </c>
      <c r="D41" s="376" t="s">
        <v>518</v>
      </c>
      <c r="E41" s="376" t="s">
        <v>56</v>
      </c>
      <c r="F41" s="608" t="s">
        <v>1508</v>
      </c>
      <c r="G41" s="609">
        <v>3.166029815545935E-2</v>
      </c>
      <c r="H41" s="700">
        <v>1</v>
      </c>
      <c r="I41" s="626"/>
      <c r="J41" s="751"/>
      <c r="L41" s="608" t="s">
        <v>56</v>
      </c>
      <c r="M41" s="608" t="s">
        <v>1024</v>
      </c>
      <c r="N41" s="608" t="s">
        <v>1504</v>
      </c>
      <c r="O41" s="608"/>
      <c r="P41" s="608" t="s">
        <v>1502</v>
      </c>
      <c r="Q41" s="608"/>
      <c r="R41" s="608"/>
      <c r="T41" s="751"/>
      <c r="V41" s="609">
        <f t="shared" si="3"/>
        <v>0</v>
      </c>
      <c r="W41" s="700"/>
    </row>
    <row r="42" spans="1:23" ht="26.45" outlineLevel="3">
      <c r="A42" s="376"/>
      <c r="B42" s="376" t="s">
        <v>891</v>
      </c>
      <c r="C42" s="376" t="s">
        <v>1247</v>
      </c>
      <c r="D42" s="376" t="s">
        <v>518</v>
      </c>
      <c r="E42" s="376" t="s">
        <v>56</v>
      </c>
      <c r="F42" s="608" t="s">
        <v>1258</v>
      </c>
      <c r="G42" s="609">
        <v>5.2767163592432253E-3</v>
      </c>
      <c r="H42" s="700">
        <v>1</v>
      </c>
      <c r="I42" s="626"/>
      <c r="J42" s="751"/>
      <c r="L42" s="608" t="s">
        <v>56</v>
      </c>
      <c r="M42" s="608" t="s">
        <v>1024</v>
      </c>
      <c r="N42" s="608" t="s">
        <v>1504</v>
      </c>
      <c r="O42" s="608"/>
      <c r="P42" s="608" t="s">
        <v>1502</v>
      </c>
      <c r="Q42" s="608"/>
      <c r="R42" s="608"/>
      <c r="T42" s="751"/>
      <c r="V42" s="609">
        <f t="shared" si="3"/>
        <v>0</v>
      </c>
      <c r="W42" s="700"/>
    </row>
    <row r="43" spans="1:23" ht="26.45" outlineLevel="3">
      <c r="A43" s="376"/>
      <c r="B43" s="376" t="s">
        <v>891</v>
      </c>
      <c r="C43" s="376" t="s">
        <v>1247</v>
      </c>
      <c r="D43" s="376" t="s">
        <v>518</v>
      </c>
      <c r="E43" s="376" t="s">
        <v>56</v>
      </c>
      <c r="F43" s="608" t="s">
        <v>1259</v>
      </c>
      <c r="G43" s="609">
        <v>1E-3</v>
      </c>
      <c r="H43" s="700">
        <v>1</v>
      </c>
      <c r="I43" s="626"/>
      <c r="J43" s="751"/>
      <c r="L43" s="608" t="s">
        <v>56</v>
      </c>
      <c r="M43" s="608" t="s">
        <v>1024</v>
      </c>
      <c r="N43" s="608" t="s">
        <v>1504</v>
      </c>
      <c r="O43" s="608"/>
      <c r="P43" s="608" t="s">
        <v>1502</v>
      </c>
      <c r="Q43" s="608"/>
      <c r="R43" s="608"/>
      <c r="T43" s="751"/>
      <c r="V43" s="609">
        <f t="shared" si="3"/>
        <v>0</v>
      </c>
      <c r="W43" s="700"/>
    </row>
    <row r="44" spans="1:23" ht="26.45" outlineLevel="3">
      <c r="A44" s="376"/>
      <c r="B44" s="376" t="s">
        <v>891</v>
      </c>
      <c r="C44" s="376" t="s">
        <v>1247</v>
      </c>
      <c r="D44" s="376" t="s">
        <v>518</v>
      </c>
      <c r="E44" s="376" t="s">
        <v>56</v>
      </c>
      <c r="F44" s="608" t="s">
        <v>1260</v>
      </c>
      <c r="G44" s="609">
        <v>2.3452072707747665E-3</v>
      </c>
      <c r="H44" s="700">
        <v>1</v>
      </c>
      <c r="I44" s="626"/>
      <c r="J44" s="751"/>
      <c r="L44" s="608" t="s">
        <v>56</v>
      </c>
      <c r="M44" s="608" t="s">
        <v>1024</v>
      </c>
      <c r="N44" s="608" t="s">
        <v>1504</v>
      </c>
      <c r="O44" s="608"/>
      <c r="P44" s="608" t="s">
        <v>1502</v>
      </c>
      <c r="Q44" s="608"/>
      <c r="R44" s="608"/>
      <c r="T44" s="751"/>
      <c r="V44" s="609">
        <f t="shared" si="3"/>
        <v>0</v>
      </c>
      <c r="W44" s="700"/>
    </row>
    <row r="45" spans="1:23" s="704" customFormat="1" ht="26.45" outlineLevel="3">
      <c r="A45" s="376"/>
      <c r="B45" s="376" t="s">
        <v>891</v>
      </c>
      <c r="C45" s="376" t="s">
        <v>1247</v>
      </c>
      <c r="D45" s="376" t="s">
        <v>518</v>
      </c>
      <c r="E45" s="376" t="s">
        <v>56</v>
      </c>
      <c r="F45" s="608" t="s">
        <v>1511</v>
      </c>
      <c r="G45" s="609">
        <v>1.4071243624648597E-2</v>
      </c>
      <c r="H45" s="692">
        <v>1</v>
      </c>
      <c r="I45" s="626"/>
      <c r="J45" s="751"/>
      <c r="K45" s="416"/>
      <c r="L45" s="608" t="s">
        <v>56</v>
      </c>
      <c r="M45" s="608" t="s">
        <v>1024</v>
      </c>
      <c r="N45" s="608" t="s">
        <v>1504</v>
      </c>
      <c r="O45" s="608"/>
      <c r="P45" s="608" t="s">
        <v>1502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891</v>
      </c>
      <c r="C46" s="376" t="s">
        <v>1247</v>
      </c>
      <c r="D46" s="376" t="s">
        <v>518</v>
      </c>
      <c r="E46" s="376" t="s">
        <v>56</v>
      </c>
      <c r="F46" s="608" t="s">
        <v>1512</v>
      </c>
      <c r="G46" s="609">
        <v>2.1106865436972894E-2</v>
      </c>
      <c r="H46" s="700">
        <v>1</v>
      </c>
      <c r="I46" s="626"/>
      <c r="J46" s="751"/>
      <c r="L46" s="608" t="s">
        <v>56</v>
      </c>
      <c r="M46" s="608" t="s">
        <v>1024</v>
      </c>
      <c r="N46" s="608" t="s">
        <v>1504</v>
      </c>
      <c r="O46" s="608"/>
      <c r="P46" s="608" t="s">
        <v>1502</v>
      </c>
      <c r="Q46" s="608"/>
      <c r="R46" s="608"/>
      <c r="T46" s="751"/>
      <c r="V46" s="609">
        <f t="shared" si="3"/>
        <v>0</v>
      </c>
      <c r="W46" s="700"/>
    </row>
    <row r="47" spans="1:23" ht="26.45" outlineLevel="3">
      <c r="A47" s="376"/>
      <c r="B47" s="376" t="s">
        <v>891</v>
      </c>
      <c r="C47" s="376" t="s">
        <v>1247</v>
      </c>
      <c r="D47" s="376" t="s">
        <v>518</v>
      </c>
      <c r="E47" s="376" t="s">
        <v>56</v>
      </c>
      <c r="F47" s="608" t="s">
        <v>1262</v>
      </c>
      <c r="G47" s="609">
        <v>3.5178109061621493E-3</v>
      </c>
      <c r="H47" s="700">
        <v>1</v>
      </c>
      <c r="I47" s="626"/>
      <c r="J47" s="751"/>
      <c r="L47" s="608" t="s">
        <v>56</v>
      </c>
      <c r="M47" s="608" t="s">
        <v>1024</v>
      </c>
      <c r="N47" s="608" t="s">
        <v>1504</v>
      </c>
      <c r="O47" s="608"/>
      <c r="P47" s="608" t="s">
        <v>1502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891</v>
      </c>
      <c r="C48" s="376" t="s">
        <v>1247</v>
      </c>
      <c r="D48" s="376" t="s">
        <v>518</v>
      </c>
      <c r="E48" s="376" t="s">
        <v>56</v>
      </c>
      <c r="F48" s="608" t="s">
        <v>1264</v>
      </c>
      <c r="G48" s="609">
        <v>0.04</v>
      </c>
      <c r="H48" s="700">
        <v>1</v>
      </c>
      <c r="I48" s="626"/>
      <c r="J48" s="751"/>
      <c r="L48" s="608" t="s">
        <v>56</v>
      </c>
      <c r="M48" s="608" t="s">
        <v>1024</v>
      </c>
      <c r="N48" s="608" t="s">
        <v>1504</v>
      </c>
      <c r="O48" s="608"/>
      <c r="P48" s="608" t="s">
        <v>1502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891</v>
      </c>
      <c r="C49" s="684" t="s">
        <v>1247</v>
      </c>
      <c r="D49" s="684" t="s">
        <v>441</v>
      </c>
      <c r="E49" s="684"/>
      <c r="F49" s="685" t="s">
        <v>1909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891</v>
      </c>
      <c r="C50" s="376" t="s">
        <v>1247</v>
      </c>
      <c r="D50" s="376" t="s">
        <v>441</v>
      </c>
      <c r="E50" s="376" t="s">
        <v>437</v>
      </c>
      <c r="F50" s="608" t="s">
        <v>1391</v>
      </c>
      <c r="G50" s="609">
        <v>2.1499694035440806E-2</v>
      </c>
      <c r="H50" s="700">
        <v>1</v>
      </c>
      <c r="I50" s="626"/>
      <c r="J50" s="751"/>
      <c r="L50" s="608" t="s">
        <v>437</v>
      </c>
      <c r="M50" s="608" t="s">
        <v>1046</v>
      </c>
      <c r="N50" s="608" t="s">
        <v>1388</v>
      </c>
      <c r="O50" s="608" t="s">
        <v>1392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9.6" outlineLevel="3">
      <c r="A51" s="376"/>
      <c r="B51" s="376" t="s">
        <v>891</v>
      </c>
      <c r="C51" s="376" t="s">
        <v>1247</v>
      </c>
      <c r="D51" s="376" t="s">
        <v>441</v>
      </c>
      <c r="E51" s="376" t="s">
        <v>437</v>
      </c>
      <c r="F51" s="608" t="s">
        <v>1254</v>
      </c>
      <c r="G51" s="609">
        <v>2.8273590763100436E-3</v>
      </c>
      <c r="H51" s="700">
        <v>1</v>
      </c>
      <c r="I51" s="626"/>
      <c r="J51" s="751"/>
      <c r="L51" s="608" t="s">
        <v>437</v>
      </c>
      <c r="M51" s="608" t="s">
        <v>1046</v>
      </c>
      <c r="N51" s="608" t="s">
        <v>1388</v>
      </c>
      <c r="O51" s="608" t="s">
        <v>1392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9.6" outlineLevel="3">
      <c r="A52" s="376"/>
      <c r="B52" s="376" t="s">
        <v>891</v>
      </c>
      <c r="C52" s="376" t="s">
        <v>1247</v>
      </c>
      <c r="D52" s="376" t="s">
        <v>441</v>
      </c>
      <c r="E52" s="376" t="s">
        <v>437</v>
      </c>
      <c r="F52" s="608" t="s">
        <v>1250</v>
      </c>
      <c r="G52" s="609">
        <v>0.10494596538461541</v>
      </c>
      <c r="H52" s="700">
        <v>1</v>
      </c>
      <c r="I52" s="626"/>
      <c r="J52" s="751"/>
      <c r="L52" s="608" t="s">
        <v>437</v>
      </c>
      <c r="M52" s="608" t="s">
        <v>1046</v>
      </c>
      <c r="N52" s="608" t="s">
        <v>1388</v>
      </c>
      <c r="O52" s="608" t="s">
        <v>1392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9.6" outlineLevel="3">
      <c r="A53" s="376"/>
      <c r="B53" s="376" t="s">
        <v>891</v>
      </c>
      <c r="C53" s="376" t="s">
        <v>1247</v>
      </c>
      <c r="D53" s="376" t="s">
        <v>441</v>
      </c>
      <c r="E53" s="376" t="s">
        <v>437</v>
      </c>
      <c r="F53" s="608" t="s">
        <v>1263</v>
      </c>
      <c r="G53" s="609">
        <v>0.04</v>
      </c>
      <c r="H53" s="700">
        <v>1</v>
      </c>
      <c r="I53" s="626"/>
      <c r="J53" s="751"/>
      <c r="L53" s="608" t="s">
        <v>437</v>
      </c>
      <c r="M53" s="608" t="s">
        <v>1046</v>
      </c>
      <c r="N53" s="608" t="s">
        <v>1388</v>
      </c>
      <c r="O53" s="608" t="s">
        <v>1392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891</v>
      </c>
      <c r="C54" s="684" t="s">
        <v>1247</v>
      </c>
      <c r="D54" s="684" t="s">
        <v>860</v>
      </c>
      <c r="E54" s="684"/>
      <c r="F54" s="685" t="s">
        <v>1909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6.45" outlineLevel="3">
      <c r="A55" s="376"/>
      <c r="B55" s="376" t="s">
        <v>891</v>
      </c>
      <c r="C55" s="376" t="s">
        <v>1247</v>
      </c>
      <c r="D55" s="376" t="s">
        <v>860</v>
      </c>
      <c r="E55" s="376" t="s">
        <v>437</v>
      </c>
      <c r="F55" s="608" t="s">
        <v>1391</v>
      </c>
      <c r="G55" s="609">
        <v>4.7863519954722676E-2</v>
      </c>
      <c r="H55" s="700">
        <v>1</v>
      </c>
      <c r="I55" s="626"/>
      <c r="J55" s="751"/>
      <c r="L55" s="608" t="s">
        <v>437</v>
      </c>
      <c r="M55" s="608" t="s">
        <v>1393</v>
      </c>
      <c r="N55" s="608" t="s">
        <v>1394</v>
      </c>
      <c r="O55" s="608" t="s">
        <v>1395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6.45" outlineLevel="3">
      <c r="A56" s="376"/>
      <c r="B56" s="376" t="s">
        <v>891</v>
      </c>
      <c r="C56" s="376" t="s">
        <v>1247</v>
      </c>
      <c r="D56" s="376" t="s">
        <v>860</v>
      </c>
      <c r="E56" s="376" t="s">
        <v>437</v>
      </c>
      <c r="F56" s="759" t="s">
        <v>1396</v>
      </c>
      <c r="G56" s="609"/>
      <c r="H56" s="700"/>
      <c r="I56" s="626"/>
      <c r="J56" s="751"/>
      <c r="L56" s="608" t="s">
        <v>437</v>
      </c>
      <c r="M56" s="608" t="s">
        <v>1393</v>
      </c>
      <c r="N56" s="608" t="s">
        <v>1394</v>
      </c>
      <c r="O56" s="608" t="s">
        <v>1395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893</v>
      </c>
      <c r="C57" s="666" t="s">
        <v>1351</v>
      </c>
      <c r="D57" s="666"/>
      <c r="E57" s="666"/>
      <c r="F57" s="681" t="s">
        <v>1004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893</v>
      </c>
      <c r="C58" s="684" t="s">
        <v>1351</v>
      </c>
      <c r="D58" s="684" t="s">
        <v>159</v>
      </c>
      <c r="E58" s="684"/>
      <c r="F58" s="712" t="s">
        <v>1239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893</v>
      </c>
      <c r="C59" s="376" t="s">
        <v>1351</v>
      </c>
      <c r="D59" s="376" t="s">
        <v>159</v>
      </c>
      <c r="E59" s="376" t="s">
        <v>664</v>
      </c>
      <c r="F59" s="608" t="s">
        <v>75</v>
      </c>
      <c r="G59" s="695">
        <v>0.13658053961234987</v>
      </c>
      <c r="H59" s="700">
        <v>1</v>
      </c>
      <c r="I59" s="626"/>
      <c r="J59" s="751"/>
      <c r="L59" s="608" t="s">
        <v>664</v>
      </c>
      <c r="M59" s="608" t="s">
        <v>1352</v>
      </c>
      <c r="N59" s="608" t="s">
        <v>1353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893</v>
      </c>
      <c r="C60" s="376" t="s">
        <v>1351</v>
      </c>
      <c r="D60" s="376" t="s">
        <v>159</v>
      </c>
      <c r="E60" s="376" t="s">
        <v>664</v>
      </c>
      <c r="F60" s="623" t="s">
        <v>1246</v>
      </c>
      <c r="G60" s="695">
        <v>0.18210738614979985</v>
      </c>
      <c r="H60" s="700">
        <v>1</v>
      </c>
      <c r="I60" s="626"/>
      <c r="J60" s="751"/>
      <c r="L60" s="608" t="s">
        <v>664</v>
      </c>
      <c r="M60" s="608" t="s">
        <v>1352</v>
      </c>
      <c r="N60" s="608" t="s">
        <v>1354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893</v>
      </c>
      <c r="C61" s="376" t="s">
        <v>1351</v>
      </c>
      <c r="D61" s="376" t="s">
        <v>159</v>
      </c>
      <c r="E61" s="376" t="s">
        <v>664</v>
      </c>
      <c r="F61" s="623" t="s">
        <v>1321</v>
      </c>
      <c r="G61" s="695">
        <v>4.5526846537449962E-2</v>
      </c>
      <c r="H61" s="700">
        <v>1</v>
      </c>
      <c r="I61" s="626"/>
      <c r="J61" s="751"/>
      <c r="L61" s="608" t="s">
        <v>664</v>
      </c>
      <c r="M61" s="608" t="s">
        <v>1352</v>
      </c>
      <c r="N61" s="608" t="s">
        <v>1273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6.45" outlineLevel="2">
      <c r="A62" s="376"/>
      <c r="B62" s="684" t="s">
        <v>893</v>
      </c>
      <c r="C62" s="684" t="s">
        <v>1351</v>
      </c>
      <c r="D62" s="684" t="s">
        <v>518</v>
      </c>
      <c r="E62" s="684"/>
      <c r="F62" s="685" t="s">
        <v>1513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6.45" outlineLevel="3">
      <c r="A63" s="376"/>
      <c r="B63" s="376" t="s">
        <v>893</v>
      </c>
      <c r="C63" s="376" t="s">
        <v>1351</v>
      </c>
      <c r="D63" s="376" t="s">
        <v>518</v>
      </c>
      <c r="E63" s="376" t="s">
        <v>56</v>
      </c>
      <c r="F63" s="608" t="s">
        <v>1514</v>
      </c>
      <c r="G63" s="609">
        <v>0.25822711064277509</v>
      </c>
      <c r="H63" s="700">
        <v>1</v>
      </c>
      <c r="I63" s="626"/>
      <c r="J63" s="751"/>
      <c r="L63" s="608" t="s">
        <v>56</v>
      </c>
      <c r="M63" s="608" t="s">
        <v>1515</v>
      </c>
      <c r="N63" s="608" t="s">
        <v>1516</v>
      </c>
      <c r="O63" s="608" t="s">
        <v>1517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6.45" outlineLevel="3">
      <c r="A64" s="376"/>
      <c r="B64" s="376" t="s">
        <v>893</v>
      </c>
      <c r="C64" s="376" t="s">
        <v>1351</v>
      </c>
      <c r="D64" s="376" t="s">
        <v>518</v>
      </c>
      <c r="E64" s="376" t="s">
        <v>56</v>
      </c>
      <c r="F64" s="608" t="s">
        <v>75</v>
      </c>
      <c r="G64" s="609">
        <v>1.4486092893899998E-2</v>
      </c>
      <c r="H64" s="700">
        <v>1</v>
      </c>
      <c r="I64" s="626"/>
      <c r="J64" s="751"/>
      <c r="L64" s="608" t="s">
        <v>56</v>
      </c>
      <c r="M64" s="608" t="s">
        <v>1515</v>
      </c>
      <c r="N64" s="608" t="s">
        <v>1520</v>
      </c>
      <c r="O64" s="608" t="s">
        <v>1521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893</v>
      </c>
      <c r="C65" s="376" t="s">
        <v>1351</v>
      </c>
      <c r="D65" s="376" t="s">
        <v>518</v>
      </c>
      <c r="E65" s="376" t="s">
        <v>56</v>
      </c>
      <c r="F65" s="608" t="s">
        <v>1246</v>
      </c>
      <c r="G65" s="609">
        <v>1.2071744078249999E-2</v>
      </c>
      <c r="H65" s="700">
        <v>1</v>
      </c>
      <c r="I65" s="626"/>
      <c r="J65" s="751"/>
      <c r="L65" s="608" t="s">
        <v>56</v>
      </c>
      <c r="M65" s="608" t="s">
        <v>1515</v>
      </c>
      <c r="N65" s="608" t="s">
        <v>1522</v>
      </c>
      <c r="O65" s="608" t="s">
        <v>1523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893</v>
      </c>
      <c r="C66" s="684" t="s">
        <v>1351</v>
      </c>
      <c r="D66" s="684" t="s">
        <v>441</v>
      </c>
      <c r="E66" s="684"/>
      <c r="F66" s="712" t="s">
        <v>1239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6.45" outlineLevel="3">
      <c r="A67" s="376"/>
      <c r="B67" s="376" t="s">
        <v>893</v>
      </c>
      <c r="C67" s="376" t="s">
        <v>1351</v>
      </c>
      <c r="D67" s="376" t="s">
        <v>441</v>
      </c>
      <c r="E67" s="376" t="s">
        <v>437</v>
      </c>
      <c r="F67" s="623" t="s">
        <v>1263</v>
      </c>
      <c r="G67" s="609">
        <v>3.8655111599999993E-2</v>
      </c>
      <c r="H67" s="700">
        <v>1</v>
      </c>
      <c r="I67" s="626"/>
      <c r="J67" s="751"/>
      <c r="L67" s="608" t="s">
        <v>437</v>
      </c>
      <c r="M67" s="608" t="s">
        <v>1046</v>
      </c>
      <c r="N67" s="608" t="s">
        <v>1397</v>
      </c>
      <c r="O67" s="608" t="s">
        <v>1398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6.45" outlineLevel="3">
      <c r="A68" s="376"/>
      <c r="B68" s="376" t="s">
        <v>893</v>
      </c>
      <c r="C68" s="376" t="s">
        <v>1351</v>
      </c>
      <c r="D68" s="376" t="s">
        <v>441</v>
      </c>
      <c r="E68" s="376" t="s">
        <v>437</v>
      </c>
      <c r="F68" s="623" t="s">
        <v>1246</v>
      </c>
      <c r="G68" s="609">
        <v>0.12885037199999999</v>
      </c>
      <c r="H68" s="700">
        <v>1</v>
      </c>
      <c r="I68" s="626"/>
      <c r="J68" s="751"/>
      <c r="L68" s="608" t="s">
        <v>437</v>
      </c>
      <c r="M68" s="608" t="s">
        <v>1046</v>
      </c>
      <c r="N68" s="608" t="s">
        <v>1397</v>
      </c>
      <c r="O68" s="608" t="s">
        <v>1398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1399</v>
      </c>
      <c r="C69" s="666" t="s">
        <v>1220</v>
      </c>
      <c r="D69" s="666"/>
      <c r="E69" s="666"/>
      <c r="F69" s="681" t="s">
        <v>1004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1399</v>
      </c>
      <c r="C70" s="687" t="s">
        <v>1220</v>
      </c>
      <c r="D70" s="684"/>
      <c r="E70" s="684"/>
      <c r="F70" s="717" t="s">
        <v>1400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1401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894</v>
      </c>
      <c r="C72" s="666" t="s">
        <v>1265</v>
      </c>
      <c r="D72" s="666"/>
      <c r="E72" s="666"/>
      <c r="F72" s="681" t="s">
        <v>1004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894</v>
      </c>
      <c r="C73" s="684" t="s">
        <v>1265</v>
      </c>
      <c r="D73" s="684" t="s">
        <v>159</v>
      </c>
      <c r="E73" s="684"/>
      <c r="F73" s="712" t="s">
        <v>1179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894</v>
      </c>
      <c r="C74" s="376" t="s">
        <v>1265</v>
      </c>
      <c r="D74" s="376" t="s">
        <v>159</v>
      </c>
      <c r="E74" s="376" t="s">
        <v>1169</v>
      </c>
      <c r="F74" s="623" t="s">
        <v>1266</v>
      </c>
      <c r="G74" s="720">
        <v>0.17</v>
      </c>
      <c r="H74" s="700">
        <v>1</v>
      </c>
      <c r="I74" s="626"/>
      <c r="J74" s="751"/>
      <c r="L74" s="608" t="s">
        <v>1169</v>
      </c>
      <c r="M74" s="608" t="s">
        <v>1267</v>
      </c>
      <c r="N74" s="608" t="s">
        <v>1268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894</v>
      </c>
      <c r="C75" s="376" t="s">
        <v>1265</v>
      </c>
      <c r="D75" s="376" t="s">
        <v>159</v>
      </c>
      <c r="E75" s="376" t="s">
        <v>1169</v>
      </c>
      <c r="F75" s="623" t="s">
        <v>1269</v>
      </c>
      <c r="G75" s="720">
        <v>0.17</v>
      </c>
      <c r="H75" s="700">
        <v>1</v>
      </c>
      <c r="I75" s="626"/>
      <c r="J75" s="751"/>
      <c r="L75" s="608" t="s">
        <v>1169</v>
      </c>
      <c r="M75" s="608" t="s">
        <v>1267</v>
      </c>
      <c r="N75" s="608" t="s">
        <v>1268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894</v>
      </c>
      <c r="C76" s="376" t="s">
        <v>1265</v>
      </c>
      <c r="D76" s="376" t="s">
        <v>159</v>
      </c>
      <c r="E76" s="376" t="s">
        <v>1169</v>
      </c>
      <c r="F76" s="623" t="s">
        <v>1270</v>
      </c>
      <c r="G76" s="720">
        <v>1.18</v>
      </c>
      <c r="H76" s="700">
        <v>1</v>
      </c>
      <c r="I76" s="626"/>
      <c r="J76" s="751"/>
      <c r="L76" s="608" t="s">
        <v>1169</v>
      </c>
      <c r="M76" s="608" t="s">
        <v>1271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894</v>
      </c>
      <c r="C77" s="376" t="s">
        <v>1265</v>
      </c>
      <c r="D77" s="376" t="s">
        <v>159</v>
      </c>
      <c r="E77" s="376" t="s">
        <v>1169</v>
      </c>
      <c r="F77" s="623" t="s">
        <v>1272</v>
      </c>
      <c r="G77" s="720">
        <f>10659000/10^7</f>
        <v>1.0659000000000001</v>
      </c>
      <c r="H77" s="700">
        <v>1</v>
      </c>
      <c r="I77" s="626"/>
      <c r="J77" s="751"/>
      <c r="L77" s="608" t="s">
        <v>1169</v>
      </c>
      <c r="M77" s="608" t="s">
        <v>1273</v>
      </c>
      <c r="N77" s="608" t="s">
        <v>1274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894</v>
      </c>
      <c r="C78" s="376" t="s">
        <v>1265</v>
      </c>
      <c r="D78" s="376" t="s">
        <v>159</v>
      </c>
      <c r="E78" s="376" t="s">
        <v>1169</v>
      </c>
      <c r="F78" s="623" t="s">
        <v>1275</v>
      </c>
      <c r="G78" s="720">
        <v>0.45</v>
      </c>
      <c r="H78" s="700">
        <v>1</v>
      </c>
      <c r="I78" s="626"/>
      <c r="J78" s="751"/>
      <c r="L78" s="608" t="s">
        <v>1169</v>
      </c>
      <c r="M78" s="608" t="s">
        <v>1276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894</v>
      </c>
      <c r="C79" s="376" t="s">
        <v>1265</v>
      </c>
      <c r="D79" s="376" t="s">
        <v>159</v>
      </c>
      <c r="E79" s="376" t="s">
        <v>1169</v>
      </c>
      <c r="F79" s="623" t="s">
        <v>1277</v>
      </c>
      <c r="G79" s="720">
        <v>0.15</v>
      </c>
      <c r="H79" s="700">
        <v>1</v>
      </c>
      <c r="I79" s="626"/>
      <c r="J79" s="751"/>
      <c r="L79" s="608" t="s">
        <v>1169</v>
      </c>
      <c r="M79" s="608" t="s">
        <v>1276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894</v>
      </c>
      <c r="C80" s="376" t="s">
        <v>1265</v>
      </c>
      <c r="D80" s="376" t="s">
        <v>159</v>
      </c>
      <c r="E80" s="376" t="s">
        <v>1169</v>
      </c>
      <c r="F80" s="623" t="s">
        <v>1278</v>
      </c>
      <c r="G80" s="720">
        <v>0.15</v>
      </c>
      <c r="H80" s="700">
        <v>1</v>
      </c>
      <c r="I80" s="626"/>
      <c r="J80" s="751"/>
      <c r="L80" s="608" t="s">
        <v>1169</v>
      </c>
      <c r="M80" s="608" t="s">
        <v>1276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894</v>
      </c>
      <c r="C81" s="387" t="s">
        <v>1265</v>
      </c>
      <c r="D81" s="387" t="s">
        <v>159</v>
      </c>
      <c r="E81" s="387" t="s">
        <v>1169</v>
      </c>
      <c r="F81" s="705" t="s">
        <v>1279</v>
      </c>
      <c r="G81" s="721">
        <v>0.03</v>
      </c>
      <c r="H81" s="722">
        <v>1</v>
      </c>
      <c r="I81" s="626"/>
      <c r="J81" s="751"/>
      <c r="L81" s="705" t="s">
        <v>1169</v>
      </c>
      <c r="M81" s="705" t="s">
        <v>1276</v>
      </c>
      <c r="N81" s="705" t="s">
        <v>1280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894</v>
      </c>
      <c r="C82" s="684" t="s">
        <v>1265</v>
      </c>
      <c r="D82" s="684" t="s">
        <v>518</v>
      </c>
      <c r="E82" s="684"/>
      <c r="F82" s="712" t="s">
        <v>1179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894</v>
      </c>
      <c r="C83" s="376" t="s">
        <v>1265</v>
      </c>
      <c r="D83" s="376" t="s">
        <v>518</v>
      </c>
      <c r="E83" s="376" t="s">
        <v>56</v>
      </c>
      <c r="F83" s="623" t="s">
        <v>1304</v>
      </c>
      <c r="G83" s="720">
        <v>0.19</v>
      </c>
      <c r="H83" s="700">
        <v>1</v>
      </c>
      <c r="I83" s="626"/>
      <c r="J83" s="751"/>
      <c r="L83" s="608" t="s">
        <v>56</v>
      </c>
      <c r="M83" s="608" t="s">
        <v>1524</v>
      </c>
      <c r="N83" s="608" t="s">
        <v>1525</v>
      </c>
      <c r="O83" s="608"/>
      <c r="P83" s="608" t="s">
        <v>1526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894</v>
      </c>
      <c r="C84" s="376" t="s">
        <v>1265</v>
      </c>
      <c r="D84" s="376" t="s">
        <v>518</v>
      </c>
      <c r="E84" s="376" t="s">
        <v>56</v>
      </c>
      <c r="F84" s="623" t="s">
        <v>1301</v>
      </c>
      <c r="G84" s="720">
        <v>0.16</v>
      </c>
      <c r="H84" s="700">
        <v>1</v>
      </c>
      <c r="I84" s="626"/>
      <c r="J84" s="751"/>
      <c r="L84" s="608" t="s">
        <v>56</v>
      </c>
      <c r="M84" s="608" t="s">
        <v>1524</v>
      </c>
      <c r="N84" s="608" t="s">
        <v>1525</v>
      </c>
      <c r="O84" s="608"/>
      <c r="P84" s="608" t="s">
        <v>1526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894</v>
      </c>
      <c r="C85" s="376" t="s">
        <v>1265</v>
      </c>
      <c r="D85" s="376" t="s">
        <v>518</v>
      </c>
      <c r="E85" s="376" t="s">
        <v>56</v>
      </c>
      <c r="F85" s="623" t="s">
        <v>1404</v>
      </c>
      <c r="G85" s="720">
        <v>0.01</v>
      </c>
      <c r="H85" s="700">
        <v>1</v>
      </c>
      <c r="I85" s="626"/>
      <c r="J85" s="751"/>
      <c r="L85" s="608" t="s">
        <v>56</v>
      </c>
      <c r="M85" s="608" t="s">
        <v>1524</v>
      </c>
      <c r="N85" s="608" t="s">
        <v>1525</v>
      </c>
      <c r="O85" s="608" t="s">
        <v>1527</v>
      </c>
      <c r="P85" s="608" t="s">
        <v>1526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894</v>
      </c>
      <c r="C86" s="684" t="s">
        <v>1265</v>
      </c>
      <c r="D86" s="684" t="s">
        <v>441</v>
      </c>
      <c r="E86" s="684"/>
      <c r="F86" s="712" t="s">
        <v>1179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6" outlineLevel="3">
      <c r="A87" s="376"/>
      <c r="B87" s="376" t="s">
        <v>894</v>
      </c>
      <c r="C87" s="376" t="s">
        <v>1265</v>
      </c>
      <c r="D87" s="376" t="s">
        <v>441</v>
      </c>
      <c r="E87" s="376" t="s">
        <v>437</v>
      </c>
      <c r="F87" s="623" t="s">
        <v>1301</v>
      </c>
      <c r="G87" s="723">
        <v>0.36</v>
      </c>
      <c r="H87" s="692">
        <v>1</v>
      </c>
      <c r="I87" s="626"/>
      <c r="J87" s="751"/>
      <c r="L87" s="608" t="s">
        <v>437</v>
      </c>
      <c r="M87" s="608" t="s">
        <v>1046</v>
      </c>
      <c r="N87" s="608" t="s">
        <v>1402</v>
      </c>
      <c r="O87" s="608" t="s">
        <v>1403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6" outlineLevel="3" collapsed="1">
      <c r="A88" s="376"/>
      <c r="B88" s="376" t="s">
        <v>894</v>
      </c>
      <c r="C88" s="376" t="s">
        <v>1265</v>
      </c>
      <c r="D88" s="376" t="s">
        <v>441</v>
      </c>
      <c r="E88" s="376" t="s">
        <v>437</v>
      </c>
      <c r="F88" s="623" t="s">
        <v>1910</v>
      </c>
      <c r="G88" s="723">
        <v>2.183E-3</v>
      </c>
      <c r="H88" s="692">
        <v>1</v>
      </c>
      <c r="I88" s="626"/>
      <c r="J88" s="751"/>
      <c r="L88" s="608" t="s">
        <v>437</v>
      </c>
      <c r="M88" s="608" t="s">
        <v>1046</v>
      </c>
      <c r="N88" s="608" t="s">
        <v>1402</v>
      </c>
      <c r="O88" s="608" t="s">
        <v>1403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6" outlineLevel="3">
      <c r="A89" s="376"/>
      <c r="B89" s="376" t="s">
        <v>894</v>
      </c>
      <c r="C89" s="376" t="s">
        <v>1265</v>
      </c>
      <c r="D89" s="376" t="s">
        <v>441</v>
      </c>
      <c r="E89" s="376" t="s">
        <v>437</v>
      </c>
      <c r="F89" s="623" t="s">
        <v>1404</v>
      </c>
      <c r="G89" s="720">
        <v>1.0915E-3</v>
      </c>
      <c r="H89" s="700">
        <v>1</v>
      </c>
      <c r="I89" s="626"/>
      <c r="J89" s="751"/>
      <c r="L89" s="608" t="s">
        <v>437</v>
      </c>
      <c r="M89" s="608" t="s">
        <v>1046</v>
      </c>
      <c r="N89" s="608" t="s">
        <v>1402</v>
      </c>
      <c r="O89" s="608" t="s">
        <v>1403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894</v>
      </c>
      <c r="C90" s="684" t="s">
        <v>1265</v>
      </c>
      <c r="D90" s="684" t="s">
        <v>860</v>
      </c>
      <c r="E90" s="684"/>
      <c r="F90" s="712" t="s">
        <v>1179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6.45" outlineLevel="3">
      <c r="A91" s="376"/>
      <c r="B91" s="376" t="s">
        <v>894</v>
      </c>
      <c r="C91" s="376" t="s">
        <v>1265</v>
      </c>
      <c r="D91" s="376" t="s">
        <v>860</v>
      </c>
      <c r="E91" s="376" t="s">
        <v>437</v>
      </c>
      <c r="F91" s="759" t="s">
        <v>1405</v>
      </c>
      <c r="G91" s="720"/>
      <c r="H91" s="700"/>
      <c r="I91" s="626"/>
      <c r="J91" s="751"/>
      <c r="L91" s="608" t="s">
        <v>437</v>
      </c>
      <c r="M91" s="608" t="s">
        <v>1393</v>
      </c>
      <c r="N91" s="608" t="s">
        <v>1406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469</v>
      </c>
      <c r="C92" s="666" t="s">
        <v>1281</v>
      </c>
      <c r="D92" s="666"/>
      <c r="E92" s="666"/>
      <c r="F92" s="681" t="s">
        <v>1004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469</v>
      </c>
      <c r="C93" s="684" t="s">
        <v>1281</v>
      </c>
      <c r="D93" s="684" t="s">
        <v>159</v>
      </c>
      <c r="E93" s="687"/>
      <c r="F93" s="685" t="s">
        <v>1282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469</v>
      </c>
      <c r="C94" s="376" t="s">
        <v>1281</v>
      </c>
      <c r="D94" s="376" t="s">
        <v>159</v>
      </c>
      <c r="E94" s="387" t="s">
        <v>1169</v>
      </c>
      <c r="F94" s="623" t="s">
        <v>1283</v>
      </c>
      <c r="G94" s="695">
        <v>0.2</v>
      </c>
      <c r="H94" s="700">
        <v>1</v>
      </c>
      <c r="I94" s="626"/>
      <c r="J94" s="751"/>
      <c r="L94" s="705" t="s">
        <v>1169</v>
      </c>
      <c r="M94" s="705" t="s">
        <v>1284</v>
      </c>
      <c r="N94" s="705" t="s">
        <v>1285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469</v>
      </c>
      <c r="C95" s="376" t="s">
        <v>1281</v>
      </c>
      <c r="D95" s="376" t="s">
        <v>159</v>
      </c>
      <c r="E95" s="387" t="s">
        <v>1169</v>
      </c>
      <c r="F95" s="623" t="s">
        <v>1286</v>
      </c>
      <c r="G95" s="695">
        <v>0.41</v>
      </c>
      <c r="H95" s="700">
        <v>1</v>
      </c>
      <c r="I95" s="626"/>
      <c r="J95" s="751"/>
      <c r="L95" s="705" t="s">
        <v>1169</v>
      </c>
      <c r="M95" s="705" t="s">
        <v>1284</v>
      </c>
      <c r="N95" s="705" t="s">
        <v>1285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469</v>
      </c>
      <c r="C96" s="376" t="s">
        <v>1281</v>
      </c>
      <c r="D96" s="376" t="s">
        <v>159</v>
      </c>
      <c r="E96" s="387" t="s">
        <v>1169</v>
      </c>
      <c r="F96" s="623" t="s">
        <v>1287</v>
      </c>
      <c r="G96" s="695">
        <v>0.61</v>
      </c>
      <c r="H96" s="700">
        <v>1</v>
      </c>
      <c r="I96" s="626"/>
      <c r="J96" s="751"/>
      <c r="L96" s="705" t="s">
        <v>1169</v>
      </c>
      <c r="M96" s="705" t="s">
        <v>1284</v>
      </c>
      <c r="N96" s="705" t="s">
        <v>1285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469</v>
      </c>
      <c r="C97" s="376" t="s">
        <v>1281</v>
      </c>
      <c r="D97" s="376" t="s">
        <v>159</v>
      </c>
      <c r="E97" s="387" t="s">
        <v>1169</v>
      </c>
      <c r="F97" s="623" t="s">
        <v>1288</v>
      </c>
      <c r="G97" s="695">
        <v>0.82</v>
      </c>
      <c r="H97" s="700">
        <v>1</v>
      </c>
      <c r="I97" s="626"/>
      <c r="J97" s="751"/>
      <c r="L97" s="705" t="s">
        <v>1169</v>
      </c>
      <c r="M97" s="705" t="s">
        <v>1284</v>
      </c>
      <c r="N97" s="705" t="s">
        <v>1285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469</v>
      </c>
      <c r="C98" s="376" t="s">
        <v>1281</v>
      </c>
      <c r="D98" s="376" t="s">
        <v>159</v>
      </c>
      <c r="E98" s="387" t="s">
        <v>1169</v>
      </c>
      <c r="F98" s="623" t="s">
        <v>1289</v>
      </c>
      <c r="G98" s="695">
        <v>0.48</v>
      </c>
      <c r="H98" s="700">
        <v>1</v>
      </c>
      <c r="I98" s="626"/>
      <c r="J98" s="751"/>
      <c r="L98" s="705" t="s">
        <v>1169</v>
      </c>
      <c r="M98" s="705" t="s">
        <v>1285</v>
      </c>
      <c r="N98" s="705" t="s">
        <v>1290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6.45" outlineLevel="3">
      <c r="A99" s="376"/>
      <c r="B99" s="376" t="s">
        <v>469</v>
      </c>
      <c r="C99" s="376" t="s">
        <v>1281</v>
      </c>
      <c r="D99" s="376" t="s">
        <v>159</v>
      </c>
      <c r="E99" s="387" t="s">
        <v>1169</v>
      </c>
      <c r="F99" s="623" t="s">
        <v>1291</v>
      </c>
      <c r="G99" s="695">
        <v>0.9638500000000001</v>
      </c>
      <c r="H99" s="700">
        <v>1</v>
      </c>
      <c r="I99" s="626"/>
      <c r="J99" s="751"/>
      <c r="L99" s="705" t="s">
        <v>1169</v>
      </c>
      <c r="M99" s="705" t="s">
        <v>1285</v>
      </c>
      <c r="N99" s="705" t="s">
        <v>1290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469</v>
      </c>
      <c r="C100" s="376" t="s">
        <v>1281</v>
      </c>
      <c r="D100" s="376" t="s">
        <v>159</v>
      </c>
      <c r="E100" s="387" t="s">
        <v>1169</v>
      </c>
      <c r="F100" s="623" t="s">
        <v>1911</v>
      </c>
      <c r="G100" s="695">
        <v>0.52</v>
      </c>
      <c r="H100" s="700">
        <v>1</v>
      </c>
      <c r="I100" s="626"/>
      <c r="J100" s="751"/>
      <c r="L100" s="705" t="s">
        <v>1169</v>
      </c>
      <c r="M100" s="705" t="s">
        <v>1290</v>
      </c>
      <c r="N100" s="705" t="s">
        <v>1293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469</v>
      </c>
      <c r="C101" s="376" t="s">
        <v>1281</v>
      </c>
      <c r="D101" s="376" t="s">
        <v>159</v>
      </c>
      <c r="E101" s="387" t="s">
        <v>1169</v>
      </c>
      <c r="F101" s="623" t="s">
        <v>1296</v>
      </c>
      <c r="G101" s="695">
        <v>0.52</v>
      </c>
      <c r="H101" s="700">
        <v>1</v>
      </c>
      <c r="I101" s="626"/>
      <c r="J101" s="751"/>
      <c r="L101" s="705" t="s">
        <v>1169</v>
      </c>
      <c r="M101" s="705" t="s">
        <v>1295</v>
      </c>
      <c r="N101" s="705" t="s">
        <v>1285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469</v>
      </c>
      <c r="C102" s="376" t="s">
        <v>1281</v>
      </c>
      <c r="D102" s="376" t="s">
        <v>159</v>
      </c>
      <c r="E102" s="387" t="s">
        <v>1169</v>
      </c>
      <c r="F102" s="623" t="s">
        <v>1297</v>
      </c>
      <c r="G102" s="695">
        <v>0.52</v>
      </c>
      <c r="H102" s="700">
        <v>1</v>
      </c>
      <c r="I102" s="626"/>
      <c r="J102" s="751"/>
      <c r="L102" s="705" t="s">
        <v>1169</v>
      </c>
      <c r="M102" s="705" t="s">
        <v>1285</v>
      </c>
      <c r="N102" s="705" t="s">
        <v>1295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469</v>
      </c>
      <c r="C103" s="376" t="s">
        <v>1281</v>
      </c>
      <c r="D103" s="376" t="s">
        <v>159</v>
      </c>
      <c r="E103" s="387" t="s">
        <v>1169</v>
      </c>
      <c r="F103" s="623" t="s">
        <v>1298</v>
      </c>
      <c r="G103" s="695">
        <v>0.17</v>
      </c>
      <c r="H103" s="700">
        <v>1</v>
      </c>
      <c r="I103" s="626"/>
      <c r="J103" s="751"/>
      <c r="L103" s="705" t="s">
        <v>1169</v>
      </c>
      <c r="M103" s="705" t="s">
        <v>1284</v>
      </c>
      <c r="N103" s="705" t="s">
        <v>1285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469</v>
      </c>
      <c r="C104" s="376" t="s">
        <v>1281</v>
      </c>
      <c r="D104" s="376" t="s">
        <v>159</v>
      </c>
      <c r="E104" s="387" t="s">
        <v>1169</v>
      </c>
      <c r="F104" s="623" t="s">
        <v>1407</v>
      </c>
      <c r="G104" s="695">
        <v>0.48</v>
      </c>
      <c r="H104" s="700">
        <v>1</v>
      </c>
      <c r="I104" s="626"/>
      <c r="J104" s="751"/>
      <c r="L104" s="705" t="s">
        <v>1169</v>
      </c>
      <c r="M104" s="705" t="s">
        <v>1285</v>
      </c>
      <c r="N104" s="705" t="s">
        <v>1290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469</v>
      </c>
      <c r="C105" s="376" t="s">
        <v>1281</v>
      </c>
      <c r="D105" s="376" t="s">
        <v>159</v>
      </c>
      <c r="E105" s="387" t="s">
        <v>1169</v>
      </c>
      <c r="F105" s="623" t="s">
        <v>1410</v>
      </c>
      <c r="G105" s="695">
        <v>0.24</v>
      </c>
      <c r="H105" s="700">
        <v>1</v>
      </c>
      <c r="I105" s="626"/>
      <c r="J105" s="751"/>
      <c r="L105" s="705" t="s">
        <v>1169</v>
      </c>
      <c r="M105" s="705" t="s">
        <v>1285</v>
      </c>
      <c r="N105" s="705" t="s">
        <v>1290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6.45" outlineLevel="3">
      <c r="A106" s="376"/>
      <c r="B106" s="376" t="s">
        <v>469</v>
      </c>
      <c r="C106" s="376" t="s">
        <v>1281</v>
      </c>
      <c r="D106" s="376" t="s">
        <v>159</v>
      </c>
      <c r="E106" s="387" t="s">
        <v>1169</v>
      </c>
      <c r="F106" s="623" t="s">
        <v>1912</v>
      </c>
      <c r="G106" s="695">
        <v>0.96</v>
      </c>
      <c r="H106" s="700">
        <v>1</v>
      </c>
      <c r="I106" s="626"/>
      <c r="J106" s="751"/>
      <c r="L106" s="705" t="s">
        <v>1169</v>
      </c>
      <c r="M106" s="705" t="s">
        <v>1285</v>
      </c>
      <c r="N106" s="705" t="s">
        <v>1290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469</v>
      </c>
      <c r="C107" s="376" t="s">
        <v>1281</v>
      </c>
      <c r="D107" s="376" t="s">
        <v>159</v>
      </c>
      <c r="E107" s="387" t="s">
        <v>1169</v>
      </c>
      <c r="F107" s="623" t="s">
        <v>1299</v>
      </c>
      <c r="G107" s="695">
        <v>0.02</v>
      </c>
      <c r="H107" s="700">
        <v>1</v>
      </c>
      <c r="I107" s="626"/>
      <c r="J107" s="751"/>
      <c r="L107" s="705" t="s">
        <v>1169</v>
      </c>
      <c r="M107" s="705" t="s">
        <v>1285</v>
      </c>
      <c r="N107" s="705" t="s">
        <v>1290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469</v>
      </c>
      <c r="C108" s="376" t="s">
        <v>1281</v>
      </c>
      <c r="D108" s="376" t="s">
        <v>159</v>
      </c>
      <c r="E108" s="387" t="s">
        <v>1169</v>
      </c>
      <c r="F108" s="623" t="s">
        <v>1300</v>
      </c>
      <c r="G108" s="695">
        <v>0.03</v>
      </c>
      <c r="H108" s="700">
        <v>1</v>
      </c>
      <c r="I108" s="626"/>
      <c r="J108" s="751"/>
      <c r="L108" s="705" t="s">
        <v>1169</v>
      </c>
      <c r="M108" s="705" t="s">
        <v>1284</v>
      </c>
      <c r="N108" s="705" t="s">
        <v>1285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469</v>
      </c>
      <c r="C109" s="376" t="s">
        <v>1281</v>
      </c>
      <c r="D109" s="376" t="s">
        <v>159</v>
      </c>
      <c r="E109" s="387" t="s">
        <v>1169</v>
      </c>
      <c r="F109" s="623" t="s">
        <v>1301</v>
      </c>
      <c r="G109" s="695">
        <v>0.03</v>
      </c>
      <c r="H109" s="700">
        <v>1</v>
      </c>
      <c r="I109" s="626"/>
      <c r="J109" s="751"/>
      <c r="L109" s="705" t="s">
        <v>1169</v>
      </c>
      <c r="M109" s="705" t="s">
        <v>1284</v>
      </c>
      <c r="N109" s="705" t="s">
        <v>1285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469</v>
      </c>
      <c r="C110" s="376" t="s">
        <v>1281</v>
      </c>
      <c r="D110" s="376" t="s">
        <v>159</v>
      </c>
      <c r="E110" s="387" t="s">
        <v>1169</v>
      </c>
      <c r="F110" s="623" t="s">
        <v>1302</v>
      </c>
      <c r="G110" s="695">
        <v>1.4999999999999999E-2</v>
      </c>
      <c r="H110" s="700">
        <v>1</v>
      </c>
      <c r="I110" s="626"/>
      <c r="J110" s="751"/>
      <c r="L110" s="705" t="s">
        <v>1169</v>
      </c>
      <c r="M110" s="705" t="s">
        <v>1284</v>
      </c>
      <c r="N110" s="705" t="s">
        <v>1285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469</v>
      </c>
      <c r="C111" s="376" t="s">
        <v>1281</v>
      </c>
      <c r="D111" s="376" t="s">
        <v>159</v>
      </c>
      <c r="E111" s="387" t="s">
        <v>1169</v>
      </c>
      <c r="F111" s="623" t="s">
        <v>1303</v>
      </c>
      <c r="G111" s="695">
        <v>1.4999999999999999E-2</v>
      </c>
      <c r="H111" s="700">
        <v>1</v>
      </c>
      <c r="I111" s="626"/>
      <c r="J111" s="751"/>
      <c r="L111" s="705" t="s">
        <v>1169</v>
      </c>
      <c r="M111" s="705" t="s">
        <v>1284</v>
      </c>
      <c r="N111" s="705" t="s">
        <v>1285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469</v>
      </c>
      <c r="C112" s="376" t="s">
        <v>1281</v>
      </c>
      <c r="D112" s="376" t="s">
        <v>159</v>
      </c>
      <c r="E112" s="387" t="s">
        <v>1169</v>
      </c>
      <c r="F112" s="623" t="s">
        <v>1304</v>
      </c>
      <c r="G112" s="695">
        <v>0.1</v>
      </c>
      <c r="H112" s="700">
        <v>1</v>
      </c>
      <c r="I112" s="626"/>
      <c r="J112" s="751"/>
      <c r="L112" s="705" t="s">
        <v>1169</v>
      </c>
      <c r="M112" s="705" t="s">
        <v>1284</v>
      </c>
      <c r="N112" s="705" t="s">
        <v>1285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469</v>
      </c>
      <c r="C113" s="376" t="s">
        <v>1281</v>
      </c>
      <c r="D113" s="376" t="s">
        <v>159</v>
      </c>
      <c r="E113" s="387" t="s">
        <v>1169</v>
      </c>
      <c r="F113" s="623" t="s">
        <v>1414</v>
      </c>
      <c r="G113" s="695">
        <v>0.1</v>
      </c>
      <c r="H113" s="692">
        <v>1</v>
      </c>
      <c r="I113" s="626"/>
      <c r="J113" s="751"/>
      <c r="L113" s="705" t="s">
        <v>1169</v>
      </c>
      <c r="M113" s="705" t="s">
        <v>1913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469</v>
      </c>
      <c r="C114" s="684" t="s">
        <v>1281</v>
      </c>
      <c r="D114" s="684" t="s">
        <v>518</v>
      </c>
      <c r="E114" s="684"/>
      <c r="F114" s="712" t="s">
        <v>1179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469</v>
      </c>
      <c r="C115" s="376" t="s">
        <v>1281</v>
      </c>
      <c r="D115" s="376" t="s">
        <v>518</v>
      </c>
      <c r="E115" s="376" t="s">
        <v>56</v>
      </c>
      <c r="F115" s="623" t="s">
        <v>1407</v>
      </c>
      <c r="G115" s="720">
        <v>0.2</v>
      </c>
      <c r="H115" s="700">
        <v>1</v>
      </c>
      <c r="I115" s="626"/>
      <c r="J115" s="751"/>
      <c r="L115" s="608" t="s">
        <v>56</v>
      </c>
      <c r="M115" s="608" t="s">
        <v>1524</v>
      </c>
      <c r="N115" s="608" t="s">
        <v>1528</v>
      </c>
      <c r="O115" s="608" t="s">
        <v>1525</v>
      </c>
      <c r="P115" s="608" t="s">
        <v>1526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469</v>
      </c>
      <c r="C116" s="376" t="s">
        <v>1281</v>
      </c>
      <c r="D116" s="376" t="s">
        <v>518</v>
      </c>
      <c r="E116" s="376" t="s">
        <v>56</v>
      </c>
      <c r="F116" s="623" t="s">
        <v>1410</v>
      </c>
      <c r="G116" s="720">
        <v>0.4</v>
      </c>
      <c r="H116" s="692">
        <v>1</v>
      </c>
      <c r="I116" s="626"/>
      <c r="J116" s="751"/>
      <c r="L116" s="608" t="s">
        <v>56</v>
      </c>
      <c r="M116" s="608" t="s">
        <v>1524</v>
      </c>
      <c r="N116" s="608" t="s">
        <v>1528</v>
      </c>
      <c r="O116" s="608" t="s">
        <v>1525</v>
      </c>
      <c r="P116" s="608" t="s">
        <v>1526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469</v>
      </c>
      <c r="C117" s="376" t="s">
        <v>1281</v>
      </c>
      <c r="D117" s="376" t="s">
        <v>518</v>
      </c>
      <c r="E117" s="376" t="s">
        <v>56</v>
      </c>
      <c r="F117" s="623" t="s">
        <v>1529</v>
      </c>
      <c r="G117" s="720">
        <v>0.32</v>
      </c>
      <c r="H117" s="692">
        <v>1</v>
      </c>
      <c r="I117" s="626"/>
      <c r="J117" s="751"/>
      <c r="L117" s="608" t="s">
        <v>56</v>
      </c>
      <c r="M117" s="608" t="s">
        <v>1524</v>
      </c>
      <c r="N117" s="608" t="s">
        <v>1530</v>
      </c>
      <c r="O117" s="608" t="s">
        <v>953</v>
      </c>
      <c r="P117" s="608" t="s">
        <v>1526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469</v>
      </c>
      <c r="C118" s="376" t="s">
        <v>1281</v>
      </c>
      <c r="D118" s="376" t="s">
        <v>518</v>
      </c>
      <c r="E118" s="376" t="s">
        <v>56</v>
      </c>
      <c r="F118" s="623" t="s">
        <v>1531</v>
      </c>
      <c r="G118" s="720">
        <v>0.32</v>
      </c>
      <c r="H118" s="692">
        <v>1</v>
      </c>
      <c r="I118" s="626"/>
      <c r="J118" s="751"/>
      <c r="L118" s="608" t="s">
        <v>56</v>
      </c>
      <c r="M118" s="608" t="s">
        <v>1524</v>
      </c>
      <c r="N118" s="608" t="s">
        <v>1530</v>
      </c>
      <c r="O118" s="608" t="s">
        <v>953</v>
      </c>
      <c r="P118" s="608" t="s">
        <v>1526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469</v>
      </c>
      <c r="C119" s="376" t="s">
        <v>1281</v>
      </c>
      <c r="D119" s="376" t="s">
        <v>518</v>
      </c>
      <c r="E119" s="376" t="s">
        <v>56</v>
      </c>
      <c r="F119" s="623" t="s">
        <v>1532</v>
      </c>
      <c r="G119" s="720">
        <v>0.43</v>
      </c>
      <c r="H119" s="692">
        <v>1</v>
      </c>
      <c r="I119" s="626"/>
      <c r="J119" s="751"/>
      <c r="L119" s="608" t="s">
        <v>56</v>
      </c>
      <c r="M119" s="608" t="s">
        <v>1524</v>
      </c>
      <c r="N119" s="608" t="s">
        <v>1530</v>
      </c>
      <c r="O119" s="608" t="s">
        <v>1525</v>
      </c>
      <c r="P119" s="608" t="s">
        <v>1533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469</v>
      </c>
      <c r="C120" s="376" t="s">
        <v>1281</v>
      </c>
      <c r="D120" s="376" t="s">
        <v>518</v>
      </c>
      <c r="E120" s="376" t="s">
        <v>56</v>
      </c>
      <c r="F120" s="623" t="s">
        <v>1304</v>
      </c>
      <c r="G120" s="720">
        <v>0.02</v>
      </c>
      <c r="H120" s="700">
        <v>1</v>
      </c>
      <c r="I120" s="626"/>
      <c r="J120" s="751"/>
      <c r="L120" s="608" t="s">
        <v>56</v>
      </c>
      <c r="M120" s="608" t="s">
        <v>1524</v>
      </c>
      <c r="N120" s="608" t="s">
        <v>1525</v>
      </c>
      <c r="O120" s="608" t="s">
        <v>953</v>
      </c>
      <c r="P120" s="608" t="s">
        <v>1533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469</v>
      </c>
      <c r="C121" s="376" t="s">
        <v>1281</v>
      </c>
      <c r="D121" s="376" t="s">
        <v>518</v>
      </c>
      <c r="E121" s="376" t="s">
        <v>56</v>
      </c>
      <c r="F121" s="623" t="s">
        <v>1301</v>
      </c>
      <c r="G121" s="720">
        <v>0.01</v>
      </c>
      <c r="H121" s="700">
        <v>1</v>
      </c>
      <c r="I121" s="626"/>
      <c r="J121" s="751"/>
      <c r="L121" s="608" t="s">
        <v>56</v>
      </c>
      <c r="M121" s="608" t="s">
        <v>1524</v>
      </c>
      <c r="N121" s="608" t="s">
        <v>1525</v>
      </c>
      <c r="O121" s="608" t="s">
        <v>953</v>
      </c>
      <c r="P121" s="608" t="s">
        <v>1533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469</v>
      </c>
      <c r="C122" s="684" t="s">
        <v>1281</v>
      </c>
      <c r="D122" s="684" t="s">
        <v>441</v>
      </c>
      <c r="E122" s="684"/>
      <c r="F122" s="685" t="s">
        <v>1282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9.6" outlineLevel="3">
      <c r="A123" s="376"/>
      <c r="B123" s="376" t="s">
        <v>469</v>
      </c>
      <c r="C123" s="376" t="s">
        <v>1281</v>
      </c>
      <c r="D123" s="376" t="s">
        <v>441</v>
      </c>
      <c r="E123" s="376" t="s">
        <v>437</v>
      </c>
      <c r="F123" s="765" t="s">
        <v>1407</v>
      </c>
      <c r="G123" s="723"/>
      <c r="H123" s="692"/>
      <c r="I123" s="626"/>
      <c r="J123" s="751"/>
      <c r="L123" s="608" t="s">
        <v>437</v>
      </c>
      <c r="M123" s="608" t="s">
        <v>1046</v>
      </c>
      <c r="N123" s="608" t="s">
        <v>1408</v>
      </c>
      <c r="O123" s="608" t="s">
        <v>1409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9.6" outlineLevel="3">
      <c r="A124" s="376"/>
      <c r="B124" s="376" t="s">
        <v>469</v>
      </c>
      <c r="C124" s="376" t="s">
        <v>1281</v>
      </c>
      <c r="D124" s="376" t="s">
        <v>441</v>
      </c>
      <c r="E124" s="376" t="s">
        <v>437</v>
      </c>
      <c r="F124" s="765" t="s">
        <v>1410</v>
      </c>
      <c r="G124" s="723"/>
      <c r="H124" s="692"/>
      <c r="I124" s="626"/>
      <c r="J124" s="751"/>
      <c r="L124" s="608" t="s">
        <v>437</v>
      </c>
      <c r="M124" s="608" t="s">
        <v>1046</v>
      </c>
      <c r="N124" s="608" t="s">
        <v>1408</v>
      </c>
      <c r="O124" s="608" t="s">
        <v>1409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9.6" outlineLevel="3">
      <c r="A125" s="376"/>
      <c r="B125" s="376" t="s">
        <v>469</v>
      </c>
      <c r="C125" s="376" t="s">
        <v>1281</v>
      </c>
      <c r="D125" s="376" t="s">
        <v>441</v>
      </c>
      <c r="E125" s="376" t="s">
        <v>437</v>
      </c>
      <c r="F125" s="767" t="s">
        <v>1914</v>
      </c>
      <c r="G125" s="720">
        <v>0.02</v>
      </c>
      <c r="H125" s="700">
        <v>1</v>
      </c>
      <c r="I125" s="626"/>
      <c r="J125" s="751"/>
      <c r="L125" s="608" t="s">
        <v>437</v>
      </c>
      <c r="M125" s="608" t="s">
        <v>1046</v>
      </c>
      <c r="N125" s="608" t="s">
        <v>1408</v>
      </c>
      <c r="O125" s="608" t="s">
        <v>1409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9.6" outlineLevel="3">
      <c r="A126" s="376"/>
      <c r="B126" s="376" t="s">
        <v>469</v>
      </c>
      <c r="C126" s="376" t="s">
        <v>1281</v>
      </c>
      <c r="D126" s="376" t="s">
        <v>441</v>
      </c>
      <c r="E126" s="376" t="s">
        <v>437</v>
      </c>
      <c r="F126" s="766" t="s">
        <v>1411</v>
      </c>
      <c r="G126" s="720">
        <v>0.06</v>
      </c>
      <c r="H126" s="700">
        <v>1</v>
      </c>
      <c r="I126" s="626"/>
      <c r="J126" s="751"/>
      <c r="L126" s="608" t="s">
        <v>437</v>
      </c>
      <c r="M126" s="608" t="s">
        <v>1046</v>
      </c>
      <c r="N126" s="608" t="s">
        <v>1408</v>
      </c>
      <c r="O126" s="608" t="s">
        <v>1409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9.6" outlineLevel="3">
      <c r="A127" s="376"/>
      <c r="B127" s="376" t="s">
        <v>469</v>
      </c>
      <c r="C127" s="376" t="s">
        <v>1281</v>
      </c>
      <c r="D127" s="376" t="s">
        <v>441</v>
      </c>
      <c r="E127" s="376" t="s">
        <v>437</v>
      </c>
      <c r="F127" s="766" t="s">
        <v>1412</v>
      </c>
      <c r="G127" s="720">
        <v>0.06</v>
      </c>
      <c r="H127" s="700">
        <v>1</v>
      </c>
      <c r="I127" s="626"/>
      <c r="J127" s="751"/>
      <c r="L127" s="608" t="s">
        <v>437</v>
      </c>
      <c r="M127" s="608" t="s">
        <v>1046</v>
      </c>
      <c r="N127" s="608" t="s">
        <v>1408</v>
      </c>
      <c r="O127" s="608" t="s">
        <v>1409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9.6" outlineLevel="3">
      <c r="A128" s="376"/>
      <c r="B128" s="376" t="s">
        <v>469</v>
      </c>
      <c r="C128" s="376" t="s">
        <v>1281</v>
      </c>
      <c r="D128" s="376" t="s">
        <v>441</v>
      </c>
      <c r="E128" s="376" t="s">
        <v>437</v>
      </c>
      <c r="F128" s="767" t="s">
        <v>1299</v>
      </c>
      <c r="G128" s="720">
        <v>4.0000000000000001E-3</v>
      </c>
      <c r="H128" s="692">
        <v>1</v>
      </c>
      <c r="I128" s="626"/>
      <c r="J128" s="751"/>
      <c r="L128" s="608" t="s">
        <v>437</v>
      </c>
      <c r="M128" s="608" t="s">
        <v>1046</v>
      </c>
      <c r="N128" s="608" t="s">
        <v>1408</v>
      </c>
      <c r="O128" s="608" t="s">
        <v>1409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9.6" outlineLevel="3">
      <c r="A129" s="376"/>
      <c r="B129" s="376" t="s">
        <v>469</v>
      </c>
      <c r="C129" s="376" t="s">
        <v>1281</v>
      </c>
      <c r="D129" s="376" t="s">
        <v>441</v>
      </c>
      <c r="E129" s="376" t="s">
        <v>437</v>
      </c>
      <c r="F129" s="765" t="s">
        <v>1298</v>
      </c>
      <c r="G129" s="720"/>
      <c r="H129" s="700"/>
      <c r="I129" s="626"/>
      <c r="J129" s="751"/>
      <c r="L129" s="608" t="s">
        <v>437</v>
      </c>
      <c r="M129" s="608" t="s">
        <v>1046</v>
      </c>
      <c r="N129" s="608" t="s">
        <v>1408</v>
      </c>
      <c r="O129" s="608" t="s">
        <v>1409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9.6" outlineLevel="3">
      <c r="A130" s="376"/>
      <c r="B130" s="376" t="s">
        <v>469</v>
      </c>
      <c r="C130" s="376" t="s">
        <v>1281</v>
      </c>
      <c r="D130" s="376" t="s">
        <v>441</v>
      </c>
      <c r="E130" s="376" t="s">
        <v>437</v>
      </c>
      <c r="F130" s="765" t="s">
        <v>1301</v>
      </c>
      <c r="G130" s="720"/>
      <c r="H130" s="700"/>
      <c r="I130" s="626"/>
      <c r="J130" s="751"/>
      <c r="L130" s="608" t="s">
        <v>437</v>
      </c>
      <c r="M130" s="608" t="s">
        <v>1046</v>
      </c>
      <c r="N130" s="608" t="s">
        <v>1408</v>
      </c>
      <c r="O130" s="608" t="s">
        <v>1409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9.6" outlineLevel="3">
      <c r="A131" s="376"/>
      <c r="B131" s="376" t="s">
        <v>469</v>
      </c>
      <c r="C131" s="376" t="s">
        <v>1281</v>
      </c>
      <c r="D131" s="376" t="s">
        <v>441</v>
      </c>
      <c r="E131" s="376" t="s">
        <v>437</v>
      </c>
      <c r="F131" s="765" t="s">
        <v>1413</v>
      </c>
      <c r="G131" s="723"/>
      <c r="H131" s="692"/>
      <c r="I131" s="626"/>
      <c r="J131" s="751"/>
      <c r="L131" s="608" t="s">
        <v>437</v>
      </c>
      <c r="M131" s="608" t="s">
        <v>1046</v>
      </c>
      <c r="N131" s="608" t="s">
        <v>1408</v>
      </c>
      <c r="O131" s="608" t="s">
        <v>1409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9.6" outlineLevel="3">
      <c r="A132" s="376"/>
      <c r="B132" s="376" t="s">
        <v>469</v>
      </c>
      <c r="C132" s="376" t="s">
        <v>1281</v>
      </c>
      <c r="D132" s="376" t="s">
        <v>441</v>
      </c>
      <c r="E132" s="376" t="s">
        <v>437</v>
      </c>
      <c r="F132" s="765" t="s">
        <v>1414</v>
      </c>
      <c r="G132" s="723"/>
      <c r="H132" s="692"/>
      <c r="I132" s="626"/>
      <c r="J132" s="751"/>
      <c r="L132" s="608" t="s">
        <v>437</v>
      </c>
      <c r="M132" s="608" t="s">
        <v>1046</v>
      </c>
      <c r="N132" s="608" t="s">
        <v>1408</v>
      </c>
      <c r="O132" s="608" t="s">
        <v>1409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469</v>
      </c>
      <c r="C133" s="684" t="s">
        <v>1281</v>
      </c>
      <c r="D133" s="684" t="s">
        <v>860</v>
      </c>
      <c r="E133" s="684"/>
      <c r="F133" s="685" t="s">
        <v>1282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469</v>
      </c>
      <c r="C134" s="376" t="s">
        <v>1281</v>
      </c>
      <c r="D134" s="376" t="s">
        <v>860</v>
      </c>
      <c r="E134" s="376" t="s">
        <v>437</v>
      </c>
      <c r="F134" s="759" t="s">
        <v>1415</v>
      </c>
      <c r="G134" s="720"/>
      <c r="H134" s="700"/>
      <c r="I134" s="626"/>
      <c r="J134" s="751"/>
      <c r="L134" s="608" t="s">
        <v>437</v>
      </c>
      <c r="M134" s="608" t="s">
        <v>1393</v>
      </c>
      <c r="N134" s="608" t="s">
        <v>1406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469</v>
      </c>
      <c r="C135" s="376" t="s">
        <v>1281</v>
      </c>
      <c r="D135" s="376" t="s">
        <v>860</v>
      </c>
      <c r="E135" s="376" t="s">
        <v>437</v>
      </c>
      <c r="F135" s="759" t="s">
        <v>1414</v>
      </c>
      <c r="G135" s="723"/>
      <c r="H135" s="692"/>
      <c r="I135" s="626"/>
      <c r="J135" s="751"/>
      <c r="L135" s="608" t="s">
        <v>437</v>
      </c>
      <c r="M135" s="608" t="s">
        <v>1393</v>
      </c>
      <c r="N135" s="608" t="s">
        <v>1406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6.45" outlineLevel="1">
      <c r="A136" s="380"/>
      <c r="B136" s="665" t="s">
        <v>897</v>
      </c>
      <c r="C136" s="665" t="s">
        <v>1201</v>
      </c>
      <c r="D136" s="665"/>
      <c r="E136" s="665"/>
      <c r="F136" s="681" t="s">
        <v>1004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1181</v>
      </c>
      <c r="N136" s="681" t="s">
        <v>1213</v>
      </c>
      <c r="O136" s="681" t="s">
        <v>1418</v>
      </c>
      <c r="P136" s="681" t="s">
        <v>1419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897</v>
      </c>
      <c r="C137" s="684" t="s">
        <v>1201</v>
      </c>
      <c r="D137" s="684" t="s">
        <v>518</v>
      </c>
      <c r="E137" s="684"/>
      <c r="F137" s="685" t="s">
        <v>1179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897</v>
      </c>
      <c r="C138" s="376" t="s">
        <v>1201</v>
      </c>
      <c r="D138" s="376" t="s">
        <v>518</v>
      </c>
      <c r="E138" s="376" t="s">
        <v>56</v>
      </c>
      <c r="F138" s="608" t="s">
        <v>1191</v>
      </c>
      <c r="G138" s="695">
        <v>6.0248605439999423E-2</v>
      </c>
      <c r="H138" s="700">
        <v>1</v>
      </c>
      <c r="I138" s="626"/>
      <c r="J138" s="751"/>
      <c r="L138" s="608" t="s">
        <v>56</v>
      </c>
      <c r="M138" s="608" t="s">
        <v>1024</v>
      </c>
      <c r="N138" s="608" t="s">
        <v>1043</v>
      </c>
      <c r="O138" s="608"/>
      <c r="P138" s="608" t="s">
        <v>1026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6.45" outlineLevel="3">
      <c r="A139" s="376"/>
      <c r="B139" s="376" t="s">
        <v>897</v>
      </c>
      <c r="C139" s="376" t="s">
        <v>1201</v>
      </c>
      <c r="D139" s="376" t="s">
        <v>518</v>
      </c>
      <c r="E139" s="376" t="s">
        <v>56</v>
      </c>
      <c r="F139" s="608" t="s">
        <v>1534</v>
      </c>
      <c r="G139" s="695">
        <v>1.1911781127994301E-2</v>
      </c>
      <c r="H139" s="700">
        <v>1</v>
      </c>
      <c r="I139" s="626"/>
      <c r="J139" s="751"/>
      <c r="L139" s="608" t="s">
        <v>56</v>
      </c>
      <c r="M139" s="608" t="s">
        <v>1024</v>
      </c>
      <c r="N139" s="608" t="s">
        <v>1043</v>
      </c>
      <c r="O139" s="608"/>
      <c r="P139" s="608" t="s">
        <v>1026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897</v>
      </c>
      <c r="C140" s="376" t="s">
        <v>1201</v>
      </c>
      <c r="D140" s="376" t="s">
        <v>518</v>
      </c>
      <c r="E140" s="376" t="s">
        <v>56</v>
      </c>
      <c r="F140" s="608" t="s">
        <v>1535</v>
      </c>
      <c r="G140" s="695">
        <v>1.1911781127994301E-2</v>
      </c>
      <c r="H140" s="700">
        <v>1</v>
      </c>
      <c r="I140" s="626"/>
      <c r="J140" s="751"/>
      <c r="L140" s="608" t="s">
        <v>56</v>
      </c>
      <c r="M140" s="608" t="s">
        <v>1024</v>
      </c>
      <c r="N140" s="608" t="s">
        <v>1043</v>
      </c>
      <c r="O140" s="608"/>
      <c r="P140" s="608" t="s">
        <v>1026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898</v>
      </c>
      <c r="C141" s="665" t="s">
        <v>1785</v>
      </c>
      <c r="D141" s="665"/>
      <c r="E141" s="665"/>
      <c r="F141" s="681" t="s">
        <v>1004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898</v>
      </c>
      <c r="C142" s="684" t="s">
        <v>1785</v>
      </c>
      <c r="D142" s="684" t="s">
        <v>159</v>
      </c>
      <c r="E142" s="684"/>
      <c r="F142" s="685" t="s">
        <v>1179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6.45" outlineLevel="3">
      <c r="A143" s="376"/>
      <c r="B143" s="376" t="s">
        <v>898</v>
      </c>
      <c r="C143" s="376" t="s">
        <v>1785</v>
      </c>
      <c r="D143" s="376" t="s">
        <v>159</v>
      </c>
      <c r="E143" s="376" t="s">
        <v>1162</v>
      </c>
      <c r="F143" s="608" t="s">
        <v>1191</v>
      </c>
      <c r="G143" s="695">
        <v>7.0000000000000007E-2</v>
      </c>
      <c r="H143" s="700">
        <v>1</v>
      </c>
      <c r="I143" s="626"/>
      <c r="J143" s="751"/>
      <c r="L143" s="608" t="s">
        <v>1162</v>
      </c>
      <c r="M143" s="608" t="s">
        <v>1181</v>
      </c>
      <c r="N143" s="608" t="s">
        <v>1208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6.45" outlineLevel="3">
      <c r="A144" s="376"/>
      <c r="B144" s="376" t="s">
        <v>898</v>
      </c>
      <c r="C144" s="376" t="s">
        <v>1785</v>
      </c>
      <c r="D144" s="376" t="s">
        <v>159</v>
      </c>
      <c r="E144" s="376" t="s">
        <v>1162</v>
      </c>
      <c r="F144" s="608" t="s">
        <v>1915</v>
      </c>
      <c r="G144" s="695">
        <v>0.18</v>
      </c>
      <c r="H144" s="700">
        <v>1</v>
      </c>
      <c r="I144" s="626"/>
      <c r="J144" s="751"/>
      <c r="L144" s="608" t="s">
        <v>1162</v>
      </c>
      <c r="M144" s="608" t="s">
        <v>1212</v>
      </c>
      <c r="N144" s="608" t="s">
        <v>1214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898</v>
      </c>
      <c r="C145" s="684" t="s">
        <v>1785</v>
      </c>
      <c r="D145" s="684" t="s">
        <v>518</v>
      </c>
      <c r="E145" s="684"/>
      <c r="F145" s="685" t="s">
        <v>1179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898</v>
      </c>
      <c r="C146" s="376" t="s">
        <v>1785</v>
      </c>
      <c r="D146" s="376" t="s">
        <v>518</v>
      </c>
      <c r="E146" s="376" t="s">
        <v>56</v>
      </c>
      <c r="F146" s="608" t="s">
        <v>1915</v>
      </c>
      <c r="G146" s="609">
        <v>7.0000000000000007E-2</v>
      </c>
      <c r="H146" s="692">
        <v>1</v>
      </c>
      <c r="I146" s="626"/>
      <c r="J146" s="751"/>
      <c r="L146" s="608" t="s">
        <v>56</v>
      </c>
      <c r="M146" s="608" t="s">
        <v>1024</v>
      </c>
      <c r="N146" s="608" t="s">
        <v>1043</v>
      </c>
      <c r="O146" s="608">
        <v>0</v>
      </c>
      <c r="P146" s="608" t="s">
        <v>1422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898</v>
      </c>
      <c r="C147" s="376" t="s">
        <v>1785</v>
      </c>
      <c r="D147" s="376" t="s">
        <v>518</v>
      </c>
      <c r="E147" s="376" t="s">
        <v>56</v>
      </c>
      <c r="F147" s="608" t="s">
        <v>1191</v>
      </c>
      <c r="G147" s="695">
        <v>5.4103609800000001E-2</v>
      </c>
      <c r="H147" s="700">
        <v>1</v>
      </c>
      <c r="I147" s="626"/>
      <c r="J147" s="751"/>
      <c r="L147" s="608" t="s">
        <v>56</v>
      </c>
      <c r="M147" s="608" t="s">
        <v>1024</v>
      </c>
      <c r="N147" s="608" t="s">
        <v>1043</v>
      </c>
      <c r="O147" s="608">
        <v>0</v>
      </c>
      <c r="P147" s="608" t="s">
        <v>1422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898</v>
      </c>
      <c r="C148" s="376" t="s">
        <v>1785</v>
      </c>
      <c r="D148" s="376" t="s">
        <v>518</v>
      </c>
      <c r="E148" s="376" t="s">
        <v>56</v>
      </c>
      <c r="F148" s="608" t="s">
        <v>1192</v>
      </c>
      <c r="G148" s="695">
        <v>4.5086341500000002E-2</v>
      </c>
      <c r="H148" s="700">
        <v>1</v>
      </c>
      <c r="I148" s="626"/>
      <c r="J148" s="751"/>
      <c r="L148" s="608" t="s">
        <v>56</v>
      </c>
      <c r="M148" s="608" t="s">
        <v>1024</v>
      </c>
      <c r="N148" s="608" t="s">
        <v>1043</v>
      </c>
      <c r="O148" s="608">
        <v>0</v>
      </c>
      <c r="P148" s="608" t="s">
        <v>1422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899</v>
      </c>
      <c r="C149" s="665" t="s">
        <v>1178</v>
      </c>
      <c r="D149" s="665"/>
      <c r="E149" s="665"/>
      <c r="F149" s="681" t="s">
        <v>1004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6.45" outlineLevel="2">
      <c r="A150" s="376"/>
      <c r="B150" s="684" t="s">
        <v>899</v>
      </c>
      <c r="C150" s="684" t="s">
        <v>1178</v>
      </c>
      <c r="D150" s="684" t="s">
        <v>159</v>
      </c>
      <c r="E150" s="684"/>
      <c r="F150" s="685" t="s">
        <v>1916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6.45" outlineLevel="3">
      <c r="A151" s="376"/>
      <c r="B151" s="376" t="s">
        <v>899</v>
      </c>
      <c r="C151" s="376" t="s">
        <v>1178</v>
      </c>
      <c r="D151" s="376" t="s">
        <v>159</v>
      </c>
      <c r="E151" s="376" t="s">
        <v>1162</v>
      </c>
      <c r="F151" s="608" t="s">
        <v>1185</v>
      </c>
      <c r="G151" s="695">
        <v>0.13</v>
      </c>
      <c r="H151" s="700">
        <v>1</v>
      </c>
      <c r="I151" s="626"/>
      <c r="J151" s="751"/>
      <c r="L151" s="608" t="s">
        <v>1162</v>
      </c>
      <c r="M151" s="608" t="s">
        <v>1181</v>
      </c>
      <c r="N151" s="608" t="s">
        <v>1182</v>
      </c>
      <c r="O151" s="608" t="s">
        <v>1183</v>
      </c>
      <c r="P151" s="608" t="s">
        <v>1184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6.45" outlineLevel="3">
      <c r="A152" s="376"/>
      <c r="B152" s="376" t="s">
        <v>899</v>
      </c>
      <c r="C152" s="376" t="s">
        <v>1178</v>
      </c>
      <c r="D152" s="376" t="s">
        <v>159</v>
      </c>
      <c r="E152" s="376" t="s">
        <v>1162</v>
      </c>
      <c r="F152" s="608" t="s">
        <v>1186</v>
      </c>
      <c r="G152" s="695">
        <v>0.13</v>
      </c>
      <c r="H152" s="700">
        <v>1</v>
      </c>
      <c r="I152" s="626"/>
      <c r="J152" s="751"/>
      <c r="L152" s="608" t="s">
        <v>1162</v>
      </c>
      <c r="M152" s="608" t="s">
        <v>1181</v>
      </c>
      <c r="N152" s="608" t="s">
        <v>1182</v>
      </c>
      <c r="O152" s="608" t="s">
        <v>1183</v>
      </c>
      <c r="P152" s="608" t="s">
        <v>1184</v>
      </c>
      <c r="Q152" s="608"/>
      <c r="R152" s="608"/>
      <c r="T152" s="751"/>
      <c r="V152" s="609">
        <f t="shared" si="20"/>
        <v>0</v>
      </c>
      <c r="W152" s="700"/>
    </row>
    <row r="153" spans="1:23" ht="26.45" outlineLevel="3">
      <c r="A153" s="376"/>
      <c r="B153" s="376" t="s">
        <v>899</v>
      </c>
      <c r="C153" s="376" t="s">
        <v>1178</v>
      </c>
      <c r="D153" s="376" t="s">
        <v>159</v>
      </c>
      <c r="E153" s="376" t="s">
        <v>1162</v>
      </c>
      <c r="F153" s="608" t="s">
        <v>1187</v>
      </c>
      <c r="G153" s="695">
        <v>0.22</v>
      </c>
      <c r="H153" s="700">
        <v>1</v>
      </c>
      <c r="I153" s="626"/>
      <c r="J153" s="751"/>
      <c r="L153" s="608" t="s">
        <v>1162</v>
      </c>
      <c r="M153" s="608" t="s">
        <v>1181</v>
      </c>
      <c r="N153" s="608" t="s">
        <v>1182</v>
      </c>
      <c r="O153" s="608" t="s">
        <v>1183</v>
      </c>
      <c r="P153" s="608" t="s">
        <v>1184</v>
      </c>
      <c r="Q153" s="608"/>
      <c r="R153" s="608"/>
      <c r="T153" s="751"/>
      <c r="V153" s="609">
        <f t="shared" si="20"/>
        <v>0</v>
      </c>
      <c r="W153" s="700"/>
    </row>
    <row r="154" spans="1:23" ht="26.45" outlineLevel="3">
      <c r="A154" s="376"/>
      <c r="B154" s="376" t="s">
        <v>899</v>
      </c>
      <c r="C154" s="376" t="s">
        <v>1178</v>
      </c>
      <c r="D154" s="376" t="s">
        <v>159</v>
      </c>
      <c r="E154" s="376" t="s">
        <v>1162</v>
      </c>
      <c r="F154" s="608" t="s">
        <v>1188</v>
      </c>
      <c r="G154" s="695">
        <v>0.22</v>
      </c>
      <c r="H154" s="700">
        <v>1</v>
      </c>
      <c r="I154" s="626"/>
      <c r="J154" s="751"/>
      <c r="L154" s="608" t="s">
        <v>1162</v>
      </c>
      <c r="M154" s="608" t="s">
        <v>1181</v>
      </c>
      <c r="N154" s="608" t="s">
        <v>1182</v>
      </c>
      <c r="O154" s="608" t="s">
        <v>1183</v>
      </c>
      <c r="P154" s="608" t="s">
        <v>1184</v>
      </c>
      <c r="Q154" s="608"/>
      <c r="R154" s="608"/>
      <c r="T154" s="751"/>
      <c r="V154" s="609">
        <f t="shared" si="20"/>
        <v>0</v>
      </c>
      <c r="W154" s="700"/>
    </row>
    <row r="155" spans="1:23" ht="26.45" outlineLevel="3">
      <c r="A155" s="376"/>
      <c r="B155" s="376" t="s">
        <v>899</v>
      </c>
      <c r="C155" s="376" t="s">
        <v>1178</v>
      </c>
      <c r="D155" s="376" t="s">
        <v>159</v>
      </c>
      <c r="E155" s="376" t="s">
        <v>1162</v>
      </c>
      <c r="F155" s="608" t="s">
        <v>1189</v>
      </c>
      <c r="G155" s="695">
        <v>0.22</v>
      </c>
      <c r="H155" s="700">
        <v>1</v>
      </c>
      <c r="I155" s="626"/>
      <c r="J155" s="751"/>
      <c r="L155" s="608" t="s">
        <v>1162</v>
      </c>
      <c r="M155" s="608" t="s">
        <v>1181</v>
      </c>
      <c r="N155" s="608" t="s">
        <v>1182</v>
      </c>
      <c r="O155" s="608" t="s">
        <v>1183</v>
      </c>
      <c r="P155" s="608" t="s">
        <v>1184</v>
      </c>
      <c r="Q155" s="608"/>
      <c r="R155" s="608"/>
      <c r="T155" s="751"/>
      <c r="V155" s="609">
        <f t="shared" si="20"/>
        <v>0</v>
      </c>
      <c r="W155" s="700"/>
    </row>
    <row r="156" spans="1:23" ht="26.45" outlineLevel="3">
      <c r="A156" s="376"/>
      <c r="B156" s="376" t="s">
        <v>899</v>
      </c>
      <c r="C156" s="376" t="s">
        <v>1178</v>
      </c>
      <c r="D156" s="376" t="s">
        <v>159</v>
      </c>
      <c r="E156" s="376" t="s">
        <v>1162</v>
      </c>
      <c r="F156" s="608" t="s">
        <v>1190</v>
      </c>
      <c r="G156" s="695">
        <v>0.03</v>
      </c>
      <c r="H156" s="700">
        <v>1</v>
      </c>
      <c r="I156" s="626"/>
      <c r="J156" s="751"/>
      <c r="L156" s="608" t="s">
        <v>1162</v>
      </c>
      <c r="M156" s="608" t="s">
        <v>1181</v>
      </c>
      <c r="N156" s="608" t="s">
        <v>1182</v>
      </c>
      <c r="O156" s="608" t="s">
        <v>1183</v>
      </c>
      <c r="P156" s="608" t="s">
        <v>1184</v>
      </c>
      <c r="Q156" s="608"/>
      <c r="R156" s="608"/>
      <c r="T156" s="751"/>
      <c r="V156" s="609">
        <f t="shared" si="20"/>
        <v>0</v>
      </c>
      <c r="W156" s="700"/>
    </row>
    <row r="157" spans="1:23" ht="26.45" outlineLevel="3">
      <c r="A157" s="376"/>
      <c r="B157" s="376" t="s">
        <v>899</v>
      </c>
      <c r="C157" s="376" t="s">
        <v>1178</v>
      </c>
      <c r="D157" s="376" t="s">
        <v>159</v>
      </c>
      <c r="E157" s="376" t="s">
        <v>1162</v>
      </c>
      <c r="F157" s="608" t="s">
        <v>1917</v>
      </c>
      <c r="G157" s="695">
        <v>0.1</v>
      </c>
      <c r="H157" s="700">
        <v>1</v>
      </c>
      <c r="I157" s="626"/>
      <c r="J157" s="751"/>
      <c r="L157" s="608" t="s">
        <v>1162</v>
      </c>
      <c r="M157" s="608" t="s">
        <v>1181</v>
      </c>
      <c r="N157" s="608" t="s">
        <v>1182</v>
      </c>
      <c r="O157" s="608" t="s">
        <v>1183</v>
      </c>
      <c r="P157" s="608" t="s">
        <v>1184</v>
      </c>
      <c r="Q157" s="608"/>
      <c r="R157" s="608"/>
      <c r="T157" s="751"/>
      <c r="V157" s="609">
        <f t="shared" si="20"/>
        <v>0</v>
      </c>
      <c r="W157" s="700"/>
    </row>
    <row r="158" spans="1:23" ht="26.45" outlineLevel="3">
      <c r="A158" s="376"/>
      <c r="B158" s="376" t="s">
        <v>899</v>
      </c>
      <c r="C158" s="376" t="s">
        <v>1178</v>
      </c>
      <c r="D158" s="376" t="s">
        <v>159</v>
      </c>
      <c r="E158" s="376" t="s">
        <v>1162</v>
      </c>
      <c r="F158" s="608" t="s">
        <v>1542</v>
      </c>
      <c r="G158" s="695">
        <v>0.1</v>
      </c>
      <c r="H158" s="700">
        <v>1</v>
      </c>
      <c r="I158" s="626"/>
      <c r="J158" s="751"/>
      <c r="L158" s="608" t="s">
        <v>1162</v>
      </c>
      <c r="M158" s="608" t="s">
        <v>1181</v>
      </c>
      <c r="N158" s="608" t="s">
        <v>1182</v>
      </c>
      <c r="O158" s="608" t="s">
        <v>1183</v>
      </c>
      <c r="P158" s="608" t="s">
        <v>1184</v>
      </c>
      <c r="Q158" s="608"/>
      <c r="R158" s="608"/>
      <c r="T158" s="751"/>
      <c r="V158" s="609">
        <f t="shared" si="20"/>
        <v>0</v>
      </c>
      <c r="W158" s="700"/>
    </row>
    <row r="159" spans="1:23" ht="26.45" outlineLevel="3">
      <c r="A159" s="376"/>
      <c r="B159" s="376" t="s">
        <v>899</v>
      </c>
      <c r="C159" s="376" t="s">
        <v>1178</v>
      </c>
      <c r="D159" s="376" t="s">
        <v>159</v>
      </c>
      <c r="E159" s="376" t="s">
        <v>1162</v>
      </c>
      <c r="F159" s="608" t="s">
        <v>1193</v>
      </c>
      <c r="G159" s="695">
        <v>0.4</v>
      </c>
      <c r="H159" s="700">
        <v>1</v>
      </c>
      <c r="I159" s="626"/>
      <c r="J159" s="751"/>
      <c r="L159" s="608" t="s">
        <v>1162</v>
      </c>
      <c r="M159" s="608" t="s">
        <v>1181</v>
      </c>
      <c r="N159" s="608" t="s">
        <v>1182</v>
      </c>
      <c r="O159" s="608" t="s">
        <v>1183</v>
      </c>
      <c r="P159" s="608" t="s">
        <v>1184</v>
      </c>
      <c r="Q159" s="608"/>
      <c r="R159" s="608"/>
      <c r="T159" s="751"/>
      <c r="V159" s="609">
        <f t="shared" si="20"/>
        <v>0</v>
      </c>
      <c r="W159" s="700"/>
    </row>
    <row r="160" spans="1:23" ht="26.45" outlineLevel="3">
      <c r="A160" s="376"/>
      <c r="B160" s="376" t="s">
        <v>899</v>
      </c>
      <c r="C160" s="376" t="s">
        <v>1178</v>
      </c>
      <c r="D160" s="376" t="s">
        <v>159</v>
      </c>
      <c r="E160" s="376" t="s">
        <v>1162</v>
      </c>
      <c r="F160" s="608" t="s">
        <v>1194</v>
      </c>
      <c r="G160" s="695">
        <v>0.4</v>
      </c>
      <c r="H160" s="700">
        <v>1</v>
      </c>
      <c r="I160" s="626"/>
      <c r="J160" s="751"/>
      <c r="L160" s="608" t="s">
        <v>1162</v>
      </c>
      <c r="M160" s="608" t="s">
        <v>1181</v>
      </c>
      <c r="N160" s="608" t="s">
        <v>1182</v>
      </c>
      <c r="O160" s="608" t="s">
        <v>1183</v>
      </c>
      <c r="P160" s="608" t="s">
        <v>1184</v>
      </c>
      <c r="Q160" s="608"/>
      <c r="R160" s="608"/>
      <c r="T160" s="751"/>
      <c r="V160" s="609">
        <f t="shared" si="20"/>
        <v>0</v>
      </c>
      <c r="W160" s="700"/>
    </row>
    <row r="161" spans="1:23" ht="26.45" outlineLevel="2">
      <c r="A161" s="376"/>
      <c r="B161" s="684" t="s">
        <v>899</v>
      </c>
      <c r="C161" s="684" t="s">
        <v>1178</v>
      </c>
      <c r="D161" s="684" t="s">
        <v>518</v>
      </c>
      <c r="E161" s="684"/>
      <c r="F161" s="685" t="s">
        <v>1918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899</v>
      </c>
      <c r="C162" s="376" t="s">
        <v>1178</v>
      </c>
      <c r="D162" s="376" t="s">
        <v>518</v>
      </c>
      <c r="E162" s="376" t="s">
        <v>56</v>
      </c>
      <c r="F162" s="608" t="s">
        <v>1919</v>
      </c>
      <c r="G162" s="695">
        <v>7.0000000000000007E-2</v>
      </c>
      <c r="H162" s="700">
        <v>1</v>
      </c>
      <c r="I162" s="626"/>
      <c r="J162" s="751"/>
      <c r="L162" s="608" t="s">
        <v>56</v>
      </c>
      <c r="M162" s="608" t="s">
        <v>1024</v>
      </c>
      <c r="N162" s="608" t="s">
        <v>1421</v>
      </c>
      <c r="O162" s="608"/>
      <c r="P162" s="608" t="s">
        <v>1422</v>
      </c>
      <c r="Q162" s="608"/>
      <c r="R162" s="608" t="s">
        <v>1920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899</v>
      </c>
      <c r="C163" s="376" t="s">
        <v>1178</v>
      </c>
      <c r="D163" s="376" t="s">
        <v>518</v>
      </c>
      <c r="E163" s="376" t="s">
        <v>56</v>
      </c>
      <c r="F163" s="608" t="s">
        <v>1921</v>
      </c>
      <c r="G163" s="695">
        <v>7.0000000000000007E-2</v>
      </c>
      <c r="H163" s="700">
        <v>1</v>
      </c>
      <c r="I163" s="626"/>
      <c r="J163" s="751"/>
      <c r="L163" s="608" t="s">
        <v>56</v>
      </c>
      <c r="M163" s="608" t="s">
        <v>1024</v>
      </c>
      <c r="N163" s="608" t="s">
        <v>1421</v>
      </c>
      <c r="O163" s="608"/>
      <c r="P163" s="608" t="s">
        <v>1422</v>
      </c>
      <c r="Q163" s="608"/>
      <c r="R163" s="608" t="s">
        <v>1920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899</v>
      </c>
      <c r="C164" s="376" t="s">
        <v>1178</v>
      </c>
      <c r="D164" s="376" t="s">
        <v>518</v>
      </c>
      <c r="E164" s="376" t="s">
        <v>56</v>
      </c>
      <c r="F164" s="608" t="s">
        <v>1922</v>
      </c>
      <c r="G164" s="695">
        <v>7.0000000000000007E-2</v>
      </c>
      <c r="H164" s="700">
        <v>1</v>
      </c>
      <c r="I164" s="626"/>
      <c r="J164" s="751"/>
      <c r="L164" s="608" t="s">
        <v>56</v>
      </c>
      <c r="M164" s="608" t="s">
        <v>1024</v>
      </c>
      <c r="N164" s="608" t="s">
        <v>1421</v>
      </c>
      <c r="O164" s="608"/>
      <c r="P164" s="608" t="s">
        <v>1422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899</v>
      </c>
      <c r="C165" s="376" t="s">
        <v>1178</v>
      </c>
      <c r="D165" s="376" t="s">
        <v>518</v>
      </c>
      <c r="E165" s="376" t="s">
        <v>56</v>
      </c>
      <c r="F165" s="608" t="s">
        <v>1923</v>
      </c>
      <c r="G165" s="695">
        <v>7.0000000000000007E-2</v>
      </c>
      <c r="H165" s="700">
        <v>1</v>
      </c>
      <c r="I165" s="626"/>
      <c r="J165" s="751"/>
      <c r="L165" s="608" t="s">
        <v>56</v>
      </c>
      <c r="M165" s="608" t="s">
        <v>1024</v>
      </c>
      <c r="N165" s="608" t="s">
        <v>1421</v>
      </c>
      <c r="O165" s="608"/>
      <c r="P165" s="608" t="s">
        <v>1422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899</v>
      </c>
      <c r="C166" s="376" t="s">
        <v>1178</v>
      </c>
      <c r="D166" s="376" t="s">
        <v>518</v>
      </c>
      <c r="E166" s="376" t="s">
        <v>56</v>
      </c>
      <c r="F166" s="608" t="s">
        <v>1924</v>
      </c>
      <c r="G166" s="695">
        <v>0.13</v>
      </c>
      <c r="H166" s="700">
        <v>1</v>
      </c>
      <c r="I166" s="626"/>
      <c r="J166" s="751"/>
      <c r="L166" s="608" t="s">
        <v>56</v>
      </c>
      <c r="M166" s="608" t="s">
        <v>1024</v>
      </c>
      <c r="N166" s="608" t="s">
        <v>1925</v>
      </c>
      <c r="O166" s="608"/>
      <c r="P166" s="608" t="s">
        <v>1422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899</v>
      </c>
      <c r="C167" s="376" t="s">
        <v>1178</v>
      </c>
      <c r="D167" s="376" t="s">
        <v>518</v>
      </c>
      <c r="E167" s="376" t="s">
        <v>56</v>
      </c>
      <c r="F167" s="608" t="s">
        <v>1926</v>
      </c>
      <c r="G167" s="695">
        <v>0.13</v>
      </c>
      <c r="H167" s="700">
        <v>1</v>
      </c>
      <c r="I167" s="626"/>
      <c r="J167" s="751"/>
      <c r="L167" s="608" t="s">
        <v>56</v>
      </c>
      <c r="M167" s="608" t="s">
        <v>1024</v>
      </c>
      <c r="N167" s="608" t="s">
        <v>1925</v>
      </c>
      <c r="O167" s="608"/>
      <c r="P167" s="608" t="s">
        <v>1422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899</v>
      </c>
      <c r="C168" s="376" t="s">
        <v>1178</v>
      </c>
      <c r="D168" s="376" t="s">
        <v>518</v>
      </c>
      <c r="E168" s="376" t="s">
        <v>56</v>
      </c>
      <c r="F168" s="608" t="s">
        <v>1536</v>
      </c>
      <c r="G168" s="695">
        <v>0.09</v>
      </c>
      <c r="H168" s="700">
        <v>1</v>
      </c>
      <c r="I168" s="626"/>
      <c r="J168" s="751"/>
      <c r="L168" s="608" t="s">
        <v>56</v>
      </c>
      <c r="M168" s="608" t="s">
        <v>1024</v>
      </c>
      <c r="N168" s="608" t="s">
        <v>1421</v>
      </c>
      <c r="O168" s="608"/>
      <c r="P168" s="608" t="s">
        <v>1422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899</v>
      </c>
      <c r="C169" s="376" t="s">
        <v>1178</v>
      </c>
      <c r="D169" s="376" t="s">
        <v>518</v>
      </c>
      <c r="E169" s="376" t="s">
        <v>56</v>
      </c>
      <c r="F169" s="608" t="s">
        <v>1537</v>
      </c>
      <c r="G169" s="695">
        <v>0.09</v>
      </c>
      <c r="H169" s="700">
        <v>1</v>
      </c>
      <c r="I169" s="626"/>
      <c r="J169" s="751"/>
      <c r="L169" s="608" t="s">
        <v>56</v>
      </c>
      <c r="M169" s="608" t="s">
        <v>1024</v>
      </c>
      <c r="N169" s="608" t="s">
        <v>1421</v>
      </c>
      <c r="O169" s="608"/>
      <c r="P169" s="608" t="s">
        <v>1422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899</v>
      </c>
      <c r="C170" s="376" t="s">
        <v>1178</v>
      </c>
      <c r="D170" s="376" t="s">
        <v>518</v>
      </c>
      <c r="E170" s="376" t="s">
        <v>56</v>
      </c>
      <c r="F170" s="608" t="s">
        <v>1538</v>
      </c>
      <c r="G170" s="695">
        <v>0.09</v>
      </c>
      <c r="H170" s="700">
        <v>1</v>
      </c>
      <c r="I170" s="626"/>
      <c r="J170" s="751"/>
      <c r="L170" s="608" t="s">
        <v>56</v>
      </c>
      <c r="M170" s="608" t="s">
        <v>1024</v>
      </c>
      <c r="N170" s="608" t="s">
        <v>1421</v>
      </c>
      <c r="O170" s="608"/>
      <c r="P170" s="608" t="s">
        <v>1422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9.150000000000006" outlineLevel="3">
      <c r="A171" s="376"/>
      <c r="B171" s="376" t="s">
        <v>899</v>
      </c>
      <c r="C171" s="376" t="s">
        <v>1178</v>
      </c>
      <c r="D171" s="376" t="s">
        <v>518</v>
      </c>
      <c r="E171" s="376" t="s">
        <v>56</v>
      </c>
      <c r="F171" s="608" t="s">
        <v>1927</v>
      </c>
      <c r="G171" s="695">
        <v>0.13</v>
      </c>
      <c r="H171" s="700">
        <v>1</v>
      </c>
      <c r="I171" s="626"/>
      <c r="J171" s="751"/>
      <c r="L171" s="608" t="s">
        <v>56</v>
      </c>
      <c r="M171" s="608" t="s">
        <v>1024</v>
      </c>
      <c r="N171" s="608" t="s">
        <v>1540</v>
      </c>
      <c r="O171" s="608"/>
      <c r="P171" s="608" t="s">
        <v>1422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9.150000000000006" outlineLevel="3">
      <c r="A172" s="376"/>
      <c r="B172" s="376" t="s">
        <v>899</v>
      </c>
      <c r="C172" s="376" t="s">
        <v>1178</v>
      </c>
      <c r="D172" s="376" t="s">
        <v>518</v>
      </c>
      <c r="E172" s="376" t="s">
        <v>56</v>
      </c>
      <c r="F172" s="608" t="s">
        <v>1542</v>
      </c>
      <c r="G172" s="695">
        <v>0.13</v>
      </c>
      <c r="H172" s="700">
        <v>1</v>
      </c>
      <c r="I172" s="626"/>
      <c r="J172" s="751"/>
      <c r="L172" s="608" t="s">
        <v>56</v>
      </c>
      <c r="M172" s="608" t="s">
        <v>1024</v>
      </c>
      <c r="N172" s="608" t="s">
        <v>1540</v>
      </c>
      <c r="O172" s="608"/>
      <c r="P172" s="608" t="s">
        <v>1422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946</v>
      </c>
      <c r="C173" s="666" t="s">
        <v>1195</v>
      </c>
      <c r="D173" s="666"/>
      <c r="E173" s="666"/>
      <c r="F173" s="681" t="s">
        <v>1004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6.45" outlineLevel="2">
      <c r="A174" s="376"/>
      <c r="B174" s="684" t="s">
        <v>946</v>
      </c>
      <c r="C174" s="684" t="s">
        <v>1195</v>
      </c>
      <c r="D174" s="684" t="s">
        <v>159</v>
      </c>
      <c r="E174" s="684"/>
      <c r="F174" s="685" t="s">
        <v>1196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6.45" outlineLevel="3">
      <c r="A175" s="376"/>
      <c r="B175" s="376" t="s">
        <v>946</v>
      </c>
      <c r="C175" s="376" t="s">
        <v>1195</v>
      </c>
      <c r="D175" s="376" t="s">
        <v>159</v>
      </c>
      <c r="E175" s="376" t="s">
        <v>1162</v>
      </c>
      <c r="F175" s="608" t="s">
        <v>1197</v>
      </c>
      <c r="G175" s="609">
        <v>0.13060359000000002</v>
      </c>
      <c r="H175" s="692">
        <v>1</v>
      </c>
      <c r="I175" s="626"/>
      <c r="J175" s="751"/>
      <c r="L175" s="608" t="s">
        <v>1162</v>
      </c>
      <c r="M175" s="608" t="s">
        <v>1181</v>
      </c>
      <c r="N175" s="608" t="s">
        <v>1182</v>
      </c>
      <c r="O175" s="608" t="s">
        <v>1198</v>
      </c>
      <c r="P175" s="608" t="s">
        <v>1183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6.45" outlineLevel="3">
      <c r="A176" s="376"/>
      <c r="B176" s="376" t="s">
        <v>946</v>
      </c>
      <c r="C176" s="376" t="s">
        <v>1195</v>
      </c>
      <c r="D176" s="376" t="s">
        <v>159</v>
      </c>
      <c r="E176" s="376" t="s">
        <v>1162</v>
      </c>
      <c r="F176" s="608" t="s">
        <v>1199</v>
      </c>
      <c r="G176" s="609">
        <v>7.8362154000000003E-2</v>
      </c>
      <c r="H176" s="692">
        <v>1</v>
      </c>
      <c r="I176" s="626"/>
      <c r="J176" s="751"/>
      <c r="L176" s="608" t="s">
        <v>1162</v>
      </c>
      <c r="M176" s="608" t="s">
        <v>1181</v>
      </c>
      <c r="N176" s="608" t="s">
        <v>1182</v>
      </c>
      <c r="O176" s="608" t="s">
        <v>1198</v>
      </c>
      <c r="P176" s="608" t="s">
        <v>1183</v>
      </c>
      <c r="Q176" s="608"/>
      <c r="R176" s="608"/>
      <c r="T176" s="751"/>
      <c r="V176" s="609">
        <f t="shared" si="22"/>
        <v>0</v>
      </c>
      <c r="W176" s="692"/>
    </row>
    <row r="177" spans="1:23" ht="26.45" outlineLevel="3">
      <c r="A177" s="376"/>
      <c r="B177" s="376" t="s">
        <v>946</v>
      </c>
      <c r="C177" s="376" t="s">
        <v>1195</v>
      </c>
      <c r="D177" s="376" t="s">
        <v>159</v>
      </c>
      <c r="E177" s="376" t="s">
        <v>1162</v>
      </c>
      <c r="F177" s="608" t="s">
        <v>1200</v>
      </c>
      <c r="G177" s="609">
        <v>9.2092275000000001E-2</v>
      </c>
      <c r="H177" s="692">
        <v>1</v>
      </c>
      <c r="I177" s="626"/>
      <c r="J177" s="751"/>
      <c r="L177" s="608" t="s">
        <v>1162</v>
      </c>
      <c r="M177" s="608" t="s">
        <v>1181</v>
      </c>
      <c r="N177" s="608" t="s">
        <v>1182</v>
      </c>
      <c r="O177" s="608" t="s">
        <v>1198</v>
      </c>
      <c r="P177" s="608" t="s">
        <v>1183</v>
      </c>
      <c r="Q177" s="608"/>
      <c r="R177" s="608"/>
      <c r="T177" s="751"/>
      <c r="V177" s="609">
        <f t="shared" si="22"/>
        <v>0</v>
      </c>
      <c r="W177" s="692"/>
    </row>
    <row r="178" spans="1:23" ht="26.45" outlineLevel="2">
      <c r="A178" s="376"/>
      <c r="B178" s="684" t="s">
        <v>946</v>
      </c>
      <c r="C178" s="684" t="s">
        <v>1195</v>
      </c>
      <c r="D178" s="684" t="s">
        <v>518</v>
      </c>
      <c r="E178" s="684"/>
      <c r="F178" s="685" t="s">
        <v>1196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946</v>
      </c>
      <c r="C179" s="376" t="s">
        <v>1195</v>
      </c>
      <c r="D179" s="376" t="s">
        <v>518</v>
      </c>
      <c r="E179" s="376" t="s">
        <v>56</v>
      </c>
      <c r="F179" s="608" t="s">
        <v>1197</v>
      </c>
      <c r="G179" s="609">
        <v>0.11799571852507491</v>
      </c>
      <c r="H179" s="692">
        <v>1</v>
      </c>
      <c r="I179" s="626"/>
      <c r="J179" s="751"/>
      <c r="L179" s="608" t="s">
        <v>56</v>
      </c>
      <c r="M179" s="608" t="s">
        <v>1024</v>
      </c>
      <c r="N179" s="608" t="s">
        <v>1043</v>
      </c>
      <c r="O179" s="608"/>
      <c r="P179" s="608" t="s">
        <v>1543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946</v>
      </c>
      <c r="C180" s="376" t="s">
        <v>1195</v>
      </c>
      <c r="D180" s="376" t="s">
        <v>518</v>
      </c>
      <c r="E180" s="376" t="s">
        <v>56</v>
      </c>
      <c r="F180" s="608" t="s">
        <v>1199</v>
      </c>
      <c r="G180" s="609">
        <v>0.11799571852507491</v>
      </c>
      <c r="H180" s="692">
        <v>1</v>
      </c>
      <c r="I180" s="626"/>
      <c r="J180" s="751"/>
      <c r="L180" s="608" t="s">
        <v>56</v>
      </c>
      <c r="M180" s="608" t="s">
        <v>1024</v>
      </c>
      <c r="N180" s="608" t="s">
        <v>1043</v>
      </c>
      <c r="O180" s="608"/>
      <c r="P180" s="608" t="s">
        <v>1543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946</v>
      </c>
      <c r="C181" s="376" t="s">
        <v>1195</v>
      </c>
      <c r="D181" s="376" t="s">
        <v>518</v>
      </c>
      <c r="E181" s="376" t="s">
        <v>56</v>
      </c>
      <c r="F181" s="608" t="s">
        <v>1544</v>
      </c>
      <c r="G181" s="609">
        <v>9.7617811500000009E-3</v>
      </c>
      <c r="H181" s="692">
        <v>1</v>
      </c>
      <c r="I181" s="626"/>
      <c r="J181" s="751"/>
      <c r="L181" s="608" t="s">
        <v>56</v>
      </c>
      <c r="M181" s="608"/>
      <c r="N181" s="608" t="s">
        <v>1545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946</v>
      </c>
      <c r="C182" s="376" t="s">
        <v>1195</v>
      </c>
      <c r="D182" s="376" t="s">
        <v>518</v>
      </c>
      <c r="E182" s="376" t="s">
        <v>56</v>
      </c>
      <c r="F182" s="608" t="s">
        <v>1200</v>
      </c>
      <c r="G182" s="609">
        <v>3.9047124600000004E-2</v>
      </c>
      <c r="H182" s="692">
        <v>1</v>
      </c>
      <c r="I182" s="626"/>
      <c r="J182" s="751"/>
      <c r="L182" s="608" t="s">
        <v>56</v>
      </c>
      <c r="M182" s="608"/>
      <c r="N182" s="608" t="s">
        <v>1545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6.45" outlineLevel="2">
      <c r="A183" s="376"/>
      <c r="B183" s="684" t="s">
        <v>946</v>
      </c>
      <c r="C183" s="684" t="s">
        <v>1195</v>
      </c>
      <c r="D183" s="684" t="s">
        <v>441</v>
      </c>
      <c r="E183" s="684"/>
      <c r="F183" s="685" t="s">
        <v>1423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946</v>
      </c>
      <c r="C184" s="376" t="s">
        <v>1195</v>
      </c>
      <c r="D184" s="376" t="s">
        <v>441</v>
      </c>
      <c r="E184" s="376" t="s">
        <v>437</v>
      </c>
      <c r="F184" s="608" t="s">
        <v>1197</v>
      </c>
      <c r="G184" s="609">
        <v>3.0822447240000002E-2</v>
      </c>
      <c r="H184" s="692">
        <v>1</v>
      </c>
      <c r="I184" s="626"/>
      <c r="J184" s="751"/>
      <c r="L184" s="608" t="s">
        <v>437</v>
      </c>
      <c r="M184" s="608" t="s">
        <v>1046</v>
      </c>
      <c r="N184" s="608" t="s">
        <v>1424</v>
      </c>
      <c r="O184" s="608" t="s">
        <v>1425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9.6" outlineLevel="3">
      <c r="A185" s="376"/>
      <c r="B185" s="376" t="s">
        <v>946</v>
      </c>
      <c r="C185" s="376" t="s">
        <v>1195</v>
      </c>
      <c r="D185" s="376" t="s">
        <v>441</v>
      </c>
      <c r="E185" s="376" t="s">
        <v>437</v>
      </c>
      <c r="F185" s="608" t="s">
        <v>1200</v>
      </c>
      <c r="G185" s="609">
        <v>1.6300332674999998E-2</v>
      </c>
      <c r="H185" s="692">
        <v>1</v>
      </c>
      <c r="I185" s="626"/>
      <c r="J185" s="751"/>
      <c r="L185" s="608" t="s">
        <v>437</v>
      </c>
      <c r="M185" s="608" t="s">
        <v>1046</v>
      </c>
      <c r="N185" s="608" t="s">
        <v>1424</v>
      </c>
      <c r="O185" s="608" t="s">
        <v>1425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901</v>
      </c>
      <c r="C186" s="665" t="s">
        <v>1201</v>
      </c>
      <c r="D186" s="665"/>
      <c r="E186" s="665"/>
      <c r="F186" s="681" t="s">
        <v>1004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901</v>
      </c>
      <c r="C187" s="684" t="s">
        <v>1201</v>
      </c>
      <c r="D187" s="684" t="s">
        <v>159</v>
      </c>
      <c r="E187" s="684"/>
      <c r="F187" s="685" t="s">
        <v>1179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6.45" outlineLevel="3">
      <c r="A188" s="376"/>
      <c r="B188" s="376" t="s">
        <v>901</v>
      </c>
      <c r="C188" s="376" t="s">
        <v>1201</v>
      </c>
      <c r="D188" s="376" t="s">
        <v>159</v>
      </c>
      <c r="E188" s="376" t="s">
        <v>1162</v>
      </c>
      <c r="F188" s="608" t="s">
        <v>1202</v>
      </c>
      <c r="G188" s="695">
        <v>0.3</v>
      </c>
      <c r="H188" s="700">
        <v>1</v>
      </c>
      <c r="I188" s="626"/>
      <c r="J188" s="751"/>
      <c r="L188" s="608" t="s">
        <v>1162</v>
      </c>
      <c r="M188" s="608" t="s">
        <v>1181</v>
      </c>
      <c r="N188" s="608" t="s">
        <v>1203</v>
      </c>
      <c r="O188" s="608" t="s">
        <v>1204</v>
      </c>
      <c r="P188" s="608" t="s">
        <v>1205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6.45" outlineLevel="3">
      <c r="A189" s="376"/>
      <c r="B189" s="376" t="s">
        <v>901</v>
      </c>
      <c r="C189" s="376" t="s">
        <v>1201</v>
      </c>
      <c r="D189" s="376" t="s">
        <v>159</v>
      </c>
      <c r="E189" s="376" t="s">
        <v>1162</v>
      </c>
      <c r="F189" s="608" t="s">
        <v>1190</v>
      </c>
      <c r="G189" s="695">
        <v>0.09</v>
      </c>
      <c r="H189" s="700">
        <v>1</v>
      </c>
      <c r="I189" s="626"/>
      <c r="J189" s="751"/>
      <c r="L189" s="608" t="s">
        <v>1162</v>
      </c>
      <c r="M189" s="608" t="s">
        <v>1181</v>
      </c>
      <c r="N189" s="608" t="s">
        <v>1203</v>
      </c>
      <c r="O189" s="608" t="s">
        <v>1204</v>
      </c>
      <c r="P189" s="608" t="s">
        <v>1205</v>
      </c>
      <c r="Q189" s="608"/>
      <c r="R189" s="608"/>
      <c r="T189" s="751"/>
      <c r="V189" s="609">
        <f t="shared" si="25"/>
        <v>0</v>
      </c>
      <c r="W189" s="700"/>
    </row>
    <row r="190" spans="1:23" ht="26.45" outlineLevel="3">
      <c r="A190" s="376"/>
      <c r="B190" s="376" t="s">
        <v>901</v>
      </c>
      <c r="C190" s="376" t="s">
        <v>1201</v>
      </c>
      <c r="D190" s="376" t="s">
        <v>159</v>
      </c>
      <c r="E190" s="376" t="s">
        <v>1162</v>
      </c>
      <c r="F190" s="608" t="s">
        <v>1191</v>
      </c>
      <c r="G190" s="695">
        <v>0.03</v>
      </c>
      <c r="H190" s="700">
        <v>1</v>
      </c>
      <c r="I190" s="626"/>
      <c r="J190" s="751"/>
      <c r="L190" s="608" t="s">
        <v>1162</v>
      </c>
      <c r="M190" s="608" t="s">
        <v>1181</v>
      </c>
      <c r="N190" s="608" t="s">
        <v>1203</v>
      </c>
      <c r="O190" s="608" t="s">
        <v>1204</v>
      </c>
      <c r="P190" s="608" t="s">
        <v>1205</v>
      </c>
      <c r="Q190" s="608"/>
      <c r="R190" s="608"/>
      <c r="T190" s="751"/>
      <c r="V190" s="609">
        <f t="shared" si="25"/>
        <v>0</v>
      </c>
      <c r="W190" s="700"/>
    </row>
    <row r="191" spans="1:23" ht="26.45" outlineLevel="3">
      <c r="A191" s="376"/>
      <c r="B191" s="376" t="s">
        <v>901</v>
      </c>
      <c r="C191" s="376" t="s">
        <v>1201</v>
      </c>
      <c r="D191" s="376" t="s">
        <v>159</v>
      </c>
      <c r="E191" s="376" t="s">
        <v>1162</v>
      </c>
      <c r="F191" s="608" t="s">
        <v>1192</v>
      </c>
      <c r="G191" s="695">
        <v>0.03</v>
      </c>
      <c r="H191" s="700">
        <v>1</v>
      </c>
      <c r="I191" s="626"/>
      <c r="J191" s="751"/>
      <c r="L191" s="608" t="s">
        <v>1162</v>
      </c>
      <c r="M191" s="608" t="s">
        <v>1181</v>
      </c>
      <c r="N191" s="608" t="s">
        <v>1203</v>
      </c>
      <c r="O191" s="608" t="s">
        <v>1204</v>
      </c>
      <c r="P191" s="608" t="s">
        <v>1205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901</v>
      </c>
      <c r="C192" s="684" t="s">
        <v>1201</v>
      </c>
      <c r="D192" s="684" t="s">
        <v>518</v>
      </c>
      <c r="E192" s="684"/>
      <c r="F192" s="685" t="s">
        <v>1179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6.45" outlineLevel="3">
      <c r="A193" s="376"/>
      <c r="B193" s="376" t="s">
        <v>901</v>
      </c>
      <c r="C193" s="376" t="s">
        <v>1201</v>
      </c>
      <c r="D193" s="376" t="s">
        <v>518</v>
      </c>
      <c r="E193" s="376" t="s">
        <v>56</v>
      </c>
      <c r="F193" s="608" t="s">
        <v>1928</v>
      </c>
      <c r="G193" s="695">
        <v>0.08</v>
      </c>
      <c r="H193" s="700">
        <v>1</v>
      </c>
      <c r="I193" s="626"/>
      <c r="J193" s="751"/>
      <c r="L193" s="608" t="s">
        <v>56</v>
      </c>
      <c r="M193" s="608" t="s">
        <v>1024</v>
      </c>
      <c r="N193" s="608" t="s">
        <v>1547</v>
      </c>
      <c r="O193" s="608"/>
      <c r="P193" s="608" t="s">
        <v>1548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901</v>
      </c>
      <c r="C194" s="376" t="s">
        <v>1201</v>
      </c>
      <c r="D194" s="376" t="s">
        <v>518</v>
      </c>
      <c r="E194" s="376" t="s">
        <v>56</v>
      </c>
      <c r="F194" s="608" t="s">
        <v>1546</v>
      </c>
      <c r="G194" s="609">
        <v>0.17</v>
      </c>
      <c r="H194" s="700">
        <v>1</v>
      </c>
      <c r="I194" s="626"/>
      <c r="J194" s="751"/>
      <c r="L194" s="608" t="s">
        <v>56</v>
      </c>
      <c r="M194" s="608" t="s">
        <v>1024</v>
      </c>
      <c r="N194" s="608" t="s">
        <v>1547</v>
      </c>
      <c r="O194" s="608"/>
      <c r="P194" s="608" t="s">
        <v>1548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901</v>
      </c>
      <c r="C195" s="376" t="s">
        <v>1201</v>
      </c>
      <c r="D195" s="376" t="s">
        <v>518</v>
      </c>
      <c r="E195" s="376" t="s">
        <v>56</v>
      </c>
      <c r="F195" s="608" t="s">
        <v>1191</v>
      </c>
      <c r="G195" s="695">
        <v>0.03</v>
      </c>
      <c r="H195" s="700">
        <v>1</v>
      </c>
      <c r="I195" s="626"/>
      <c r="J195" s="751"/>
      <c r="L195" s="608" t="s">
        <v>56</v>
      </c>
      <c r="M195" s="608" t="s">
        <v>1024</v>
      </c>
      <c r="N195" s="608" t="s">
        <v>1547</v>
      </c>
      <c r="O195" s="608"/>
      <c r="P195" s="608" t="s">
        <v>1548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901</v>
      </c>
      <c r="C196" s="376" t="s">
        <v>1201</v>
      </c>
      <c r="D196" s="376" t="s">
        <v>518</v>
      </c>
      <c r="E196" s="376" t="s">
        <v>56</v>
      </c>
      <c r="F196" s="608" t="s">
        <v>1192</v>
      </c>
      <c r="G196" s="695">
        <v>0.03</v>
      </c>
      <c r="H196" s="700">
        <v>1</v>
      </c>
      <c r="I196" s="626"/>
      <c r="J196" s="751"/>
      <c r="L196" s="608" t="s">
        <v>56</v>
      </c>
      <c r="M196" s="608" t="s">
        <v>1024</v>
      </c>
      <c r="N196" s="608" t="s">
        <v>1547</v>
      </c>
      <c r="O196" s="608"/>
      <c r="P196" s="608" t="s">
        <v>1548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6.45" outlineLevel="3">
      <c r="A197" s="376"/>
      <c r="B197" s="376" t="s">
        <v>901</v>
      </c>
      <c r="C197" s="376" t="s">
        <v>1201</v>
      </c>
      <c r="D197" s="376" t="s">
        <v>518</v>
      </c>
      <c r="E197" s="376" t="s">
        <v>56</v>
      </c>
      <c r="F197" s="608" t="s">
        <v>1549</v>
      </c>
      <c r="G197" s="695">
        <v>7.0000000000000007E-2</v>
      </c>
      <c r="H197" s="700">
        <v>1</v>
      </c>
      <c r="I197" s="626"/>
      <c r="J197" s="751"/>
      <c r="L197" s="608" t="s">
        <v>56</v>
      </c>
      <c r="M197" s="608" t="s">
        <v>1024</v>
      </c>
      <c r="N197" s="608" t="s">
        <v>1547</v>
      </c>
      <c r="O197" s="608"/>
      <c r="P197" s="608" t="s">
        <v>1548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901</v>
      </c>
      <c r="C198" s="684" t="s">
        <v>1201</v>
      </c>
      <c r="D198" s="684" t="s">
        <v>441</v>
      </c>
      <c r="E198" s="684"/>
      <c r="F198" s="685" t="s">
        <v>1179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901</v>
      </c>
      <c r="C199" s="376" t="s">
        <v>1201</v>
      </c>
      <c r="D199" s="376" t="s">
        <v>441</v>
      </c>
      <c r="E199" s="376" t="s">
        <v>437</v>
      </c>
      <c r="F199" s="608" t="s">
        <v>1192</v>
      </c>
      <c r="G199" s="695">
        <v>0.04</v>
      </c>
      <c r="H199" s="700">
        <v>1</v>
      </c>
      <c r="I199" s="626"/>
      <c r="J199" s="751"/>
      <c r="L199" s="608" t="s">
        <v>437</v>
      </c>
      <c r="M199" s="608" t="s">
        <v>1046</v>
      </c>
      <c r="N199" s="608" t="s">
        <v>1388</v>
      </c>
      <c r="O199" s="608" t="s">
        <v>1392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162</v>
      </c>
      <c r="C200" s="665" t="s">
        <v>162</v>
      </c>
      <c r="D200" s="665"/>
      <c r="E200" s="665"/>
      <c r="F200" s="681" t="s">
        <v>1004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6.45" outlineLevel="2">
      <c r="A201" s="376"/>
      <c r="B201" s="684" t="s">
        <v>162</v>
      </c>
      <c r="C201" s="684" t="s">
        <v>162</v>
      </c>
      <c r="D201" s="684" t="s">
        <v>159</v>
      </c>
      <c r="E201" s="684"/>
      <c r="F201" s="685" t="s">
        <v>1312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162</v>
      </c>
      <c r="C202" s="376" t="s">
        <v>162</v>
      </c>
      <c r="D202" s="376" t="s">
        <v>159</v>
      </c>
      <c r="E202" s="376" t="s">
        <v>1007</v>
      </c>
      <c r="F202" s="608" t="s">
        <v>1313</v>
      </c>
      <c r="G202" s="695">
        <v>0.61910190521203401</v>
      </c>
      <c r="H202" s="700">
        <v>1</v>
      </c>
      <c r="I202" s="626"/>
      <c r="J202" s="751"/>
      <c r="L202" s="608" t="s">
        <v>1007</v>
      </c>
      <c r="M202" s="608" t="s">
        <v>1314</v>
      </c>
      <c r="N202" s="608" t="s">
        <v>1315</v>
      </c>
      <c r="O202" s="608" t="s">
        <v>1316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162</v>
      </c>
      <c r="C203" s="376" t="s">
        <v>162</v>
      </c>
      <c r="D203" s="376" t="s">
        <v>159</v>
      </c>
      <c r="E203" s="376" t="s">
        <v>1007</v>
      </c>
      <c r="F203" s="608" t="s">
        <v>1317</v>
      </c>
      <c r="G203" s="695">
        <v>0.61910190521203401</v>
      </c>
      <c r="H203" s="700">
        <v>1</v>
      </c>
      <c r="I203" s="626"/>
      <c r="J203" s="751"/>
      <c r="L203" s="608" t="s">
        <v>1007</v>
      </c>
      <c r="M203" s="608" t="s">
        <v>1314</v>
      </c>
      <c r="N203" s="608" t="s">
        <v>1315</v>
      </c>
      <c r="O203" s="608" t="s">
        <v>1316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162</v>
      </c>
      <c r="C204" s="376" t="s">
        <v>162</v>
      </c>
      <c r="D204" s="376" t="s">
        <v>159</v>
      </c>
      <c r="E204" s="376" t="s">
        <v>1007</v>
      </c>
      <c r="F204" s="608" t="s">
        <v>1318</v>
      </c>
      <c r="G204" s="695">
        <v>0.1547754763030085</v>
      </c>
      <c r="H204" s="700">
        <v>1</v>
      </c>
      <c r="I204" s="626"/>
      <c r="J204" s="751"/>
      <c r="L204" s="608" t="s">
        <v>1007</v>
      </c>
      <c r="M204" s="608" t="s">
        <v>1314</v>
      </c>
      <c r="N204" s="608" t="s">
        <v>1315</v>
      </c>
      <c r="O204" s="608" t="s">
        <v>1316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162</v>
      </c>
      <c r="C205" s="376" t="s">
        <v>162</v>
      </c>
      <c r="D205" s="376" t="s">
        <v>159</v>
      </c>
      <c r="E205" s="376" t="s">
        <v>1007</v>
      </c>
      <c r="F205" s="608" t="s">
        <v>245</v>
      </c>
      <c r="G205" s="609">
        <v>0.1547754763030085</v>
      </c>
      <c r="H205" s="692">
        <v>1</v>
      </c>
      <c r="J205" s="751"/>
      <c r="L205" s="608" t="s">
        <v>1007</v>
      </c>
      <c r="M205" s="608" t="s">
        <v>1314</v>
      </c>
      <c r="N205" s="608" t="s">
        <v>1315</v>
      </c>
      <c r="O205" s="608" t="s">
        <v>1316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6.45" outlineLevel="2">
      <c r="A206" s="376"/>
      <c r="B206" s="684" t="s">
        <v>162</v>
      </c>
      <c r="C206" s="684" t="s">
        <v>162</v>
      </c>
      <c r="D206" s="684" t="s">
        <v>518</v>
      </c>
      <c r="E206" s="684"/>
      <c r="F206" s="685" t="s">
        <v>1550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162</v>
      </c>
      <c r="C207" s="376" t="s">
        <v>162</v>
      </c>
      <c r="D207" s="376" t="s">
        <v>518</v>
      </c>
      <c r="E207" s="376" t="s">
        <v>56</v>
      </c>
      <c r="F207" s="608" t="s">
        <v>1551</v>
      </c>
      <c r="G207" s="695">
        <v>0.40295193575893268</v>
      </c>
      <c r="H207" s="700">
        <v>1</v>
      </c>
      <c r="I207" s="626"/>
      <c r="J207" s="751"/>
      <c r="L207" s="608" t="s">
        <v>56</v>
      </c>
      <c r="M207" s="608" t="s">
        <v>1024</v>
      </c>
      <c r="N207" s="608" t="s">
        <v>1497</v>
      </c>
      <c r="O207" s="608"/>
      <c r="P207" s="608" t="s">
        <v>1552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162</v>
      </c>
      <c r="C208" s="376" t="s">
        <v>162</v>
      </c>
      <c r="D208" s="376" t="s">
        <v>518</v>
      </c>
      <c r="E208" s="376" t="s">
        <v>56</v>
      </c>
      <c r="F208" s="608" t="s">
        <v>104</v>
      </c>
      <c r="G208" s="695">
        <v>0.33579327979911056</v>
      </c>
      <c r="H208" s="700">
        <v>1</v>
      </c>
      <c r="I208" s="626"/>
      <c r="J208" s="751"/>
      <c r="L208" s="608" t="s">
        <v>56</v>
      </c>
      <c r="M208" s="608" t="s">
        <v>1024</v>
      </c>
      <c r="N208" s="608" t="s">
        <v>1497</v>
      </c>
      <c r="O208" s="608"/>
      <c r="P208" s="608" t="s">
        <v>1552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162</v>
      </c>
      <c r="C209" s="376" t="s">
        <v>162</v>
      </c>
      <c r="D209" s="376" t="s">
        <v>518</v>
      </c>
      <c r="E209" s="376" t="s">
        <v>56</v>
      </c>
      <c r="F209" s="608" t="s">
        <v>1313</v>
      </c>
      <c r="G209" s="695">
        <v>0.21693581286679067</v>
      </c>
      <c r="H209" s="700">
        <v>1</v>
      </c>
      <c r="I209" s="626"/>
      <c r="J209" s="751"/>
      <c r="L209" s="608" t="s">
        <v>56</v>
      </c>
      <c r="M209" s="608" t="s">
        <v>1024</v>
      </c>
      <c r="N209" s="608" t="s">
        <v>1553</v>
      </c>
      <c r="O209" s="608"/>
      <c r="P209" s="608" t="s">
        <v>1552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162</v>
      </c>
      <c r="C210" s="376" t="s">
        <v>162</v>
      </c>
      <c r="D210" s="376" t="s">
        <v>518</v>
      </c>
      <c r="E210" s="376" t="s">
        <v>56</v>
      </c>
      <c r="F210" s="608" t="s">
        <v>1328</v>
      </c>
      <c r="G210" s="609">
        <v>4.9573986319083066E-2</v>
      </c>
      <c r="H210" s="692">
        <v>1</v>
      </c>
      <c r="I210" s="626"/>
      <c r="J210" s="751"/>
      <c r="L210" s="608" t="s">
        <v>56</v>
      </c>
      <c r="M210" s="608" t="s">
        <v>1024</v>
      </c>
      <c r="N210" s="608" t="s">
        <v>1553</v>
      </c>
      <c r="O210" s="608"/>
      <c r="P210" s="608" t="s">
        <v>1552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outlineLevel="2">
      <c r="A211" s="376"/>
      <c r="B211" s="684" t="s">
        <v>162</v>
      </c>
      <c r="C211" s="684" t="s">
        <v>162</v>
      </c>
      <c r="D211" s="684" t="s">
        <v>441</v>
      </c>
      <c r="E211" s="684"/>
      <c r="F211" s="685" t="s">
        <v>1929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9.6" outlineLevel="3">
      <c r="A212" s="376"/>
      <c r="B212" s="376" t="s">
        <v>162</v>
      </c>
      <c r="C212" s="376" t="s">
        <v>162</v>
      </c>
      <c r="D212" s="376" t="s">
        <v>441</v>
      </c>
      <c r="E212" s="376" t="s">
        <v>437</v>
      </c>
      <c r="F212" s="608" t="s">
        <v>1930</v>
      </c>
      <c r="G212" s="695">
        <v>4.9573986319083101E-2</v>
      </c>
      <c r="H212" s="700">
        <v>1</v>
      </c>
      <c r="I212" s="626"/>
      <c r="J212" s="751"/>
      <c r="L212" s="608" t="s">
        <v>437</v>
      </c>
      <c r="M212" s="608" t="s">
        <v>1046</v>
      </c>
      <c r="N212" s="608" t="s">
        <v>1047</v>
      </c>
      <c r="O212" s="608" t="s">
        <v>1931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1638</v>
      </c>
      <c r="C213" s="665" t="s">
        <v>1220</v>
      </c>
      <c r="D213" s="665"/>
      <c r="E213" s="665"/>
      <c r="F213" s="681" t="s">
        <v>1004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1638</v>
      </c>
      <c r="C214" s="684" t="s">
        <v>1220</v>
      </c>
      <c r="D214" s="684" t="s">
        <v>518</v>
      </c>
      <c r="E214" s="684"/>
      <c r="F214" s="685" t="s">
        <v>1179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1638</v>
      </c>
      <c r="C215" s="376" t="s">
        <v>1220</v>
      </c>
      <c r="D215" s="376" t="s">
        <v>518</v>
      </c>
      <c r="E215" s="376" t="s">
        <v>56</v>
      </c>
      <c r="F215" s="608" t="s">
        <v>1551</v>
      </c>
      <c r="G215" s="695">
        <v>0.03</v>
      </c>
      <c r="H215" s="700">
        <v>1</v>
      </c>
      <c r="I215" s="626"/>
      <c r="J215" s="751"/>
      <c r="L215" s="608" t="s">
        <v>56</v>
      </c>
      <c r="M215" s="608" t="s">
        <v>1515</v>
      </c>
      <c r="N215" s="608" t="s">
        <v>953</v>
      </c>
      <c r="O215" s="608"/>
      <c r="P215" s="608" t="s">
        <v>1548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252</v>
      </c>
      <c r="C216" s="666" t="s">
        <v>252</v>
      </c>
      <c r="D216" s="666"/>
      <c r="E216" s="666"/>
      <c r="F216" s="681" t="s">
        <v>1004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252</v>
      </c>
      <c r="C217" s="684" t="s">
        <v>252</v>
      </c>
      <c r="D217" s="684" t="s">
        <v>159</v>
      </c>
      <c r="E217" s="687"/>
      <c r="F217" s="685" t="s">
        <v>1319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252</v>
      </c>
      <c r="C218" s="376" t="s">
        <v>252</v>
      </c>
      <c r="D218" s="376" t="s">
        <v>159</v>
      </c>
      <c r="E218" s="387" t="s">
        <v>1007</v>
      </c>
      <c r="F218" s="608" t="s">
        <v>75</v>
      </c>
      <c r="G218" s="609">
        <v>7.3716905132000007E-2</v>
      </c>
      <c r="H218" s="692">
        <v>1</v>
      </c>
      <c r="I218" s="626"/>
      <c r="J218" s="751"/>
      <c r="L218" s="705" t="s">
        <v>1007</v>
      </c>
      <c r="M218" s="705" t="s">
        <v>1008</v>
      </c>
      <c r="N218" s="705" t="s">
        <v>1320</v>
      </c>
      <c r="O218" s="705" t="s">
        <v>1009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1085</v>
      </c>
      <c r="B219" s="376" t="s">
        <v>252</v>
      </c>
      <c r="C219" s="376" t="s">
        <v>252</v>
      </c>
      <c r="D219" s="376" t="s">
        <v>159</v>
      </c>
      <c r="E219" s="387" t="s">
        <v>1007</v>
      </c>
      <c r="F219" s="608" t="s">
        <v>1246</v>
      </c>
      <c r="G219" s="609">
        <v>7.3716905132000007E-2</v>
      </c>
      <c r="H219" s="692">
        <v>1</v>
      </c>
      <c r="I219" s="626"/>
      <c r="J219" s="751"/>
      <c r="K219" s="416"/>
      <c r="L219" s="705" t="s">
        <v>1007</v>
      </c>
      <c r="M219" s="705" t="s">
        <v>1008</v>
      </c>
      <c r="N219" s="705" t="s">
        <v>1320</v>
      </c>
      <c r="O219" s="705" t="s">
        <v>1009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252</v>
      </c>
      <c r="C220" s="376" t="s">
        <v>252</v>
      </c>
      <c r="D220" s="376" t="s">
        <v>159</v>
      </c>
      <c r="E220" s="387" t="s">
        <v>1007</v>
      </c>
      <c r="F220" s="608" t="s">
        <v>1321</v>
      </c>
      <c r="G220" s="609">
        <v>7.3716905132000007E-2</v>
      </c>
      <c r="H220" s="700">
        <v>1</v>
      </c>
      <c r="I220" s="626"/>
      <c r="J220" s="751"/>
      <c r="L220" s="705" t="s">
        <v>1007</v>
      </c>
      <c r="M220" s="705" t="s">
        <v>1008</v>
      </c>
      <c r="N220" s="705" t="s">
        <v>1320</v>
      </c>
      <c r="O220" s="705" t="s">
        <v>1009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252</v>
      </c>
      <c r="C221" s="376" t="s">
        <v>252</v>
      </c>
      <c r="D221" s="376" t="s">
        <v>159</v>
      </c>
      <c r="E221" s="387" t="s">
        <v>1007</v>
      </c>
      <c r="F221" s="608" t="s">
        <v>1322</v>
      </c>
      <c r="G221" s="609">
        <v>6.4031962499999998E-2</v>
      </c>
      <c r="H221" s="700">
        <v>1</v>
      </c>
      <c r="I221" s="626"/>
      <c r="J221" s="751"/>
      <c r="L221" s="705" t="s">
        <v>1007</v>
      </c>
      <c r="M221" s="705" t="s">
        <v>1008</v>
      </c>
      <c r="N221" s="705" t="s">
        <v>1320</v>
      </c>
      <c r="O221" s="705" t="s">
        <v>1009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252</v>
      </c>
      <c r="C222" s="376" t="s">
        <v>252</v>
      </c>
      <c r="D222" s="376" t="s">
        <v>159</v>
      </c>
      <c r="E222" s="387" t="s">
        <v>1007</v>
      </c>
      <c r="F222" s="608" t="s">
        <v>1323</v>
      </c>
      <c r="G222" s="609">
        <v>0.54994955184000005</v>
      </c>
      <c r="H222" s="700">
        <v>1</v>
      </c>
      <c r="I222" s="626"/>
      <c r="J222" s="751"/>
      <c r="L222" s="705" t="s">
        <v>1007</v>
      </c>
      <c r="M222" s="705" t="s">
        <v>1008</v>
      </c>
      <c r="N222" s="705" t="s">
        <v>1320</v>
      </c>
      <c r="O222" s="705" t="s">
        <v>1009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252</v>
      </c>
      <c r="C223" s="376" t="s">
        <v>252</v>
      </c>
      <c r="D223" s="376" t="s">
        <v>159</v>
      </c>
      <c r="E223" s="387" t="s">
        <v>1007</v>
      </c>
      <c r="F223" s="608" t="s">
        <v>1324</v>
      </c>
      <c r="G223" s="609">
        <v>0.27497477592000003</v>
      </c>
      <c r="H223" s="700">
        <v>1</v>
      </c>
      <c r="I223" s="626"/>
      <c r="J223" s="751"/>
      <c r="L223" s="705" t="s">
        <v>1007</v>
      </c>
      <c r="M223" s="705" t="s">
        <v>1008</v>
      </c>
      <c r="N223" s="705" t="s">
        <v>1320</v>
      </c>
      <c r="O223" s="705" t="s">
        <v>1009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252</v>
      </c>
      <c r="C224" s="376" t="s">
        <v>252</v>
      </c>
      <c r="D224" s="376" t="s">
        <v>159</v>
      </c>
      <c r="E224" s="387" t="s">
        <v>1007</v>
      </c>
      <c r="F224" s="608" t="s">
        <v>1325</v>
      </c>
      <c r="G224" s="609">
        <v>2.2352362560000003</v>
      </c>
      <c r="H224" s="700">
        <v>1</v>
      </c>
      <c r="I224" s="626"/>
      <c r="J224" s="751"/>
      <c r="L224" s="705" t="s">
        <v>1007</v>
      </c>
      <c r="M224" s="705" t="s">
        <v>1008</v>
      </c>
      <c r="N224" s="705" t="s">
        <v>1320</v>
      </c>
      <c r="O224" s="705" t="s">
        <v>1009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252</v>
      </c>
      <c r="C225" s="376" t="s">
        <v>252</v>
      </c>
      <c r="D225" s="376" t="s">
        <v>159</v>
      </c>
      <c r="E225" s="387" t="s">
        <v>1007</v>
      </c>
      <c r="F225" s="608" t="s">
        <v>1326</v>
      </c>
      <c r="G225" s="609">
        <v>2.2352362560000003</v>
      </c>
      <c r="H225" s="700">
        <v>1</v>
      </c>
      <c r="I225" s="626"/>
      <c r="J225" s="751"/>
      <c r="L225" s="705" t="s">
        <v>1007</v>
      </c>
      <c r="M225" s="705" t="s">
        <v>1008</v>
      </c>
      <c r="N225" s="705" t="s">
        <v>1320</v>
      </c>
      <c r="O225" s="705" t="s">
        <v>1009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252</v>
      </c>
      <c r="C226" s="376" t="s">
        <v>252</v>
      </c>
      <c r="D226" s="376" t="s">
        <v>159</v>
      </c>
      <c r="E226" s="387" t="s">
        <v>1007</v>
      </c>
      <c r="F226" s="608" t="s">
        <v>1327</v>
      </c>
      <c r="G226" s="609"/>
      <c r="H226" s="700">
        <v>1</v>
      </c>
      <c r="I226" s="626"/>
      <c r="J226" s="751"/>
      <c r="L226" s="705" t="s">
        <v>1007</v>
      </c>
      <c r="M226" s="705" t="s">
        <v>1008</v>
      </c>
      <c r="N226" s="705" t="s">
        <v>1320</v>
      </c>
      <c r="O226" s="705" t="s">
        <v>1009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252</v>
      </c>
      <c r="C227" s="376" t="s">
        <v>252</v>
      </c>
      <c r="D227" s="376" t="s">
        <v>159</v>
      </c>
      <c r="E227" s="387" t="s">
        <v>1007</v>
      </c>
      <c r="F227" s="608" t="s">
        <v>1313</v>
      </c>
      <c r="G227" s="609">
        <v>0.1125</v>
      </c>
      <c r="H227" s="700">
        <v>1</v>
      </c>
      <c r="I227" s="626"/>
      <c r="J227" s="751"/>
      <c r="L227" s="705" t="s">
        <v>1007</v>
      </c>
      <c r="M227" s="705" t="s">
        <v>1008</v>
      </c>
      <c r="N227" s="705" t="s">
        <v>1320</v>
      </c>
      <c r="O227" s="705" t="s">
        <v>1009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252</v>
      </c>
      <c r="C228" s="376" t="s">
        <v>252</v>
      </c>
      <c r="D228" s="376" t="s">
        <v>159</v>
      </c>
      <c r="E228" s="387" t="s">
        <v>1007</v>
      </c>
      <c r="F228" s="608" t="s">
        <v>1328</v>
      </c>
      <c r="G228" s="609">
        <v>3.7499999999999999E-2</v>
      </c>
      <c r="H228" s="700">
        <v>1</v>
      </c>
      <c r="I228" s="626"/>
      <c r="J228" s="751"/>
      <c r="L228" s="705" t="s">
        <v>1007</v>
      </c>
      <c r="M228" s="705" t="s">
        <v>1008</v>
      </c>
      <c r="N228" s="705" t="s">
        <v>1320</v>
      </c>
      <c r="O228" s="705" t="s">
        <v>1009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252</v>
      </c>
      <c r="C229" s="684" t="s">
        <v>252</v>
      </c>
      <c r="D229" s="684" t="s">
        <v>518</v>
      </c>
      <c r="E229" s="684"/>
      <c r="F229" s="685" t="s">
        <v>1319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252</v>
      </c>
      <c r="C230" s="376" t="s">
        <v>252</v>
      </c>
      <c r="D230" s="376" t="s">
        <v>518</v>
      </c>
      <c r="E230" s="376" t="s">
        <v>56</v>
      </c>
      <c r="F230" s="608" t="s">
        <v>1323</v>
      </c>
      <c r="G230" s="609">
        <v>0.5295810499200001</v>
      </c>
      <c r="H230" s="700">
        <v>1</v>
      </c>
      <c r="I230" s="626"/>
      <c r="J230" s="751"/>
      <c r="L230" s="608" t="s">
        <v>56</v>
      </c>
      <c r="M230" s="608" t="s">
        <v>1024</v>
      </c>
      <c r="N230" s="608" t="s">
        <v>1497</v>
      </c>
      <c r="O230" s="608" t="s">
        <v>1554</v>
      </c>
      <c r="P230" s="608" t="s">
        <v>1502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252</v>
      </c>
      <c r="C231" s="376" t="s">
        <v>252</v>
      </c>
      <c r="D231" s="376" t="s">
        <v>518</v>
      </c>
      <c r="E231" s="376" t="s">
        <v>56</v>
      </c>
      <c r="F231" s="608" t="s">
        <v>1556</v>
      </c>
      <c r="G231" s="609">
        <v>2.5612785000000002E-2</v>
      </c>
      <c r="H231" s="700">
        <v>1</v>
      </c>
      <c r="I231" s="626"/>
      <c r="J231" s="751"/>
      <c r="L231" s="608" t="s">
        <v>56</v>
      </c>
      <c r="M231" s="608" t="s">
        <v>1024</v>
      </c>
      <c r="N231" s="608" t="s">
        <v>1497</v>
      </c>
      <c r="O231" s="608" t="s">
        <v>1554</v>
      </c>
      <c r="P231" s="608" t="s">
        <v>1502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252</v>
      </c>
      <c r="C232" s="376" t="s">
        <v>252</v>
      </c>
      <c r="D232" s="376" t="s">
        <v>518</v>
      </c>
      <c r="E232" s="376" t="s">
        <v>56</v>
      </c>
      <c r="F232" s="608" t="s">
        <v>1557</v>
      </c>
      <c r="G232" s="609">
        <v>2.5612785000000002E-2</v>
      </c>
      <c r="H232" s="700">
        <v>1</v>
      </c>
      <c r="I232" s="626"/>
      <c r="J232" s="751"/>
      <c r="L232" s="608" t="s">
        <v>56</v>
      </c>
      <c r="M232" s="608" t="s">
        <v>1024</v>
      </c>
      <c r="N232" s="608" t="s">
        <v>1497</v>
      </c>
      <c r="O232" s="608" t="s">
        <v>1554</v>
      </c>
      <c r="P232" s="608" t="s">
        <v>1502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252</v>
      </c>
      <c r="C233" s="376" t="s">
        <v>252</v>
      </c>
      <c r="D233" s="376" t="s">
        <v>518</v>
      </c>
      <c r="E233" s="376" t="s">
        <v>56</v>
      </c>
      <c r="F233" s="608" t="s">
        <v>1841</v>
      </c>
      <c r="G233" s="609">
        <v>0.10833933000000003</v>
      </c>
      <c r="H233" s="700">
        <v>1</v>
      </c>
      <c r="I233" s="626"/>
      <c r="J233" s="751"/>
      <c r="L233" s="608" t="s">
        <v>56</v>
      </c>
      <c r="M233" s="608" t="s">
        <v>1024</v>
      </c>
      <c r="N233" s="608" t="s">
        <v>1497</v>
      </c>
      <c r="O233" s="608" t="s">
        <v>1554</v>
      </c>
      <c r="P233" s="608" t="s">
        <v>1502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252</v>
      </c>
      <c r="C234" s="376" t="s">
        <v>252</v>
      </c>
      <c r="D234" s="376" t="s">
        <v>518</v>
      </c>
      <c r="E234" s="376" t="s">
        <v>56</v>
      </c>
      <c r="F234" s="608" t="s">
        <v>1558</v>
      </c>
      <c r="G234" s="609">
        <v>5.4169665000000013E-2</v>
      </c>
      <c r="H234" s="700">
        <v>1</v>
      </c>
      <c r="I234" s="626"/>
      <c r="J234" s="751"/>
      <c r="L234" s="608" t="s">
        <v>56</v>
      </c>
      <c r="M234" s="608" t="s">
        <v>1024</v>
      </c>
      <c r="N234" s="608" t="s">
        <v>1497</v>
      </c>
      <c r="O234" s="608" t="s">
        <v>1554</v>
      </c>
      <c r="P234" s="608" t="s">
        <v>1502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252</v>
      </c>
      <c r="C235" s="376" t="s">
        <v>252</v>
      </c>
      <c r="D235" s="376" t="s">
        <v>518</v>
      </c>
      <c r="E235" s="376" t="s">
        <v>56</v>
      </c>
      <c r="F235" s="608" t="s">
        <v>1559</v>
      </c>
      <c r="G235" s="609">
        <v>5.4169665000000013E-2</v>
      </c>
      <c r="H235" s="700">
        <v>1</v>
      </c>
      <c r="I235" s="626"/>
      <c r="J235" s="751"/>
      <c r="L235" s="608" t="s">
        <v>56</v>
      </c>
      <c r="M235" s="608" t="s">
        <v>1024</v>
      </c>
      <c r="N235" s="608" t="s">
        <v>1497</v>
      </c>
      <c r="O235" s="608" t="s">
        <v>1554</v>
      </c>
      <c r="P235" s="608" t="s">
        <v>1502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252</v>
      </c>
      <c r="C236" s="376" t="s">
        <v>252</v>
      </c>
      <c r="D236" s="376" t="s">
        <v>518</v>
      </c>
      <c r="E236" s="376" t="s">
        <v>56</v>
      </c>
      <c r="F236" s="608" t="s">
        <v>1844</v>
      </c>
      <c r="G236" s="609">
        <v>0.10833933000000003</v>
      </c>
      <c r="H236" s="700">
        <v>1</v>
      </c>
      <c r="I236" s="626"/>
      <c r="J236" s="751"/>
      <c r="L236" s="608" t="s">
        <v>56</v>
      </c>
      <c r="M236" s="608" t="s">
        <v>1024</v>
      </c>
      <c r="N236" s="608" t="s">
        <v>1497</v>
      </c>
      <c r="O236" s="608" t="s">
        <v>1554</v>
      </c>
      <c r="P236" s="608" t="s">
        <v>1502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252</v>
      </c>
      <c r="C237" s="376" t="s">
        <v>252</v>
      </c>
      <c r="D237" s="376" t="s">
        <v>518</v>
      </c>
      <c r="E237" s="376" t="s">
        <v>56</v>
      </c>
      <c r="F237" s="608" t="s">
        <v>1560</v>
      </c>
      <c r="G237" s="609">
        <v>5.4169665000000013E-2</v>
      </c>
      <c r="H237" s="700">
        <v>1</v>
      </c>
      <c r="I237" s="626"/>
      <c r="J237" s="751"/>
      <c r="L237" s="608" t="s">
        <v>56</v>
      </c>
      <c r="M237" s="608" t="s">
        <v>1024</v>
      </c>
      <c r="N237" s="608" t="s">
        <v>1497</v>
      </c>
      <c r="O237" s="608" t="s">
        <v>1554</v>
      </c>
      <c r="P237" s="608" t="s">
        <v>1502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252</v>
      </c>
      <c r="C238" s="376" t="s">
        <v>252</v>
      </c>
      <c r="D238" s="376" t="s">
        <v>518</v>
      </c>
      <c r="E238" s="376" t="s">
        <v>56</v>
      </c>
      <c r="F238" s="608" t="s">
        <v>1561</v>
      </c>
      <c r="G238" s="609">
        <v>5.4169665000000013E-2</v>
      </c>
      <c r="H238" s="700">
        <v>1</v>
      </c>
      <c r="I238" s="626"/>
      <c r="J238" s="751"/>
      <c r="L238" s="608" t="s">
        <v>56</v>
      </c>
      <c r="M238" s="608" t="s">
        <v>1024</v>
      </c>
      <c r="N238" s="608" t="s">
        <v>1497</v>
      </c>
      <c r="O238" s="608" t="s">
        <v>1554</v>
      </c>
      <c r="P238" s="608" t="s">
        <v>1502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252</v>
      </c>
      <c r="C239" s="376" t="s">
        <v>252</v>
      </c>
      <c r="D239" s="376" t="s">
        <v>518</v>
      </c>
      <c r="E239" s="376" t="s">
        <v>56</v>
      </c>
      <c r="F239" s="608" t="s">
        <v>1845</v>
      </c>
      <c r="G239" s="609">
        <v>0.10833933000000003</v>
      </c>
      <c r="H239" s="700">
        <v>1</v>
      </c>
      <c r="I239" s="626"/>
      <c r="J239" s="751"/>
      <c r="L239" s="608" t="s">
        <v>56</v>
      </c>
      <c r="M239" s="608" t="s">
        <v>1024</v>
      </c>
      <c r="N239" s="608" t="s">
        <v>1497</v>
      </c>
      <c r="O239" s="608" t="s">
        <v>1554</v>
      </c>
      <c r="P239" s="608" t="s">
        <v>1502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252</v>
      </c>
      <c r="C240" s="376" t="s">
        <v>252</v>
      </c>
      <c r="D240" s="376" t="s">
        <v>518</v>
      </c>
      <c r="E240" s="376" t="s">
        <v>56</v>
      </c>
      <c r="F240" s="608" t="s">
        <v>1562</v>
      </c>
      <c r="G240" s="609">
        <v>5.4169665000000013E-2</v>
      </c>
      <c r="H240" s="700">
        <v>1</v>
      </c>
      <c r="I240" s="626"/>
      <c r="J240" s="751"/>
      <c r="L240" s="608" t="s">
        <v>56</v>
      </c>
      <c r="M240" s="608" t="s">
        <v>1024</v>
      </c>
      <c r="N240" s="608" t="s">
        <v>1497</v>
      </c>
      <c r="O240" s="608" t="s">
        <v>1554</v>
      </c>
      <c r="P240" s="608" t="s">
        <v>1552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252</v>
      </c>
      <c r="C241" s="376" t="s">
        <v>252</v>
      </c>
      <c r="D241" s="376" t="s">
        <v>518</v>
      </c>
      <c r="E241" s="376" t="s">
        <v>56</v>
      </c>
      <c r="F241" s="608" t="s">
        <v>1563</v>
      </c>
      <c r="G241" s="609">
        <v>5.4169665000000013E-2</v>
      </c>
      <c r="H241" s="700">
        <v>1</v>
      </c>
      <c r="I241" s="626"/>
      <c r="J241" s="751"/>
      <c r="L241" s="608" t="s">
        <v>56</v>
      </c>
      <c r="M241" s="608" t="s">
        <v>1024</v>
      </c>
      <c r="N241" s="608" t="s">
        <v>1497</v>
      </c>
      <c r="O241" s="608" t="s">
        <v>1554</v>
      </c>
      <c r="P241" s="608" t="s">
        <v>1552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252</v>
      </c>
      <c r="C242" s="376" t="s">
        <v>252</v>
      </c>
      <c r="D242" s="376" t="s">
        <v>518</v>
      </c>
      <c r="E242" s="376" t="s">
        <v>56</v>
      </c>
      <c r="F242" s="608" t="s">
        <v>1564</v>
      </c>
      <c r="G242" s="609">
        <v>0.10833933000000003</v>
      </c>
      <c r="H242" s="700">
        <v>1</v>
      </c>
      <c r="I242" s="626"/>
      <c r="J242" s="751"/>
      <c r="L242" s="608" t="s">
        <v>56</v>
      </c>
      <c r="M242" s="608" t="s">
        <v>1024</v>
      </c>
      <c r="N242" s="608" t="s">
        <v>1497</v>
      </c>
      <c r="O242" s="608" t="s">
        <v>1554</v>
      </c>
      <c r="P242" s="608" t="s">
        <v>1552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252</v>
      </c>
      <c r="C243" s="376" t="s">
        <v>252</v>
      </c>
      <c r="D243" s="376" t="s">
        <v>518</v>
      </c>
      <c r="E243" s="376" t="s">
        <v>56</v>
      </c>
      <c r="F243" s="608" t="s">
        <v>1847</v>
      </c>
      <c r="G243" s="609">
        <v>0.10833933000000003</v>
      </c>
      <c r="H243" s="700">
        <v>1</v>
      </c>
      <c r="I243" s="626"/>
      <c r="J243" s="751"/>
      <c r="L243" s="608" t="s">
        <v>56</v>
      </c>
      <c r="M243" s="608" t="s">
        <v>1024</v>
      </c>
      <c r="N243" s="608" t="s">
        <v>1497</v>
      </c>
      <c r="O243" s="608" t="s">
        <v>1554</v>
      </c>
      <c r="P243" s="608" t="s">
        <v>1552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252</v>
      </c>
      <c r="C244" s="376" t="s">
        <v>252</v>
      </c>
      <c r="D244" s="376" t="s">
        <v>518</v>
      </c>
      <c r="E244" s="376" t="s">
        <v>56</v>
      </c>
      <c r="F244" s="608" t="s">
        <v>1565</v>
      </c>
      <c r="G244" s="609">
        <v>5.4169665000000013E-2</v>
      </c>
      <c r="H244" s="700">
        <v>1</v>
      </c>
      <c r="I244" s="626"/>
      <c r="J244" s="751"/>
      <c r="L244" s="608" t="s">
        <v>56</v>
      </c>
      <c r="M244" s="608" t="s">
        <v>1024</v>
      </c>
      <c r="N244" s="608" t="s">
        <v>1497</v>
      </c>
      <c r="O244" s="608" t="s">
        <v>1554</v>
      </c>
      <c r="P244" s="608" t="s">
        <v>1552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252</v>
      </c>
      <c r="C245" s="376" t="s">
        <v>252</v>
      </c>
      <c r="D245" s="376" t="s">
        <v>518</v>
      </c>
      <c r="E245" s="376" t="s">
        <v>56</v>
      </c>
      <c r="F245" s="608" t="s">
        <v>1566</v>
      </c>
      <c r="G245" s="609">
        <v>5.4169665000000013E-2</v>
      </c>
      <c r="H245" s="700">
        <v>1</v>
      </c>
      <c r="I245" s="626"/>
      <c r="J245" s="751"/>
      <c r="L245" s="608" t="s">
        <v>56</v>
      </c>
      <c r="M245" s="608" t="s">
        <v>1024</v>
      </c>
      <c r="N245" s="608" t="s">
        <v>1497</v>
      </c>
      <c r="O245" s="608" t="s">
        <v>1554</v>
      </c>
      <c r="P245" s="608" t="s">
        <v>1552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252</v>
      </c>
      <c r="C246" s="376" t="s">
        <v>252</v>
      </c>
      <c r="D246" s="376" t="s">
        <v>518</v>
      </c>
      <c r="E246" s="376" t="s">
        <v>56</v>
      </c>
      <c r="F246" s="608" t="s">
        <v>1567</v>
      </c>
      <c r="G246" s="609">
        <v>5.1225570000000005E-2</v>
      </c>
      <c r="H246" s="700">
        <v>1</v>
      </c>
      <c r="I246" s="626"/>
      <c r="J246" s="751"/>
      <c r="L246" s="608" t="s">
        <v>56</v>
      </c>
      <c r="M246" s="608" t="s">
        <v>1024</v>
      </c>
      <c r="N246" s="608" t="s">
        <v>1497</v>
      </c>
      <c r="O246" s="608" t="s">
        <v>1554</v>
      </c>
      <c r="P246" s="608" t="s">
        <v>1552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252</v>
      </c>
      <c r="C247" s="376" t="s">
        <v>252</v>
      </c>
      <c r="D247" s="376" t="s">
        <v>518</v>
      </c>
      <c r="E247" s="376" t="s">
        <v>56</v>
      </c>
      <c r="F247" s="608" t="s">
        <v>1568</v>
      </c>
      <c r="G247" s="609">
        <v>5.1225570000000005E-2</v>
      </c>
      <c r="H247" s="700">
        <v>1</v>
      </c>
      <c r="I247" s="626"/>
      <c r="J247" s="751"/>
      <c r="L247" s="608" t="s">
        <v>56</v>
      </c>
      <c r="M247" s="608" t="s">
        <v>1024</v>
      </c>
      <c r="N247" s="608" t="s">
        <v>1497</v>
      </c>
      <c r="O247" s="608" t="s">
        <v>1554</v>
      </c>
      <c r="P247" s="608" t="s">
        <v>1552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252</v>
      </c>
      <c r="C248" s="376" t="s">
        <v>252</v>
      </c>
      <c r="D248" s="376" t="s">
        <v>518</v>
      </c>
      <c r="E248" s="376" t="s">
        <v>56</v>
      </c>
      <c r="F248" s="608" t="s">
        <v>1569</v>
      </c>
      <c r="G248" s="609">
        <v>5.1225570000000005E-2</v>
      </c>
      <c r="H248" s="700">
        <v>1</v>
      </c>
      <c r="I248" s="626"/>
      <c r="J248" s="751"/>
      <c r="L248" s="608" t="s">
        <v>56</v>
      </c>
      <c r="M248" s="608" t="s">
        <v>1024</v>
      </c>
      <c r="N248" s="608" t="s">
        <v>1497</v>
      </c>
      <c r="O248" s="608" t="s">
        <v>1554</v>
      </c>
      <c r="P248" s="608" t="s">
        <v>1552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252</v>
      </c>
      <c r="C249" s="376" t="s">
        <v>252</v>
      </c>
      <c r="D249" s="376" t="s">
        <v>518</v>
      </c>
      <c r="E249" s="376" t="s">
        <v>56</v>
      </c>
      <c r="F249" s="608" t="s">
        <v>1570</v>
      </c>
      <c r="G249" s="609">
        <v>2.5612785000000002E-2</v>
      </c>
      <c r="H249" s="700">
        <v>1</v>
      </c>
      <c r="I249" s="626"/>
      <c r="J249" s="751"/>
      <c r="L249" s="608" t="s">
        <v>56</v>
      </c>
      <c r="M249" s="608" t="s">
        <v>1024</v>
      </c>
      <c r="N249" s="608" t="s">
        <v>1497</v>
      </c>
      <c r="O249" s="608" t="s">
        <v>1554</v>
      </c>
      <c r="P249" s="608" t="s">
        <v>1552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252</v>
      </c>
      <c r="C250" s="376" t="s">
        <v>252</v>
      </c>
      <c r="D250" s="376" t="s">
        <v>518</v>
      </c>
      <c r="E250" s="376" t="s">
        <v>56</v>
      </c>
      <c r="F250" s="608" t="s">
        <v>1571</v>
      </c>
      <c r="G250" s="609">
        <v>2.5612785000000002E-2</v>
      </c>
      <c r="H250" s="700">
        <v>1</v>
      </c>
      <c r="I250" s="626"/>
      <c r="J250" s="751"/>
      <c r="L250" s="608" t="s">
        <v>56</v>
      </c>
      <c r="M250" s="608" t="s">
        <v>1024</v>
      </c>
      <c r="N250" s="608" t="s">
        <v>1497</v>
      </c>
      <c r="O250" s="608" t="s">
        <v>1554</v>
      </c>
      <c r="P250" s="608" t="s">
        <v>1552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252</v>
      </c>
      <c r="C251" s="684" t="s">
        <v>252</v>
      </c>
      <c r="D251" s="684" t="s">
        <v>441</v>
      </c>
      <c r="E251" s="684"/>
      <c r="F251" s="685" t="s">
        <v>1319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2.9" outlineLevel="3">
      <c r="A252" s="376"/>
      <c r="B252" s="376" t="s">
        <v>252</v>
      </c>
      <c r="C252" s="376" t="s">
        <v>252</v>
      </c>
      <c r="D252" s="376" t="s">
        <v>441</v>
      </c>
      <c r="E252" s="376" t="s">
        <v>437</v>
      </c>
      <c r="F252" s="608" t="s">
        <v>1426</v>
      </c>
      <c r="G252" s="609">
        <v>3.6853334887931043E-2</v>
      </c>
      <c r="H252" s="700">
        <v>1</v>
      </c>
      <c r="I252" s="626"/>
      <c r="J252" s="751"/>
      <c r="L252" s="608" t="s">
        <v>437</v>
      </c>
      <c r="M252" s="608" t="s">
        <v>1046</v>
      </c>
      <c r="N252" s="608" t="s">
        <v>1427</v>
      </c>
      <c r="O252" s="608" t="s">
        <v>1428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903</v>
      </c>
      <c r="C253" s="665" t="s">
        <v>903</v>
      </c>
      <c r="D253" s="665"/>
      <c r="E253" s="665"/>
      <c r="F253" s="681" t="s">
        <v>1004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6.45" outlineLevel="2">
      <c r="A254" s="376"/>
      <c r="B254" s="684" t="s">
        <v>903</v>
      </c>
      <c r="C254" s="684" t="s">
        <v>903</v>
      </c>
      <c r="D254" s="684" t="s">
        <v>159</v>
      </c>
      <c r="E254" s="684"/>
      <c r="F254" s="685" t="s">
        <v>1005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903</v>
      </c>
      <c r="C255" s="376" t="s">
        <v>903</v>
      </c>
      <c r="D255" s="376" t="s">
        <v>159</v>
      </c>
      <c r="E255" s="376" t="s">
        <v>1007</v>
      </c>
      <c r="F255" s="705" t="s">
        <v>1019</v>
      </c>
      <c r="G255" s="695">
        <v>0.25575333042562204</v>
      </c>
      <c r="H255" s="700">
        <v>1</v>
      </c>
      <c r="I255" s="626"/>
      <c r="J255" s="751"/>
      <c r="L255" s="608" t="s">
        <v>1007</v>
      </c>
      <c r="M255" s="608" t="s">
        <v>1008</v>
      </c>
      <c r="N255" s="608" t="s">
        <v>1009</v>
      </c>
      <c r="O255" s="608" t="s">
        <v>1010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903</v>
      </c>
      <c r="C256" s="376" t="s">
        <v>903</v>
      </c>
      <c r="D256" s="376" t="s">
        <v>159</v>
      </c>
      <c r="E256" s="376" t="s">
        <v>1007</v>
      </c>
      <c r="F256" s="608" t="s">
        <v>1020</v>
      </c>
      <c r="G256" s="695">
        <v>8.1564148364617506E-2</v>
      </c>
      <c r="H256" s="700">
        <v>1</v>
      </c>
      <c r="I256" s="626"/>
      <c r="J256" s="751"/>
      <c r="L256" s="608" t="s">
        <v>1007</v>
      </c>
      <c r="M256" s="608" t="s">
        <v>1008</v>
      </c>
      <c r="N256" s="608" t="s">
        <v>1009</v>
      </c>
      <c r="O256" s="608" t="s">
        <v>1010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903</v>
      </c>
      <c r="C257" s="376" t="s">
        <v>903</v>
      </c>
      <c r="D257" s="376" t="s">
        <v>159</v>
      </c>
      <c r="E257" s="376" t="s">
        <v>1007</v>
      </c>
      <c r="F257" s="608" t="s">
        <v>1006</v>
      </c>
      <c r="G257" s="695">
        <v>0.18696938245168926</v>
      </c>
      <c r="H257" s="700">
        <v>1</v>
      </c>
      <c r="I257" s="626"/>
      <c r="J257" s="751"/>
      <c r="L257" s="608" t="s">
        <v>1007</v>
      </c>
      <c r="M257" s="608" t="s">
        <v>1008</v>
      </c>
      <c r="N257" s="608" t="s">
        <v>1009</v>
      </c>
      <c r="O257" s="608" t="s">
        <v>1010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903</v>
      </c>
      <c r="C258" s="376" t="s">
        <v>903</v>
      </c>
      <c r="D258" s="376" t="s">
        <v>159</v>
      </c>
      <c r="E258" s="376" t="s">
        <v>1007</v>
      </c>
      <c r="F258" s="608" t="s">
        <v>1022</v>
      </c>
      <c r="G258" s="695">
        <v>2.7188049454872507E-2</v>
      </c>
      <c r="H258" s="700">
        <v>1</v>
      </c>
      <c r="I258" s="626"/>
      <c r="J258" s="751"/>
      <c r="L258" s="608" t="s">
        <v>1007</v>
      </c>
      <c r="M258" s="608" t="s">
        <v>1008</v>
      </c>
      <c r="N258" s="608" t="s">
        <v>1009</v>
      </c>
      <c r="O258" s="608" t="s">
        <v>1010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903</v>
      </c>
      <c r="C259" s="376" t="s">
        <v>903</v>
      </c>
      <c r="D259" s="376" t="s">
        <v>159</v>
      </c>
      <c r="E259" s="376" t="s">
        <v>1007</v>
      </c>
      <c r="F259" s="608" t="s">
        <v>1018</v>
      </c>
      <c r="G259" s="695">
        <v>0.11218162947101355</v>
      </c>
      <c r="H259" s="700">
        <v>1</v>
      </c>
      <c r="I259" s="626"/>
      <c r="J259" s="751"/>
      <c r="L259" s="608" t="s">
        <v>1007</v>
      </c>
      <c r="M259" s="608" t="s">
        <v>1008</v>
      </c>
      <c r="N259" s="608" t="s">
        <v>1009</v>
      </c>
      <c r="O259" s="608" t="s">
        <v>1010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903</v>
      </c>
      <c r="C260" s="376" t="s">
        <v>903</v>
      </c>
      <c r="D260" s="376" t="s">
        <v>159</v>
      </c>
      <c r="E260" s="376" t="s">
        <v>1007</v>
      </c>
      <c r="F260" s="608" t="s">
        <v>1021</v>
      </c>
      <c r="G260" s="695">
        <v>3.7393876490337853E-2</v>
      </c>
      <c r="H260" s="700">
        <v>1</v>
      </c>
      <c r="I260" s="626"/>
      <c r="J260" s="751"/>
      <c r="L260" s="608" t="s">
        <v>1007</v>
      </c>
      <c r="M260" s="608" t="s">
        <v>1008</v>
      </c>
      <c r="N260" s="608" t="s">
        <v>1009</v>
      </c>
      <c r="O260" s="608" t="s">
        <v>1010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903</v>
      </c>
      <c r="C261" s="376" t="s">
        <v>903</v>
      </c>
      <c r="D261" s="376" t="s">
        <v>159</v>
      </c>
      <c r="E261" s="376" t="s">
        <v>1007</v>
      </c>
      <c r="F261" s="759" t="s">
        <v>1329</v>
      </c>
      <c r="G261" s="695"/>
      <c r="H261" s="700"/>
      <c r="I261" s="626"/>
      <c r="J261" s="751"/>
      <c r="L261" s="608" t="s">
        <v>1007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903</v>
      </c>
      <c r="C262" s="376" t="s">
        <v>903</v>
      </c>
      <c r="D262" s="376" t="s">
        <v>159</v>
      </c>
      <c r="E262" s="376" t="s">
        <v>1007</v>
      </c>
      <c r="F262" s="608" t="s">
        <v>1017</v>
      </c>
      <c r="G262" s="695">
        <v>2.7188049454872507E-2</v>
      </c>
      <c r="H262" s="700">
        <v>1</v>
      </c>
      <c r="I262" s="626"/>
      <c r="J262" s="751"/>
      <c r="L262" s="608" t="s">
        <v>1007</v>
      </c>
      <c r="M262" s="608" t="s">
        <v>1008</v>
      </c>
      <c r="N262" s="608" t="s">
        <v>1009</v>
      </c>
      <c r="O262" s="608" t="s">
        <v>1010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903</v>
      </c>
      <c r="C263" s="376" t="s">
        <v>903</v>
      </c>
      <c r="D263" s="376" t="s">
        <v>159</v>
      </c>
      <c r="E263" s="376" t="s">
        <v>1007</v>
      </c>
      <c r="F263" s="759" t="s">
        <v>1330</v>
      </c>
      <c r="G263" s="728"/>
      <c r="H263" s="700"/>
      <c r="I263" s="626"/>
      <c r="J263" s="751"/>
      <c r="L263" s="608" t="s">
        <v>1007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903</v>
      </c>
      <c r="C264" s="684" t="s">
        <v>903</v>
      </c>
      <c r="D264" s="684" t="s">
        <v>518</v>
      </c>
      <c r="E264" s="684"/>
      <c r="F264" s="685" t="s">
        <v>1023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903</v>
      </c>
      <c r="C265" s="376" t="s">
        <v>903</v>
      </c>
      <c r="D265" s="376" t="s">
        <v>518</v>
      </c>
      <c r="E265" s="376" t="s">
        <v>56</v>
      </c>
      <c r="F265" s="608" t="s">
        <v>1572</v>
      </c>
      <c r="G265" s="695">
        <v>0.20115878538561949</v>
      </c>
      <c r="H265" s="692">
        <v>1</v>
      </c>
      <c r="I265" s="626"/>
      <c r="J265" s="751"/>
      <c r="L265" s="608" t="s">
        <v>56</v>
      </c>
      <c r="M265" s="608" t="s">
        <v>1515</v>
      </c>
      <c r="N265" s="608" t="s">
        <v>1573</v>
      </c>
      <c r="O265" s="608" t="s">
        <v>1521</v>
      </c>
      <c r="P265" s="608" t="s">
        <v>1038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6.45" outlineLevel="3">
      <c r="A266" s="376"/>
      <c r="B266" s="376" t="s">
        <v>903</v>
      </c>
      <c r="C266" s="376" t="s">
        <v>903</v>
      </c>
      <c r="D266" s="376" t="s">
        <v>518</v>
      </c>
      <c r="E266" s="376" t="s">
        <v>56</v>
      </c>
      <c r="F266" s="608" t="s">
        <v>1018</v>
      </c>
      <c r="G266" s="695">
        <v>5.8456730700000001E-2</v>
      </c>
      <c r="H266" s="692">
        <v>1</v>
      </c>
      <c r="I266" s="626"/>
      <c r="J266" s="751"/>
      <c r="L266" s="608" t="s">
        <v>56</v>
      </c>
      <c r="M266" s="608" t="s">
        <v>1024</v>
      </c>
      <c r="N266" s="608" t="s">
        <v>1037</v>
      </c>
      <c r="O266" s="608"/>
      <c r="P266" s="608" t="s">
        <v>1038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6.45" outlineLevel="3">
      <c r="A267" s="376"/>
      <c r="B267" s="376" t="s">
        <v>903</v>
      </c>
      <c r="C267" s="376" t="s">
        <v>903</v>
      </c>
      <c r="D267" s="376" t="s">
        <v>518</v>
      </c>
      <c r="E267" s="376" t="s">
        <v>56</v>
      </c>
      <c r="F267" s="608" t="s">
        <v>1021</v>
      </c>
      <c r="G267" s="695">
        <v>4.8713942250000003E-2</v>
      </c>
      <c r="H267" s="692">
        <v>1</v>
      </c>
      <c r="I267" s="626"/>
      <c r="J267" s="751"/>
      <c r="L267" s="608" t="s">
        <v>56</v>
      </c>
      <c r="M267" s="608" t="s">
        <v>1024</v>
      </c>
      <c r="N267" s="608" t="s">
        <v>1037</v>
      </c>
      <c r="O267" s="608"/>
      <c r="P267" s="608" t="s">
        <v>1038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903</v>
      </c>
      <c r="C268" s="376" t="s">
        <v>903</v>
      </c>
      <c r="D268" s="376" t="s">
        <v>518</v>
      </c>
      <c r="E268" s="376" t="s">
        <v>56</v>
      </c>
      <c r="F268" s="608" t="s">
        <v>1020</v>
      </c>
      <c r="G268" s="695">
        <v>2.5989279749999997E-2</v>
      </c>
      <c r="H268" s="692">
        <v>1</v>
      </c>
      <c r="I268" s="626"/>
      <c r="J268" s="751"/>
      <c r="L268" s="608" t="s">
        <v>56</v>
      </c>
      <c r="M268" s="608" t="s">
        <v>1024</v>
      </c>
      <c r="N268" s="608" t="s">
        <v>1025</v>
      </c>
      <c r="O268" s="608"/>
      <c r="P268" s="608" t="s">
        <v>1026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903</v>
      </c>
      <c r="C269" s="376" t="s">
        <v>903</v>
      </c>
      <c r="D269" s="376" t="s">
        <v>518</v>
      </c>
      <c r="E269" s="376" t="s">
        <v>56</v>
      </c>
      <c r="F269" s="608" t="s">
        <v>1022</v>
      </c>
      <c r="G269" s="695">
        <v>3.7127542499999998E-3</v>
      </c>
      <c r="H269" s="692">
        <v>1</v>
      </c>
      <c r="I269" s="626"/>
      <c r="J269" s="751"/>
      <c r="L269" s="608" t="s">
        <v>56</v>
      </c>
      <c r="M269" s="608" t="s">
        <v>1024</v>
      </c>
      <c r="N269" s="608" t="s">
        <v>1043</v>
      </c>
      <c r="O269" s="608"/>
      <c r="P269" s="608" t="s">
        <v>1026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9.6" outlineLevel="3">
      <c r="A270" s="376"/>
      <c r="B270" s="376" t="s">
        <v>903</v>
      </c>
      <c r="C270" s="376" t="s">
        <v>903</v>
      </c>
      <c r="D270" s="376" t="s">
        <v>518</v>
      </c>
      <c r="E270" s="376" t="s">
        <v>56</v>
      </c>
      <c r="F270" s="608" t="s">
        <v>1017</v>
      </c>
      <c r="G270" s="695">
        <v>7.4255085000000005E-3</v>
      </c>
      <c r="H270" s="692">
        <v>1</v>
      </c>
      <c r="I270" s="626"/>
      <c r="J270" s="751"/>
      <c r="L270" s="608" t="s">
        <v>56</v>
      </c>
      <c r="M270" s="608" t="s">
        <v>1024</v>
      </c>
      <c r="N270" s="608" t="s">
        <v>1574</v>
      </c>
      <c r="O270" s="608"/>
      <c r="P270" s="608" t="s">
        <v>1026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903</v>
      </c>
      <c r="C271" s="684" t="s">
        <v>903</v>
      </c>
      <c r="D271" s="684" t="s">
        <v>441</v>
      </c>
      <c r="E271" s="684"/>
      <c r="F271" s="685" t="s">
        <v>1023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903</v>
      </c>
      <c r="C272" s="376" t="s">
        <v>903</v>
      </c>
      <c r="D272" s="376" t="s">
        <v>441</v>
      </c>
      <c r="E272" s="376" t="s">
        <v>437</v>
      </c>
      <c r="F272" s="608" t="s">
        <v>1021</v>
      </c>
      <c r="G272" s="729">
        <v>2.0842521999999999E-2</v>
      </c>
      <c r="H272" s="700">
        <v>1</v>
      </c>
      <c r="I272" s="626"/>
      <c r="J272" s="751"/>
      <c r="L272" s="608" t="s">
        <v>437</v>
      </c>
      <c r="M272" s="608" t="s">
        <v>1046</v>
      </c>
      <c r="N272" s="608" t="s">
        <v>1047</v>
      </c>
      <c r="O272" s="608" t="s">
        <v>1048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9.6" outlineLevel="3">
      <c r="A273" s="376"/>
      <c r="B273" s="376" t="s">
        <v>903</v>
      </c>
      <c r="C273" s="376" t="s">
        <v>903</v>
      </c>
      <c r="D273" s="376" t="s">
        <v>441</v>
      </c>
      <c r="E273" s="376" t="s">
        <v>437</v>
      </c>
      <c r="F273" s="608" t="s">
        <v>1017</v>
      </c>
      <c r="G273" s="729">
        <v>5.5533570000000003E-4</v>
      </c>
      <c r="H273" s="700">
        <v>1</v>
      </c>
      <c r="I273" s="626"/>
      <c r="J273" s="751"/>
      <c r="L273" s="608" t="s">
        <v>437</v>
      </c>
      <c r="M273" s="608" t="s">
        <v>1046</v>
      </c>
      <c r="N273" s="608" t="s">
        <v>1047</v>
      </c>
      <c r="O273" s="608" t="s">
        <v>1048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502</v>
      </c>
      <c r="C274" s="665" t="s">
        <v>502</v>
      </c>
      <c r="D274" s="665"/>
      <c r="E274" s="665"/>
      <c r="F274" s="681" t="s">
        <v>1004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502</v>
      </c>
      <c r="C275" s="684" t="s">
        <v>502</v>
      </c>
      <c r="D275" s="684" t="s">
        <v>159</v>
      </c>
      <c r="E275" s="684"/>
      <c r="F275" s="685" t="s">
        <v>1331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502</v>
      </c>
      <c r="C276" s="376" t="s">
        <v>502</v>
      </c>
      <c r="D276" s="376" t="s">
        <v>159</v>
      </c>
      <c r="E276" s="376" t="s">
        <v>1007</v>
      </c>
      <c r="F276" s="608" t="s">
        <v>1219</v>
      </c>
      <c r="G276" s="609">
        <v>0.15216712000000002</v>
      </c>
      <c r="H276" s="692">
        <v>1</v>
      </c>
      <c r="I276" s="626"/>
      <c r="J276" s="751"/>
      <c r="L276" s="608" t="s">
        <v>1007</v>
      </c>
      <c r="M276" s="608" t="s">
        <v>1314</v>
      </c>
      <c r="N276" s="608" t="s">
        <v>1315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502</v>
      </c>
      <c r="C277" s="376" t="s">
        <v>502</v>
      </c>
      <c r="D277" s="376" t="s">
        <v>159</v>
      </c>
      <c r="E277" s="376" t="s">
        <v>1007</v>
      </c>
      <c r="F277" s="608" t="s">
        <v>36</v>
      </c>
      <c r="G277" s="609">
        <v>0.22825067999999998</v>
      </c>
      <c r="H277" s="692">
        <v>1</v>
      </c>
      <c r="I277" s="626"/>
      <c r="J277" s="751"/>
      <c r="L277" s="608" t="s">
        <v>1007</v>
      </c>
      <c r="M277" s="608" t="s">
        <v>1314</v>
      </c>
      <c r="N277" s="608" t="s">
        <v>1315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502</v>
      </c>
      <c r="C278" s="684" t="s">
        <v>502</v>
      </c>
      <c r="D278" s="684" t="s">
        <v>518</v>
      </c>
      <c r="E278" s="684"/>
      <c r="F278" s="685" t="s">
        <v>1331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502</v>
      </c>
      <c r="C279" s="376" t="s">
        <v>502</v>
      </c>
      <c r="D279" s="376" t="s">
        <v>518</v>
      </c>
      <c r="E279" s="376" t="s">
        <v>56</v>
      </c>
      <c r="F279" s="759" t="s">
        <v>36</v>
      </c>
      <c r="G279" s="609"/>
      <c r="H279" s="692"/>
      <c r="I279" s="626"/>
      <c r="J279" s="751"/>
      <c r="L279" s="608" t="s">
        <v>56</v>
      </c>
      <c r="M279" s="608" t="s">
        <v>1515</v>
      </c>
      <c r="N279" s="608" t="s">
        <v>1575</v>
      </c>
      <c r="O279" s="608" t="s">
        <v>1521</v>
      </c>
      <c r="P279" s="608" t="s">
        <v>1576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502</v>
      </c>
      <c r="C280" s="684" t="s">
        <v>502</v>
      </c>
      <c r="D280" s="684" t="s">
        <v>441</v>
      </c>
      <c r="E280" s="684"/>
      <c r="F280" s="685" t="s">
        <v>1331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92.45" outlineLevel="3">
      <c r="A281" s="376"/>
      <c r="B281" s="376" t="s">
        <v>502</v>
      </c>
      <c r="C281" s="376" t="s">
        <v>502</v>
      </c>
      <c r="D281" s="376" t="s">
        <v>441</v>
      </c>
      <c r="E281" s="376" t="s">
        <v>437</v>
      </c>
      <c r="F281" s="759" t="s">
        <v>36</v>
      </c>
      <c r="G281" s="609"/>
      <c r="H281" s="692"/>
      <c r="I281" s="626"/>
      <c r="J281" s="751"/>
      <c r="L281" s="608" t="s">
        <v>437</v>
      </c>
      <c r="M281" s="608" t="s">
        <v>1429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502</v>
      </c>
      <c r="C282" s="684" t="s">
        <v>502</v>
      </c>
      <c r="D282" s="684" t="s">
        <v>860</v>
      </c>
      <c r="E282" s="684"/>
      <c r="F282" s="685" t="s">
        <v>1331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92.45" outlineLevel="3">
      <c r="A283" s="376"/>
      <c r="B283" s="376" t="s">
        <v>502</v>
      </c>
      <c r="C283" s="376" t="s">
        <v>502</v>
      </c>
      <c r="D283" s="376" t="s">
        <v>860</v>
      </c>
      <c r="E283" s="376" t="s">
        <v>437</v>
      </c>
      <c r="F283" s="759" t="s">
        <v>36</v>
      </c>
      <c r="G283" s="609"/>
      <c r="H283" s="692"/>
      <c r="I283" s="626"/>
      <c r="J283" s="751"/>
      <c r="L283" s="608" t="s">
        <v>437</v>
      </c>
      <c r="M283" s="608" t="s">
        <v>1429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612</v>
      </c>
      <c r="C284" s="665" t="s">
        <v>612</v>
      </c>
      <c r="D284" s="665"/>
      <c r="E284" s="665"/>
      <c r="F284" s="681" t="s">
        <v>1004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612</v>
      </c>
      <c r="C285" s="684" t="s">
        <v>612</v>
      </c>
      <c r="D285" s="684" t="s">
        <v>159</v>
      </c>
      <c r="E285" s="684"/>
      <c r="F285" s="685" t="s">
        <v>1376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612</v>
      </c>
      <c r="C286" s="376" t="s">
        <v>612</v>
      </c>
      <c r="D286" s="376" t="s">
        <v>159</v>
      </c>
      <c r="E286" s="376" t="s">
        <v>1167</v>
      </c>
      <c r="F286" s="608" t="s">
        <v>1219</v>
      </c>
      <c r="G286" s="609">
        <v>0.15625749999999999</v>
      </c>
      <c r="H286" s="692">
        <v>1</v>
      </c>
      <c r="I286" s="626"/>
      <c r="J286" s="751"/>
      <c r="L286" s="608" t="s">
        <v>1167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612</v>
      </c>
      <c r="C287" s="376" t="s">
        <v>612</v>
      </c>
      <c r="D287" s="376" t="s">
        <v>159</v>
      </c>
      <c r="E287" s="376" t="s">
        <v>1167</v>
      </c>
      <c r="F287" s="608" t="s">
        <v>36</v>
      </c>
      <c r="G287" s="609">
        <v>0.23438624999999996</v>
      </c>
      <c r="H287" s="692">
        <v>1</v>
      </c>
      <c r="I287" s="626"/>
      <c r="J287" s="751"/>
      <c r="L287" s="608" t="s">
        <v>1167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612</v>
      </c>
      <c r="C288" s="376" t="s">
        <v>612</v>
      </c>
      <c r="D288" s="376" t="s">
        <v>159</v>
      </c>
      <c r="E288" s="376" t="s">
        <v>1167</v>
      </c>
      <c r="F288" s="608" t="s">
        <v>1232</v>
      </c>
      <c r="G288" s="609">
        <v>0.15625749999999999</v>
      </c>
      <c r="H288" s="692">
        <v>1</v>
      </c>
      <c r="I288" s="626"/>
      <c r="J288" s="751"/>
      <c r="L288" s="608" t="s">
        <v>1167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612</v>
      </c>
      <c r="C289" s="376" t="s">
        <v>612</v>
      </c>
      <c r="D289" s="376" t="s">
        <v>159</v>
      </c>
      <c r="E289" s="376" t="s">
        <v>1167</v>
      </c>
      <c r="F289" s="759" t="s">
        <v>1209</v>
      </c>
      <c r="G289" s="609"/>
      <c r="H289" s="692"/>
      <c r="I289" s="626"/>
      <c r="J289" s="751"/>
      <c r="L289" s="608" t="s">
        <v>1167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612</v>
      </c>
      <c r="C290" s="376" t="s">
        <v>612</v>
      </c>
      <c r="D290" s="376" t="s">
        <v>159</v>
      </c>
      <c r="E290" s="376" t="s">
        <v>1167</v>
      </c>
      <c r="F290" s="759" t="s">
        <v>1210</v>
      </c>
      <c r="G290" s="609"/>
      <c r="H290" s="692"/>
      <c r="I290" s="626"/>
      <c r="J290" s="751"/>
      <c r="L290" s="608" t="s">
        <v>1167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612</v>
      </c>
      <c r="C291" s="684" t="s">
        <v>612</v>
      </c>
      <c r="D291" s="684" t="s">
        <v>518</v>
      </c>
      <c r="E291" s="684"/>
      <c r="F291" s="685" t="s">
        <v>1377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612</v>
      </c>
      <c r="C292" s="376" t="s">
        <v>612</v>
      </c>
      <c r="D292" s="376" t="s">
        <v>518</v>
      </c>
      <c r="E292" s="376" t="s">
        <v>1167</v>
      </c>
      <c r="F292" s="759" t="s">
        <v>36</v>
      </c>
      <c r="G292" s="609"/>
      <c r="H292" s="692"/>
      <c r="I292" s="626"/>
      <c r="J292" s="751"/>
      <c r="L292" s="608" t="s">
        <v>1167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612</v>
      </c>
      <c r="C293" s="376" t="s">
        <v>612</v>
      </c>
      <c r="D293" s="376" t="s">
        <v>518</v>
      </c>
      <c r="E293" s="376" t="s">
        <v>1167</v>
      </c>
      <c r="F293" s="759" t="s">
        <v>1209</v>
      </c>
      <c r="G293" s="609"/>
      <c r="H293" s="692"/>
      <c r="I293" s="626"/>
      <c r="J293" s="751"/>
      <c r="L293" s="608" t="s">
        <v>1167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612</v>
      </c>
      <c r="C294" s="684" t="s">
        <v>612</v>
      </c>
      <c r="D294" s="684" t="s">
        <v>441</v>
      </c>
      <c r="E294" s="684"/>
      <c r="F294" s="685" t="s">
        <v>1377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612</v>
      </c>
      <c r="C295" s="376" t="s">
        <v>612</v>
      </c>
      <c r="D295" s="376" t="s">
        <v>441</v>
      </c>
      <c r="E295" s="376" t="s">
        <v>1167</v>
      </c>
      <c r="F295" s="759" t="s">
        <v>36</v>
      </c>
      <c r="G295" s="609"/>
      <c r="H295" s="692"/>
      <c r="I295" s="626"/>
      <c r="J295" s="751"/>
      <c r="L295" s="608" t="s">
        <v>1167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612</v>
      </c>
      <c r="C296" s="376" t="s">
        <v>612</v>
      </c>
      <c r="D296" s="376" t="s">
        <v>441</v>
      </c>
      <c r="E296" s="376" t="s">
        <v>1167</v>
      </c>
      <c r="F296" s="759" t="s">
        <v>1232</v>
      </c>
      <c r="G296" s="609"/>
      <c r="H296" s="692"/>
      <c r="I296" s="626"/>
      <c r="J296" s="751"/>
      <c r="L296" s="608" t="s">
        <v>1167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612</v>
      </c>
      <c r="C297" s="376" t="s">
        <v>612</v>
      </c>
      <c r="D297" s="376" t="s">
        <v>441</v>
      </c>
      <c r="E297" s="376" t="s">
        <v>1167</v>
      </c>
      <c r="F297" s="759" t="s">
        <v>1209</v>
      </c>
      <c r="G297" s="609"/>
      <c r="H297" s="692"/>
      <c r="I297" s="626"/>
      <c r="J297" s="751"/>
      <c r="L297" s="608" t="s">
        <v>1167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612</v>
      </c>
      <c r="C298" s="684" t="s">
        <v>612</v>
      </c>
      <c r="D298" s="684" t="s">
        <v>860</v>
      </c>
      <c r="E298" s="684"/>
      <c r="F298" s="685" t="s">
        <v>1377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612</v>
      </c>
      <c r="C299" s="376" t="s">
        <v>612</v>
      </c>
      <c r="D299" s="376" t="s">
        <v>860</v>
      </c>
      <c r="E299" s="376" t="s">
        <v>1167</v>
      </c>
      <c r="F299" s="759" t="s">
        <v>36</v>
      </c>
      <c r="G299" s="609"/>
      <c r="H299" s="692"/>
      <c r="I299" s="626"/>
      <c r="J299" s="751"/>
      <c r="L299" s="608" t="s">
        <v>1167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612</v>
      </c>
      <c r="C300" s="376" t="s">
        <v>612</v>
      </c>
      <c r="D300" s="376" t="s">
        <v>860</v>
      </c>
      <c r="E300" s="376" t="s">
        <v>1167</v>
      </c>
      <c r="F300" s="759" t="s">
        <v>1232</v>
      </c>
      <c r="G300" s="609"/>
      <c r="H300" s="692"/>
      <c r="I300" s="626"/>
      <c r="J300" s="751"/>
      <c r="L300" s="608" t="s">
        <v>1167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612</v>
      </c>
      <c r="C301" s="376" t="s">
        <v>612</v>
      </c>
      <c r="D301" s="376" t="s">
        <v>860</v>
      </c>
      <c r="E301" s="376" t="s">
        <v>1167</v>
      </c>
      <c r="F301" s="759" t="s">
        <v>1209</v>
      </c>
      <c r="G301" s="609"/>
      <c r="H301" s="692"/>
      <c r="I301" s="626"/>
      <c r="J301" s="751"/>
      <c r="L301" s="608" t="s">
        <v>1167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225</v>
      </c>
      <c r="C302" s="665" t="s">
        <v>1206</v>
      </c>
      <c r="D302" s="665"/>
      <c r="E302" s="665"/>
      <c r="F302" s="681" t="s">
        <v>1004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225</v>
      </c>
      <c r="C303" s="684" t="s">
        <v>1206</v>
      </c>
      <c r="D303" s="684" t="s">
        <v>159</v>
      </c>
      <c r="E303" s="684"/>
      <c r="F303" s="685" t="s">
        <v>1932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225</v>
      </c>
      <c r="C304" s="376" t="s">
        <v>1206</v>
      </c>
      <c r="D304" s="376" t="s">
        <v>159</v>
      </c>
      <c r="E304" s="376" t="s">
        <v>1162</v>
      </c>
      <c r="F304" s="608" t="s">
        <v>36</v>
      </c>
      <c r="G304" s="695">
        <v>6.3E-2</v>
      </c>
      <c r="H304" s="700">
        <v>1</v>
      </c>
      <c r="I304" s="626"/>
      <c r="J304" s="751"/>
      <c r="L304" s="608" t="s">
        <v>1162</v>
      </c>
      <c r="M304" s="608" t="s">
        <v>1203</v>
      </c>
      <c r="N304" s="608" t="s">
        <v>1208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225</v>
      </c>
      <c r="C305" s="376" t="s">
        <v>1206</v>
      </c>
      <c r="D305" s="376" t="s">
        <v>159</v>
      </c>
      <c r="E305" s="376" t="s">
        <v>1162</v>
      </c>
      <c r="F305" s="759" t="s">
        <v>1209</v>
      </c>
      <c r="G305" s="695"/>
      <c r="H305" s="700"/>
      <c r="I305" s="626"/>
      <c r="J305" s="751"/>
      <c r="L305" s="608" t="s">
        <v>1162</v>
      </c>
      <c r="M305" s="608" t="s">
        <v>1203</v>
      </c>
      <c r="N305" s="608" t="s">
        <v>1208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225</v>
      </c>
      <c r="C306" s="684" t="s">
        <v>1206</v>
      </c>
      <c r="D306" s="684" t="s">
        <v>518</v>
      </c>
      <c r="E306" s="684"/>
      <c r="F306" s="685" t="s">
        <v>1331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225</v>
      </c>
      <c r="C307" s="376" t="s">
        <v>1206</v>
      </c>
      <c r="D307" s="376" t="s">
        <v>518</v>
      </c>
      <c r="E307" s="376" t="s">
        <v>56</v>
      </c>
      <c r="F307" s="608" t="s">
        <v>36</v>
      </c>
      <c r="G307" s="609">
        <v>1.9200000000000002E-2</v>
      </c>
      <c r="H307" s="692">
        <v>1</v>
      </c>
      <c r="I307" s="626"/>
      <c r="J307" s="751"/>
      <c r="L307" s="608" t="s">
        <v>56</v>
      </c>
      <c r="M307" s="608" t="s">
        <v>1524</v>
      </c>
      <c r="N307" s="608" t="s">
        <v>1525</v>
      </c>
      <c r="O307" s="608" t="s">
        <v>1527</v>
      </c>
      <c r="P307" s="608" t="s">
        <v>1526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225</v>
      </c>
      <c r="C308" s="376" t="s">
        <v>1206</v>
      </c>
      <c r="D308" s="376" t="s">
        <v>518</v>
      </c>
      <c r="E308" s="376" t="s">
        <v>56</v>
      </c>
      <c r="F308" s="759" t="s">
        <v>1209</v>
      </c>
      <c r="G308" s="609"/>
      <c r="H308" s="692"/>
      <c r="I308" s="626"/>
      <c r="J308" s="751"/>
      <c r="L308" s="608" t="s">
        <v>56</v>
      </c>
      <c r="M308" s="608" t="s">
        <v>1524</v>
      </c>
      <c r="N308" s="608" t="s">
        <v>1525</v>
      </c>
      <c r="O308" s="608" t="s">
        <v>1527</v>
      </c>
      <c r="P308" s="608" t="s">
        <v>1526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225</v>
      </c>
      <c r="C309" s="684" t="s">
        <v>1206</v>
      </c>
      <c r="D309" s="684" t="s">
        <v>441</v>
      </c>
      <c r="E309" s="684"/>
      <c r="F309" s="685" t="s">
        <v>1932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225</v>
      </c>
      <c r="C310" s="376" t="s">
        <v>1206</v>
      </c>
      <c r="D310" s="376" t="s">
        <v>441</v>
      </c>
      <c r="E310" s="376" t="s">
        <v>437</v>
      </c>
      <c r="F310" s="608" t="s">
        <v>36</v>
      </c>
      <c r="G310" s="609">
        <v>5.4000000000000003E-3</v>
      </c>
      <c r="H310" s="692">
        <v>1</v>
      </c>
      <c r="I310" s="626"/>
      <c r="J310" s="751"/>
      <c r="L310" s="608" t="s">
        <v>437</v>
      </c>
      <c r="M310" s="608" t="s">
        <v>1046</v>
      </c>
      <c r="N310" s="608" t="s">
        <v>1388</v>
      </c>
      <c r="O310" s="608" t="s">
        <v>1430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9.6" outlineLevel="3">
      <c r="A311" s="376"/>
      <c r="B311" s="376" t="s">
        <v>225</v>
      </c>
      <c r="C311" s="376" t="s">
        <v>1206</v>
      </c>
      <c r="D311" s="376" t="s">
        <v>441</v>
      </c>
      <c r="E311" s="376" t="s">
        <v>437</v>
      </c>
      <c r="F311" s="759" t="s">
        <v>1209</v>
      </c>
      <c r="G311" s="609"/>
      <c r="H311" s="692"/>
      <c r="I311" s="626"/>
      <c r="J311" s="751"/>
      <c r="L311" s="608" t="s">
        <v>437</v>
      </c>
      <c r="M311" s="608" t="s">
        <v>1046</v>
      </c>
      <c r="N311" s="608" t="s">
        <v>1388</v>
      </c>
      <c r="O311" s="608" t="s">
        <v>1430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225</v>
      </c>
      <c r="C312" s="684" t="s">
        <v>1206</v>
      </c>
      <c r="D312" s="684" t="s">
        <v>860</v>
      </c>
      <c r="E312" s="684"/>
      <c r="F312" s="685" t="s">
        <v>1331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225</v>
      </c>
      <c r="C313" s="376" t="s">
        <v>1206</v>
      </c>
      <c r="D313" s="376" t="s">
        <v>860</v>
      </c>
      <c r="E313" s="376" t="s">
        <v>437</v>
      </c>
      <c r="F313" s="608" t="s">
        <v>36</v>
      </c>
      <c r="G313" s="609">
        <v>6.0000000000000001E-3</v>
      </c>
      <c r="H313" s="692">
        <v>1</v>
      </c>
      <c r="I313" s="626"/>
      <c r="J313" s="751"/>
      <c r="L313" s="608" t="s">
        <v>437</v>
      </c>
      <c r="M313" s="608" t="s">
        <v>1393</v>
      </c>
      <c r="N313" s="608" t="s">
        <v>1432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225</v>
      </c>
      <c r="C314" s="376" t="s">
        <v>1206</v>
      </c>
      <c r="D314" s="376" t="s">
        <v>860</v>
      </c>
      <c r="E314" s="376" t="s">
        <v>437</v>
      </c>
      <c r="F314" s="759" t="s">
        <v>1209</v>
      </c>
      <c r="G314" s="609"/>
      <c r="H314" s="692"/>
      <c r="I314" s="626"/>
      <c r="J314" s="751"/>
      <c r="L314" s="608" t="s">
        <v>437</v>
      </c>
      <c r="M314" s="608" t="s">
        <v>1393</v>
      </c>
      <c r="N314" s="608" t="s">
        <v>1432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229</v>
      </c>
      <c r="C315" s="665" t="s">
        <v>1211</v>
      </c>
      <c r="D315" s="665"/>
      <c r="E315" s="665"/>
      <c r="F315" s="681" t="s">
        <v>1004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229</v>
      </c>
      <c r="C316" s="684" t="s">
        <v>1211</v>
      </c>
      <c r="D316" s="684" t="s">
        <v>159</v>
      </c>
      <c r="E316" s="684"/>
      <c r="F316" s="685" t="s">
        <v>1179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6.45" outlineLevel="3">
      <c r="A317" s="376"/>
      <c r="B317" s="376" t="s">
        <v>229</v>
      </c>
      <c r="C317" s="376" t="s">
        <v>1211</v>
      </c>
      <c r="D317" s="376" t="s">
        <v>159</v>
      </c>
      <c r="E317" s="376" t="s">
        <v>1162</v>
      </c>
      <c r="F317" s="608" t="s">
        <v>1209</v>
      </c>
      <c r="G317" s="609">
        <v>0.12999000000000002</v>
      </c>
      <c r="H317" s="700">
        <v>1</v>
      </c>
      <c r="I317" s="626"/>
      <c r="J317" s="751"/>
      <c r="L317" s="608" t="s">
        <v>1162</v>
      </c>
      <c r="M317" s="608" t="s">
        <v>1212</v>
      </c>
      <c r="N317" s="608" t="s">
        <v>1213</v>
      </c>
      <c r="O317" s="608" t="s">
        <v>1214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6.45" outlineLevel="3">
      <c r="A318" s="376"/>
      <c r="B318" s="376" t="s">
        <v>229</v>
      </c>
      <c r="C318" s="376" t="s">
        <v>1211</v>
      </c>
      <c r="D318" s="376" t="s">
        <v>159</v>
      </c>
      <c r="E318" s="376" t="s">
        <v>1162</v>
      </c>
      <c r="F318" s="608" t="s">
        <v>1210</v>
      </c>
      <c r="G318" s="695">
        <v>0.25998000000000004</v>
      </c>
      <c r="H318" s="700">
        <v>1</v>
      </c>
      <c r="I318" s="626"/>
      <c r="J318" s="751"/>
      <c r="L318" s="608" t="s">
        <v>1162</v>
      </c>
      <c r="M318" s="608" t="s">
        <v>1212</v>
      </c>
      <c r="N318" s="608" t="s">
        <v>1213</v>
      </c>
      <c r="O318" s="608" t="s">
        <v>1214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6.45" outlineLevel="3">
      <c r="A319" s="376"/>
      <c r="B319" s="376" t="s">
        <v>229</v>
      </c>
      <c r="C319" s="376" t="s">
        <v>1211</v>
      </c>
      <c r="D319" s="376" t="s">
        <v>159</v>
      </c>
      <c r="E319" s="376" t="s">
        <v>1162</v>
      </c>
      <c r="F319" s="608" t="s">
        <v>1215</v>
      </c>
      <c r="G319" s="695">
        <v>0.19498499999999999</v>
      </c>
      <c r="H319" s="700">
        <v>1</v>
      </c>
      <c r="I319" s="626"/>
      <c r="J319" s="751"/>
      <c r="L319" s="608" t="s">
        <v>1162</v>
      </c>
      <c r="M319" s="608" t="s">
        <v>1212</v>
      </c>
      <c r="N319" s="608" t="s">
        <v>1213</v>
      </c>
      <c r="O319" s="608" t="s">
        <v>1214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6.45" outlineLevel="3">
      <c r="A320" s="376"/>
      <c r="B320" s="376" t="s">
        <v>229</v>
      </c>
      <c r="C320" s="376" t="s">
        <v>1211</v>
      </c>
      <c r="D320" s="376" t="s">
        <v>159</v>
      </c>
      <c r="E320" s="376" t="s">
        <v>1162</v>
      </c>
      <c r="F320" s="608" t="s">
        <v>1216</v>
      </c>
      <c r="G320" s="695">
        <v>0.19498499999999999</v>
      </c>
      <c r="H320" s="700">
        <v>1</v>
      </c>
      <c r="I320" s="626"/>
      <c r="J320" s="751"/>
      <c r="L320" s="608" t="s">
        <v>1162</v>
      </c>
      <c r="M320" s="608" t="s">
        <v>1212</v>
      </c>
      <c r="N320" s="608" t="s">
        <v>1213</v>
      </c>
      <c r="O320" s="608" t="s">
        <v>1214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229</v>
      </c>
      <c r="C321" s="684" t="s">
        <v>1211</v>
      </c>
      <c r="D321" s="684" t="s">
        <v>518</v>
      </c>
      <c r="E321" s="684"/>
      <c r="F321" s="685" t="s">
        <v>1179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229</v>
      </c>
      <c r="C322" s="376" t="s">
        <v>1211</v>
      </c>
      <c r="D322" s="376" t="s">
        <v>518</v>
      </c>
      <c r="E322" s="376" t="s">
        <v>56</v>
      </c>
      <c r="F322" s="608" t="s">
        <v>1209</v>
      </c>
      <c r="G322" s="609">
        <v>5.9424000000000005E-2</v>
      </c>
      <c r="H322" s="692">
        <v>1</v>
      </c>
      <c r="I322" s="626"/>
      <c r="J322" s="751"/>
      <c r="L322" s="608" t="s">
        <v>56</v>
      </c>
      <c r="M322" s="608" t="s">
        <v>1524</v>
      </c>
      <c r="N322" s="608" t="s">
        <v>1527</v>
      </c>
      <c r="O322" s="608" t="s">
        <v>1525</v>
      </c>
      <c r="P322" s="608" t="s">
        <v>1526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229</v>
      </c>
      <c r="C323" s="376" t="s">
        <v>1211</v>
      </c>
      <c r="D323" s="376" t="s">
        <v>518</v>
      </c>
      <c r="E323" s="376" t="s">
        <v>56</v>
      </c>
      <c r="F323" s="608" t="s">
        <v>1210</v>
      </c>
      <c r="G323" s="609">
        <v>0.14856</v>
      </c>
      <c r="H323" s="692">
        <v>1</v>
      </c>
      <c r="I323" s="626"/>
      <c r="J323" s="751"/>
      <c r="L323" s="608" t="s">
        <v>56</v>
      </c>
      <c r="M323" s="608" t="s">
        <v>1524</v>
      </c>
      <c r="N323" s="608" t="s">
        <v>1527</v>
      </c>
      <c r="O323" s="608" t="s">
        <v>1525</v>
      </c>
      <c r="P323" s="608" t="s">
        <v>1526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229</v>
      </c>
      <c r="C324" s="376" t="s">
        <v>1211</v>
      </c>
      <c r="D324" s="376" t="s">
        <v>518</v>
      </c>
      <c r="E324" s="376" t="s">
        <v>56</v>
      </c>
      <c r="F324" s="608" t="s">
        <v>1215</v>
      </c>
      <c r="G324" s="609">
        <v>1.4856000000000001E-2</v>
      </c>
      <c r="H324" s="692">
        <v>1</v>
      </c>
      <c r="I324" s="626"/>
      <c r="J324" s="751"/>
      <c r="L324" s="608" t="s">
        <v>56</v>
      </c>
      <c r="M324" s="608" t="s">
        <v>1524</v>
      </c>
      <c r="N324" s="608" t="s">
        <v>1527</v>
      </c>
      <c r="O324" s="608" t="s">
        <v>1525</v>
      </c>
      <c r="P324" s="608" t="s">
        <v>1526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229</v>
      </c>
      <c r="C325" s="684" t="s">
        <v>1211</v>
      </c>
      <c r="D325" s="684" t="s">
        <v>441</v>
      </c>
      <c r="E325" s="684"/>
      <c r="F325" s="685" t="s">
        <v>1179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229</v>
      </c>
      <c r="C326" s="376" t="s">
        <v>1211</v>
      </c>
      <c r="D326" s="376" t="s">
        <v>441</v>
      </c>
      <c r="E326" s="376" t="s">
        <v>437</v>
      </c>
      <c r="F326" s="608" t="s">
        <v>1209</v>
      </c>
      <c r="G326" s="609">
        <v>1.6713000000000002E-2</v>
      </c>
      <c r="H326" s="692">
        <v>1</v>
      </c>
      <c r="I326" s="626"/>
      <c r="J326" s="751"/>
      <c r="L326" s="608" t="s">
        <v>437</v>
      </c>
      <c r="M326" s="608" t="s">
        <v>1046</v>
      </c>
      <c r="N326" s="608" t="s">
        <v>1047</v>
      </c>
      <c r="O326" s="608" t="s">
        <v>1433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9.6" outlineLevel="3">
      <c r="A327" s="376"/>
      <c r="B327" s="376" t="s">
        <v>229</v>
      </c>
      <c r="C327" s="376" t="s">
        <v>1211</v>
      </c>
      <c r="D327" s="376" t="s">
        <v>441</v>
      </c>
      <c r="E327" s="376" t="s">
        <v>437</v>
      </c>
      <c r="F327" s="608" t="s">
        <v>1210</v>
      </c>
      <c r="G327" s="609">
        <v>5.8495499999999999E-2</v>
      </c>
      <c r="H327" s="692">
        <v>1</v>
      </c>
      <c r="I327" s="626"/>
      <c r="J327" s="751"/>
      <c r="L327" s="608" t="s">
        <v>437</v>
      </c>
      <c r="M327" s="608" t="s">
        <v>1046</v>
      </c>
      <c r="N327" s="608" t="s">
        <v>1047</v>
      </c>
      <c r="O327" s="608" t="s">
        <v>1433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9.6" outlineLevel="3">
      <c r="A328" s="376"/>
      <c r="B328" s="376" t="s">
        <v>229</v>
      </c>
      <c r="C328" s="376" t="s">
        <v>1211</v>
      </c>
      <c r="D328" s="376" t="s">
        <v>441</v>
      </c>
      <c r="E328" s="376" t="s">
        <v>437</v>
      </c>
      <c r="F328" s="608" t="s">
        <v>1215</v>
      </c>
      <c r="G328" s="609">
        <v>2.5069499999999998E-2</v>
      </c>
      <c r="H328" s="692">
        <v>1</v>
      </c>
      <c r="I328" s="626"/>
      <c r="J328" s="751"/>
      <c r="L328" s="608" t="s">
        <v>437</v>
      </c>
      <c r="M328" s="608" t="s">
        <v>1046</v>
      </c>
      <c r="N328" s="608" t="s">
        <v>1047</v>
      </c>
      <c r="O328" s="608" t="s">
        <v>1433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9.6" outlineLevel="3">
      <c r="A329" s="376"/>
      <c r="B329" s="376" t="s">
        <v>229</v>
      </c>
      <c r="C329" s="376" t="s">
        <v>1211</v>
      </c>
      <c r="D329" s="376" t="s">
        <v>441</v>
      </c>
      <c r="E329" s="376" t="s">
        <v>437</v>
      </c>
      <c r="F329" s="608" t="s">
        <v>1216</v>
      </c>
      <c r="G329" s="609">
        <v>2.5069499999999998E-2</v>
      </c>
      <c r="H329" s="692">
        <v>1</v>
      </c>
      <c r="I329" s="626"/>
      <c r="J329" s="751"/>
      <c r="L329" s="608" t="s">
        <v>437</v>
      </c>
      <c r="M329" s="608" t="s">
        <v>1046</v>
      </c>
      <c r="N329" s="608" t="s">
        <v>1047</v>
      </c>
      <c r="O329" s="608" t="s">
        <v>1433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229</v>
      </c>
      <c r="C330" s="684" t="s">
        <v>1211</v>
      </c>
      <c r="D330" s="684" t="s">
        <v>860</v>
      </c>
      <c r="E330" s="684"/>
      <c r="F330" s="685" t="s">
        <v>1179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229</v>
      </c>
      <c r="C331" s="376" t="s">
        <v>1211</v>
      </c>
      <c r="D331" s="376" t="s">
        <v>860</v>
      </c>
      <c r="E331" s="376" t="s">
        <v>437</v>
      </c>
      <c r="F331" s="608" t="s">
        <v>1209</v>
      </c>
      <c r="G331" s="609">
        <v>1.857E-2</v>
      </c>
      <c r="H331" s="692">
        <v>1</v>
      </c>
      <c r="I331" s="626"/>
      <c r="J331" s="751"/>
      <c r="L331" s="608" t="s">
        <v>437</v>
      </c>
      <c r="M331" s="608" t="s">
        <v>1393</v>
      </c>
      <c r="N331" s="608" t="s">
        <v>1432</v>
      </c>
      <c r="O331" s="608" t="s">
        <v>1434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229</v>
      </c>
      <c r="C332" s="376" t="s">
        <v>1211</v>
      </c>
      <c r="D332" s="376" t="s">
        <v>860</v>
      </c>
      <c r="E332" s="376" t="s">
        <v>437</v>
      </c>
      <c r="F332" s="608" t="s">
        <v>1215</v>
      </c>
      <c r="G332" s="609">
        <v>5.1067500000000002E-2</v>
      </c>
      <c r="H332" s="692">
        <v>1</v>
      </c>
      <c r="I332" s="626"/>
      <c r="J332" s="751"/>
      <c r="L332" s="608" t="s">
        <v>437</v>
      </c>
      <c r="M332" s="608" t="s">
        <v>1393</v>
      </c>
      <c r="N332" s="608" t="s">
        <v>1432</v>
      </c>
      <c r="O332" s="608" t="s">
        <v>1434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918</v>
      </c>
      <c r="C333" s="665" t="s">
        <v>1378</v>
      </c>
      <c r="D333" s="665"/>
      <c r="E333" s="665"/>
      <c r="F333" s="681" t="s">
        <v>1004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918</v>
      </c>
      <c r="C334" s="684" t="s">
        <v>1378</v>
      </c>
      <c r="D334" s="684" t="s">
        <v>159</v>
      </c>
      <c r="E334" s="684"/>
      <c r="F334" s="685" t="s">
        <v>1379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918</v>
      </c>
      <c r="C335" s="376" t="s">
        <v>1378</v>
      </c>
      <c r="D335" s="376" t="s">
        <v>159</v>
      </c>
      <c r="E335" s="376" t="s">
        <v>1167</v>
      </c>
      <c r="F335" s="608" t="s">
        <v>1380</v>
      </c>
      <c r="G335" s="609">
        <v>2.0999999999999999E-3</v>
      </c>
      <c r="H335" s="700">
        <v>1</v>
      </c>
      <c r="I335" s="626"/>
      <c r="J335" s="751"/>
      <c r="L335" s="608" t="s">
        <v>1167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918</v>
      </c>
      <c r="C336" s="376" t="s">
        <v>1378</v>
      </c>
      <c r="D336" s="376" t="s">
        <v>159</v>
      </c>
      <c r="E336" s="376" t="s">
        <v>1167</v>
      </c>
      <c r="F336" s="608" t="s">
        <v>1381</v>
      </c>
      <c r="G336" s="609">
        <v>8.7500000000000002E-4</v>
      </c>
      <c r="H336" s="700">
        <v>1</v>
      </c>
      <c r="I336" s="626"/>
      <c r="J336" s="751"/>
      <c r="L336" s="608" t="s">
        <v>1167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918</v>
      </c>
      <c r="C337" s="376" t="s">
        <v>1378</v>
      </c>
      <c r="D337" s="376" t="s">
        <v>159</v>
      </c>
      <c r="E337" s="376" t="s">
        <v>1167</v>
      </c>
      <c r="F337" s="608" t="s">
        <v>1382</v>
      </c>
      <c r="G337" s="609">
        <v>5.2499999999999997E-4</v>
      </c>
      <c r="H337" s="700">
        <v>1</v>
      </c>
      <c r="I337" s="626"/>
      <c r="J337" s="751"/>
      <c r="L337" s="608" t="s">
        <v>1167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918</v>
      </c>
      <c r="C338" s="376" t="s">
        <v>1378</v>
      </c>
      <c r="D338" s="376" t="s">
        <v>159</v>
      </c>
      <c r="E338" s="376" t="s">
        <v>1167</v>
      </c>
      <c r="F338" s="608" t="s">
        <v>1383</v>
      </c>
      <c r="G338" s="609">
        <v>5.0000000000000001E-4</v>
      </c>
      <c r="H338" s="700">
        <v>1</v>
      </c>
      <c r="I338" s="626"/>
      <c r="J338" s="751"/>
      <c r="L338" s="608" t="s">
        <v>1167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918</v>
      </c>
      <c r="C339" s="684" t="s">
        <v>1378</v>
      </c>
      <c r="D339" s="684" t="s">
        <v>860</v>
      </c>
      <c r="E339" s="684"/>
      <c r="F339" s="685" t="s">
        <v>1379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918</v>
      </c>
      <c r="C340" s="376" t="s">
        <v>1378</v>
      </c>
      <c r="D340" s="376" t="s">
        <v>860</v>
      </c>
      <c r="E340" s="376" t="s">
        <v>437</v>
      </c>
      <c r="F340" s="608" t="s">
        <v>1435</v>
      </c>
      <c r="G340" s="609">
        <v>1.13E-4</v>
      </c>
      <c r="H340" s="700">
        <v>1</v>
      </c>
      <c r="I340" s="626"/>
      <c r="J340" s="751"/>
      <c r="L340" s="608" t="s">
        <v>437</v>
      </c>
      <c r="M340" s="608" t="s">
        <v>1393</v>
      </c>
      <c r="N340" s="608" t="s">
        <v>1434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918</v>
      </c>
      <c r="C341" s="684" t="s">
        <v>1378</v>
      </c>
      <c r="D341" s="684" t="s">
        <v>518</v>
      </c>
      <c r="E341" s="684"/>
      <c r="F341" s="685" t="s">
        <v>1379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918</v>
      </c>
      <c r="C342" s="376" t="s">
        <v>1378</v>
      </c>
      <c r="D342" s="376" t="s">
        <v>518</v>
      </c>
      <c r="E342" s="376" t="s">
        <v>56</v>
      </c>
      <c r="F342" s="608" t="s">
        <v>1383</v>
      </c>
      <c r="G342" s="609">
        <v>8.0000000000000004E-4</v>
      </c>
      <c r="H342" s="700">
        <v>1</v>
      </c>
      <c r="I342" s="626"/>
      <c r="J342" s="751"/>
      <c r="L342" s="608" t="s">
        <v>56</v>
      </c>
      <c r="M342" s="608" t="s">
        <v>1577</v>
      </c>
      <c r="N342" s="608"/>
      <c r="O342" s="608">
        <v>0</v>
      </c>
      <c r="P342" s="608" t="s">
        <v>1026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498</v>
      </c>
      <c r="C343" s="665" t="s">
        <v>1217</v>
      </c>
      <c r="D343" s="665"/>
      <c r="E343" s="665"/>
      <c r="F343" s="681" t="s">
        <v>1004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498</v>
      </c>
      <c r="C344" s="684" t="s">
        <v>1217</v>
      </c>
      <c r="D344" s="684" t="s">
        <v>159</v>
      </c>
      <c r="E344" s="684"/>
      <c r="F344" s="685" t="s">
        <v>1218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6.45" outlineLevel="3">
      <c r="A345" s="376"/>
      <c r="B345" s="376" t="s">
        <v>498</v>
      </c>
      <c r="C345" s="376" t="s">
        <v>1217</v>
      </c>
      <c r="D345" s="376" t="s">
        <v>159</v>
      </c>
      <c r="E345" s="376" t="s">
        <v>1162</v>
      </c>
      <c r="F345" s="608" t="s">
        <v>1219</v>
      </c>
      <c r="G345" s="609">
        <v>0.17598400959999999</v>
      </c>
      <c r="H345" s="692">
        <v>1</v>
      </c>
      <c r="I345" s="626"/>
      <c r="J345" s="751"/>
      <c r="L345" s="608" t="s">
        <v>1162</v>
      </c>
      <c r="M345" s="608" t="s">
        <v>1181</v>
      </c>
      <c r="N345" s="608" t="s">
        <v>1203</v>
      </c>
      <c r="O345" s="608" t="s">
        <v>1205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6.45" outlineLevel="3">
      <c r="A346" s="376"/>
      <c r="B346" s="376" t="s">
        <v>498</v>
      </c>
      <c r="C346" s="376" t="s">
        <v>1217</v>
      </c>
      <c r="D346" s="376" t="s">
        <v>159</v>
      </c>
      <c r="E346" s="376" t="s">
        <v>1162</v>
      </c>
      <c r="F346" s="608" t="s">
        <v>36</v>
      </c>
      <c r="G346" s="609">
        <v>0.26397601440000001</v>
      </c>
      <c r="H346" s="692">
        <v>1</v>
      </c>
      <c r="I346" s="626"/>
      <c r="J346" s="751"/>
      <c r="L346" s="608" t="s">
        <v>1162</v>
      </c>
      <c r="M346" s="608" t="s">
        <v>1181</v>
      </c>
      <c r="N346" s="608" t="s">
        <v>1203</v>
      </c>
      <c r="O346" s="608" t="s">
        <v>1205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498</v>
      </c>
      <c r="C347" s="684" t="s">
        <v>1217</v>
      </c>
      <c r="D347" s="684" t="s">
        <v>518</v>
      </c>
      <c r="E347" s="684"/>
      <c r="F347" s="685" t="s">
        <v>1218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498</v>
      </c>
      <c r="C348" s="376" t="s">
        <v>1217</v>
      </c>
      <c r="D348" s="376" t="s">
        <v>518</v>
      </c>
      <c r="E348" s="376" t="s">
        <v>56</v>
      </c>
      <c r="F348" s="759" t="s">
        <v>36</v>
      </c>
      <c r="G348" s="609"/>
      <c r="H348" s="692"/>
      <c r="I348" s="626"/>
      <c r="J348" s="751"/>
      <c r="L348" s="608" t="s">
        <v>56</v>
      </c>
      <c r="M348" s="608" t="s">
        <v>1024</v>
      </c>
      <c r="N348" s="608" t="s">
        <v>1547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498</v>
      </c>
      <c r="C349" s="684" t="s">
        <v>1217</v>
      </c>
      <c r="D349" s="684" t="s">
        <v>441</v>
      </c>
      <c r="E349" s="684"/>
      <c r="F349" s="685" t="s">
        <v>1218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92.45" outlineLevel="3">
      <c r="A350" s="376"/>
      <c r="B350" s="376" t="s">
        <v>498</v>
      </c>
      <c r="C350" s="376" t="s">
        <v>1217</v>
      </c>
      <c r="D350" s="376" t="s">
        <v>441</v>
      </c>
      <c r="E350" s="376" t="s">
        <v>437</v>
      </c>
      <c r="F350" s="759" t="s">
        <v>36</v>
      </c>
      <c r="G350" s="609"/>
      <c r="H350" s="692"/>
      <c r="I350" s="626"/>
      <c r="J350" s="751"/>
      <c r="L350" s="608" t="s">
        <v>437</v>
      </c>
      <c r="M350" s="608" t="s">
        <v>1429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498</v>
      </c>
      <c r="C351" s="684" t="s">
        <v>1217</v>
      </c>
      <c r="D351" s="684" t="s">
        <v>860</v>
      </c>
      <c r="E351" s="684"/>
      <c r="F351" s="685" t="s">
        <v>1218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92.45" outlineLevel="3">
      <c r="A352" s="376"/>
      <c r="B352" s="376" t="s">
        <v>498</v>
      </c>
      <c r="C352" s="376" t="s">
        <v>1217</v>
      </c>
      <c r="D352" s="376" t="s">
        <v>860</v>
      </c>
      <c r="E352" s="376" t="s">
        <v>437</v>
      </c>
      <c r="F352" s="759" t="s">
        <v>36</v>
      </c>
      <c r="G352" s="609"/>
      <c r="H352" s="692"/>
      <c r="I352" s="626"/>
      <c r="J352" s="751"/>
      <c r="L352" s="608" t="s">
        <v>437</v>
      </c>
      <c r="M352" s="608" t="s">
        <v>1429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958</v>
      </c>
      <c r="C353" s="666" t="s">
        <v>160</v>
      </c>
      <c r="D353" s="666"/>
      <c r="E353" s="666"/>
      <c r="F353" s="681" t="s">
        <v>1004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162</v>
      </c>
      <c r="C354" s="684" t="s">
        <v>1600</v>
      </c>
      <c r="D354" s="684" t="s">
        <v>159</v>
      </c>
      <c r="E354" s="684"/>
      <c r="F354" s="685" t="s">
        <v>1600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162</v>
      </c>
      <c r="C355" s="387" t="s">
        <v>160</v>
      </c>
      <c r="D355" s="376" t="s">
        <v>159</v>
      </c>
      <c r="E355" s="376" t="s">
        <v>47</v>
      </c>
      <c r="F355" s="705" t="s">
        <v>1604</v>
      </c>
      <c r="H355" s="696">
        <v>1</v>
      </c>
      <c r="I355" s="626"/>
      <c r="J355" s="751"/>
      <c r="L355" s="608" t="s">
        <v>47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162</v>
      </c>
      <c r="C356" s="387" t="s">
        <v>160</v>
      </c>
      <c r="D356" s="376" t="s">
        <v>159</v>
      </c>
      <c r="E356" s="376" t="s">
        <v>47</v>
      </c>
      <c r="F356" s="705" t="s">
        <v>1601</v>
      </c>
      <c r="H356" s="696">
        <v>1</v>
      </c>
      <c r="I356" s="626"/>
      <c r="J356" s="751"/>
      <c r="L356" s="608" t="s">
        <v>47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162</v>
      </c>
      <c r="C357" s="387" t="s">
        <v>160</v>
      </c>
      <c r="D357" s="376" t="s">
        <v>159</v>
      </c>
      <c r="E357" s="376" t="s">
        <v>47</v>
      </c>
      <c r="F357" s="705" t="s">
        <v>1602</v>
      </c>
      <c r="H357" s="696">
        <v>1</v>
      </c>
      <c r="I357" s="626"/>
      <c r="J357" s="751"/>
      <c r="L357" s="608" t="s">
        <v>47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162</v>
      </c>
      <c r="C358" s="684" t="s">
        <v>1603</v>
      </c>
      <c r="D358" s="684" t="s">
        <v>159</v>
      </c>
      <c r="E358" s="684"/>
      <c r="F358" s="685" t="s">
        <v>1603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162</v>
      </c>
      <c r="C359" s="387" t="s">
        <v>160</v>
      </c>
      <c r="D359" s="376" t="s">
        <v>159</v>
      </c>
      <c r="E359" s="376" t="s">
        <v>47</v>
      </c>
      <c r="F359" s="705" t="s">
        <v>1604</v>
      </c>
      <c r="G359" s="695"/>
      <c r="H359" s="696">
        <v>1</v>
      </c>
      <c r="I359" s="626"/>
      <c r="J359" s="751"/>
      <c r="L359" s="608" t="s">
        <v>47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162</v>
      </c>
      <c r="C360" s="387" t="s">
        <v>160</v>
      </c>
      <c r="D360" s="376" t="s">
        <v>159</v>
      </c>
      <c r="E360" s="376" t="s">
        <v>47</v>
      </c>
      <c r="F360" s="705" t="s">
        <v>1601</v>
      </c>
      <c r="G360" s="695"/>
      <c r="H360" s="696">
        <v>1</v>
      </c>
      <c r="I360" s="626"/>
      <c r="J360" s="751"/>
      <c r="L360" s="608" t="s">
        <v>47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162</v>
      </c>
      <c r="C361" s="387" t="s">
        <v>160</v>
      </c>
      <c r="D361" s="376" t="s">
        <v>159</v>
      </c>
      <c r="E361" s="376" t="s">
        <v>47</v>
      </c>
      <c r="F361" s="705" t="s">
        <v>1602</v>
      </c>
      <c r="G361" s="695"/>
      <c r="H361" s="696">
        <v>1</v>
      </c>
      <c r="I361" s="626"/>
      <c r="J361" s="751"/>
      <c r="L361" s="608" t="s">
        <v>47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162</v>
      </c>
      <c r="C362" s="684" t="s">
        <v>1605</v>
      </c>
      <c r="D362" s="684" t="s">
        <v>159</v>
      </c>
      <c r="E362" s="684"/>
      <c r="F362" s="685" t="s">
        <v>1605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162</v>
      </c>
      <c r="C363" s="387" t="s">
        <v>160</v>
      </c>
      <c r="D363" s="376" t="s">
        <v>159</v>
      </c>
      <c r="E363" s="376" t="s">
        <v>47</v>
      </c>
      <c r="F363" s="705" t="s">
        <v>1604</v>
      </c>
      <c r="G363" s="695"/>
      <c r="H363" s="696">
        <v>1</v>
      </c>
      <c r="I363" s="626"/>
      <c r="J363" s="751"/>
      <c r="L363" s="608" t="s">
        <v>47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162</v>
      </c>
      <c r="C364" s="387" t="s">
        <v>160</v>
      </c>
      <c r="D364" s="376" t="s">
        <v>159</v>
      </c>
      <c r="E364" s="376" t="s">
        <v>47</v>
      </c>
      <c r="F364" s="705" t="s">
        <v>1601</v>
      </c>
      <c r="G364" s="695"/>
      <c r="H364" s="696">
        <v>1</v>
      </c>
      <c r="I364" s="626"/>
      <c r="J364" s="751"/>
      <c r="L364" s="608" t="s">
        <v>47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162</v>
      </c>
      <c r="C365" s="387" t="s">
        <v>160</v>
      </c>
      <c r="D365" s="376" t="s">
        <v>159</v>
      </c>
      <c r="E365" s="376" t="s">
        <v>47</v>
      </c>
      <c r="F365" s="705" t="s">
        <v>1602</v>
      </c>
      <c r="G365" s="695"/>
      <c r="H365" s="696">
        <v>1</v>
      </c>
      <c r="I365" s="626"/>
      <c r="J365" s="751"/>
      <c r="L365" s="608" t="s">
        <v>47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163</v>
      </c>
      <c r="C366" s="685" t="s">
        <v>1606</v>
      </c>
      <c r="D366" s="684" t="s">
        <v>159</v>
      </c>
      <c r="E366" s="684"/>
      <c r="F366" s="685" t="s">
        <v>1606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163</v>
      </c>
      <c r="C367" s="387" t="s">
        <v>160</v>
      </c>
      <c r="D367" s="376" t="s">
        <v>159</v>
      </c>
      <c r="E367" s="376" t="s">
        <v>47</v>
      </c>
      <c r="F367" s="705" t="s">
        <v>1604</v>
      </c>
      <c r="H367" s="696">
        <v>1</v>
      </c>
      <c r="I367" s="626"/>
      <c r="J367" s="751"/>
      <c r="L367" s="608" t="s">
        <v>47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163</v>
      </c>
      <c r="C368" s="387" t="s">
        <v>160</v>
      </c>
      <c r="D368" s="376" t="s">
        <v>159</v>
      </c>
      <c r="E368" s="376" t="s">
        <v>47</v>
      </c>
      <c r="F368" s="705" t="s">
        <v>1601</v>
      </c>
      <c r="H368" s="696">
        <v>1</v>
      </c>
      <c r="I368" s="626"/>
      <c r="J368" s="751"/>
      <c r="L368" s="608" t="s">
        <v>47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163</v>
      </c>
      <c r="C369" s="685" t="s">
        <v>1607</v>
      </c>
      <c r="D369" s="684" t="s">
        <v>159</v>
      </c>
      <c r="E369" s="684"/>
      <c r="F369" s="685" t="s">
        <v>1607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163</v>
      </c>
      <c r="C370" s="387" t="s">
        <v>160</v>
      </c>
      <c r="D370" s="376" t="s">
        <v>159</v>
      </c>
      <c r="E370" s="376" t="s">
        <v>47</v>
      </c>
      <c r="F370" s="705" t="s">
        <v>1604</v>
      </c>
      <c r="G370" s="695"/>
      <c r="H370" s="696">
        <v>1</v>
      </c>
      <c r="I370" s="626"/>
      <c r="J370" s="751"/>
      <c r="L370" s="608" t="s">
        <v>47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163</v>
      </c>
      <c r="C371" s="387" t="s">
        <v>160</v>
      </c>
      <c r="D371" s="376" t="s">
        <v>159</v>
      </c>
      <c r="E371" s="376" t="s">
        <v>47</v>
      </c>
      <c r="F371" s="705" t="s">
        <v>1601</v>
      </c>
      <c r="G371" s="695"/>
      <c r="H371" s="696">
        <v>1</v>
      </c>
      <c r="I371" s="626"/>
      <c r="J371" s="751"/>
      <c r="L371" s="608" t="s">
        <v>47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163</v>
      </c>
      <c r="C372" s="685" t="s">
        <v>1608</v>
      </c>
      <c r="D372" s="684" t="s">
        <v>159</v>
      </c>
      <c r="E372" s="684"/>
      <c r="F372" s="685" t="s">
        <v>1608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163</v>
      </c>
      <c r="C373" s="387" t="s">
        <v>160</v>
      </c>
      <c r="D373" s="376" t="s">
        <v>159</v>
      </c>
      <c r="E373" s="376" t="s">
        <v>47</v>
      </c>
      <c r="F373" s="705" t="s">
        <v>1604</v>
      </c>
      <c r="G373" s="695"/>
      <c r="H373" s="696">
        <v>1</v>
      </c>
      <c r="I373" s="626"/>
      <c r="J373" s="751"/>
      <c r="L373" s="608" t="s">
        <v>47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163</v>
      </c>
      <c r="C374" s="387" t="s">
        <v>160</v>
      </c>
      <c r="D374" s="376" t="s">
        <v>159</v>
      </c>
      <c r="E374" s="376" t="s">
        <v>47</v>
      </c>
      <c r="F374" s="705" t="s">
        <v>1601</v>
      </c>
      <c r="G374" s="695"/>
      <c r="H374" s="696">
        <v>1</v>
      </c>
      <c r="I374" s="626"/>
      <c r="J374" s="751"/>
      <c r="L374" s="608" t="s">
        <v>47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164</v>
      </c>
      <c r="C375" s="685" t="s">
        <v>1609</v>
      </c>
      <c r="D375" s="684" t="s">
        <v>159</v>
      </c>
      <c r="E375" s="684"/>
      <c r="F375" s="685" t="s">
        <v>1609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164</v>
      </c>
      <c r="C376" s="387" t="s">
        <v>160</v>
      </c>
      <c r="D376" s="376" t="s">
        <v>159</v>
      </c>
      <c r="E376" s="376" t="s">
        <v>47</v>
      </c>
      <c r="F376" s="705" t="s">
        <v>1604</v>
      </c>
      <c r="G376" s="695"/>
      <c r="H376" s="696">
        <v>1</v>
      </c>
      <c r="I376" s="626"/>
      <c r="J376" s="751"/>
      <c r="L376" s="608" t="s">
        <v>47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164</v>
      </c>
      <c r="C377" s="387" t="s">
        <v>160</v>
      </c>
      <c r="D377" s="376" t="s">
        <v>159</v>
      </c>
      <c r="E377" s="376" t="s">
        <v>47</v>
      </c>
      <c r="F377" s="705" t="s">
        <v>1601</v>
      </c>
      <c r="G377" s="695"/>
      <c r="H377" s="696">
        <v>1</v>
      </c>
      <c r="I377" s="626"/>
      <c r="J377" s="751"/>
      <c r="L377" s="608" t="s">
        <v>47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164</v>
      </c>
      <c r="C378" s="387" t="s">
        <v>160</v>
      </c>
      <c r="D378" s="376" t="s">
        <v>159</v>
      </c>
      <c r="E378" s="376" t="s">
        <v>47</v>
      </c>
      <c r="F378" s="705" t="s">
        <v>1602</v>
      </c>
      <c r="G378" s="609"/>
      <c r="H378" s="726">
        <v>1</v>
      </c>
      <c r="I378" s="626"/>
      <c r="J378" s="751"/>
      <c r="K378" s="416"/>
      <c r="L378" s="608" t="s">
        <v>47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164</v>
      </c>
      <c r="C379" s="685" t="s">
        <v>1610</v>
      </c>
      <c r="D379" s="684" t="s">
        <v>159</v>
      </c>
      <c r="E379" s="684"/>
      <c r="F379" s="685" t="s">
        <v>1610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164</v>
      </c>
      <c r="C380" s="387" t="s">
        <v>160</v>
      </c>
      <c r="D380" s="376" t="s">
        <v>159</v>
      </c>
      <c r="E380" s="376" t="s">
        <v>47</v>
      </c>
      <c r="F380" s="705" t="s">
        <v>1604</v>
      </c>
      <c r="G380" s="695"/>
      <c r="H380" s="696">
        <v>1</v>
      </c>
      <c r="I380" s="626"/>
      <c r="J380" s="751"/>
      <c r="L380" s="608" t="s">
        <v>47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164</v>
      </c>
      <c r="C381" s="387" t="s">
        <v>160</v>
      </c>
      <c r="D381" s="376" t="s">
        <v>159</v>
      </c>
      <c r="E381" s="376" t="s">
        <v>47</v>
      </c>
      <c r="F381" s="705" t="s">
        <v>1601</v>
      </c>
      <c r="G381" s="695"/>
      <c r="H381" s="696">
        <v>1</v>
      </c>
      <c r="I381" s="626"/>
      <c r="J381" s="751"/>
      <c r="L381" s="608" t="s">
        <v>47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164</v>
      </c>
      <c r="C382" s="387" t="s">
        <v>160</v>
      </c>
      <c r="D382" s="376" t="s">
        <v>159</v>
      </c>
      <c r="E382" s="376" t="s">
        <v>47</v>
      </c>
      <c r="F382" s="705" t="s">
        <v>1602</v>
      </c>
      <c r="G382" s="609"/>
      <c r="H382" s="726">
        <v>1</v>
      </c>
      <c r="I382" s="626"/>
      <c r="J382" s="751"/>
      <c r="K382" s="416"/>
      <c r="L382" s="608" t="s">
        <v>47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165</v>
      </c>
      <c r="C383" s="685" t="s">
        <v>1611</v>
      </c>
      <c r="D383" s="684" t="s">
        <v>159</v>
      </c>
      <c r="E383" s="684"/>
      <c r="F383" s="685" t="s">
        <v>1611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165</v>
      </c>
      <c r="C384" s="387" t="s">
        <v>160</v>
      </c>
      <c r="D384" s="376" t="s">
        <v>159</v>
      </c>
      <c r="E384" s="376" t="s">
        <v>47</v>
      </c>
      <c r="F384" s="705" t="s">
        <v>1604</v>
      </c>
      <c r="G384" s="695"/>
      <c r="H384" s="696">
        <v>1</v>
      </c>
      <c r="I384" s="626"/>
      <c r="J384" s="751"/>
      <c r="L384" s="608" t="s">
        <v>47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973</v>
      </c>
      <c r="C385" s="684" t="s">
        <v>1612</v>
      </c>
      <c r="D385" s="684" t="s">
        <v>159</v>
      </c>
      <c r="E385" s="684"/>
      <c r="F385" s="685" t="s">
        <v>1612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973</v>
      </c>
      <c r="C386" s="387" t="s">
        <v>160</v>
      </c>
      <c r="D386" s="376" t="s">
        <v>159</v>
      </c>
      <c r="E386" s="376" t="s">
        <v>47</v>
      </c>
      <c r="F386" s="705" t="s">
        <v>1604</v>
      </c>
      <c r="H386" s="726">
        <v>1</v>
      </c>
      <c r="I386" s="626"/>
      <c r="J386" s="751"/>
      <c r="L386" s="608" t="s">
        <v>47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973</v>
      </c>
      <c r="C387" s="387" t="s">
        <v>160</v>
      </c>
      <c r="D387" s="376" t="s">
        <v>159</v>
      </c>
      <c r="E387" s="376" t="s">
        <v>47</v>
      </c>
      <c r="F387" s="705" t="s">
        <v>1601</v>
      </c>
      <c r="H387" s="726">
        <v>1</v>
      </c>
      <c r="I387" s="626"/>
      <c r="J387" s="751"/>
      <c r="L387" s="608" t="s">
        <v>47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973</v>
      </c>
      <c r="C388" s="684" t="s">
        <v>1613</v>
      </c>
      <c r="D388" s="684" t="s">
        <v>159</v>
      </c>
      <c r="E388" s="684"/>
      <c r="F388" s="685" t="s">
        <v>1613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973</v>
      </c>
      <c r="C389" s="387" t="s">
        <v>160</v>
      </c>
      <c r="D389" s="376" t="s">
        <v>159</v>
      </c>
      <c r="E389" s="376" t="s">
        <v>47</v>
      </c>
      <c r="F389" s="705" t="s">
        <v>1604</v>
      </c>
      <c r="G389" s="609"/>
      <c r="H389" s="726">
        <v>1</v>
      </c>
      <c r="I389" s="626"/>
      <c r="J389" s="751"/>
      <c r="L389" s="608" t="s">
        <v>47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973</v>
      </c>
      <c r="C390" s="387" t="s">
        <v>160</v>
      </c>
      <c r="D390" s="376" t="s">
        <v>159</v>
      </c>
      <c r="E390" s="376" t="s">
        <v>47</v>
      </c>
      <c r="F390" s="705" t="s">
        <v>1601</v>
      </c>
      <c r="G390" s="609"/>
      <c r="H390" s="726">
        <v>1</v>
      </c>
      <c r="I390" s="626"/>
      <c r="J390" s="751"/>
      <c r="L390" s="608" t="s">
        <v>47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1578</v>
      </c>
      <c r="C391" s="665" t="s">
        <v>1579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469</v>
      </c>
      <c r="C392" s="376" t="s">
        <v>1281</v>
      </c>
      <c r="D392" s="376" t="s">
        <v>518</v>
      </c>
      <c r="E392" s="376" t="s">
        <v>56</v>
      </c>
      <c r="F392" s="608" t="s">
        <v>1580</v>
      </c>
      <c r="G392" s="695">
        <v>0.4</v>
      </c>
      <c r="H392" s="700">
        <v>1</v>
      </c>
      <c r="I392" s="626"/>
      <c r="J392" s="751"/>
      <c r="L392" s="608" t="s">
        <v>56</v>
      </c>
      <c r="M392" s="608" t="s">
        <v>1524</v>
      </c>
      <c r="N392" s="608" t="s">
        <v>1581</v>
      </c>
      <c r="O392" s="608"/>
      <c r="P392" s="608" t="s">
        <v>1526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1582</v>
      </c>
      <c r="B393" s="732" t="s">
        <v>1168</v>
      </c>
      <c r="C393" s="732" t="s">
        <v>1583</v>
      </c>
      <c r="D393" s="732" t="s">
        <v>518</v>
      </c>
      <c r="E393" s="732" t="s">
        <v>56</v>
      </c>
      <c r="F393" s="733" t="s">
        <v>1584</v>
      </c>
      <c r="G393" s="734">
        <v>0.04</v>
      </c>
      <c r="H393" s="735">
        <v>1</v>
      </c>
      <c r="I393" s="736"/>
      <c r="J393" s="756"/>
      <c r="K393" s="737"/>
      <c r="L393" s="733" t="s">
        <v>56</v>
      </c>
      <c r="M393" s="733" t="s">
        <v>1585</v>
      </c>
      <c r="N393" s="733" t="s">
        <v>1421</v>
      </c>
      <c r="O393" s="733"/>
      <c r="P393" s="733" t="s">
        <v>1552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">
      <c r="A395" s="376"/>
      <c r="B395" s="430" t="s">
        <v>962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902</v>
      </c>
      <c r="C397" s="665" t="s">
        <v>1220</v>
      </c>
      <c r="D397" s="665"/>
      <c r="E397" s="665"/>
      <c r="F397" s="681" t="s">
        <v>1004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902</v>
      </c>
      <c r="C398" s="684" t="s">
        <v>1220</v>
      </c>
      <c r="D398" s="684" t="s">
        <v>159</v>
      </c>
      <c r="E398" s="684"/>
      <c r="F398" s="685" t="s">
        <v>1385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6.45" outlineLevel="3">
      <c r="A399" s="376"/>
      <c r="B399" s="376" t="s">
        <v>902</v>
      </c>
      <c r="C399" s="376" t="s">
        <v>1220</v>
      </c>
      <c r="D399" s="376" t="s">
        <v>159</v>
      </c>
      <c r="E399" s="376" t="s">
        <v>1162</v>
      </c>
      <c r="F399" s="608" t="s">
        <v>17</v>
      </c>
      <c r="G399" s="609">
        <v>0.54</v>
      </c>
      <c r="H399" s="692">
        <v>1</v>
      </c>
      <c r="I399" s="626"/>
      <c r="J399" s="751"/>
      <c r="L399" s="608" t="s">
        <v>1162</v>
      </c>
      <c r="M399" s="608" t="s">
        <v>1181</v>
      </c>
      <c r="N399" s="608" t="s">
        <v>1203</v>
      </c>
      <c r="O399" s="608" t="s">
        <v>1205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6.45" outlineLevel="3">
      <c r="A400" s="376"/>
      <c r="B400" s="376" t="s">
        <v>902</v>
      </c>
      <c r="C400" s="376" t="s">
        <v>1220</v>
      </c>
      <c r="D400" s="376" t="s">
        <v>159</v>
      </c>
      <c r="E400" s="376" t="s">
        <v>1162</v>
      </c>
      <c r="F400" s="608" t="s">
        <v>36</v>
      </c>
      <c r="G400" s="609">
        <v>0.43</v>
      </c>
      <c r="H400" s="692">
        <v>1</v>
      </c>
      <c r="I400" s="626"/>
      <c r="J400" s="751"/>
      <c r="L400" s="608" t="s">
        <v>1162</v>
      </c>
      <c r="M400" s="608" t="s">
        <v>1181</v>
      </c>
      <c r="N400" s="608" t="s">
        <v>1203</v>
      </c>
      <c r="O400" s="608" t="s">
        <v>1205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6.45" outlineLevel="3">
      <c r="A401" s="376"/>
      <c r="B401" s="376" t="s">
        <v>902</v>
      </c>
      <c r="C401" s="376" t="s">
        <v>1220</v>
      </c>
      <c r="D401" s="376" t="s">
        <v>159</v>
      </c>
      <c r="E401" s="376" t="s">
        <v>1162</v>
      </c>
      <c r="F401" s="608" t="s">
        <v>208</v>
      </c>
      <c r="G401" s="609">
        <v>0.21</v>
      </c>
      <c r="H401" s="692">
        <v>1</v>
      </c>
      <c r="I401" s="626"/>
      <c r="J401" s="751"/>
      <c r="L401" s="608" t="s">
        <v>1162</v>
      </c>
      <c r="M401" s="608" t="s">
        <v>1181</v>
      </c>
      <c r="N401" s="608" t="s">
        <v>1203</v>
      </c>
      <c r="O401" s="608" t="s">
        <v>1205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6.45" outlineLevel="3">
      <c r="A402" s="376"/>
      <c r="B402" s="376" t="s">
        <v>902</v>
      </c>
      <c r="C402" s="376" t="s">
        <v>1220</v>
      </c>
      <c r="D402" s="376" t="s">
        <v>159</v>
      </c>
      <c r="E402" s="376" t="s">
        <v>1007</v>
      </c>
      <c r="F402" s="608" t="s">
        <v>38</v>
      </c>
      <c r="G402" s="609">
        <v>0.11</v>
      </c>
      <c r="H402" s="692">
        <v>1</v>
      </c>
      <c r="I402" s="626"/>
      <c r="J402" s="751"/>
      <c r="L402" s="608" t="s">
        <v>1007</v>
      </c>
      <c r="M402" s="608" t="s">
        <v>1181</v>
      </c>
      <c r="N402" s="608" t="s">
        <v>1203</v>
      </c>
      <c r="O402" s="608" t="s">
        <v>1205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6.45" outlineLevel="3">
      <c r="A403" s="376"/>
      <c r="B403" s="376" t="s">
        <v>902</v>
      </c>
      <c r="C403" s="376" t="s">
        <v>1220</v>
      </c>
      <c r="D403" s="376" t="s">
        <v>159</v>
      </c>
      <c r="E403" s="376" t="s">
        <v>1007</v>
      </c>
      <c r="F403" s="608" t="s">
        <v>1334</v>
      </c>
      <c r="G403" s="609">
        <v>0.06</v>
      </c>
      <c r="H403" s="692">
        <v>1</v>
      </c>
      <c r="I403" s="626"/>
      <c r="J403" s="751"/>
      <c r="L403" s="608" t="s">
        <v>1007</v>
      </c>
      <c r="M403" s="608" t="s">
        <v>1181</v>
      </c>
      <c r="N403" s="608" t="s">
        <v>1203</v>
      </c>
      <c r="O403" s="608" t="s">
        <v>1205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902</v>
      </c>
      <c r="C404" s="684" t="s">
        <v>1220</v>
      </c>
      <c r="D404" s="684" t="s">
        <v>518</v>
      </c>
      <c r="E404" s="684"/>
      <c r="F404" s="685" t="s">
        <v>1218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6" outlineLevel="4">
      <c r="A405" s="376"/>
      <c r="B405" s="376" t="s">
        <v>902</v>
      </c>
      <c r="C405" s="376" t="s">
        <v>1220</v>
      </c>
      <c r="D405" s="376" t="s">
        <v>518</v>
      </c>
      <c r="E405" s="376" t="s">
        <v>56</v>
      </c>
      <c r="F405" s="759" t="s">
        <v>36</v>
      </c>
      <c r="G405" s="609"/>
      <c r="H405" s="692"/>
      <c r="I405" s="626"/>
      <c r="J405" s="751"/>
      <c r="L405" s="608" t="s">
        <v>56</v>
      </c>
      <c r="M405" s="608" t="s">
        <v>1585</v>
      </c>
      <c r="N405" s="608" t="s">
        <v>1587</v>
      </c>
      <c r="O405" s="608"/>
      <c r="P405" s="608" t="s">
        <v>1548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902</v>
      </c>
      <c r="C406" s="684" t="s">
        <v>1220</v>
      </c>
      <c r="D406" s="684" t="s">
        <v>441</v>
      </c>
      <c r="E406" s="684"/>
      <c r="F406" s="685" t="s">
        <v>1385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9.6" outlineLevel="4">
      <c r="A407" s="376"/>
      <c r="B407" s="376" t="s">
        <v>902</v>
      </c>
      <c r="C407" s="376" t="s">
        <v>1220</v>
      </c>
      <c r="D407" s="376" t="s">
        <v>441</v>
      </c>
      <c r="E407" s="376" t="s">
        <v>437</v>
      </c>
      <c r="F407" s="759" t="s">
        <v>36</v>
      </c>
      <c r="G407" s="609"/>
      <c r="H407" s="692"/>
      <c r="I407" s="626"/>
      <c r="J407" s="751"/>
      <c r="L407" s="608" t="s">
        <v>437</v>
      </c>
      <c r="M407" s="608" t="s">
        <v>1046</v>
      </c>
      <c r="N407" s="608" t="s">
        <v>1388</v>
      </c>
      <c r="O407" s="608" t="s">
        <v>1436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9.6" outlineLevel="4">
      <c r="A408" s="376"/>
      <c r="B408" s="376" t="s">
        <v>902</v>
      </c>
      <c r="C408" s="376" t="s">
        <v>1220</v>
      </c>
      <c r="D408" s="376" t="s">
        <v>441</v>
      </c>
      <c r="E408" s="376" t="s">
        <v>437</v>
      </c>
      <c r="F408" s="759" t="s">
        <v>208</v>
      </c>
      <c r="G408" s="609"/>
      <c r="H408" s="692"/>
      <c r="I408" s="626"/>
      <c r="J408" s="751"/>
      <c r="L408" s="608" t="s">
        <v>437</v>
      </c>
      <c r="M408" s="608" t="s">
        <v>1046</v>
      </c>
      <c r="N408" s="608" t="s">
        <v>1388</v>
      </c>
      <c r="O408" s="608" t="s">
        <v>1436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902</v>
      </c>
      <c r="C409" s="684" t="s">
        <v>1220</v>
      </c>
      <c r="D409" s="684" t="s">
        <v>860</v>
      </c>
      <c r="E409" s="684"/>
      <c r="F409" s="685" t="s">
        <v>1385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902</v>
      </c>
      <c r="C410" s="376" t="s">
        <v>1220</v>
      </c>
      <c r="D410" s="376" t="s">
        <v>860</v>
      </c>
      <c r="E410" s="376" t="s">
        <v>437</v>
      </c>
      <c r="F410" s="759" t="s">
        <v>36</v>
      </c>
      <c r="G410" s="609"/>
      <c r="H410" s="692"/>
      <c r="I410" s="626"/>
      <c r="J410" s="751"/>
      <c r="L410" s="608" t="s">
        <v>437</v>
      </c>
      <c r="M410" s="608" t="s">
        <v>1393</v>
      </c>
      <c r="N410" s="608" t="s">
        <v>1406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902</v>
      </c>
      <c r="C411" s="376" t="s">
        <v>1220</v>
      </c>
      <c r="D411" s="376" t="s">
        <v>860</v>
      </c>
      <c r="E411" s="376" t="s">
        <v>437</v>
      </c>
      <c r="F411" s="759" t="s">
        <v>208</v>
      </c>
      <c r="G411" s="609"/>
      <c r="H411" s="692"/>
      <c r="I411" s="626"/>
      <c r="J411" s="751"/>
      <c r="L411" s="608" t="s">
        <v>437</v>
      </c>
      <c r="M411" s="608" t="s">
        <v>1393</v>
      </c>
      <c r="N411" s="608" t="s">
        <v>1406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964</v>
      </c>
      <c r="C412" s="665" t="s">
        <v>1247</v>
      </c>
      <c r="D412" s="665"/>
      <c r="E412" s="665"/>
      <c r="F412" s="681" t="s">
        <v>1004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9.150000000000006" outlineLevel="2">
      <c r="A413" s="376"/>
      <c r="B413" s="684" t="s">
        <v>964</v>
      </c>
      <c r="C413" s="684" t="s">
        <v>1247</v>
      </c>
      <c r="D413" s="684" t="s">
        <v>159</v>
      </c>
      <c r="E413" s="684"/>
      <c r="F413" s="685" t="s">
        <v>1933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1934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964</v>
      </c>
      <c r="C414" s="376" t="s">
        <v>1247</v>
      </c>
      <c r="D414" s="376" t="s">
        <v>159</v>
      </c>
      <c r="E414" s="376" t="s">
        <v>664</v>
      </c>
      <c r="F414" s="608" t="s">
        <v>17</v>
      </c>
      <c r="G414" s="609">
        <v>0.24728000000000006</v>
      </c>
      <c r="H414" s="692">
        <v>1</v>
      </c>
      <c r="I414" s="626"/>
      <c r="J414" s="751"/>
      <c r="L414" s="608" t="s">
        <v>1007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964</v>
      </c>
      <c r="C415" s="376" t="s">
        <v>1247</v>
      </c>
      <c r="D415" s="376" t="s">
        <v>159</v>
      </c>
      <c r="E415" s="376" t="s">
        <v>664</v>
      </c>
      <c r="F415" s="759" t="s">
        <v>36</v>
      </c>
      <c r="G415" s="609"/>
      <c r="H415" s="692"/>
      <c r="I415" s="626"/>
      <c r="J415" s="751"/>
      <c r="L415" s="608" t="s">
        <v>1007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outlineLevel="2">
      <c r="A416" s="376"/>
      <c r="B416" s="684" t="s">
        <v>964</v>
      </c>
      <c r="C416" s="684" t="s">
        <v>1247</v>
      </c>
      <c r="D416" s="684" t="s">
        <v>518</v>
      </c>
      <c r="E416" s="684"/>
      <c r="F416" s="685" t="s">
        <v>1935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964</v>
      </c>
      <c r="C417" s="376" t="s">
        <v>1247</v>
      </c>
      <c r="D417" s="376" t="s">
        <v>518</v>
      </c>
      <c r="E417" s="376" t="s">
        <v>56</v>
      </c>
      <c r="F417" s="759" t="s">
        <v>36</v>
      </c>
      <c r="G417" s="609"/>
      <c r="H417" s="692"/>
      <c r="I417" s="626"/>
      <c r="J417" s="751"/>
      <c r="L417" s="608" t="s">
        <v>56</v>
      </c>
      <c r="M417" s="608" t="s">
        <v>1515</v>
      </c>
      <c r="N417" s="608" t="s">
        <v>1588</v>
      </c>
      <c r="O417" s="608" t="s">
        <v>1517</v>
      </c>
      <c r="P417" s="608" t="s">
        <v>1589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92.45" outlineLevel="2">
      <c r="A418" s="376"/>
      <c r="B418" s="684" t="s">
        <v>964</v>
      </c>
      <c r="C418" s="684" t="s">
        <v>1247</v>
      </c>
      <c r="D418" s="684" t="s">
        <v>441</v>
      </c>
      <c r="E418" s="684"/>
      <c r="F418" s="685" t="s">
        <v>1936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1429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9.6" outlineLevel="3" collapsed="1">
      <c r="A419" s="376"/>
      <c r="B419" s="376" t="s">
        <v>964</v>
      </c>
      <c r="C419" s="376" t="s">
        <v>1247</v>
      </c>
      <c r="D419" s="376" t="s">
        <v>441</v>
      </c>
      <c r="E419" s="376" t="s">
        <v>437</v>
      </c>
      <c r="F419" s="759" t="s">
        <v>36</v>
      </c>
      <c r="G419" s="609"/>
      <c r="H419" s="692"/>
      <c r="I419" s="626"/>
      <c r="J419" s="751"/>
      <c r="L419" s="608" t="s">
        <v>437</v>
      </c>
      <c r="M419" s="608" t="s">
        <v>1046</v>
      </c>
      <c r="N419" s="608" t="s">
        <v>1047</v>
      </c>
      <c r="O419" s="608" t="s">
        <v>1437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92.45" outlineLevel="2">
      <c r="A420" s="376"/>
      <c r="B420" s="684" t="s">
        <v>964</v>
      </c>
      <c r="C420" s="684" t="s">
        <v>1247</v>
      </c>
      <c r="D420" s="684" t="s">
        <v>860</v>
      </c>
      <c r="E420" s="684"/>
      <c r="F420" s="685" t="s">
        <v>1937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1429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964</v>
      </c>
      <c r="C421" s="376" t="s">
        <v>1247</v>
      </c>
      <c r="D421" s="376" t="s">
        <v>860</v>
      </c>
      <c r="E421" s="376" t="s">
        <v>437</v>
      </c>
      <c r="F421" s="759" t="s">
        <v>36</v>
      </c>
      <c r="G421" s="609"/>
      <c r="H421" s="692"/>
      <c r="I421" s="626"/>
      <c r="J421" s="751"/>
      <c r="L421" s="608" t="s">
        <v>437</v>
      </c>
      <c r="M421" s="608" t="s">
        <v>1393</v>
      </c>
      <c r="N421" s="608" t="s">
        <v>1434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966</v>
      </c>
      <c r="C422" s="666" t="s">
        <v>1222</v>
      </c>
      <c r="D422" s="666"/>
      <c r="E422" s="666"/>
      <c r="F422" s="681" t="s">
        <v>1004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6.45" outlineLevel="2">
      <c r="A423" s="376"/>
      <c r="B423" s="684" t="s">
        <v>966</v>
      </c>
      <c r="C423" s="684" t="s">
        <v>1222</v>
      </c>
      <c r="D423" s="684" t="s">
        <v>159</v>
      </c>
      <c r="E423" s="684"/>
      <c r="F423" s="685" t="s">
        <v>1223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6.45" outlineLevel="3">
      <c r="A424" s="376"/>
      <c r="B424" s="376" t="s">
        <v>966</v>
      </c>
      <c r="C424" s="376" t="s">
        <v>1222</v>
      </c>
      <c r="D424" s="376" t="s">
        <v>159</v>
      </c>
      <c r="E424" s="376" t="s">
        <v>1162</v>
      </c>
      <c r="F424" s="608" t="s">
        <v>1224</v>
      </c>
      <c r="G424" s="609">
        <v>4.3906973852126532</v>
      </c>
      <c r="H424" s="692">
        <v>1</v>
      </c>
      <c r="I424" s="626"/>
      <c r="J424" s="751"/>
      <c r="L424" s="608" t="s">
        <v>1162</v>
      </c>
      <c r="M424" s="608" t="s">
        <v>1181</v>
      </c>
      <c r="N424" s="608" t="s">
        <v>1182</v>
      </c>
      <c r="O424" s="608" t="s">
        <v>1225</v>
      </c>
      <c r="P424" s="608" t="s">
        <v>1183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6.45" outlineLevel="3">
      <c r="A425" s="376"/>
      <c r="B425" s="376" t="s">
        <v>966</v>
      </c>
      <c r="C425" s="376" t="s">
        <v>1222</v>
      </c>
      <c r="D425" s="376" t="s">
        <v>159</v>
      </c>
      <c r="E425" s="376" t="s">
        <v>1162</v>
      </c>
      <c r="F425" s="608" t="s">
        <v>1226</v>
      </c>
      <c r="G425" s="609">
        <v>2.1953486926063266</v>
      </c>
      <c r="H425" s="692">
        <v>1</v>
      </c>
      <c r="I425" s="626"/>
      <c r="J425" s="751"/>
      <c r="L425" s="608" t="s">
        <v>1162</v>
      </c>
      <c r="M425" s="608" t="s">
        <v>1181</v>
      </c>
      <c r="N425" s="608" t="s">
        <v>1182</v>
      </c>
      <c r="O425" s="608" t="s">
        <v>1225</v>
      </c>
      <c r="P425" s="608" t="s">
        <v>1183</v>
      </c>
      <c r="Q425" s="608"/>
      <c r="R425" s="608"/>
      <c r="T425" s="751"/>
      <c r="V425" s="609">
        <f t="shared" si="71"/>
        <v>0</v>
      </c>
      <c r="W425" s="692"/>
    </row>
    <row r="426" spans="1:23" ht="26.45" outlineLevel="3">
      <c r="A426" s="376"/>
      <c r="B426" s="376" t="s">
        <v>966</v>
      </c>
      <c r="C426" s="376" t="s">
        <v>1222</v>
      </c>
      <c r="D426" s="376" t="s">
        <v>159</v>
      </c>
      <c r="E426" s="376" t="s">
        <v>1162</v>
      </c>
      <c r="F426" s="608" t="s">
        <v>1227</v>
      </c>
      <c r="G426" s="609">
        <v>2.1953486926063266</v>
      </c>
      <c r="H426" s="692">
        <v>1</v>
      </c>
      <c r="I426" s="626"/>
      <c r="J426" s="751"/>
      <c r="L426" s="608" t="s">
        <v>1162</v>
      </c>
      <c r="M426" s="608" t="s">
        <v>1181</v>
      </c>
      <c r="N426" s="608" t="s">
        <v>1182</v>
      </c>
      <c r="O426" s="608" t="s">
        <v>1225</v>
      </c>
      <c r="P426" s="608" t="s">
        <v>1183</v>
      </c>
      <c r="Q426" s="608"/>
      <c r="R426" s="608"/>
      <c r="T426" s="751"/>
      <c r="V426" s="609">
        <f t="shared" si="71"/>
        <v>0</v>
      </c>
      <c r="W426" s="692"/>
    </row>
    <row r="427" spans="1:23" ht="26.45" outlineLevel="2">
      <c r="A427" s="376"/>
      <c r="B427" s="684" t="s">
        <v>966</v>
      </c>
      <c r="C427" s="684" t="s">
        <v>1222</v>
      </c>
      <c r="D427" s="684" t="s">
        <v>518</v>
      </c>
      <c r="E427" s="684"/>
      <c r="F427" s="685" t="s">
        <v>1590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6.45" outlineLevel="3">
      <c r="A428" s="376"/>
      <c r="B428" s="376" t="s">
        <v>966</v>
      </c>
      <c r="C428" s="376" t="s">
        <v>1222</v>
      </c>
      <c r="D428" s="376" t="s">
        <v>518</v>
      </c>
      <c r="E428" s="376" t="s">
        <v>56</v>
      </c>
      <c r="F428" s="608" t="s">
        <v>36</v>
      </c>
      <c r="G428" s="609">
        <v>1.3962417684976238</v>
      </c>
      <c r="H428" s="692">
        <v>1</v>
      </c>
      <c r="I428" s="626"/>
      <c r="J428" s="751"/>
      <c r="L428" s="608" t="s">
        <v>56</v>
      </c>
      <c r="M428" s="608" t="s">
        <v>1585</v>
      </c>
      <c r="N428" s="608" t="s">
        <v>1591</v>
      </c>
      <c r="O428" s="608"/>
      <c r="P428" s="608" t="s">
        <v>1026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6.45" outlineLevel="3">
      <c r="A429" s="376"/>
      <c r="B429" s="376" t="s">
        <v>966</v>
      </c>
      <c r="C429" s="376" t="s">
        <v>1222</v>
      </c>
      <c r="D429" s="376" t="s">
        <v>518</v>
      </c>
      <c r="E429" s="376" t="s">
        <v>56</v>
      </c>
      <c r="F429" s="608" t="s">
        <v>1224</v>
      </c>
      <c r="G429" s="609">
        <v>1.8616556913301652</v>
      </c>
      <c r="H429" s="692">
        <v>1</v>
      </c>
      <c r="I429" s="626"/>
      <c r="J429" s="751"/>
      <c r="L429" s="608" t="s">
        <v>56</v>
      </c>
      <c r="M429" s="608" t="s">
        <v>1585</v>
      </c>
      <c r="N429" s="608" t="s">
        <v>1591</v>
      </c>
      <c r="O429" s="608"/>
      <c r="P429" s="608" t="s">
        <v>1026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9.6" outlineLevel="2">
      <c r="A430" s="376"/>
      <c r="B430" s="684" t="s">
        <v>966</v>
      </c>
      <c r="C430" s="684" t="s">
        <v>1222</v>
      </c>
      <c r="D430" s="684" t="s">
        <v>441</v>
      </c>
      <c r="E430" s="684"/>
      <c r="F430" s="685" t="s">
        <v>1438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9.6" outlineLevel="3">
      <c r="A431" s="376"/>
      <c r="B431" s="376" t="s">
        <v>966</v>
      </c>
      <c r="C431" s="376" t="s">
        <v>1222</v>
      </c>
      <c r="D431" s="376" t="s">
        <v>441</v>
      </c>
      <c r="E431" s="376" t="s">
        <v>437</v>
      </c>
      <c r="F431" s="608" t="s">
        <v>36</v>
      </c>
      <c r="G431" s="609">
        <v>0.51810229145509312</v>
      </c>
      <c r="H431" s="692">
        <v>1</v>
      </c>
      <c r="I431" s="626"/>
      <c r="J431" s="751"/>
      <c r="L431" s="608" t="s">
        <v>437</v>
      </c>
      <c r="M431" s="608" t="s">
        <v>1046</v>
      </c>
      <c r="N431" s="608" t="s">
        <v>1427</v>
      </c>
      <c r="O431" s="608" t="s">
        <v>1439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9.6" outlineLevel="3">
      <c r="A432" s="376"/>
      <c r="B432" s="376" t="s">
        <v>966</v>
      </c>
      <c r="C432" s="376" t="s">
        <v>1222</v>
      </c>
      <c r="D432" s="376" t="s">
        <v>441</v>
      </c>
      <c r="E432" s="376" t="s">
        <v>437</v>
      </c>
      <c r="F432" s="759" t="s">
        <v>1224</v>
      </c>
      <c r="G432" s="609"/>
      <c r="H432" s="692"/>
      <c r="I432" s="626"/>
      <c r="J432" s="751"/>
      <c r="L432" s="608" t="s">
        <v>437</v>
      </c>
      <c r="M432" s="608" t="s">
        <v>1046</v>
      </c>
      <c r="N432" s="608" t="s">
        <v>1427</v>
      </c>
      <c r="O432" s="608" t="s">
        <v>1439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9.6" outlineLevel="3">
      <c r="A433" s="376"/>
      <c r="B433" s="376" t="s">
        <v>966</v>
      </c>
      <c r="C433" s="376" t="s">
        <v>1222</v>
      </c>
      <c r="D433" s="376" t="s">
        <v>441</v>
      </c>
      <c r="E433" s="376" t="s">
        <v>437</v>
      </c>
      <c r="F433" s="608" t="s">
        <v>1226</v>
      </c>
      <c r="G433" s="609">
        <v>0.25905114572754701</v>
      </c>
      <c r="H433" s="692">
        <v>1</v>
      </c>
      <c r="I433" s="626"/>
      <c r="J433" s="751"/>
      <c r="L433" s="608" t="s">
        <v>437</v>
      </c>
      <c r="M433" s="608" t="s">
        <v>1046</v>
      </c>
      <c r="N433" s="608" t="s">
        <v>1427</v>
      </c>
      <c r="O433" s="608" t="s">
        <v>1439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968</v>
      </c>
      <c r="C434" s="666" t="s">
        <v>1163</v>
      </c>
      <c r="D434" s="666"/>
      <c r="E434" s="666"/>
      <c r="F434" s="681" t="s">
        <v>1004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6.45" outlineLevel="2">
      <c r="A435" s="392"/>
      <c r="B435" s="687" t="s">
        <v>1163</v>
      </c>
      <c r="C435" s="687" t="s">
        <v>1163</v>
      </c>
      <c r="D435" s="687" t="s">
        <v>159</v>
      </c>
      <c r="E435" s="687"/>
      <c r="F435" s="717" t="s">
        <v>1938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1229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6.45" outlineLevel="3">
      <c r="A436" s="392"/>
      <c r="B436" s="387" t="s">
        <v>1163</v>
      </c>
      <c r="C436" s="387" t="s">
        <v>1163</v>
      </c>
      <c r="D436" s="387" t="s">
        <v>159</v>
      </c>
      <c r="E436" s="387" t="s">
        <v>1162</v>
      </c>
      <c r="F436" s="705" t="s">
        <v>17</v>
      </c>
      <c r="G436" s="706">
        <v>4.7746000000000013</v>
      </c>
      <c r="H436" s="707">
        <v>1</v>
      </c>
      <c r="I436" s="740"/>
      <c r="J436" s="757"/>
      <c r="K436" s="748"/>
      <c r="L436" s="705" t="s">
        <v>1162</v>
      </c>
      <c r="M436" s="705" t="s">
        <v>1212</v>
      </c>
      <c r="N436" s="705" t="s">
        <v>1230</v>
      </c>
      <c r="O436" s="705" t="s">
        <v>1231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6.45" outlineLevel="3">
      <c r="A437" s="392"/>
      <c r="B437" s="387" t="s">
        <v>1163</v>
      </c>
      <c r="C437" s="387" t="s">
        <v>1163</v>
      </c>
      <c r="D437" s="387" t="s">
        <v>159</v>
      </c>
      <c r="E437" s="387" t="s">
        <v>1162</v>
      </c>
      <c r="F437" s="705" t="s">
        <v>36</v>
      </c>
      <c r="G437" s="706">
        <v>4.3640000000000008</v>
      </c>
      <c r="H437" s="707">
        <v>1</v>
      </c>
      <c r="I437" s="740"/>
      <c r="J437" s="757"/>
      <c r="K437" s="748"/>
      <c r="L437" s="705" t="s">
        <v>1162</v>
      </c>
      <c r="M437" s="705" t="s">
        <v>1212</v>
      </c>
      <c r="N437" s="705" t="s">
        <v>1230</v>
      </c>
      <c r="O437" s="705" t="s">
        <v>1231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6.45" outlineLevel="3">
      <c r="A438" s="392"/>
      <c r="B438" s="387" t="s">
        <v>1163</v>
      </c>
      <c r="C438" s="387" t="s">
        <v>1163</v>
      </c>
      <c r="D438" s="387" t="s">
        <v>159</v>
      </c>
      <c r="E438" s="387" t="s">
        <v>1162</v>
      </c>
      <c r="F438" s="705" t="s">
        <v>1232</v>
      </c>
      <c r="G438" s="706">
        <v>2.2846500000000005</v>
      </c>
      <c r="H438" s="707">
        <v>1</v>
      </c>
      <c r="I438" s="740"/>
      <c r="J438" s="757"/>
      <c r="K438" s="748"/>
      <c r="L438" s="705" t="s">
        <v>1162</v>
      </c>
      <c r="M438" s="705" t="s">
        <v>1212</v>
      </c>
      <c r="N438" s="705" t="s">
        <v>1230</v>
      </c>
      <c r="O438" s="705" t="s">
        <v>1231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6.45" outlineLevel="3">
      <c r="A439" s="392"/>
      <c r="B439" s="387" t="s">
        <v>1163</v>
      </c>
      <c r="C439" s="387" t="s">
        <v>1163</v>
      </c>
      <c r="D439" s="387" t="s">
        <v>159</v>
      </c>
      <c r="E439" s="387" t="s">
        <v>1162</v>
      </c>
      <c r="F439" s="705" t="s">
        <v>1226</v>
      </c>
      <c r="G439" s="706">
        <v>2.3873000000000006</v>
      </c>
      <c r="H439" s="707">
        <v>1</v>
      </c>
      <c r="I439" s="740"/>
      <c r="J439" s="757"/>
      <c r="K439" s="748"/>
      <c r="L439" s="705" t="s">
        <v>1162</v>
      </c>
      <c r="M439" s="705" t="s">
        <v>1212</v>
      </c>
      <c r="N439" s="705" t="s">
        <v>1230</v>
      </c>
      <c r="O439" s="705" t="s">
        <v>1231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1163</v>
      </c>
      <c r="C440" s="387" t="s">
        <v>1163</v>
      </c>
      <c r="D440" s="387" t="s">
        <v>159</v>
      </c>
      <c r="E440" s="387" t="s">
        <v>1007</v>
      </c>
      <c r="F440" s="705" t="s">
        <v>1338</v>
      </c>
      <c r="G440" s="706">
        <v>0.41060000000000008</v>
      </c>
      <c r="H440" s="707">
        <v>1</v>
      </c>
      <c r="I440" s="740"/>
      <c r="J440" s="757"/>
      <c r="K440" s="748"/>
      <c r="L440" s="705" t="s">
        <v>1007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1163</v>
      </c>
      <c r="C441" s="387" t="s">
        <v>1163</v>
      </c>
      <c r="D441" s="387" t="s">
        <v>159</v>
      </c>
      <c r="E441" s="387" t="s">
        <v>1007</v>
      </c>
      <c r="F441" s="705" t="s">
        <v>1339</v>
      </c>
      <c r="G441" s="706">
        <v>0.10265000000000002</v>
      </c>
      <c r="H441" s="707">
        <v>1</v>
      </c>
      <c r="I441" s="740"/>
      <c r="J441" s="757"/>
      <c r="K441" s="748"/>
      <c r="L441" s="705" t="s">
        <v>1007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1163</v>
      </c>
      <c r="C442" s="687" t="s">
        <v>1163</v>
      </c>
      <c r="D442" s="687" t="s">
        <v>518</v>
      </c>
      <c r="E442" s="687"/>
      <c r="F442" s="717" t="s">
        <v>1939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1163</v>
      </c>
      <c r="C443" s="387" t="s">
        <v>1163</v>
      </c>
      <c r="D443" s="387" t="s">
        <v>518</v>
      </c>
      <c r="E443" s="387" t="s">
        <v>56</v>
      </c>
      <c r="F443" s="705" t="s">
        <v>36</v>
      </c>
      <c r="G443" s="706">
        <v>1.5183228000000002</v>
      </c>
      <c r="H443" s="707">
        <v>1</v>
      </c>
      <c r="I443" s="740"/>
      <c r="J443" s="757"/>
      <c r="K443" s="748"/>
      <c r="L443" s="705" t="s">
        <v>56</v>
      </c>
      <c r="M443" s="705" t="s">
        <v>1524</v>
      </c>
      <c r="N443" s="705" t="s">
        <v>1528</v>
      </c>
      <c r="O443" s="705" t="s">
        <v>1581</v>
      </c>
      <c r="P443" s="705" t="s">
        <v>1526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1163</v>
      </c>
      <c r="C444" s="387" t="s">
        <v>1163</v>
      </c>
      <c r="D444" s="387" t="s">
        <v>518</v>
      </c>
      <c r="E444" s="387" t="s">
        <v>56</v>
      </c>
      <c r="F444" s="705" t="s">
        <v>1226</v>
      </c>
      <c r="G444" s="706">
        <v>0.5061076000000001</v>
      </c>
      <c r="H444" s="707">
        <v>1</v>
      </c>
      <c r="I444" s="740"/>
      <c r="J444" s="757"/>
      <c r="K444" s="748"/>
      <c r="L444" s="705" t="s">
        <v>56</v>
      </c>
      <c r="M444" s="705" t="s">
        <v>1524</v>
      </c>
      <c r="N444" s="705" t="s">
        <v>1528</v>
      </c>
      <c r="O444" s="705" t="s">
        <v>1581</v>
      </c>
      <c r="P444" s="705" t="s">
        <v>1526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6.45" outlineLevel="2">
      <c r="A445" s="392"/>
      <c r="B445" s="687" t="s">
        <v>1163</v>
      </c>
      <c r="C445" s="687" t="s">
        <v>1163</v>
      </c>
      <c r="D445" s="687" t="s">
        <v>441</v>
      </c>
      <c r="E445" s="687"/>
      <c r="F445" s="717" t="s">
        <v>1938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6" outlineLevel="3">
      <c r="A446" s="392"/>
      <c r="B446" s="387" t="s">
        <v>1163</v>
      </c>
      <c r="C446" s="387" t="s">
        <v>1163</v>
      </c>
      <c r="D446" s="387" t="s">
        <v>441</v>
      </c>
      <c r="E446" s="387" t="s">
        <v>437</v>
      </c>
      <c r="F446" s="705" t="s">
        <v>36</v>
      </c>
      <c r="G446" s="706">
        <v>0.56340280000000009</v>
      </c>
      <c r="H446" s="707">
        <v>1</v>
      </c>
      <c r="I446" s="740"/>
      <c r="J446" s="757"/>
      <c r="K446" s="748"/>
      <c r="L446" s="705" t="s">
        <v>437</v>
      </c>
      <c r="M446" s="705" t="s">
        <v>1046</v>
      </c>
      <c r="N446" s="705" t="s">
        <v>1440</v>
      </c>
      <c r="O446" s="705" t="s">
        <v>1441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6" outlineLevel="3">
      <c r="A447" s="392"/>
      <c r="B447" s="387" t="s">
        <v>1163</v>
      </c>
      <c r="C447" s="387" t="s">
        <v>1163</v>
      </c>
      <c r="D447" s="387" t="s">
        <v>441</v>
      </c>
      <c r="E447" s="387" t="s">
        <v>437</v>
      </c>
      <c r="F447" s="705" t="s">
        <v>1232</v>
      </c>
      <c r="G447" s="706">
        <v>0.28170140000000005</v>
      </c>
      <c r="H447" s="707">
        <v>1</v>
      </c>
      <c r="I447" s="740"/>
      <c r="J447" s="757"/>
      <c r="K447" s="748"/>
      <c r="L447" s="705" t="s">
        <v>437</v>
      </c>
      <c r="M447" s="705" t="s">
        <v>1046</v>
      </c>
      <c r="N447" s="705" t="s">
        <v>1440</v>
      </c>
      <c r="O447" s="705" t="s">
        <v>1441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6" outlineLevel="3">
      <c r="A448" s="392"/>
      <c r="B448" s="387" t="s">
        <v>1163</v>
      </c>
      <c r="C448" s="387" t="s">
        <v>1163</v>
      </c>
      <c r="D448" s="387" t="s">
        <v>441</v>
      </c>
      <c r="E448" s="387" t="s">
        <v>437</v>
      </c>
      <c r="F448" s="705" t="s">
        <v>1226</v>
      </c>
      <c r="G448" s="706">
        <v>0.28170140000000005</v>
      </c>
      <c r="H448" s="707">
        <v>1</v>
      </c>
      <c r="I448" s="740"/>
      <c r="J448" s="757"/>
      <c r="K448" s="748"/>
      <c r="L448" s="705" t="s">
        <v>437</v>
      </c>
      <c r="M448" s="705" t="s">
        <v>1046</v>
      </c>
      <c r="N448" s="705" t="s">
        <v>1440</v>
      </c>
      <c r="O448" s="705" t="s">
        <v>1441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1163</v>
      </c>
      <c r="C449" s="687" t="s">
        <v>1163</v>
      </c>
      <c r="D449" s="687" t="s">
        <v>860</v>
      </c>
      <c r="E449" s="687"/>
      <c r="F449" s="717" t="s">
        <v>1939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1163</v>
      </c>
      <c r="C450" s="387" t="s">
        <v>1163</v>
      </c>
      <c r="D450" s="387" t="s">
        <v>860</v>
      </c>
      <c r="E450" s="387" t="s">
        <v>437</v>
      </c>
      <c r="F450" s="759" t="s">
        <v>36</v>
      </c>
      <c r="G450" s="706"/>
      <c r="H450" s="707"/>
      <c r="I450" s="740"/>
      <c r="J450" s="757"/>
      <c r="K450" s="748"/>
      <c r="L450" s="705" t="s">
        <v>437</v>
      </c>
      <c r="M450" s="705" t="s">
        <v>1393</v>
      </c>
      <c r="N450" s="705" t="s">
        <v>1406</v>
      </c>
      <c r="O450" s="705" t="s">
        <v>1434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1163</v>
      </c>
      <c r="C451" s="387" t="s">
        <v>1163</v>
      </c>
      <c r="D451" s="387" t="s">
        <v>860</v>
      </c>
      <c r="E451" s="387" t="s">
        <v>437</v>
      </c>
      <c r="F451" s="759" t="s">
        <v>1226</v>
      </c>
      <c r="G451" s="706"/>
      <c r="H451" s="707"/>
      <c r="I451" s="740"/>
      <c r="J451" s="757"/>
      <c r="K451" s="748"/>
      <c r="L451" s="705" t="s">
        <v>437</v>
      </c>
      <c r="M451" s="705" t="s">
        <v>1393</v>
      </c>
      <c r="N451" s="705" t="s">
        <v>1406</v>
      </c>
      <c r="O451" s="705" t="s">
        <v>1434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970</v>
      </c>
      <c r="C452" s="666" t="s">
        <v>1165</v>
      </c>
      <c r="D452" s="666"/>
      <c r="E452" s="666"/>
      <c r="F452" s="681" t="s">
        <v>1004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6.45" outlineLevel="2">
      <c r="A453" s="392"/>
      <c r="B453" s="687" t="s">
        <v>1165</v>
      </c>
      <c r="C453" s="687" t="s">
        <v>1165</v>
      </c>
      <c r="D453" s="687" t="s">
        <v>159</v>
      </c>
      <c r="E453" s="687"/>
      <c r="F453" s="717" t="s">
        <v>1940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1165</v>
      </c>
      <c r="C454" s="387" t="s">
        <v>1165</v>
      </c>
      <c r="D454" s="387" t="s">
        <v>159</v>
      </c>
      <c r="E454" s="387" t="s">
        <v>664</v>
      </c>
      <c r="F454" s="705" t="s">
        <v>17</v>
      </c>
      <c r="G454" s="706">
        <v>3.6843765000000008</v>
      </c>
      <c r="H454" s="707">
        <v>1</v>
      </c>
      <c r="I454" s="740"/>
      <c r="J454" s="757"/>
      <c r="K454" s="748"/>
      <c r="L454" s="705" t="s">
        <v>664</v>
      </c>
      <c r="M454" s="705" t="s">
        <v>664</v>
      </c>
      <c r="N454" s="705" t="s">
        <v>1356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1165</v>
      </c>
      <c r="C455" s="387" t="s">
        <v>1165</v>
      </c>
      <c r="D455" s="387" t="s">
        <v>159</v>
      </c>
      <c r="E455" s="387" t="s">
        <v>664</v>
      </c>
      <c r="F455" s="705" t="s">
        <v>36</v>
      </c>
      <c r="G455" s="706">
        <v>3.6843765000000008</v>
      </c>
      <c r="H455" s="707">
        <v>1</v>
      </c>
      <c r="I455" s="740"/>
      <c r="J455" s="757"/>
      <c r="K455" s="748"/>
      <c r="L455" s="705" t="s">
        <v>664</v>
      </c>
      <c r="M455" s="705" t="s">
        <v>664</v>
      </c>
      <c r="N455" s="705" t="s">
        <v>1356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1165</v>
      </c>
      <c r="C456" s="387" t="s">
        <v>1165</v>
      </c>
      <c r="D456" s="387" t="s">
        <v>159</v>
      </c>
      <c r="E456" s="387" t="s">
        <v>664</v>
      </c>
      <c r="F456" s="705" t="s">
        <v>1232</v>
      </c>
      <c r="G456" s="706">
        <v>3.6843764999999999</v>
      </c>
      <c r="H456" s="707">
        <v>1</v>
      </c>
      <c r="I456" s="740"/>
      <c r="J456" s="757"/>
      <c r="K456" s="748"/>
      <c r="L456" s="705" t="s">
        <v>664</v>
      </c>
      <c r="M456" s="705" t="s">
        <v>1357</v>
      </c>
      <c r="N456" s="705" t="s">
        <v>1356</v>
      </c>
      <c r="O456" s="705" t="s">
        <v>1358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1165</v>
      </c>
      <c r="C457" s="387" t="s">
        <v>1165</v>
      </c>
      <c r="D457" s="387" t="s">
        <v>159</v>
      </c>
      <c r="E457" s="387" t="s">
        <v>664</v>
      </c>
      <c r="F457" s="705" t="s">
        <v>1233</v>
      </c>
      <c r="G457" s="706">
        <v>1.8421882500000004</v>
      </c>
      <c r="H457" s="707">
        <v>1</v>
      </c>
      <c r="I457" s="740"/>
      <c r="J457" s="757"/>
      <c r="K457" s="748"/>
      <c r="L457" s="705" t="s">
        <v>664</v>
      </c>
      <c r="M457" s="705" t="s">
        <v>1357</v>
      </c>
      <c r="N457" s="705" t="s">
        <v>1356</v>
      </c>
      <c r="O457" s="705" t="s">
        <v>1358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1165</v>
      </c>
      <c r="C458" s="687" t="s">
        <v>1165</v>
      </c>
      <c r="D458" s="687" t="s">
        <v>518</v>
      </c>
      <c r="E458" s="687"/>
      <c r="F458" s="717" t="s">
        <v>1331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1165</v>
      </c>
      <c r="C459" s="387" t="s">
        <v>1165</v>
      </c>
      <c r="D459" s="387" t="s">
        <v>518</v>
      </c>
      <c r="E459" s="387" t="s">
        <v>56</v>
      </c>
      <c r="F459" s="705" t="s">
        <v>36</v>
      </c>
      <c r="G459" s="706">
        <v>1.5621756360000001</v>
      </c>
      <c r="H459" s="707">
        <v>1</v>
      </c>
      <c r="I459" s="740"/>
      <c r="J459" s="757"/>
      <c r="K459" s="748"/>
      <c r="L459" s="705" t="s">
        <v>56</v>
      </c>
      <c r="M459" s="705" t="s">
        <v>1524</v>
      </c>
      <c r="N459" s="705" t="s">
        <v>953</v>
      </c>
      <c r="O459" s="705" t="s">
        <v>953</v>
      </c>
      <c r="P459" s="705" t="s">
        <v>1526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1165</v>
      </c>
      <c r="C460" s="687" t="s">
        <v>1165</v>
      </c>
      <c r="D460" s="687" t="s">
        <v>441</v>
      </c>
      <c r="E460" s="687"/>
      <c r="F460" s="717" t="s">
        <v>1941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9.6" outlineLevel="3">
      <c r="A461" s="392"/>
      <c r="B461" s="387" t="s">
        <v>1165</v>
      </c>
      <c r="C461" s="387" t="s">
        <v>1165</v>
      </c>
      <c r="D461" s="387" t="s">
        <v>441</v>
      </c>
      <c r="E461" s="387" t="s">
        <v>437</v>
      </c>
      <c r="F461" s="759" t="s">
        <v>36</v>
      </c>
      <c r="G461" s="706"/>
      <c r="H461" s="707"/>
      <c r="I461" s="740"/>
      <c r="J461" s="757"/>
      <c r="K461" s="748"/>
      <c r="L461" s="705" t="s">
        <v>437</v>
      </c>
      <c r="M461" s="705" t="s">
        <v>1046</v>
      </c>
      <c r="N461" s="705" t="s">
        <v>1440</v>
      </c>
      <c r="O461" s="705" t="s">
        <v>1444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9.6" outlineLevel="3">
      <c r="A462" s="392"/>
      <c r="B462" s="387" t="s">
        <v>1165</v>
      </c>
      <c r="C462" s="387" t="s">
        <v>1165</v>
      </c>
      <c r="D462" s="387" t="s">
        <v>441</v>
      </c>
      <c r="E462" s="387" t="s">
        <v>437</v>
      </c>
      <c r="F462" s="759" t="s">
        <v>1232</v>
      </c>
      <c r="G462" s="706"/>
      <c r="H462" s="707"/>
      <c r="I462" s="740"/>
      <c r="J462" s="757"/>
      <c r="K462" s="748"/>
      <c r="L462" s="705" t="s">
        <v>437</v>
      </c>
      <c r="M462" s="705" t="s">
        <v>1046</v>
      </c>
      <c r="N462" s="705" t="s">
        <v>1440</v>
      </c>
      <c r="O462" s="705" t="s">
        <v>1444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1165</v>
      </c>
      <c r="C463" s="687" t="s">
        <v>1165</v>
      </c>
      <c r="D463" s="687" t="s">
        <v>860</v>
      </c>
      <c r="E463" s="687"/>
      <c r="F463" s="717" t="s">
        <v>1331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1165</v>
      </c>
      <c r="C464" s="387" t="s">
        <v>1165</v>
      </c>
      <c r="D464" s="387" t="s">
        <v>860</v>
      </c>
      <c r="E464" s="387" t="s">
        <v>437</v>
      </c>
      <c r="F464" s="759" t="s">
        <v>36</v>
      </c>
      <c r="G464" s="706"/>
      <c r="H464" s="707"/>
      <c r="I464" s="740"/>
      <c r="J464" s="757"/>
      <c r="K464" s="748"/>
      <c r="L464" s="705" t="s">
        <v>437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972</v>
      </c>
      <c r="C465" s="666" t="s">
        <v>1164</v>
      </c>
      <c r="D465" s="666"/>
      <c r="E465" s="666"/>
      <c r="F465" s="681" t="s">
        <v>1004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6.45" outlineLevel="2">
      <c r="A466" s="376"/>
      <c r="B466" s="687" t="s">
        <v>1164</v>
      </c>
      <c r="C466" s="687" t="s">
        <v>1164</v>
      </c>
      <c r="D466" s="684" t="s">
        <v>159</v>
      </c>
      <c r="E466" s="687"/>
      <c r="F466" s="717" t="s">
        <v>1940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1164</v>
      </c>
      <c r="C467" s="387" t="s">
        <v>1164</v>
      </c>
      <c r="D467" s="376" t="s">
        <v>159</v>
      </c>
      <c r="E467" s="387" t="s">
        <v>664</v>
      </c>
      <c r="F467" s="705" t="s">
        <v>17</v>
      </c>
      <c r="G467" s="706">
        <v>1.2281255000000002</v>
      </c>
      <c r="H467" s="707">
        <v>1</v>
      </c>
      <c r="I467" s="626"/>
      <c r="J467" s="751"/>
      <c r="L467" s="705" t="s">
        <v>664</v>
      </c>
      <c r="M467" s="705" t="s">
        <v>664</v>
      </c>
      <c r="N467" s="705" t="s">
        <v>1359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1164</v>
      </c>
      <c r="C468" s="387" t="s">
        <v>1164</v>
      </c>
      <c r="D468" s="376" t="s">
        <v>159</v>
      </c>
      <c r="E468" s="387" t="s">
        <v>664</v>
      </c>
      <c r="F468" s="705" t="s">
        <v>36</v>
      </c>
      <c r="G468" s="706">
        <v>1.2281255000000002</v>
      </c>
      <c r="H468" s="707">
        <v>1</v>
      </c>
      <c r="I468" s="626"/>
      <c r="J468" s="751"/>
      <c r="L468" s="705" t="s">
        <v>664</v>
      </c>
      <c r="M468" s="705" t="s">
        <v>664</v>
      </c>
      <c r="N468" s="705" t="s">
        <v>1359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1164</v>
      </c>
      <c r="C469" s="387" t="s">
        <v>1164</v>
      </c>
      <c r="D469" s="376" t="s">
        <v>159</v>
      </c>
      <c r="E469" s="387" t="s">
        <v>664</v>
      </c>
      <c r="F469" s="705" t="s">
        <v>1232</v>
      </c>
      <c r="G469" s="706">
        <v>1.2281255</v>
      </c>
      <c r="H469" s="707">
        <v>1</v>
      </c>
      <c r="I469" s="626"/>
      <c r="J469" s="751"/>
      <c r="L469" s="705" t="s">
        <v>664</v>
      </c>
      <c r="M469" s="705" t="s">
        <v>1357</v>
      </c>
      <c r="N469" s="705" t="s">
        <v>1359</v>
      </c>
      <c r="O469" s="705" t="s">
        <v>1360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1164</v>
      </c>
      <c r="C470" s="387" t="s">
        <v>1164</v>
      </c>
      <c r="D470" s="376" t="s">
        <v>159</v>
      </c>
      <c r="E470" s="387" t="s">
        <v>664</v>
      </c>
      <c r="F470" s="705" t="s">
        <v>1233</v>
      </c>
      <c r="G470" s="706">
        <v>0.6140627500000001</v>
      </c>
      <c r="H470" s="707">
        <v>1</v>
      </c>
      <c r="I470" s="626"/>
      <c r="J470" s="751"/>
      <c r="L470" s="705" t="s">
        <v>664</v>
      </c>
      <c r="M470" s="705" t="s">
        <v>1357</v>
      </c>
      <c r="N470" s="705" t="s">
        <v>1359</v>
      </c>
      <c r="O470" s="705" t="s">
        <v>1360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1164</v>
      </c>
      <c r="C471" s="687" t="s">
        <v>1164</v>
      </c>
      <c r="D471" s="684" t="s">
        <v>518</v>
      </c>
      <c r="E471" s="684"/>
      <c r="F471" s="717" t="s">
        <v>1331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1164</v>
      </c>
      <c r="C472" s="387" t="s">
        <v>1164</v>
      </c>
      <c r="D472" s="376" t="s">
        <v>518</v>
      </c>
      <c r="E472" s="376" t="s">
        <v>56</v>
      </c>
      <c r="F472" s="705" t="s">
        <v>36</v>
      </c>
      <c r="G472" s="706">
        <v>0.52072521199999999</v>
      </c>
      <c r="H472" s="707">
        <v>1</v>
      </c>
      <c r="I472" s="626"/>
      <c r="J472" s="751"/>
      <c r="L472" s="608" t="s">
        <v>56</v>
      </c>
      <c r="M472" s="608" t="s">
        <v>1524</v>
      </c>
      <c r="N472" s="608" t="s">
        <v>1592</v>
      </c>
      <c r="O472" s="608" t="s">
        <v>953</v>
      </c>
      <c r="P472" s="608" t="s">
        <v>1526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1164</v>
      </c>
      <c r="C473" s="687" t="s">
        <v>1164</v>
      </c>
      <c r="D473" s="684" t="s">
        <v>441</v>
      </c>
      <c r="E473" s="684"/>
      <c r="F473" s="717" t="s">
        <v>1941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9.6" outlineLevel="3">
      <c r="A474" s="376"/>
      <c r="B474" s="387" t="s">
        <v>1164</v>
      </c>
      <c r="C474" s="387" t="s">
        <v>1164</v>
      </c>
      <c r="D474" s="376" t="s">
        <v>441</v>
      </c>
      <c r="E474" s="376" t="s">
        <v>437</v>
      </c>
      <c r="F474" s="705" t="s">
        <v>36</v>
      </c>
      <c r="G474" s="706">
        <v>0.14491880900000001</v>
      </c>
      <c r="H474" s="707">
        <v>1</v>
      </c>
      <c r="I474" s="626"/>
      <c r="J474" s="751"/>
      <c r="L474" s="608" t="s">
        <v>437</v>
      </c>
      <c r="M474" s="608" t="s">
        <v>1046</v>
      </c>
      <c r="N474" s="608" t="s">
        <v>1440</v>
      </c>
      <c r="O474" s="608" t="s">
        <v>1447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9.6" outlineLevel="3">
      <c r="A475" s="376"/>
      <c r="B475" s="387" t="s">
        <v>1164</v>
      </c>
      <c r="C475" s="387" t="s">
        <v>1164</v>
      </c>
      <c r="D475" s="376" t="s">
        <v>441</v>
      </c>
      <c r="E475" s="376" t="s">
        <v>437</v>
      </c>
      <c r="F475" s="705" t="s">
        <v>1232</v>
      </c>
      <c r="G475" s="706">
        <v>0.14491880900000001</v>
      </c>
      <c r="H475" s="707">
        <v>1</v>
      </c>
      <c r="I475" s="626"/>
      <c r="J475" s="751"/>
      <c r="L475" s="608" t="s">
        <v>437</v>
      </c>
      <c r="M475" s="608" t="s">
        <v>1046</v>
      </c>
      <c r="N475" s="608" t="s">
        <v>1440</v>
      </c>
      <c r="O475" s="608" t="s">
        <v>1447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1164</v>
      </c>
      <c r="C476" s="687" t="s">
        <v>1164</v>
      </c>
      <c r="D476" s="684" t="s">
        <v>860</v>
      </c>
      <c r="E476" s="684"/>
      <c r="F476" s="717" t="s">
        <v>1331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1164</v>
      </c>
      <c r="C477" s="387" t="s">
        <v>1164</v>
      </c>
      <c r="D477" s="376" t="s">
        <v>860</v>
      </c>
      <c r="E477" s="376" t="s">
        <v>437</v>
      </c>
      <c r="F477" s="759" t="s">
        <v>36</v>
      </c>
      <c r="G477" s="706"/>
      <c r="H477" s="707"/>
      <c r="I477" s="626"/>
      <c r="J477" s="751"/>
      <c r="L477" s="608" t="s">
        <v>437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6.45" outlineLevel="1">
      <c r="A478" s="376"/>
      <c r="B478" s="665" t="s">
        <v>973</v>
      </c>
      <c r="C478" s="665" t="s">
        <v>973</v>
      </c>
      <c r="D478" s="665"/>
      <c r="E478" s="665"/>
      <c r="F478" s="681" t="s">
        <v>1004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1229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973</v>
      </c>
      <c r="C479" s="684" t="s">
        <v>973</v>
      </c>
      <c r="D479" s="684" t="s">
        <v>1166</v>
      </c>
      <c r="E479" s="684"/>
      <c r="F479" s="685" t="s">
        <v>1942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973</v>
      </c>
      <c r="C480" s="376" t="s">
        <v>973</v>
      </c>
      <c r="D480" s="376" t="s">
        <v>1166</v>
      </c>
      <c r="E480" s="376" t="s">
        <v>664</v>
      </c>
      <c r="F480" s="608" t="s">
        <v>1362</v>
      </c>
      <c r="G480" s="609">
        <v>0.33750000000000002</v>
      </c>
      <c r="H480" s="692">
        <v>1</v>
      </c>
      <c r="I480" s="626"/>
      <c r="J480" s="751"/>
      <c r="L480" s="608" t="s">
        <v>664</v>
      </c>
      <c r="M480" s="608" t="s">
        <v>664</v>
      </c>
      <c r="N480" s="608" t="s">
        <v>1363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973</v>
      </c>
      <c r="C481" s="376" t="s">
        <v>973</v>
      </c>
      <c r="D481" s="376" t="s">
        <v>1166</v>
      </c>
      <c r="E481" s="376" t="s">
        <v>664</v>
      </c>
      <c r="F481" s="608" t="s">
        <v>36</v>
      </c>
      <c r="G481" s="609">
        <v>0.58000000000000007</v>
      </c>
      <c r="H481" s="692">
        <v>1</v>
      </c>
      <c r="I481" s="626"/>
      <c r="J481" s="751"/>
      <c r="L481" s="608" t="s">
        <v>664</v>
      </c>
      <c r="M481" s="608" t="s">
        <v>664</v>
      </c>
      <c r="N481" s="608" t="s">
        <v>1363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973</v>
      </c>
      <c r="C482" s="376" t="s">
        <v>973</v>
      </c>
      <c r="D482" s="376" t="s">
        <v>1166</v>
      </c>
      <c r="E482" s="376" t="s">
        <v>664</v>
      </c>
      <c r="F482" s="608" t="s">
        <v>1337</v>
      </c>
      <c r="G482" s="609">
        <v>0.58000000000000007</v>
      </c>
      <c r="H482" s="692">
        <v>1</v>
      </c>
      <c r="I482" s="626"/>
      <c r="J482" s="751"/>
      <c r="L482" s="608" t="s">
        <v>664</v>
      </c>
      <c r="M482" s="608" t="s">
        <v>1363</v>
      </c>
      <c r="N482" s="608" t="s">
        <v>1364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973</v>
      </c>
      <c r="C483" s="376" t="s">
        <v>973</v>
      </c>
      <c r="D483" s="376" t="s">
        <v>1166</v>
      </c>
      <c r="E483" s="376" t="s">
        <v>664</v>
      </c>
      <c r="F483" s="608" t="s">
        <v>1365</v>
      </c>
      <c r="G483" s="609">
        <v>0.58000000000000007</v>
      </c>
      <c r="H483" s="692">
        <v>1</v>
      </c>
      <c r="I483" s="626"/>
      <c r="J483" s="751"/>
      <c r="L483" s="608" t="s">
        <v>664</v>
      </c>
      <c r="M483" s="608" t="s">
        <v>1363</v>
      </c>
      <c r="N483" s="608" t="s">
        <v>1364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973</v>
      </c>
      <c r="C484" s="376" t="s">
        <v>973</v>
      </c>
      <c r="D484" s="376" t="s">
        <v>1166</v>
      </c>
      <c r="E484" s="376" t="s">
        <v>664</v>
      </c>
      <c r="F484" s="608" t="s">
        <v>1233</v>
      </c>
      <c r="G484" s="609">
        <v>0.33750000000000002</v>
      </c>
      <c r="H484" s="692">
        <v>1</v>
      </c>
      <c r="I484" s="626"/>
      <c r="J484" s="751"/>
      <c r="L484" s="608" t="s">
        <v>664</v>
      </c>
      <c r="M484" s="608" t="s">
        <v>1363</v>
      </c>
      <c r="N484" s="608" t="s">
        <v>1364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973</v>
      </c>
      <c r="C485" s="376" t="s">
        <v>973</v>
      </c>
      <c r="D485" s="376" t="s">
        <v>1166</v>
      </c>
      <c r="E485" s="376" t="s">
        <v>664</v>
      </c>
      <c r="F485" s="608" t="s">
        <v>1366</v>
      </c>
      <c r="G485" s="609">
        <v>0.33750000000000002</v>
      </c>
      <c r="H485" s="692">
        <v>1</v>
      </c>
      <c r="I485" s="626"/>
      <c r="J485" s="751"/>
      <c r="L485" s="608" t="s">
        <v>664</v>
      </c>
      <c r="M485" s="608" t="s">
        <v>1363</v>
      </c>
      <c r="N485" s="608" t="s">
        <v>1364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973</v>
      </c>
      <c r="C486" s="684" t="s">
        <v>973</v>
      </c>
      <c r="D486" s="684" t="s">
        <v>159</v>
      </c>
      <c r="E486" s="684"/>
      <c r="F486" s="685" t="s">
        <v>1942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973</v>
      </c>
      <c r="C487" s="376" t="s">
        <v>973</v>
      </c>
      <c r="D487" s="376" t="s">
        <v>159</v>
      </c>
      <c r="E487" s="376" t="s">
        <v>1007</v>
      </c>
      <c r="F487" s="628" t="s">
        <v>38</v>
      </c>
      <c r="G487" s="609">
        <v>9.5000000000000015E-2</v>
      </c>
      <c r="H487" s="692">
        <v>1</v>
      </c>
      <c r="I487" s="626"/>
      <c r="J487" s="751"/>
      <c r="L487" s="608" t="s">
        <v>1007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973</v>
      </c>
      <c r="C488" s="376" t="s">
        <v>973</v>
      </c>
      <c r="D488" s="376" t="s">
        <v>159</v>
      </c>
      <c r="E488" s="376" t="s">
        <v>1007</v>
      </c>
      <c r="F488" s="628" t="s">
        <v>1334</v>
      </c>
      <c r="G488" s="609">
        <v>9.5000000000000015E-2</v>
      </c>
      <c r="H488" s="692">
        <v>1</v>
      </c>
      <c r="I488" s="626"/>
      <c r="J488" s="751"/>
      <c r="L488" s="608" t="s">
        <v>1007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973</v>
      </c>
      <c r="C489" s="376" t="s">
        <v>973</v>
      </c>
      <c r="D489" s="376" t="s">
        <v>159</v>
      </c>
      <c r="E489" s="376" t="s">
        <v>1007</v>
      </c>
      <c r="F489" s="628" t="s">
        <v>1341</v>
      </c>
      <c r="G489" s="609">
        <v>9.5000000000000015E-2</v>
      </c>
      <c r="H489" s="692">
        <v>1</v>
      </c>
      <c r="I489" s="626"/>
      <c r="J489" s="751"/>
      <c r="L489" s="608" t="s">
        <v>1007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973</v>
      </c>
      <c r="C490" s="684" t="s">
        <v>973</v>
      </c>
      <c r="D490" s="684" t="s">
        <v>518</v>
      </c>
      <c r="E490" s="684"/>
      <c r="F490" s="685" t="s">
        <v>1942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973</v>
      </c>
      <c r="C491" s="376" t="s">
        <v>973</v>
      </c>
      <c r="D491" s="376" t="s">
        <v>518</v>
      </c>
      <c r="E491" s="376" t="s">
        <v>56</v>
      </c>
      <c r="F491" s="608" t="s">
        <v>36</v>
      </c>
      <c r="G491" s="609">
        <v>0.1431</v>
      </c>
      <c r="H491" s="692">
        <v>1</v>
      </c>
      <c r="I491" s="626"/>
      <c r="J491" s="751"/>
      <c r="L491" s="608" t="s">
        <v>56</v>
      </c>
      <c r="M491" s="608" t="s">
        <v>1585</v>
      </c>
      <c r="N491" s="608" t="s">
        <v>1497</v>
      </c>
      <c r="O491" s="608" t="s">
        <v>1593</v>
      </c>
      <c r="P491" s="608" t="s">
        <v>1526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973</v>
      </c>
      <c r="C492" s="376" t="s">
        <v>973</v>
      </c>
      <c r="D492" s="376" t="s">
        <v>518</v>
      </c>
      <c r="E492" s="376" t="s">
        <v>56</v>
      </c>
      <c r="F492" s="608" t="s">
        <v>1224</v>
      </c>
      <c r="G492" s="609">
        <v>0.28620000000000001</v>
      </c>
      <c r="H492" s="692">
        <v>1</v>
      </c>
      <c r="I492" s="626"/>
      <c r="J492" s="751"/>
      <c r="L492" s="608" t="s">
        <v>56</v>
      </c>
      <c r="M492" s="608" t="s">
        <v>1585</v>
      </c>
      <c r="N492" s="608" t="s">
        <v>1497</v>
      </c>
      <c r="O492" s="608" t="s">
        <v>1593</v>
      </c>
      <c r="P492" s="608" t="s">
        <v>1526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973</v>
      </c>
      <c r="C493" s="376" t="s">
        <v>973</v>
      </c>
      <c r="D493" s="376" t="s">
        <v>518</v>
      </c>
      <c r="E493" s="376" t="s">
        <v>56</v>
      </c>
      <c r="F493" s="608" t="s">
        <v>1366</v>
      </c>
      <c r="G493" s="609">
        <v>0.1431</v>
      </c>
      <c r="H493" s="692">
        <v>1</v>
      </c>
      <c r="I493" s="626"/>
      <c r="J493" s="751"/>
      <c r="L493" s="608" t="s">
        <v>56</v>
      </c>
      <c r="M493" s="608" t="s">
        <v>1585</v>
      </c>
      <c r="N493" s="608" t="s">
        <v>1497</v>
      </c>
      <c r="O493" s="608" t="s">
        <v>1593</v>
      </c>
      <c r="P493" s="608" t="s">
        <v>1526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973</v>
      </c>
      <c r="C494" s="684" t="s">
        <v>973</v>
      </c>
      <c r="D494" s="684" t="s">
        <v>441</v>
      </c>
      <c r="E494" s="684"/>
      <c r="F494" s="685" t="s">
        <v>1942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9.6" outlineLevel="3">
      <c r="A495" s="376"/>
      <c r="B495" s="376" t="s">
        <v>973</v>
      </c>
      <c r="C495" s="376" t="s">
        <v>973</v>
      </c>
      <c r="D495" s="376" t="s">
        <v>441</v>
      </c>
      <c r="E495" s="376" t="s">
        <v>437</v>
      </c>
      <c r="F495" s="759" t="s">
        <v>36</v>
      </c>
      <c r="G495" s="609"/>
      <c r="H495" s="692"/>
      <c r="I495" s="626"/>
      <c r="J495" s="751"/>
      <c r="L495" s="608" t="s">
        <v>437</v>
      </c>
      <c r="M495" s="608" t="s">
        <v>1046</v>
      </c>
      <c r="N495" s="608" t="s">
        <v>1047</v>
      </c>
      <c r="O495" s="608" t="s">
        <v>1448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9.6" outlineLevel="3">
      <c r="A496" s="376"/>
      <c r="B496" s="376" t="s">
        <v>973</v>
      </c>
      <c r="C496" s="376" t="s">
        <v>973</v>
      </c>
      <c r="D496" s="376" t="s">
        <v>441</v>
      </c>
      <c r="E496" s="376" t="s">
        <v>437</v>
      </c>
      <c r="F496" s="759" t="s">
        <v>1224</v>
      </c>
      <c r="G496" s="609"/>
      <c r="H496" s="692"/>
      <c r="I496" s="626"/>
      <c r="J496" s="751"/>
      <c r="L496" s="608" t="s">
        <v>437</v>
      </c>
      <c r="M496" s="608" t="s">
        <v>1046</v>
      </c>
      <c r="N496" s="608" t="s">
        <v>1047</v>
      </c>
      <c r="O496" s="608" t="s">
        <v>1448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9.6" outlineLevel="3" collapsed="1">
      <c r="A497" s="376"/>
      <c r="B497" s="376" t="s">
        <v>973</v>
      </c>
      <c r="C497" s="376" t="s">
        <v>973</v>
      </c>
      <c r="D497" s="376" t="s">
        <v>441</v>
      </c>
      <c r="E497" s="376" t="s">
        <v>437</v>
      </c>
      <c r="F497" s="759" t="s">
        <v>1366</v>
      </c>
      <c r="G497" s="609"/>
      <c r="H497" s="692"/>
      <c r="I497" s="626"/>
      <c r="J497" s="751"/>
      <c r="L497" s="608" t="s">
        <v>437</v>
      </c>
      <c r="M497" s="608" t="s">
        <v>1046</v>
      </c>
      <c r="N497" s="608" t="s">
        <v>1047</v>
      </c>
      <c r="O497" s="608" t="s">
        <v>1448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973</v>
      </c>
      <c r="C498" s="684" t="s">
        <v>973</v>
      </c>
      <c r="D498" s="684" t="s">
        <v>860</v>
      </c>
      <c r="E498" s="684"/>
      <c r="F498" s="685" t="s">
        <v>1942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973</v>
      </c>
      <c r="C499" s="376" t="s">
        <v>973</v>
      </c>
      <c r="D499" s="376" t="s">
        <v>860</v>
      </c>
      <c r="E499" s="376" t="s">
        <v>437</v>
      </c>
      <c r="F499" s="629" t="s">
        <v>36</v>
      </c>
      <c r="G499" s="609">
        <v>4.4550000000000006E-2</v>
      </c>
      <c r="H499" s="692">
        <v>1</v>
      </c>
      <c r="I499" s="626"/>
      <c r="J499" s="751"/>
      <c r="L499" s="608" t="s">
        <v>437</v>
      </c>
      <c r="M499" s="608" t="s">
        <v>1393</v>
      </c>
      <c r="N499" s="608" t="s">
        <v>1449</v>
      </c>
      <c r="O499" s="608" t="s">
        <v>1434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973</v>
      </c>
      <c r="C500" s="376" t="s">
        <v>973</v>
      </c>
      <c r="D500" s="376" t="s">
        <v>860</v>
      </c>
      <c r="E500" s="376" t="s">
        <v>437</v>
      </c>
      <c r="F500" s="608" t="s">
        <v>1224</v>
      </c>
      <c r="G500" s="609">
        <v>2.2275000000000003E-2</v>
      </c>
      <c r="H500" s="692">
        <v>1</v>
      </c>
      <c r="I500" s="626"/>
      <c r="J500" s="751"/>
      <c r="L500" s="608" t="s">
        <v>437</v>
      </c>
      <c r="M500" s="608" t="s">
        <v>1393</v>
      </c>
      <c r="N500" s="608" t="s">
        <v>1449</v>
      </c>
      <c r="O500" s="608" t="s">
        <v>1434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973</v>
      </c>
      <c r="C501" s="376" t="s">
        <v>973</v>
      </c>
      <c r="D501" s="376" t="s">
        <v>860</v>
      </c>
      <c r="E501" s="376" t="s">
        <v>437</v>
      </c>
      <c r="F501" s="608" t="s">
        <v>1366</v>
      </c>
      <c r="G501" s="609">
        <v>2.2275000000000003E-2</v>
      </c>
      <c r="H501" s="692">
        <v>1</v>
      </c>
      <c r="I501" s="626"/>
      <c r="J501" s="751"/>
      <c r="L501" s="608" t="s">
        <v>437</v>
      </c>
      <c r="M501" s="608" t="s">
        <v>1393</v>
      </c>
      <c r="N501" s="608" t="s">
        <v>1449</v>
      </c>
      <c r="O501" s="608" t="s">
        <v>1434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975</v>
      </c>
      <c r="C502" s="665" t="s">
        <v>163</v>
      </c>
      <c r="D502" s="665"/>
      <c r="E502" s="665"/>
      <c r="F502" s="681" t="s">
        <v>1004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6.45" outlineLevel="2">
      <c r="A503" s="376"/>
      <c r="B503" s="684" t="s">
        <v>975</v>
      </c>
      <c r="C503" s="684" t="s">
        <v>1201</v>
      </c>
      <c r="D503" s="684" t="s">
        <v>1166</v>
      </c>
      <c r="E503" s="684"/>
      <c r="F503" s="685" t="s">
        <v>1943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975</v>
      </c>
      <c r="C504" s="376" t="s">
        <v>1201</v>
      </c>
      <c r="D504" s="376" t="s">
        <v>1166</v>
      </c>
      <c r="E504" s="376" t="s">
        <v>437</v>
      </c>
      <c r="F504" s="608" t="s">
        <v>17</v>
      </c>
      <c r="G504" s="609">
        <v>0.85500000000000009</v>
      </c>
      <c r="H504" s="692">
        <v>1</v>
      </c>
      <c r="I504" s="626"/>
      <c r="J504" s="751"/>
      <c r="L504" s="608" t="s">
        <v>437</v>
      </c>
      <c r="M504" s="608" t="s">
        <v>1451</v>
      </c>
      <c r="N504" s="608" t="s">
        <v>1452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975</v>
      </c>
      <c r="C505" s="376" t="s">
        <v>1201</v>
      </c>
      <c r="D505" s="376" t="s">
        <v>1166</v>
      </c>
      <c r="E505" s="376" t="s">
        <v>437</v>
      </c>
      <c r="F505" s="608" t="s">
        <v>36</v>
      </c>
      <c r="G505" s="609">
        <v>1.4050000000000002</v>
      </c>
      <c r="H505" s="692">
        <v>1</v>
      </c>
      <c r="I505" s="626"/>
      <c r="J505" s="751"/>
      <c r="L505" s="608" t="s">
        <v>437</v>
      </c>
      <c r="M505" s="608" t="s">
        <v>1451</v>
      </c>
      <c r="N505" s="608" t="s">
        <v>1452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975</v>
      </c>
      <c r="C506" s="376" t="s">
        <v>1201</v>
      </c>
      <c r="D506" s="376" t="s">
        <v>1166</v>
      </c>
      <c r="E506" s="376" t="s">
        <v>437</v>
      </c>
      <c r="F506" s="608" t="s">
        <v>208</v>
      </c>
      <c r="G506" s="609">
        <v>1.4050000000000002</v>
      </c>
      <c r="H506" s="692">
        <v>1</v>
      </c>
      <c r="I506" s="626"/>
      <c r="J506" s="751"/>
      <c r="L506" s="608" t="s">
        <v>437</v>
      </c>
      <c r="M506" s="608" t="s">
        <v>1451</v>
      </c>
      <c r="N506" s="608" t="s">
        <v>1452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975</v>
      </c>
      <c r="C507" s="376" t="s">
        <v>1201</v>
      </c>
      <c r="D507" s="376" t="s">
        <v>1166</v>
      </c>
      <c r="E507" s="376" t="s">
        <v>437</v>
      </c>
      <c r="F507" s="608" t="s">
        <v>1944</v>
      </c>
      <c r="G507" s="609">
        <v>0.85500000000000009</v>
      </c>
      <c r="H507" s="692">
        <v>1</v>
      </c>
      <c r="I507" s="626"/>
      <c r="J507" s="751"/>
      <c r="L507" s="608" t="s">
        <v>437</v>
      </c>
      <c r="M507" s="608" t="s">
        <v>1451</v>
      </c>
      <c r="N507" s="608" t="s">
        <v>1452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6.45" outlineLevel="2">
      <c r="A508" s="376"/>
      <c r="B508" s="684" t="s">
        <v>975</v>
      </c>
      <c r="C508" s="684" t="s">
        <v>1201</v>
      </c>
      <c r="D508" s="684" t="s">
        <v>159</v>
      </c>
      <c r="E508" s="684"/>
      <c r="F508" s="685" t="s">
        <v>1343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1229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975</v>
      </c>
      <c r="C509" s="376" t="s">
        <v>1201</v>
      </c>
      <c r="D509" s="376" t="s">
        <v>159</v>
      </c>
      <c r="E509" s="376" t="s">
        <v>1007</v>
      </c>
      <c r="F509" s="608" t="s">
        <v>36</v>
      </c>
      <c r="G509" s="609">
        <v>0.30500000000000005</v>
      </c>
      <c r="H509" s="692">
        <v>1</v>
      </c>
      <c r="I509" s="626"/>
      <c r="J509" s="751"/>
      <c r="L509" s="608" t="s">
        <v>1007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6.45" outlineLevel="2">
      <c r="A510" s="376"/>
      <c r="B510" s="684" t="s">
        <v>975</v>
      </c>
      <c r="C510" s="684" t="s">
        <v>1201</v>
      </c>
      <c r="D510" s="684" t="s">
        <v>518</v>
      </c>
      <c r="E510" s="684"/>
      <c r="F510" s="685" t="s">
        <v>1945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975</v>
      </c>
      <c r="C511" s="376" t="s">
        <v>1201</v>
      </c>
      <c r="D511" s="376" t="s">
        <v>518</v>
      </c>
      <c r="E511" s="376" t="s">
        <v>56</v>
      </c>
      <c r="F511" s="608" t="s">
        <v>36</v>
      </c>
      <c r="G511" s="609">
        <v>0.36252000000000001</v>
      </c>
      <c r="H511" s="692">
        <v>1</v>
      </c>
      <c r="I511" s="626"/>
      <c r="J511" s="751"/>
      <c r="L511" s="608" t="s">
        <v>56</v>
      </c>
      <c r="M511" s="608" t="s">
        <v>1585</v>
      </c>
      <c r="N511" s="608" t="s">
        <v>1497</v>
      </c>
      <c r="O511" s="608" t="s">
        <v>1593</v>
      </c>
      <c r="P511" s="608" t="s">
        <v>1502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975</v>
      </c>
      <c r="C512" s="376" t="s">
        <v>1201</v>
      </c>
      <c r="D512" s="376" t="s">
        <v>518</v>
      </c>
      <c r="E512" s="376" t="s">
        <v>56</v>
      </c>
      <c r="F512" s="608" t="s">
        <v>1946</v>
      </c>
      <c r="G512" s="609">
        <v>0.72504000000000002</v>
      </c>
      <c r="H512" s="692">
        <v>1</v>
      </c>
      <c r="I512" s="626"/>
      <c r="J512" s="751"/>
      <c r="L512" s="608" t="s">
        <v>56</v>
      </c>
      <c r="M512" s="608" t="s">
        <v>1585</v>
      </c>
      <c r="N512" s="608" t="s">
        <v>1497</v>
      </c>
      <c r="O512" s="608" t="s">
        <v>1593</v>
      </c>
      <c r="P512" s="608" t="s">
        <v>1502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975</v>
      </c>
      <c r="C513" s="376" t="s">
        <v>1201</v>
      </c>
      <c r="D513" s="376" t="s">
        <v>518</v>
      </c>
      <c r="E513" s="376" t="s">
        <v>56</v>
      </c>
      <c r="F513" s="608" t="s">
        <v>1944</v>
      </c>
      <c r="G513" s="609">
        <v>0.36252000000000001</v>
      </c>
      <c r="H513" s="692">
        <v>1</v>
      </c>
      <c r="I513" s="626"/>
      <c r="J513" s="751"/>
      <c r="L513" s="608" t="s">
        <v>56</v>
      </c>
      <c r="M513" s="608" t="s">
        <v>1585</v>
      </c>
      <c r="N513" s="608" t="s">
        <v>1497</v>
      </c>
      <c r="O513" s="608" t="s">
        <v>1593</v>
      </c>
      <c r="P513" s="608" t="s">
        <v>1502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6.45" outlineLevel="2">
      <c r="A514" s="376"/>
      <c r="B514" s="684" t="s">
        <v>975</v>
      </c>
      <c r="C514" s="684" t="s">
        <v>1201</v>
      </c>
      <c r="D514" s="684" t="s">
        <v>441</v>
      </c>
      <c r="E514" s="684"/>
      <c r="F514" s="685" t="s">
        <v>1947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9.6" outlineLevel="3">
      <c r="A515" s="376"/>
      <c r="B515" s="376" t="s">
        <v>975</v>
      </c>
      <c r="C515" s="376" t="s">
        <v>1201</v>
      </c>
      <c r="D515" s="376" t="s">
        <v>441</v>
      </c>
      <c r="E515" s="376" t="s">
        <v>437</v>
      </c>
      <c r="F515" s="759" t="s">
        <v>36</v>
      </c>
      <c r="G515" s="609"/>
      <c r="H515" s="692"/>
      <c r="I515" s="626"/>
      <c r="J515" s="751"/>
      <c r="L515" s="608" t="s">
        <v>437</v>
      </c>
      <c r="M515" s="608" t="s">
        <v>1046</v>
      </c>
      <c r="N515" s="608" t="s">
        <v>1454</v>
      </c>
      <c r="O515" s="608" t="s">
        <v>1455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9.6" outlineLevel="3">
      <c r="A516" s="376"/>
      <c r="B516" s="376" t="s">
        <v>975</v>
      </c>
      <c r="C516" s="376" t="s">
        <v>1201</v>
      </c>
      <c r="D516" s="376" t="s">
        <v>441</v>
      </c>
      <c r="E516" s="376" t="s">
        <v>437</v>
      </c>
      <c r="F516" s="759" t="s">
        <v>208</v>
      </c>
      <c r="G516" s="609"/>
      <c r="H516" s="692"/>
      <c r="I516" s="626"/>
      <c r="J516" s="751"/>
      <c r="L516" s="608" t="s">
        <v>437</v>
      </c>
      <c r="M516" s="608" t="s">
        <v>1046</v>
      </c>
      <c r="N516" s="608" t="s">
        <v>1454</v>
      </c>
      <c r="O516" s="608" t="s">
        <v>1455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9.6" outlineLevel="3">
      <c r="A517" s="376"/>
      <c r="B517" s="376" t="s">
        <v>975</v>
      </c>
      <c r="C517" s="376" t="s">
        <v>1201</v>
      </c>
      <c r="D517" s="376" t="s">
        <v>441</v>
      </c>
      <c r="E517" s="376" t="s">
        <v>437</v>
      </c>
      <c r="F517" s="759" t="s">
        <v>1944</v>
      </c>
      <c r="G517" s="609"/>
      <c r="H517" s="692"/>
      <c r="I517" s="626"/>
      <c r="J517" s="751"/>
      <c r="L517" s="608" t="s">
        <v>437</v>
      </c>
      <c r="M517" s="608" t="s">
        <v>1046</v>
      </c>
      <c r="N517" s="608" t="s">
        <v>1454</v>
      </c>
      <c r="O517" s="608" t="s">
        <v>1455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6.45" outlineLevel="2">
      <c r="A518" s="376"/>
      <c r="B518" s="684" t="s">
        <v>975</v>
      </c>
      <c r="C518" s="684" t="s">
        <v>1201</v>
      </c>
      <c r="D518" s="684" t="s">
        <v>860</v>
      </c>
      <c r="E518" s="684"/>
      <c r="F518" s="685" t="s">
        <v>1947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975</v>
      </c>
      <c r="C519" s="376" t="s">
        <v>1201</v>
      </c>
      <c r="D519" s="376" t="s">
        <v>860</v>
      </c>
      <c r="E519" s="376" t="s">
        <v>437</v>
      </c>
      <c r="F519" s="759" t="s">
        <v>36</v>
      </c>
      <c r="G519" s="609"/>
      <c r="H519" s="692"/>
      <c r="I519" s="626"/>
      <c r="J519" s="751"/>
      <c r="L519" s="608" t="s">
        <v>437</v>
      </c>
      <c r="M519" s="608" t="s">
        <v>1393</v>
      </c>
      <c r="N519" s="608" t="s">
        <v>1432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975</v>
      </c>
      <c r="C520" s="376" t="s">
        <v>1201</v>
      </c>
      <c r="D520" s="376" t="s">
        <v>860</v>
      </c>
      <c r="E520" s="376" t="s">
        <v>437</v>
      </c>
      <c r="F520" s="759" t="s">
        <v>208</v>
      </c>
      <c r="G520" s="609"/>
      <c r="H520" s="692"/>
      <c r="I520" s="626"/>
      <c r="J520" s="751"/>
      <c r="L520" s="608" t="s">
        <v>437</v>
      </c>
      <c r="M520" s="608" t="s">
        <v>1393</v>
      </c>
      <c r="N520" s="608" t="s">
        <v>1432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975</v>
      </c>
      <c r="C521" s="376" t="s">
        <v>1201</v>
      </c>
      <c r="D521" s="376" t="s">
        <v>860</v>
      </c>
      <c r="E521" s="376" t="s">
        <v>437</v>
      </c>
      <c r="F521" s="759" t="s">
        <v>1944</v>
      </c>
      <c r="G521" s="609"/>
      <c r="H521" s="692"/>
      <c r="I521" s="626"/>
      <c r="J521" s="751"/>
      <c r="L521" s="608" t="s">
        <v>437</v>
      </c>
      <c r="M521" s="608" t="s">
        <v>1393</v>
      </c>
      <c r="N521" s="608" t="s">
        <v>1432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977</v>
      </c>
      <c r="C522" s="666" t="s">
        <v>1201</v>
      </c>
      <c r="D522" s="667"/>
      <c r="E522" s="665"/>
      <c r="F522" s="681" t="s">
        <v>1004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977</v>
      </c>
      <c r="C523" s="687" t="s">
        <v>1201</v>
      </c>
      <c r="D523" s="684" t="s">
        <v>1166</v>
      </c>
      <c r="E523" s="684"/>
      <c r="F523" s="685" t="s">
        <v>1458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977</v>
      </c>
      <c r="C524" s="387" t="s">
        <v>1201</v>
      </c>
      <c r="D524" s="376" t="s">
        <v>1166</v>
      </c>
      <c r="E524" s="376" t="s">
        <v>437</v>
      </c>
      <c r="F524" s="608" t="s">
        <v>17</v>
      </c>
      <c r="G524" s="609">
        <v>0.4724994626592407</v>
      </c>
      <c r="H524" s="692">
        <v>1</v>
      </c>
      <c r="I524" s="626"/>
      <c r="J524" s="751"/>
      <c r="L524" s="608" t="s">
        <v>437</v>
      </c>
      <c r="M524" s="608" t="s">
        <v>1451</v>
      </c>
      <c r="N524" s="608" t="s">
        <v>1370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977</v>
      </c>
      <c r="C525" s="387" t="s">
        <v>1201</v>
      </c>
      <c r="D525" s="376" t="s">
        <v>1166</v>
      </c>
      <c r="E525" s="376" t="s">
        <v>437</v>
      </c>
      <c r="F525" s="608" t="s">
        <v>36</v>
      </c>
      <c r="G525" s="609">
        <v>0.85586265139649265</v>
      </c>
      <c r="H525" s="692">
        <v>1</v>
      </c>
      <c r="I525" s="626"/>
      <c r="J525" s="751"/>
      <c r="L525" s="608" t="s">
        <v>437</v>
      </c>
      <c r="M525" s="608" t="s">
        <v>1451</v>
      </c>
      <c r="N525" s="608" t="s">
        <v>1370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977</v>
      </c>
      <c r="C526" s="387" t="s">
        <v>1201</v>
      </c>
      <c r="D526" s="376" t="s">
        <v>1166</v>
      </c>
      <c r="E526" s="376" t="s">
        <v>437</v>
      </c>
      <c r="F526" s="608" t="s">
        <v>1232</v>
      </c>
      <c r="G526" s="609">
        <v>0.85586265139649265</v>
      </c>
      <c r="H526" s="692">
        <v>1</v>
      </c>
      <c r="I526" s="626"/>
      <c r="J526" s="751"/>
      <c r="L526" s="608" t="s">
        <v>437</v>
      </c>
      <c r="M526" s="608" t="s">
        <v>1451</v>
      </c>
      <c r="N526" s="608" t="s">
        <v>1370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6.45" outlineLevel="2">
      <c r="A527" s="376"/>
      <c r="B527" s="684" t="s">
        <v>977</v>
      </c>
      <c r="C527" s="687" t="s">
        <v>1201</v>
      </c>
      <c r="D527" s="684" t="s">
        <v>159</v>
      </c>
      <c r="E527" s="684"/>
      <c r="F527" s="685" t="s">
        <v>1948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1229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977</v>
      </c>
      <c r="C528" s="387" t="s">
        <v>1201</v>
      </c>
      <c r="D528" s="376" t="s">
        <v>159</v>
      </c>
      <c r="E528" s="376" t="s">
        <v>1007</v>
      </c>
      <c r="F528" s="608" t="s">
        <v>36</v>
      </c>
      <c r="G528" s="609">
        <v>8.9136273921988848E-2</v>
      </c>
      <c r="H528" s="692">
        <v>1</v>
      </c>
      <c r="I528" s="626"/>
      <c r="J528" s="751"/>
      <c r="L528" s="608" t="s">
        <v>1007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977</v>
      </c>
      <c r="C529" s="687" t="s">
        <v>1201</v>
      </c>
      <c r="D529" s="684" t="s">
        <v>518</v>
      </c>
      <c r="E529" s="684"/>
      <c r="F529" s="685" t="s">
        <v>1458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977</v>
      </c>
      <c r="C530" s="387" t="s">
        <v>1201</v>
      </c>
      <c r="D530" s="376" t="s">
        <v>518</v>
      </c>
      <c r="E530" s="376" t="s">
        <v>56</v>
      </c>
      <c r="F530" s="608" t="s">
        <v>36</v>
      </c>
      <c r="G530" s="609">
        <v>0.20033977216751808</v>
      </c>
      <c r="H530" s="692">
        <v>1</v>
      </c>
      <c r="I530" s="626"/>
      <c r="J530" s="751"/>
      <c r="L530" s="608" t="s">
        <v>56</v>
      </c>
      <c r="M530" s="608" t="s">
        <v>1585</v>
      </c>
      <c r="N530" s="608" t="s">
        <v>1497</v>
      </c>
      <c r="O530" s="608" t="s">
        <v>1593</v>
      </c>
      <c r="P530" s="608" t="s">
        <v>1422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977</v>
      </c>
      <c r="C531" s="387" t="s">
        <v>1201</v>
      </c>
      <c r="D531" s="376" t="s">
        <v>518</v>
      </c>
      <c r="E531" s="376" t="s">
        <v>56</v>
      </c>
      <c r="F531" s="608" t="s">
        <v>1224</v>
      </c>
      <c r="G531" s="609">
        <v>0.40067954433503616</v>
      </c>
      <c r="H531" s="692">
        <v>1</v>
      </c>
      <c r="I531" s="626"/>
      <c r="J531" s="751"/>
      <c r="L531" s="608" t="s">
        <v>56</v>
      </c>
      <c r="M531" s="608" t="s">
        <v>1585</v>
      </c>
      <c r="N531" s="608" t="s">
        <v>1497</v>
      </c>
      <c r="O531" s="608" t="s">
        <v>1593</v>
      </c>
      <c r="P531" s="608" t="s">
        <v>1422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977</v>
      </c>
      <c r="C532" s="687" t="s">
        <v>1201</v>
      </c>
      <c r="D532" s="684" t="s">
        <v>441</v>
      </c>
      <c r="E532" s="684"/>
      <c r="F532" s="685" t="s">
        <v>1458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9.6" outlineLevel="3">
      <c r="A533" s="376"/>
      <c r="B533" s="376" t="s">
        <v>977</v>
      </c>
      <c r="C533" s="387" t="s">
        <v>1201</v>
      </c>
      <c r="D533" s="376" t="s">
        <v>441</v>
      </c>
      <c r="E533" s="376" t="s">
        <v>437</v>
      </c>
      <c r="F533" s="759" t="s">
        <v>36</v>
      </c>
      <c r="G533" s="609"/>
      <c r="H533" s="692"/>
      <c r="I533" s="626"/>
      <c r="J533" s="751"/>
      <c r="L533" s="608" t="s">
        <v>437</v>
      </c>
      <c r="M533" s="608" t="s">
        <v>1046</v>
      </c>
      <c r="N533" s="608" t="s">
        <v>1459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9.6" outlineLevel="3">
      <c r="A534" s="376"/>
      <c r="B534" s="376" t="s">
        <v>977</v>
      </c>
      <c r="C534" s="387" t="s">
        <v>1201</v>
      </c>
      <c r="D534" s="376" t="s">
        <v>441</v>
      </c>
      <c r="E534" s="376" t="s">
        <v>437</v>
      </c>
      <c r="F534" s="759" t="s">
        <v>1232</v>
      </c>
      <c r="G534" s="609"/>
      <c r="H534" s="692"/>
      <c r="I534" s="626"/>
      <c r="J534" s="751"/>
      <c r="L534" s="608" t="s">
        <v>437</v>
      </c>
      <c r="M534" s="608" t="s">
        <v>1046</v>
      </c>
      <c r="N534" s="608" t="s">
        <v>1459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9.6" outlineLevel="3">
      <c r="A535" s="376"/>
      <c r="B535" s="376" t="s">
        <v>977</v>
      </c>
      <c r="C535" s="387" t="s">
        <v>1201</v>
      </c>
      <c r="D535" s="376" t="s">
        <v>441</v>
      </c>
      <c r="E535" s="376" t="s">
        <v>437</v>
      </c>
      <c r="F535" s="759" t="s">
        <v>1224</v>
      </c>
      <c r="G535" s="609"/>
      <c r="H535" s="692"/>
      <c r="I535" s="626"/>
      <c r="J535" s="751"/>
      <c r="L535" s="608" t="s">
        <v>437</v>
      </c>
      <c r="M535" s="608" t="s">
        <v>1046</v>
      </c>
      <c r="N535" s="608" t="s">
        <v>1459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977</v>
      </c>
      <c r="C536" s="687" t="s">
        <v>1201</v>
      </c>
      <c r="D536" s="684" t="s">
        <v>860</v>
      </c>
      <c r="E536" s="684"/>
      <c r="F536" s="685" t="s">
        <v>1458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977</v>
      </c>
      <c r="C537" s="387" t="s">
        <v>1201</v>
      </c>
      <c r="D537" s="376" t="s">
        <v>860</v>
      </c>
      <c r="E537" s="376" t="s">
        <v>437</v>
      </c>
      <c r="F537" s="759" t="s">
        <v>36</v>
      </c>
      <c r="G537" s="609"/>
      <c r="H537" s="692"/>
      <c r="I537" s="626"/>
      <c r="J537" s="751"/>
      <c r="L537" s="608" t="s">
        <v>437</v>
      </c>
      <c r="M537" s="608" t="s">
        <v>1393</v>
      </c>
      <c r="N537" s="608" t="s">
        <v>1432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977</v>
      </c>
      <c r="C538" s="387" t="s">
        <v>1201</v>
      </c>
      <c r="D538" s="376" t="s">
        <v>860</v>
      </c>
      <c r="E538" s="376" t="s">
        <v>437</v>
      </c>
      <c r="F538" s="759" t="s">
        <v>1232</v>
      </c>
      <c r="G538" s="609"/>
      <c r="H538" s="692"/>
      <c r="I538" s="626"/>
      <c r="J538" s="751"/>
      <c r="L538" s="608" t="s">
        <v>437</v>
      </c>
      <c r="M538" s="608" t="s">
        <v>1393</v>
      </c>
      <c r="N538" s="608" t="s">
        <v>1432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977</v>
      </c>
      <c r="C539" s="387" t="s">
        <v>1201</v>
      </c>
      <c r="D539" s="376" t="s">
        <v>860</v>
      </c>
      <c r="E539" s="376" t="s">
        <v>437</v>
      </c>
      <c r="F539" s="759" t="s">
        <v>1224</v>
      </c>
      <c r="G539" s="609"/>
      <c r="H539" s="692"/>
      <c r="I539" s="626"/>
      <c r="J539" s="751"/>
      <c r="L539" s="608" t="s">
        <v>437</v>
      </c>
      <c r="M539" s="608" t="s">
        <v>1393</v>
      </c>
      <c r="N539" s="608" t="s">
        <v>1432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979</v>
      </c>
      <c r="C540" s="666" t="s">
        <v>1201</v>
      </c>
      <c r="D540" s="667" t="s">
        <v>1176</v>
      </c>
      <c r="E540" s="665"/>
      <c r="F540" s="681" t="s">
        <v>1004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6.45" outlineLevel="2">
      <c r="A541" s="376"/>
      <c r="B541" s="684" t="s">
        <v>979</v>
      </c>
      <c r="C541" s="687" t="s">
        <v>1201</v>
      </c>
      <c r="D541" s="684" t="s">
        <v>1166</v>
      </c>
      <c r="E541" s="684"/>
      <c r="F541" s="685" t="s">
        <v>1652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979</v>
      </c>
      <c r="C542" s="387" t="s">
        <v>1201</v>
      </c>
      <c r="D542" s="376" t="s">
        <v>1166</v>
      </c>
      <c r="E542" s="376" t="s">
        <v>437</v>
      </c>
      <c r="F542" s="608" t="s">
        <v>981</v>
      </c>
      <c r="G542" s="609">
        <v>0.13427418761072726</v>
      </c>
      <c r="H542" s="692">
        <v>1</v>
      </c>
      <c r="I542" s="626"/>
      <c r="J542" s="751"/>
      <c r="L542" s="608" t="s">
        <v>437</v>
      </c>
      <c r="M542" s="608" t="s">
        <v>1451</v>
      </c>
      <c r="N542" s="608" t="s">
        <v>1370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979</v>
      </c>
      <c r="C543" s="387" t="s">
        <v>1201</v>
      </c>
      <c r="D543" s="376" t="s">
        <v>1166</v>
      </c>
      <c r="E543" s="376" t="s">
        <v>437</v>
      </c>
      <c r="F543" s="608" t="s">
        <v>1367</v>
      </c>
      <c r="G543" s="609">
        <v>0.24320523867600002</v>
      </c>
      <c r="H543" s="692">
        <v>1</v>
      </c>
      <c r="I543" s="626"/>
      <c r="J543" s="751"/>
      <c r="L543" s="608" t="s">
        <v>437</v>
      </c>
      <c r="M543" s="608" t="s">
        <v>1451</v>
      </c>
      <c r="N543" s="608" t="s">
        <v>1370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979</v>
      </c>
      <c r="C544" s="387" t="s">
        <v>1201</v>
      </c>
      <c r="D544" s="376" t="s">
        <v>1166</v>
      </c>
      <c r="E544" s="376" t="s">
        <v>437</v>
      </c>
      <c r="F544" s="608" t="s">
        <v>1465</v>
      </c>
      <c r="G544" s="609">
        <v>0.12160261933800001</v>
      </c>
      <c r="H544" s="692">
        <v>1</v>
      </c>
      <c r="I544" s="626"/>
      <c r="J544" s="751"/>
      <c r="L544" s="608" t="s">
        <v>437</v>
      </c>
      <c r="M544" s="608" t="s">
        <v>1451</v>
      </c>
      <c r="N544" s="608" t="s">
        <v>1370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979</v>
      </c>
      <c r="C545" s="387" t="s">
        <v>1201</v>
      </c>
      <c r="D545" s="376" t="s">
        <v>1166</v>
      </c>
      <c r="E545" s="376" t="s">
        <v>437</v>
      </c>
      <c r="F545" s="608" t="s">
        <v>983</v>
      </c>
      <c r="G545" s="609">
        <v>0.24320523867600002</v>
      </c>
      <c r="H545" s="692">
        <v>1</v>
      </c>
      <c r="I545" s="626"/>
      <c r="J545" s="751"/>
      <c r="L545" s="608" t="s">
        <v>437</v>
      </c>
      <c r="M545" s="608" t="s">
        <v>1451</v>
      </c>
      <c r="N545" s="608" t="s">
        <v>1370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979</v>
      </c>
      <c r="C546" s="387" t="s">
        <v>1201</v>
      </c>
      <c r="D546" s="376" t="s">
        <v>1166</v>
      </c>
      <c r="E546" s="376" t="s">
        <v>437</v>
      </c>
      <c r="F546" s="608" t="s">
        <v>1461</v>
      </c>
      <c r="G546" s="609">
        <v>7.2961571602800007E-2</v>
      </c>
      <c r="H546" s="692">
        <v>1</v>
      </c>
      <c r="I546" s="626"/>
      <c r="J546" s="751"/>
      <c r="L546" s="608" t="s">
        <v>437</v>
      </c>
      <c r="M546" s="608" t="s">
        <v>1451</v>
      </c>
      <c r="N546" s="608" t="s">
        <v>1370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6.45" outlineLevel="2">
      <c r="A547" s="376"/>
      <c r="B547" s="684" t="s">
        <v>979</v>
      </c>
      <c r="C547" s="687" t="s">
        <v>1201</v>
      </c>
      <c r="D547" s="684" t="s">
        <v>159</v>
      </c>
      <c r="E547" s="684"/>
      <c r="F547" s="685" t="s">
        <v>1345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1229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979</v>
      </c>
      <c r="C548" s="387" t="s">
        <v>1201</v>
      </c>
      <c r="D548" s="376" t="s">
        <v>159</v>
      </c>
      <c r="E548" s="376" t="s">
        <v>1007</v>
      </c>
      <c r="F548" s="608" t="s">
        <v>36</v>
      </c>
      <c r="G548" s="609">
        <v>2.5343136545454545E-2</v>
      </c>
      <c r="H548" s="692">
        <v>1</v>
      </c>
      <c r="I548" s="626"/>
      <c r="J548" s="751"/>
      <c r="L548" s="608" t="s">
        <v>1007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979</v>
      </c>
      <c r="C549" s="387" t="s">
        <v>1201</v>
      </c>
      <c r="D549" s="376" t="s">
        <v>159</v>
      </c>
      <c r="E549" s="376" t="s">
        <v>1007</v>
      </c>
      <c r="F549" s="608" t="s">
        <v>1232</v>
      </c>
      <c r="G549" s="609">
        <v>2.5343136545454545E-2</v>
      </c>
      <c r="H549" s="692">
        <v>1</v>
      </c>
      <c r="I549" s="626"/>
      <c r="J549" s="751"/>
      <c r="L549" s="608" t="s">
        <v>1007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6.45" outlineLevel="2">
      <c r="A550" s="376"/>
      <c r="B550" s="684" t="s">
        <v>979</v>
      </c>
      <c r="C550" s="687" t="s">
        <v>1201</v>
      </c>
      <c r="D550" s="684" t="s">
        <v>518</v>
      </c>
      <c r="E550" s="684"/>
      <c r="F550" s="685" t="s">
        <v>1652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979</v>
      </c>
      <c r="C551" s="387" t="s">
        <v>1201</v>
      </c>
      <c r="D551" s="376" t="s">
        <v>518</v>
      </c>
      <c r="E551" s="376" t="s">
        <v>56</v>
      </c>
      <c r="F551" s="608" t="s">
        <v>1224</v>
      </c>
      <c r="G551" s="609">
        <v>0.11386451109389673</v>
      </c>
      <c r="H551" s="692">
        <v>1</v>
      </c>
      <c r="I551" s="626"/>
      <c r="J551" s="751"/>
      <c r="L551" s="608" t="s">
        <v>56</v>
      </c>
      <c r="M551" s="608" t="s">
        <v>1585</v>
      </c>
      <c r="N551" s="608" t="s">
        <v>1497</v>
      </c>
      <c r="O551" s="608" t="s">
        <v>1593</v>
      </c>
      <c r="P551" s="608" t="s">
        <v>1502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6.45" outlineLevel="3">
      <c r="A552" s="376"/>
      <c r="B552" s="376" t="s">
        <v>979</v>
      </c>
      <c r="C552" s="387" t="s">
        <v>1201</v>
      </c>
      <c r="D552" s="376" t="s">
        <v>518</v>
      </c>
      <c r="E552" s="376" t="s">
        <v>56</v>
      </c>
      <c r="F552" s="608" t="s">
        <v>981</v>
      </c>
      <c r="G552" s="609">
        <v>5.6932255546948363E-2</v>
      </c>
      <c r="H552" s="692">
        <v>1</v>
      </c>
      <c r="I552" s="626"/>
      <c r="J552" s="751"/>
      <c r="L552" s="608" t="s">
        <v>56</v>
      </c>
      <c r="M552" s="608" t="s">
        <v>1595</v>
      </c>
      <c r="N552" s="608" t="s">
        <v>1596</v>
      </c>
      <c r="O552" s="608" t="s">
        <v>1593</v>
      </c>
      <c r="P552" s="608" t="s">
        <v>1502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979</v>
      </c>
      <c r="C553" s="387" t="s">
        <v>1201</v>
      </c>
      <c r="D553" s="376" t="s">
        <v>518</v>
      </c>
      <c r="E553" s="376" t="s">
        <v>56</v>
      </c>
      <c r="F553" s="608" t="s">
        <v>1367</v>
      </c>
      <c r="G553" s="609">
        <v>2.5779755299655999E-2</v>
      </c>
      <c r="H553" s="692">
        <v>1</v>
      </c>
      <c r="I553" s="626"/>
      <c r="J553" s="751"/>
      <c r="L553" s="608" t="s">
        <v>56</v>
      </c>
      <c r="M553" s="608" t="s">
        <v>1585</v>
      </c>
      <c r="N553" s="608" t="s">
        <v>1497</v>
      </c>
      <c r="O553" s="608" t="s">
        <v>1593</v>
      </c>
      <c r="P553" s="608" t="s">
        <v>1502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979</v>
      </c>
      <c r="C554" s="387" t="s">
        <v>1201</v>
      </c>
      <c r="D554" s="376" t="s">
        <v>518</v>
      </c>
      <c r="E554" s="376" t="s">
        <v>56</v>
      </c>
      <c r="F554" s="608" t="s">
        <v>1465</v>
      </c>
      <c r="G554" s="609">
        <v>5.1559510599311999E-2</v>
      </c>
      <c r="H554" s="692">
        <v>1</v>
      </c>
      <c r="I554" s="626"/>
      <c r="J554" s="751"/>
      <c r="L554" s="608" t="s">
        <v>56</v>
      </c>
      <c r="M554" s="608" t="s">
        <v>1585</v>
      </c>
      <c r="N554" s="608" t="s">
        <v>1497</v>
      </c>
      <c r="O554" s="608" t="s">
        <v>1593</v>
      </c>
      <c r="P554" s="608" t="s">
        <v>1502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979</v>
      </c>
      <c r="C555" s="387" t="s">
        <v>1201</v>
      </c>
      <c r="D555" s="376" t="s">
        <v>518</v>
      </c>
      <c r="E555" s="376" t="s">
        <v>56</v>
      </c>
      <c r="F555" s="608" t="s">
        <v>1461</v>
      </c>
      <c r="G555" s="609">
        <v>2.5779755299655999E-2</v>
      </c>
      <c r="H555" s="692">
        <v>1</v>
      </c>
      <c r="I555" s="626"/>
      <c r="J555" s="751"/>
      <c r="L555" s="608" t="s">
        <v>56</v>
      </c>
      <c r="M555" s="608" t="s">
        <v>1524</v>
      </c>
      <c r="N555" s="608" t="s">
        <v>1525</v>
      </c>
      <c r="O555" s="608" t="s">
        <v>953</v>
      </c>
      <c r="P555" s="608" t="s">
        <v>1502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6.45" outlineLevel="2">
      <c r="A556" s="376"/>
      <c r="B556" s="684" t="s">
        <v>979</v>
      </c>
      <c r="C556" s="687" t="s">
        <v>1201</v>
      </c>
      <c r="D556" s="684" t="s">
        <v>441</v>
      </c>
      <c r="E556" s="684"/>
      <c r="F556" s="685" t="s">
        <v>1949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9.6" outlineLevel="3">
      <c r="A557" s="376"/>
      <c r="B557" s="376" t="s">
        <v>979</v>
      </c>
      <c r="C557" s="387" t="s">
        <v>1201</v>
      </c>
      <c r="D557" s="376" t="s">
        <v>441</v>
      </c>
      <c r="E557" s="376" t="s">
        <v>437</v>
      </c>
      <c r="F557" s="759" t="s">
        <v>981</v>
      </c>
      <c r="G557" s="609"/>
      <c r="H557" s="692"/>
      <c r="I557" s="626"/>
      <c r="J557" s="751"/>
      <c r="L557" s="608" t="s">
        <v>437</v>
      </c>
      <c r="M557" s="608" t="s">
        <v>1046</v>
      </c>
      <c r="N557" s="608" t="s">
        <v>1459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9.6" outlineLevel="3">
      <c r="A558" s="376"/>
      <c r="B558" s="376" t="s">
        <v>979</v>
      </c>
      <c r="C558" s="387" t="s">
        <v>1201</v>
      </c>
      <c r="D558" s="376" t="s">
        <v>441</v>
      </c>
      <c r="E558" s="376" t="s">
        <v>437</v>
      </c>
      <c r="F558" s="608" t="s">
        <v>1465</v>
      </c>
      <c r="G558" s="609">
        <v>9.7468503570900006E-2</v>
      </c>
      <c r="H558" s="692">
        <v>1</v>
      </c>
      <c r="I558" s="626"/>
      <c r="J558" s="751"/>
      <c r="L558" s="608" t="s">
        <v>437</v>
      </c>
      <c r="M558" s="608" t="s">
        <v>1046</v>
      </c>
      <c r="N558" s="608" t="s">
        <v>1459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9.6" outlineLevel="3">
      <c r="A559" s="376"/>
      <c r="B559" s="376" t="s">
        <v>979</v>
      </c>
      <c r="C559" s="387" t="s">
        <v>1201</v>
      </c>
      <c r="D559" s="376" t="s">
        <v>441</v>
      </c>
      <c r="E559" s="376" t="s">
        <v>437</v>
      </c>
      <c r="F559" s="608" t="s">
        <v>983</v>
      </c>
      <c r="G559" s="609">
        <v>3.2489501190300002E-2</v>
      </c>
      <c r="H559" s="692">
        <v>1</v>
      </c>
      <c r="I559" s="626"/>
      <c r="J559" s="751"/>
      <c r="L559" s="608" t="s">
        <v>437</v>
      </c>
      <c r="M559" s="608" t="s">
        <v>1046</v>
      </c>
      <c r="N559" s="608" t="s">
        <v>1459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9.6" outlineLevel="3">
      <c r="A560" s="376"/>
      <c r="B560" s="376" t="s">
        <v>979</v>
      </c>
      <c r="C560" s="387" t="s">
        <v>1201</v>
      </c>
      <c r="D560" s="376" t="s">
        <v>441</v>
      </c>
      <c r="E560" s="376" t="s">
        <v>437</v>
      </c>
      <c r="F560" s="608" t="s">
        <v>1463</v>
      </c>
      <c r="G560" s="609">
        <v>6.4979002380600004E-2</v>
      </c>
      <c r="H560" s="692">
        <v>1</v>
      </c>
      <c r="I560" s="626"/>
      <c r="J560" s="751"/>
      <c r="L560" s="608" t="s">
        <v>437</v>
      </c>
      <c r="M560" s="608" t="s">
        <v>1046</v>
      </c>
      <c r="N560" s="608" t="s">
        <v>1459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9.6" outlineLevel="3">
      <c r="A561" s="376"/>
      <c r="B561" s="376" t="s">
        <v>979</v>
      </c>
      <c r="C561" s="387" t="s">
        <v>1201</v>
      </c>
      <c r="D561" s="376" t="s">
        <v>441</v>
      </c>
      <c r="E561" s="376" t="s">
        <v>437</v>
      </c>
      <c r="F561" s="759" t="s">
        <v>1461</v>
      </c>
      <c r="G561" s="609"/>
      <c r="H561" s="692"/>
      <c r="I561" s="626"/>
      <c r="J561" s="751"/>
      <c r="L561" s="608" t="s">
        <v>437</v>
      </c>
      <c r="M561" s="608" t="s">
        <v>1046</v>
      </c>
      <c r="N561" s="608" t="s">
        <v>1459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6.45" outlineLevel="2">
      <c r="A562" s="376"/>
      <c r="B562" s="684" t="s">
        <v>979</v>
      </c>
      <c r="C562" s="687" t="s">
        <v>1201</v>
      </c>
      <c r="D562" s="684" t="s">
        <v>860</v>
      </c>
      <c r="E562" s="684"/>
      <c r="F562" s="685" t="s">
        <v>1949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6.45" outlineLevel="4">
      <c r="A563" s="376"/>
      <c r="B563" s="376" t="s">
        <v>979</v>
      </c>
      <c r="C563" s="387" t="s">
        <v>1201</v>
      </c>
      <c r="D563" s="376" t="s">
        <v>860</v>
      </c>
      <c r="E563" s="376" t="s">
        <v>437</v>
      </c>
      <c r="F563" s="759" t="s">
        <v>981</v>
      </c>
      <c r="G563" s="609"/>
      <c r="H563" s="692"/>
      <c r="I563" s="626"/>
      <c r="J563" s="751"/>
      <c r="L563" s="608" t="s">
        <v>437</v>
      </c>
      <c r="M563" s="608" t="s">
        <v>1393</v>
      </c>
      <c r="N563" s="608" t="s">
        <v>1464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6.45" outlineLevel="4">
      <c r="A564" s="376"/>
      <c r="B564" s="376" t="s">
        <v>979</v>
      </c>
      <c r="C564" s="387" t="s">
        <v>1201</v>
      </c>
      <c r="D564" s="376" t="s">
        <v>860</v>
      </c>
      <c r="E564" s="376" t="s">
        <v>437</v>
      </c>
      <c r="F564" s="759" t="s">
        <v>1465</v>
      </c>
      <c r="G564" s="609"/>
      <c r="H564" s="692"/>
      <c r="I564" s="626"/>
      <c r="J564" s="751"/>
      <c r="L564" s="608" t="s">
        <v>437</v>
      </c>
      <c r="M564" s="608" t="s">
        <v>1393</v>
      </c>
      <c r="N564" s="608" t="s">
        <v>1464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6.45" outlineLevel="4">
      <c r="A565" s="376"/>
      <c r="B565" s="376" t="s">
        <v>979</v>
      </c>
      <c r="C565" s="387" t="s">
        <v>1201</v>
      </c>
      <c r="D565" s="376" t="s">
        <v>860</v>
      </c>
      <c r="E565" s="376" t="s">
        <v>437</v>
      </c>
      <c r="F565" s="759" t="s">
        <v>983</v>
      </c>
      <c r="G565" s="609"/>
      <c r="H565" s="692"/>
      <c r="I565" s="626"/>
      <c r="J565" s="751"/>
      <c r="L565" s="608" t="s">
        <v>437</v>
      </c>
      <c r="M565" s="608" t="s">
        <v>1393</v>
      </c>
      <c r="N565" s="608" t="s">
        <v>1464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6.45" outlineLevel="4">
      <c r="A566" s="376"/>
      <c r="B566" s="376" t="s">
        <v>979</v>
      </c>
      <c r="C566" s="387" t="s">
        <v>1201</v>
      </c>
      <c r="D566" s="376" t="s">
        <v>860</v>
      </c>
      <c r="E566" s="376" t="s">
        <v>437</v>
      </c>
      <c r="F566" s="759" t="s">
        <v>1463</v>
      </c>
      <c r="G566" s="609"/>
      <c r="H566" s="692"/>
      <c r="I566" s="626"/>
      <c r="J566" s="751"/>
      <c r="L566" s="608" t="s">
        <v>437</v>
      </c>
      <c r="M566" s="608" t="s">
        <v>1393</v>
      </c>
      <c r="N566" s="608" t="s">
        <v>1464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6.45" outlineLevel="4">
      <c r="A567" s="376"/>
      <c r="B567" s="376" t="s">
        <v>979</v>
      </c>
      <c r="C567" s="387" t="s">
        <v>1201</v>
      </c>
      <c r="D567" s="376" t="s">
        <v>860</v>
      </c>
      <c r="E567" s="376" t="s">
        <v>437</v>
      </c>
      <c r="F567" s="759" t="s">
        <v>1466</v>
      </c>
      <c r="G567" s="609"/>
      <c r="H567" s="692"/>
      <c r="I567" s="626"/>
      <c r="J567" s="751"/>
      <c r="L567" s="608" t="s">
        <v>437</v>
      </c>
      <c r="M567" s="608" t="s">
        <v>1393</v>
      </c>
      <c r="N567" s="608" t="s">
        <v>1464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982</v>
      </c>
      <c r="C568" s="666" t="s">
        <v>1220</v>
      </c>
      <c r="D568" s="667" t="s">
        <v>1176</v>
      </c>
      <c r="E568" s="665"/>
      <c r="F568" s="681" t="s">
        <v>1004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982</v>
      </c>
      <c r="C569" s="687" t="s">
        <v>1220</v>
      </c>
      <c r="D569" s="684" t="s">
        <v>1166</v>
      </c>
      <c r="E569" s="684"/>
      <c r="F569" s="685" t="s">
        <v>1458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982</v>
      </c>
      <c r="C570" s="387" t="s">
        <v>1220</v>
      </c>
      <c r="D570" s="376" t="s">
        <v>1166</v>
      </c>
      <c r="E570" s="376" t="s">
        <v>437</v>
      </c>
      <c r="F570" s="759" t="s">
        <v>17</v>
      </c>
      <c r="G570" s="609"/>
      <c r="H570" s="692"/>
      <c r="I570" s="626"/>
      <c r="J570" s="751"/>
      <c r="L570" s="608" t="s">
        <v>437</v>
      </c>
      <c r="M570" s="608" t="s">
        <v>1451</v>
      </c>
      <c r="N570" s="608" t="s">
        <v>1370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982</v>
      </c>
      <c r="C571" s="387" t="s">
        <v>1220</v>
      </c>
      <c r="D571" s="376" t="s">
        <v>1166</v>
      </c>
      <c r="E571" s="376" t="s">
        <v>437</v>
      </c>
      <c r="F571" s="759" t="s">
        <v>36</v>
      </c>
      <c r="G571" s="609"/>
      <c r="H571" s="692"/>
      <c r="I571" s="626"/>
      <c r="J571" s="751"/>
      <c r="L571" s="608" t="s">
        <v>437</v>
      </c>
      <c r="M571" s="608" t="s">
        <v>1451</v>
      </c>
      <c r="N571" s="608" t="s">
        <v>1370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982</v>
      </c>
      <c r="C572" s="687" t="s">
        <v>1220</v>
      </c>
      <c r="D572" s="684" t="s">
        <v>518</v>
      </c>
      <c r="E572" s="684"/>
      <c r="F572" s="685" t="s">
        <v>1458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982</v>
      </c>
      <c r="C573" s="387" t="s">
        <v>1220</v>
      </c>
      <c r="D573" s="376" t="s">
        <v>518</v>
      </c>
      <c r="E573" s="376" t="s">
        <v>56</v>
      </c>
      <c r="F573" s="759" t="s">
        <v>36</v>
      </c>
      <c r="G573" s="609"/>
      <c r="H573" s="692"/>
      <c r="I573" s="626"/>
      <c r="J573" s="751"/>
      <c r="L573" s="608" t="s">
        <v>56</v>
      </c>
      <c r="M573" s="608" t="s">
        <v>1585</v>
      </c>
      <c r="N573" s="608" t="s">
        <v>1497</v>
      </c>
      <c r="O573" s="608" t="s">
        <v>1593</v>
      </c>
      <c r="P573" s="608" t="s">
        <v>1502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982</v>
      </c>
      <c r="C574" s="687" t="s">
        <v>1220</v>
      </c>
      <c r="D574" s="684" t="s">
        <v>441</v>
      </c>
      <c r="E574" s="684"/>
      <c r="F574" s="685" t="s">
        <v>1458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982</v>
      </c>
      <c r="C575" s="387" t="s">
        <v>1220</v>
      </c>
      <c r="D575" s="376" t="s">
        <v>441</v>
      </c>
      <c r="E575" s="376" t="s">
        <v>437</v>
      </c>
      <c r="F575" s="759" t="s">
        <v>36</v>
      </c>
      <c r="G575" s="609"/>
      <c r="H575" s="692"/>
      <c r="I575" s="626"/>
      <c r="J575" s="751"/>
      <c r="L575" s="608" t="s">
        <v>437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982</v>
      </c>
      <c r="C576" s="687" t="s">
        <v>1220</v>
      </c>
      <c r="D576" s="684" t="s">
        <v>860</v>
      </c>
      <c r="E576" s="684"/>
      <c r="F576" s="685" t="s">
        <v>1458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982</v>
      </c>
      <c r="C577" s="387" t="s">
        <v>1220</v>
      </c>
      <c r="D577" s="376" t="s">
        <v>860</v>
      </c>
      <c r="E577" s="376" t="s">
        <v>437</v>
      </c>
      <c r="F577" s="759" t="s">
        <v>36</v>
      </c>
      <c r="G577" s="609"/>
      <c r="H577" s="692"/>
      <c r="I577" s="626"/>
      <c r="J577" s="751"/>
      <c r="L577" s="608" t="s">
        <v>437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984</v>
      </c>
      <c r="C578" s="666" t="s">
        <v>1346</v>
      </c>
      <c r="D578" s="667"/>
      <c r="E578" s="665"/>
      <c r="F578" s="681" t="s">
        <v>1004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984</v>
      </c>
      <c r="C579" s="684" t="s">
        <v>1346</v>
      </c>
      <c r="D579" s="684" t="s">
        <v>159</v>
      </c>
      <c r="E579" s="684"/>
      <c r="F579" s="685" t="s">
        <v>1950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984</v>
      </c>
      <c r="C580" s="376" t="s">
        <v>1346</v>
      </c>
      <c r="D580" s="376" t="s">
        <v>159</v>
      </c>
      <c r="E580" s="376" t="s">
        <v>1007</v>
      </c>
      <c r="F580" s="608" t="s">
        <v>17</v>
      </c>
      <c r="G580" s="609">
        <v>1.6141000000000003</v>
      </c>
      <c r="H580" s="692">
        <v>1</v>
      </c>
      <c r="I580" s="626"/>
      <c r="J580" s="751"/>
      <c r="L580" s="608" t="s">
        <v>1007</v>
      </c>
      <c r="M580" s="608" t="s">
        <v>1007</v>
      </c>
      <c r="N580" s="608" t="s">
        <v>1347</v>
      </c>
      <c r="O580" s="608" t="s">
        <v>1348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912</v>
      </c>
      <c r="C581" s="666" t="s">
        <v>1654</v>
      </c>
      <c r="D581" s="666"/>
      <c r="E581" s="666"/>
      <c r="F581" s="681" t="s">
        <v>1004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1170</v>
      </c>
      <c r="C582" s="684" t="s">
        <v>1170</v>
      </c>
      <c r="D582" s="684" t="s">
        <v>159</v>
      </c>
      <c r="E582" s="684"/>
      <c r="F582" s="685" t="s">
        <v>1951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1170</v>
      </c>
      <c r="C583" s="376" t="s">
        <v>1170</v>
      </c>
      <c r="D583" s="376" t="s">
        <v>159</v>
      </c>
      <c r="E583" s="376" t="s">
        <v>1169</v>
      </c>
      <c r="F583" s="759" t="s">
        <v>1305</v>
      </c>
      <c r="G583" s="609"/>
      <c r="H583" s="692"/>
      <c r="I583" s="626"/>
      <c r="J583" s="751"/>
      <c r="L583" s="608" t="s">
        <v>1169</v>
      </c>
      <c r="M583" s="608" t="s">
        <v>1306</v>
      </c>
      <c r="N583" s="608" t="s">
        <v>1273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985</v>
      </c>
      <c r="C584" s="665" t="s">
        <v>985</v>
      </c>
      <c r="D584" s="665"/>
      <c r="E584" s="665"/>
      <c r="F584" s="681" t="s">
        <v>1004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985</v>
      </c>
      <c r="C585" s="684" t="s">
        <v>985</v>
      </c>
      <c r="D585" s="684" t="s">
        <v>1166</v>
      </c>
      <c r="E585" s="684"/>
      <c r="F585" s="685" t="s">
        <v>1368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985</v>
      </c>
      <c r="C586" s="376" t="s">
        <v>985</v>
      </c>
      <c r="D586" s="376" t="s">
        <v>1166</v>
      </c>
      <c r="E586" s="376" t="s">
        <v>437</v>
      </c>
      <c r="F586" s="608" t="s">
        <v>17</v>
      </c>
      <c r="G586" s="609"/>
      <c r="H586" s="692">
        <v>1</v>
      </c>
      <c r="I586" s="626"/>
      <c r="J586" s="751"/>
      <c r="L586" s="608" t="s">
        <v>437</v>
      </c>
      <c r="M586" s="608" t="s">
        <v>1451</v>
      </c>
      <c r="N586" s="608" t="s">
        <v>1370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985</v>
      </c>
      <c r="C587" s="376" t="s">
        <v>985</v>
      </c>
      <c r="D587" s="376" t="s">
        <v>1166</v>
      </c>
      <c r="E587" s="376" t="s">
        <v>437</v>
      </c>
      <c r="F587" s="608" t="s">
        <v>36</v>
      </c>
      <c r="G587" s="609"/>
      <c r="H587" s="692">
        <v>1</v>
      </c>
      <c r="I587" s="626"/>
      <c r="J587" s="751"/>
      <c r="L587" s="608" t="s">
        <v>437</v>
      </c>
      <c r="M587" s="608" t="s">
        <v>1451</v>
      </c>
      <c r="N587" s="608" t="s">
        <v>1370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985</v>
      </c>
      <c r="C588" s="376" t="s">
        <v>985</v>
      </c>
      <c r="D588" s="376" t="s">
        <v>1166</v>
      </c>
      <c r="E588" s="376" t="s">
        <v>437</v>
      </c>
      <c r="F588" s="608" t="s">
        <v>208</v>
      </c>
      <c r="G588" s="609"/>
      <c r="H588" s="692">
        <v>1</v>
      </c>
      <c r="I588" s="626"/>
      <c r="J588" s="751"/>
      <c r="L588" s="608" t="s">
        <v>437</v>
      </c>
      <c r="M588" s="608" t="s">
        <v>1451</v>
      </c>
      <c r="N588" s="608" t="s">
        <v>1370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985</v>
      </c>
      <c r="C589" s="684" t="s">
        <v>985</v>
      </c>
      <c r="D589" s="684" t="s">
        <v>518</v>
      </c>
      <c r="E589" s="684"/>
      <c r="F589" s="685" t="s">
        <v>1368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985</v>
      </c>
      <c r="C590" s="376" t="s">
        <v>985</v>
      </c>
      <c r="D590" s="376" t="s">
        <v>518</v>
      </c>
      <c r="E590" s="376" t="s">
        <v>56</v>
      </c>
      <c r="F590" s="608" t="s">
        <v>36</v>
      </c>
      <c r="G590" s="609"/>
      <c r="H590" s="692"/>
      <c r="I590" s="626"/>
      <c r="J590" s="751"/>
      <c r="L590" s="608" t="s">
        <v>56</v>
      </c>
      <c r="M590" s="608" t="s">
        <v>1585</v>
      </c>
      <c r="N590" s="608" t="s">
        <v>1497</v>
      </c>
      <c r="O590" s="608" t="s">
        <v>1593</v>
      </c>
      <c r="P590" s="608" t="s">
        <v>1026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985</v>
      </c>
      <c r="C591" s="684" t="s">
        <v>985</v>
      </c>
      <c r="D591" s="684" t="s">
        <v>441</v>
      </c>
      <c r="E591" s="684"/>
      <c r="F591" s="685" t="s">
        <v>1368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9.6" outlineLevel="3">
      <c r="A592" s="376"/>
      <c r="B592" s="376" t="s">
        <v>985</v>
      </c>
      <c r="C592" s="376" t="s">
        <v>985</v>
      </c>
      <c r="D592" s="376" t="s">
        <v>441</v>
      </c>
      <c r="E592" s="376" t="s">
        <v>437</v>
      </c>
      <c r="F592" s="759" t="s">
        <v>36</v>
      </c>
      <c r="G592" s="609"/>
      <c r="H592" s="692"/>
      <c r="I592" s="626"/>
      <c r="J592" s="751"/>
      <c r="L592" s="608" t="s">
        <v>437</v>
      </c>
      <c r="M592" s="608" t="s">
        <v>1046</v>
      </c>
      <c r="N592" s="608" t="s">
        <v>1454</v>
      </c>
      <c r="O592" s="608"/>
      <c r="P592" s="608"/>
      <c r="Q592" s="608"/>
      <c r="R592" s="608"/>
      <c r="T592" s="751"/>
      <c r="V592" s="609"/>
      <c r="W592" s="692"/>
    </row>
    <row r="593" spans="1:23" ht="39.6" outlineLevel="3">
      <c r="A593" s="376"/>
      <c r="B593" s="376" t="s">
        <v>985</v>
      </c>
      <c r="C593" s="376" t="s">
        <v>985</v>
      </c>
      <c r="D593" s="376" t="s">
        <v>441</v>
      </c>
      <c r="E593" s="376" t="s">
        <v>437</v>
      </c>
      <c r="F593" s="759" t="s">
        <v>208</v>
      </c>
      <c r="G593" s="609"/>
      <c r="H593" s="692"/>
      <c r="I593" s="626"/>
      <c r="J593" s="751"/>
      <c r="L593" s="608" t="s">
        <v>437</v>
      </c>
      <c r="M593" s="608" t="s">
        <v>1046</v>
      </c>
      <c r="N593" s="608" t="s">
        <v>1454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985</v>
      </c>
      <c r="C594" s="684" t="s">
        <v>985</v>
      </c>
      <c r="D594" s="684" t="s">
        <v>860</v>
      </c>
      <c r="E594" s="684"/>
      <c r="F594" s="685" t="s">
        <v>1368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985</v>
      </c>
      <c r="C595" s="376" t="s">
        <v>985</v>
      </c>
      <c r="D595" s="376" t="s">
        <v>860</v>
      </c>
      <c r="E595" s="376" t="s">
        <v>437</v>
      </c>
      <c r="F595" s="759" t="s">
        <v>36</v>
      </c>
      <c r="G595" s="609"/>
      <c r="H595" s="692"/>
      <c r="I595" s="626"/>
      <c r="J595" s="751"/>
      <c r="L595" s="608" t="s">
        <v>437</v>
      </c>
      <c r="M595" s="608" t="s">
        <v>1393</v>
      </c>
      <c r="N595" s="608" t="s">
        <v>1432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985</v>
      </c>
      <c r="C596" s="376" t="s">
        <v>985</v>
      </c>
      <c r="D596" s="376" t="s">
        <v>860</v>
      </c>
      <c r="E596" s="376" t="s">
        <v>437</v>
      </c>
      <c r="F596" s="759" t="s">
        <v>208</v>
      </c>
      <c r="G596" s="609"/>
      <c r="H596" s="692"/>
      <c r="I596" s="626"/>
      <c r="J596" s="751"/>
      <c r="L596" s="608" t="s">
        <v>437</v>
      </c>
      <c r="M596" s="608" t="s">
        <v>1393</v>
      </c>
      <c r="N596" s="608" t="s">
        <v>1432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497</v>
      </c>
      <c r="C597" s="665" t="s">
        <v>1371</v>
      </c>
      <c r="D597" s="665"/>
      <c r="E597" s="665"/>
      <c r="F597" s="681" t="s">
        <v>1004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497</v>
      </c>
      <c r="C598" s="684" t="s">
        <v>1371</v>
      </c>
      <c r="D598" s="684" t="s">
        <v>159</v>
      </c>
      <c r="E598" s="684"/>
      <c r="F598" s="685" t="s">
        <v>1372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497</v>
      </c>
      <c r="C599" s="376" t="s">
        <v>1371</v>
      </c>
      <c r="D599" s="376" t="s">
        <v>159</v>
      </c>
      <c r="E599" s="376" t="s">
        <v>664</v>
      </c>
      <c r="F599" s="608" t="s">
        <v>36</v>
      </c>
      <c r="G599" s="609">
        <v>0.69</v>
      </c>
      <c r="H599" s="692">
        <v>1</v>
      </c>
      <c r="I599" s="626"/>
      <c r="J599" s="751"/>
      <c r="L599" s="608" t="s">
        <v>664</v>
      </c>
      <c r="M599" s="608" t="s">
        <v>1357</v>
      </c>
      <c r="N599" s="608" t="s">
        <v>1359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497</v>
      </c>
      <c r="C600" s="376" t="s">
        <v>1371</v>
      </c>
      <c r="D600" s="376" t="s">
        <v>159</v>
      </c>
      <c r="E600" s="376" t="s">
        <v>664</v>
      </c>
      <c r="F600" s="608" t="s">
        <v>208</v>
      </c>
      <c r="G600" s="609">
        <v>0.46</v>
      </c>
      <c r="H600" s="692">
        <v>1</v>
      </c>
      <c r="I600" s="626"/>
      <c r="J600" s="751"/>
      <c r="L600" s="608" t="s">
        <v>664</v>
      </c>
      <c r="M600" s="608" t="s">
        <v>1357</v>
      </c>
      <c r="N600" s="608" t="s">
        <v>1359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497</v>
      </c>
      <c r="C601" s="684" t="s">
        <v>1371</v>
      </c>
      <c r="D601" s="684" t="s">
        <v>518</v>
      </c>
      <c r="E601" s="684"/>
      <c r="F601" s="685" t="s">
        <v>1467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497</v>
      </c>
      <c r="C602" s="376" t="s">
        <v>1371</v>
      </c>
      <c r="D602" s="376" t="s">
        <v>518</v>
      </c>
      <c r="E602" s="376" t="s">
        <v>56</v>
      </c>
      <c r="F602" s="608" t="s">
        <v>36</v>
      </c>
      <c r="G602" s="609">
        <v>0.19</v>
      </c>
      <c r="H602" s="692"/>
      <c r="I602" s="626"/>
      <c r="J602" s="751"/>
      <c r="L602" s="608" t="s">
        <v>56</v>
      </c>
      <c r="M602" s="608" t="s">
        <v>1524</v>
      </c>
      <c r="N602" s="608" t="s">
        <v>1581</v>
      </c>
      <c r="O602" s="608" t="s">
        <v>953</v>
      </c>
      <c r="P602" s="608" t="s">
        <v>1533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497</v>
      </c>
      <c r="C603" s="684" t="s">
        <v>1371</v>
      </c>
      <c r="D603" s="684" t="s">
        <v>441</v>
      </c>
      <c r="E603" s="684"/>
      <c r="F603" s="685" t="s">
        <v>1467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9.6" outlineLevel="3">
      <c r="A604" s="376"/>
      <c r="B604" s="376" t="s">
        <v>497</v>
      </c>
      <c r="C604" s="376" t="s">
        <v>1371</v>
      </c>
      <c r="D604" s="376" t="s">
        <v>441</v>
      </c>
      <c r="E604" s="376" t="s">
        <v>437</v>
      </c>
      <c r="F604" s="759" t="s">
        <v>36</v>
      </c>
      <c r="G604" s="609"/>
      <c r="H604" s="692"/>
      <c r="I604" s="626"/>
      <c r="J604" s="751"/>
      <c r="L604" s="608" t="s">
        <v>437</v>
      </c>
      <c r="M604" s="608" t="s">
        <v>1046</v>
      </c>
      <c r="N604" s="608" t="s">
        <v>1468</v>
      </c>
      <c r="O604" s="608" t="s">
        <v>1469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9.6" outlineLevel="3">
      <c r="A605" s="376"/>
      <c r="B605" s="376" t="s">
        <v>497</v>
      </c>
      <c r="C605" s="376" t="s">
        <v>1371</v>
      </c>
      <c r="D605" s="376" t="s">
        <v>441</v>
      </c>
      <c r="E605" s="376" t="s">
        <v>437</v>
      </c>
      <c r="F605" s="608" t="s">
        <v>208</v>
      </c>
      <c r="G605" s="609">
        <v>0.05</v>
      </c>
      <c r="H605" s="692">
        <v>1</v>
      </c>
      <c r="I605" s="626"/>
      <c r="J605" s="751"/>
      <c r="L605" s="608" t="s">
        <v>437</v>
      </c>
      <c r="M605" s="608" t="s">
        <v>1046</v>
      </c>
      <c r="N605" s="608" t="s">
        <v>1468</v>
      </c>
      <c r="O605" s="608" t="s">
        <v>1469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497</v>
      </c>
      <c r="C606" s="684" t="s">
        <v>1371</v>
      </c>
      <c r="D606" s="684" t="s">
        <v>860</v>
      </c>
      <c r="E606" s="684"/>
      <c r="F606" s="685" t="s">
        <v>1467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497</v>
      </c>
      <c r="C607" s="376" t="s">
        <v>1371</v>
      </c>
      <c r="D607" s="376" t="s">
        <v>860</v>
      </c>
      <c r="E607" s="376" t="s">
        <v>437</v>
      </c>
      <c r="F607" s="608" t="s">
        <v>208</v>
      </c>
      <c r="G607" s="609">
        <v>0.05</v>
      </c>
      <c r="H607" s="692">
        <v>1</v>
      </c>
      <c r="I607" s="626"/>
      <c r="J607" s="751"/>
      <c r="L607" s="608" t="s">
        <v>437</v>
      </c>
      <c r="M607" s="608" t="s">
        <v>1393</v>
      </c>
      <c r="N607" s="608" t="s">
        <v>1449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988</v>
      </c>
      <c r="C608" s="682" t="s">
        <v>1384</v>
      </c>
      <c r="D608" s="682"/>
      <c r="E608" s="682"/>
      <c r="F608" s="681" t="s">
        <v>1004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1384</v>
      </c>
      <c r="C609" s="688" t="s">
        <v>1384</v>
      </c>
      <c r="D609" s="688" t="s">
        <v>159</v>
      </c>
      <c r="E609" s="688"/>
      <c r="F609" s="712" t="s">
        <v>1385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1384</v>
      </c>
      <c r="C610" s="456" t="s">
        <v>1384</v>
      </c>
      <c r="D610" s="456" t="s">
        <v>159</v>
      </c>
      <c r="E610" s="456" t="s">
        <v>1167</v>
      </c>
      <c r="F610" s="623" t="s">
        <v>1386</v>
      </c>
      <c r="G610" s="744">
        <v>4.3845312000000004E-2</v>
      </c>
      <c r="H610" s="745">
        <v>1</v>
      </c>
      <c r="I610" s="626"/>
      <c r="J610" s="751"/>
      <c r="L610" s="623" t="s">
        <v>1167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1384</v>
      </c>
      <c r="C611" s="456" t="s">
        <v>1384</v>
      </c>
      <c r="D611" s="456" t="s">
        <v>159</v>
      </c>
      <c r="E611" s="456" t="s">
        <v>1167</v>
      </c>
      <c r="F611" s="759" t="s">
        <v>36</v>
      </c>
      <c r="G611" s="744"/>
      <c r="H611" s="745"/>
      <c r="I611" s="626"/>
      <c r="J611" s="751"/>
      <c r="L611" s="623" t="s">
        <v>1167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1384</v>
      </c>
      <c r="C612" s="456" t="s">
        <v>1384</v>
      </c>
      <c r="D612" s="456" t="s">
        <v>159</v>
      </c>
      <c r="E612" s="456" t="s">
        <v>1167</v>
      </c>
      <c r="F612" s="759" t="s">
        <v>208</v>
      </c>
      <c r="G612" s="744"/>
      <c r="H612" s="745"/>
      <c r="I612" s="626"/>
      <c r="J612" s="751"/>
      <c r="L612" s="623" t="s">
        <v>1167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1384</v>
      </c>
      <c r="C613" s="688" t="s">
        <v>1384</v>
      </c>
      <c r="D613" s="688" t="s">
        <v>518</v>
      </c>
      <c r="E613" s="688"/>
      <c r="F613" s="712" t="s">
        <v>1218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1384</v>
      </c>
      <c r="C614" s="456" t="s">
        <v>1384</v>
      </c>
      <c r="D614" s="456" t="s">
        <v>518</v>
      </c>
      <c r="E614" s="456" t="s">
        <v>56</v>
      </c>
      <c r="F614" s="759" t="s">
        <v>36</v>
      </c>
      <c r="G614" s="744"/>
      <c r="H614" s="745"/>
      <c r="I614" s="626"/>
      <c r="J614" s="751"/>
      <c r="L614" s="623" t="s">
        <v>56</v>
      </c>
      <c r="M614" s="623" t="s">
        <v>1577</v>
      </c>
      <c r="N614" s="623" t="s">
        <v>953</v>
      </c>
      <c r="O614" s="623"/>
      <c r="P614" s="623" t="s">
        <v>1548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1384</v>
      </c>
      <c r="C615" s="688" t="s">
        <v>1384</v>
      </c>
      <c r="D615" s="688" t="s">
        <v>441</v>
      </c>
      <c r="E615" s="688"/>
      <c r="F615" s="712" t="s">
        <v>1385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9.6" outlineLevel="3">
      <c r="A616" s="376"/>
      <c r="B616" s="456" t="s">
        <v>1384</v>
      </c>
      <c r="C616" s="456" t="s">
        <v>1384</v>
      </c>
      <c r="D616" s="456" t="s">
        <v>441</v>
      </c>
      <c r="E616" s="456" t="s">
        <v>437</v>
      </c>
      <c r="F616" s="759" t="s">
        <v>36</v>
      </c>
      <c r="G616" s="744"/>
      <c r="H616" s="745"/>
      <c r="I616" s="626"/>
      <c r="J616" s="751"/>
      <c r="L616" s="623" t="s">
        <v>437</v>
      </c>
      <c r="M616" s="623" t="s">
        <v>1046</v>
      </c>
      <c r="N616" s="623" t="s">
        <v>1388</v>
      </c>
      <c r="O616" s="623" t="s">
        <v>1392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9.6" outlineLevel="3">
      <c r="A617" s="376"/>
      <c r="B617" s="456" t="s">
        <v>1384</v>
      </c>
      <c r="C617" s="456" t="s">
        <v>1384</v>
      </c>
      <c r="D617" s="456" t="s">
        <v>441</v>
      </c>
      <c r="E617" s="456" t="s">
        <v>437</v>
      </c>
      <c r="F617" s="759" t="s">
        <v>208</v>
      </c>
      <c r="G617" s="744"/>
      <c r="H617" s="745"/>
      <c r="I617" s="626"/>
      <c r="J617" s="751"/>
      <c r="L617" s="623" t="s">
        <v>437</v>
      </c>
      <c r="M617" s="623" t="s">
        <v>1046</v>
      </c>
      <c r="N617" s="623" t="s">
        <v>1388</v>
      </c>
      <c r="O617" s="623" t="s">
        <v>1392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1384</v>
      </c>
      <c r="C618" s="688" t="s">
        <v>1384</v>
      </c>
      <c r="D618" s="688" t="s">
        <v>860</v>
      </c>
      <c r="E618" s="688"/>
      <c r="F618" s="712" t="s">
        <v>1385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1384</v>
      </c>
      <c r="C619" s="456" t="s">
        <v>1384</v>
      </c>
      <c r="D619" s="456" t="s">
        <v>860</v>
      </c>
      <c r="E619" s="456" t="s">
        <v>437</v>
      </c>
      <c r="F619" s="759" t="s">
        <v>36</v>
      </c>
      <c r="G619" s="744"/>
      <c r="H619" s="745"/>
      <c r="I619" s="626"/>
      <c r="J619" s="751"/>
      <c r="L619" s="623" t="s">
        <v>437</v>
      </c>
      <c r="M619" s="623" t="s">
        <v>1393</v>
      </c>
      <c r="N619" s="623" t="s">
        <v>1432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1384</v>
      </c>
      <c r="C620" s="456" t="s">
        <v>1384</v>
      </c>
      <c r="D620" s="456" t="s">
        <v>860</v>
      </c>
      <c r="E620" s="456" t="s">
        <v>437</v>
      </c>
      <c r="F620" s="759" t="s">
        <v>208</v>
      </c>
      <c r="G620" s="744"/>
      <c r="H620" s="745"/>
      <c r="I620" s="626"/>
      <c r="J620" s="751"/>
      <c r="L620" s="623" t="s">
        <v>437</v>
      </c>
      <c r="M620" s="623" t="s">
        <v>1393</v>
      </c>
      <c r="N620" s="623" t="s">
        <v>1432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369</v>
      </c>
      <c r="C621" s="682" t="s">
        <v>843</v>
      </c>
      <c r="D621" s="682"/>
      <c r="E621" s="682"/>
      <c r="F621" s="681" t="s">
        <v>1004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6.45" outlineLevel="2">
      <c r="A622" s="376"/>
      <c r="B622" s="684" t="s">
        <v>369</v>
      </c>
      <c r="C622" s="684" t="s">
        <v>843</v>
      </c>
      <c r="D622" s="684" t="s">
        <v>159</v>
      </c>
      <c r="E622" s="684"/>
      <c r="F622" s="685" t="s">
        <v>1952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1229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369</v>
      </c>
      <c r="C623" s="376" t="s">
        <v>843</v>
      </c>
      <c r="D623" s="376" t="s">
        <v>159</v>
      </c>
      <c r="E623" s="376" t="s">
        <v>664</v>
      </c>
      <c r="F623" s="608" t="s">
        <v>1373</v>
      </c>
      <c r="G623" s="609">
        <v>3.3116500000000002</v>
      </c>
      <c r="H623" s="692">
        <v>1</v>
      </c>
      <c r="I623" s="626"/>
      <c r="J623" s="751"/>
      <c r="L623" s="608" t="s">
        <v>664</v>
      </c>
      <c r="M623" s="608" t="s">
        <v>664</v>
      </c>
      <c r="N623" s="608" t="s">
        <v>1363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369</v>
      </c>
      <c r="C624" s="376" t="s">
        <v>843</v>
      </c>
      <c r="D624" s="376" t="s">
        <v>159</v>
      </c>
      <c r="E624" s="376" t="s">
        <v>664</v>
      </c>
      <c r="F624" s="608" t="s">
        <v>208</v>
      </c>
      <c r="G624" s="609">
        <v>1.6558250000000001</v>
      </c>
      <c r="H624" s="692">
        <v>1</v>
      </c>
      <c r="I624" s="626"/>
      <c r="J624" s="751"/>
      <c r="L624" s="608" t="s">
        <v>664</v>
      </c>
      <c r="M624" s="608" t="s">
        <v>1352</v>
      </c>
      <c r="N624" s="608" t="s">
        <v>1363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369</v>
      </c>
      <c r="C625" s="376" t="s">
        <v>843</v>
      </c>
      <c r="D625" s="376" t="s">
        <v>159</v>
      </c>
      <c r="E625" s="376" t="s">
        <v>1007</v>
      </c>
      <c r="F625" s="628" t="s">
        <v>38</v>
      </c>
      <c r="G625" s="609">
        <v>0.10475000000000001</v>
      </c>
      <c r="H625" s="692">
        <v>1</v>
      </c>
      <c r="I625" s="626"/>
      <c r="J625" s="751"/>
      <c r="L625" s="608" t="s">
        <v>1007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369</v>
      </c>
      <c r="C626" s="376" t="s">
        <v>843</v>
      </c>
      <c r="D626" s="376" t="s">
        <v>159</v>
      </c>
      <c r="E626" s="376" t="s">
        <v>1007</v>
      </c>
      <c r="F626" s="628" t="s">
        <v>1334</v>
      </c>
      <c r="G626" s="609">
        <v>5.2375000000000005E-2</v>
      </c>
      <c r="H626" s="692">
        <v>1</v>
      </c>
      <c r="I626" s="626"/>
      <c r="J626" s="751"/>
      <c r="L626" s="608" t="s">
        <v>1007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369</v>
      </c>
      <c r="C627" s="684" t="s">
        <v>843</v>
      </c>
      <c r="D627" s="684" t="s">
        <v>518</v>
      </c>
      <c r="E627" s="684"/>
      <c r="F627" s="685" t="s">
        <v>1952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369</v>
      </c>
      <c r="C628" s="376" t="s">
        <v>843</v>
      </c>
      <c r="D628" s="376" t="s">
        <v>518</v>
      </c>
      <c r="E628" s="376" t="s">
        <v>56</v>
      </c>
      <c r="F628" s="608" t="s">
        <v>1373</v>
      </c>
      <c r="G628" s="609">
        <v>1.0864152</v>
      </c>
      <c r="H628" s="692"/>
      <c r="I628" s="626"/>
      <c r="J628" s="751"/>
      <c r="L628" s="608" t="s">
        <v>56</v>
      </c>
      <c r="M628" s="608" t="s">
        <v>1524</v>
      </c>
      <c r="N628" s="608" t="s">
        <v>1525</v>
      </c>
      <c r="O628" s="608" t="s">
        <v>953</v>
      </c>
      <c r="P628" s="608" t="s">
        <v>1526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369</v>
      </c>
      <c r="C629" s="684" t="s">
        <v>843</v>
      </c>
      <c r="D629" s="684" t="s">
        <v>441</v>
      </c>
      <c r="E629" s="684"/>
      <c r="F629" s="685" t="s">
        <v>1952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369</v>
      </c>
      <c r="C630" s="376" t="s">
        <v>843</v>
      </c>
      <c r="D630" s="376" t="s">
        <v>441</v>
      </c>
      <c r="E630" s="376" t="s">
        <v>437</v>
      </c>
      <c r="F630" s="759" t="s">
        <v>36</v>
      </c>
      <c r="G630" s="609"/>
      <c r="H630" s="692"/>
      <c r="I630" s="626"/>
      <c r="J630" s="751"/>
      <c r="L630" s="608" t="s">
        <v>437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369</v>
      </c>
      <c r="C631" s="376" t="s">
        <v>843</v>
      </c>
      <c r="D631" s="376" t="s">
        <v>441</v>
      </c>
      <c r="E631" s="376" t="s">
        <v>437</v>
      </c>
      <c r="F631" s="759" t="s">
        <v>208</v>
      </c>
      <c r="G631" s="609"/>
      <c r="H631" s="692"/>
      <c r="I631" s="626"/>
      <c r="J631" s="751"/>
      <c r="L631" s="608" t="s">
        <v>437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369</v>
      </c>
      <c r="C632" s="684" t="s">
        <v>843</v>
      </c>
      <c r="D632" s="684" t="s">
        <v>860</v>
      </c>
      <c r="E632" s="684"/>
      <c r="F632" s="685" t="s">
        <v>1952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369</v>
      </c>
      <c r="C633" s="376" t="s">
        <v>843</v>
      </c>
      <c r="D633" s="376" t="s">
        <v>860</v>
      </c>
      <c r="E633" s="376" t="s">
        <v>437</v>
      </c>
      <c r="F633" s="759" t="s">
        <v>36</v>
      </c>
      <c r="G633" s="609"/>
      <c r="H633" s="692"/>
      <c r="I633" s="626"/>
      <c r="J633" s="751"/>
      <c r="L633" s="608" t="s">
        <v>437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369</v>
      </c>
      <c r="C634" s="376" t="s">
        <v>843</v>
      </c>
      <c r="D634" s="376" t="s">
        <v>860</v>
      </c>
      <c r="E634" s="376" t="s">
        <v>437</v>
      </c>
      <c r="F634" s="759" t="s">
        <v>208</v>
      </c>
      <c r="G634" s="609"/>
      <c r="H634" s="692"/>
      <c r="I634" s="626"/>
      <c r="J634" s="751"/>
      <c r="L634" s="608" t="s">
        <v>437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507</v>
      </c>
      <c r="C635" s="666" t="s">
        <v>507</v>
      </c>
      <c r="D635" s="666"/>
      <c r="E635" s="666"/>
      <c r="F635" s="681" t="s">
        <v>1004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507</v>
      </c>
      <c r="C636" s="687" t="s">
        <v>507</v>
      </c>
      <c r="D636" s="687" t="s">
        <v>159</v>
      </c>
      <c r="E636" s="687"/>
      <c r="F636" s="717" t="s">
        <v>1951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507</v>
      </c>
      <c r="C637" s="387" t="s">
        <v>507</v>
      </c>
      <c r="D637" s="387" t="s">
        <v>159</v>
      </c>
      <c r="E637" s="387" t="s">
        <v>1169</v>
      </c>
      <c r="F637" s="705" t="s">
        <v>17</v>
      </c>
      <c r="G637" s="706">
        <v>18.399999999999999</v>
      </c>
      <c r="H637" s="707">
        <v>1</v>
      </c>
      <c r="I637" s="740"/>
      <c r="J637" s="757"/>
      <c r="L637" s="705" t="s">
        <v>1169</v>
      </c>
      <c r="M637" s="705" t="s">
        <v>1241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236</v>
      </c>
      <c r="C638" s="666" t="s">
        <v>1235</v>
      </c>
      <c r="D638" s="667"/>
      <c r="E638" s="665"/>
      <c r="F638" s="681" t="s">
        <v>1004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236</v>
      </c>
      <c r="C639" s="687" t="s">
        <v>1236</v>
      </c>
      <c r="D639" s="684" t="s">
        <v>159</v>
      </c>
      <c r="E639" s="684"/>
      <c r="F639" s="685" t="s">
        <v>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6.45" outlineLevel="3">
      <c r="A640" s="376"/>
      <c r="B640" s="376" t="s">
        <v>236</v>
      </c>
      <c r="C640" s="387" t="s">
        <v>1236</v>
      </c>
      <c r="D640" s="376" t="s">
        <v>159</v>
      </c>
      <c r="E640" s="376" t="s">
        <v>1162</v>
      </c>
      <c r="F640" s="608" t="s">
        <v>17</v>
      </c>
      <c r="G640" s="609">
        <v>6.3210374741250011</v>
      </c>
      <c r="H640" s="692">
        <v>1</v>
      </c>
      <c r="I640" s="626"/>
      <c r="J640" s="751"/>
      <c r="L640" s="608" t="s">
        <v>1162</v>
      </c>
      <c r="M640" s="608" t="s">
        <v>1181</v>
      </c>
      <c r="N640" s="608" t="s">
        <v>1182</v>
      </c>
      <c r="O640" s="608" t="s">
        <v>1208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6.45" outlineLevel="3">
      <c r="A641" s="376"/>
      <c r="B641" s="376" t="s">
        <v>236</v>
      </c>
      <c r="C641" s="387" t="s">
        <v>1236</v>
      </c>
      <c r="D641" s="376" t="s">
        <v>159</v>
      </c>
      <c r="E641" s="376" t="s">
        <v>1162</v>
      </c>
      <c r="F641" s="608" t="s">
        <v>36</v>
      </c>
      <c r="G641" s="609">
        <v>6.3210374741250011</v>
      </c>
      <c r="H641" s="692"/>
      <c r="I641" s="626"/>
      <c r="J641" s="751"/>
      <c r="L641" s="608" t="s">
        <v>1162</v>
      </c>
      <c r="M641" s="608" t="s">
        <v>1181</v>
      </c>
      <c r="N641" s="608" t="s">
        <v>1182</v>
      </c>
      <c r="O641" s="608" t="s">
        <v>1208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236</v>
      </c>
      <c r="C642" s="687" t="s">
        <v>1953</v>
      </c>
      <c r="D642" s="684" t="s">
        <v>1166</v>
      </c>
      <c r="E642" s="684"/>
      <c r="F642" s="685" t="s">
        <v>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236</v>
      </c>
      <c r="C643" s="387" t="s">
        <v>1953</v>
      </c>
      <c r="D643" s="376" t="s">
        <v>1166</v>
      </c>
      <c r="E643" s="376" t="s">
        <v>437</v>
      </c>
      <c r="F643" s="608" t="s">
        <v>17</v>
      </c>
      <c r="G643" s="609">
        <v>6.3210374741250011</v>
      </c>
      <c r="H643" s="692">
        <v>1</v>
      </c>
      <c r="I643" s="626"/>
      <c r="J643" s="751"/>
      <c r="L643" s="608" t="s">
        <v>437</v>
      </c>
      <c r="M643" s="608" t="s">
        <v>1451</v>
      </c>
      <c r="N643" s="608" t="s">
        <v>1954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236</v>
      </c>
      <c r="C644" s="387" t="s">
        <v>1953</v>
      </c>
      <c r="D644" s="376" t="s">
        <v>1166</v>
      </c>
      <c r="E644" s="376" t="s">
        <v>437</v>
      </c>
      <c r="F644" s="608" t="s">
        <v>36</v>
      </c>
      <c r="G644" s="609">
        <v>6.3210374741250011</v>
      </c>
      <c r="H644" s="692"/>
      <c r="I644" s="626"/>
      <c r="J644" s="751"/>
      <c r="L644" s="608" t="s">
        <v>437</v>
      </c>
      <c r="M644" s="608" t="s">
        <v>1451</v>
      </c>
      <c r="N644" s="608" t="s">
        <v>1954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236</v>
      </c>
      <c r="C645" s="687" t="s">
        <v>1374</v>
      </c>
      <c r="D645" s="684" t="s">
        <v>159</v>
      </c>
      <c r="E645" s="684"/>
      <c r="F645" s="685" t="s">
        <v>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236</v>
      </c>
      <c r="C646" s="387" t="s">
        <v>1374</v>
      </c>
      <c r="D646" s="376" t="s">
        <v>159</v>
      </c>
      <c r="E646" s="376" t="s">
        <v>664</v>
      </c>
      <c r="F646" s="608" t="s">
        <v>17</v>
      </c>
      <c r="G646" s="609">
        <v>1.4045188286250001</v>
      </c>
      <c r="H646" s="692">
        <v>1</v>
      </c>
      <c r="I646" s="626"/>
      <c r="J646" s="751"/>
      <c r="L646" s="608" t="s">
        <v>664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236</v>
      </c>
      <c r="C647" s="387" t="s">
        <v>1374</v>
      </c>
      <c r="D647" s="376" t="s">
        <v>159</v>
      </c>
      <c r="E647" s="376" t="s">
        <v>664</v>
      </c>
      <c r="F647" s="759" t="s">
        <v>36</v>
      </c>
      <c r="G647" s="609"/>
      <c r="H647" s="692"/>
      <c r="I647" s="626"/>
      <c r="J647" s="751"/>
      <c r="L647" s="608" t="s">
        <v>664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236</v>
      </c>
      <c r="C648" s="687" t="s">
        <v>1235</v>
      </c>
      <c r="D648" s="684" t="s">
        <v>518</v>
      </c>
      <c r="E648" s="684"/>
      <c r="F648" s="685" t="s">
        <v>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236</v>
      </c>
      <c r="C649" s="387" t="s">
        <v>1235</v>
      </c>
      <c r="D649" s="376" t="s">
        <v>518</v>
      </c>
      <c r="E649" s="376" t="s">
        <v>56</v>
      </c>
      <c r="F649" s="759" t="s">
        <v>36</v>
      </c>
      <c r="G649" s="609"/>
      <c r="H649" s="692"/>
      <c r="I649" s="626"/>
      <c r="J649" s="751"/>
      <c r="L649" s="608" t="s">
        <v>56</v>
      </c>
      <c r="M649" s="608" t="s">
        <v>1585</v>
      </c>
      <c r="N649" s="608" t="s">
        <v>1497</v>
      </c>
      <c r="O649" s="608" t="s">
        <v>1593</v>
      </c>
      <c r="P649" s="608" t="s">
        <v>1526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92.45" outlineLevel="2">
      <c r="A650" s="376"/>
      <c r="B650" s="684" t="s">
        <v>236</v>
      </c>
      <c r="C650" s="687" t="s">
        <v>1235</v>
      </c>
      <c r="D650" s="684" t="s">
        <v>441</v>
      </c>
      <c r="E650" s="684"/>
      <c r="F650" s="685" t="s">
        <v>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1429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236</v>
      </c>
      <c r="C651" s="387" t="s">
        <v>1235</v>
      </c>
      <c r="D651" s="376" t="s">
        <v>441</v>
      </c>
      <c r="E651" s="376" t="s">
        <v>437</v>
      </c>
      <c r="F651" s="759" t="s">
        <v>36</v>
      </c>
      <c r="G651" s="609"/>
      <c r="H651" s="692"/>
      <c r="I651" s="626"/>
      <c r="J651" s="751"/>
      <c r="L651" s="608" t="s">
        <v>437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92.45" outlineLevel="2">
      <c r="A652" s="376"/>
      <c r="B652" s="684" t="s">
        <v>236</v>
      </c>
      <c r="C652" s="687" t="s">
        <v>1235</v>
      </c>
      <c r="D652" s="684" t="s">
        <v>860</v>
      </c>
      <c r="E652" s="684"/>
      <c r="F652" s="685" t="s">
        <v>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1429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236</v>
      </c>
      <c r="C653" s="387" t="s">
        <v>1235</v>
      </c>
      <c r="D653" s="376" t="s">
        <v>860</v>
      </c>
      <c r="E653" s="376" t="s">
        <v>437</v>
      </c>
      <c r="F653" s="759" t="s">
        <v>36</v>
      </c>
      <c r="G653" s="609"/>
      <c r="H653" s="609"/>
      <c r="I653" s="626"/>
      <c r="J653" s="751"/>
      <c r="L653" s="608" t="s">
        <v>437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3.15"/>
  <cols>
    <col min="2" max="2" width="13.5703125" bestFit="1" customWidth="1"/>
    <col min="3" max="3" width="20.28515625" bestFit="1" customWidth="1"/>
    <col min="4" max="4" width="24.5703125" bestFit="1" customWidth="1"/>
  </cols>
  <sheetData>
    <row r="2" spans="2:4">
      <c r="B2" s="657" t="s">
        <v>1148</v>
      </c>
      <c r="C2" t="s">
        <v>1150</v>
      </c>
      <c r="D2" t="s">
        <v>1149</v>
      </c>
    </row>
    <row r="3" spans="2:4">
      <c r="B3" s="658" t="s">
        <v>47</v>
      </c>
      <c r="C3">
        <v>26</v>
      </c>
    </row>
    <row r="4" spans="2:4">
      <c r="B4" s="658" t="s">
        <v>1162</v>
      </c>
      <c r="C4">
        <v>37</v>
      </c>
      <c r="D4">
        <v>40.647977761675314</v>
      </c>
    </row>
    <row r="5" spans="2:4">
      <c r="B5" s="658" t="s">
        <v>437</v>
      </c>
      <c r="C5">
        <v>62</v>
      </c>
      <c r="D5">
        <v>24.0470815859033</v>
      </c>
    </row>
    <row r="6" spans="2:4">
      <c r="B6" s="658" t="s">
        <v>1167</v>
      </c>
      <c r="C6">
        <v>8</v>
      </c>
      <c r="D6">
        <v>0.59474656199999976</v>
      </c>
    </row>
    <row r="7" spans="2:4">
      <c r="B7" s="658" t="s">
        <v>664</v>
      </c>
      <c r="C7">
        <v>23</v>
      </c>
      <c r="D7">
        <v>28.079745600924603</v>
      </c>
    </row>
    <row r="8" spans="2:4">
      <c r="B8" s="658" t="s">
        <v>1007</v>
      </c>
      <c r="C8">
        <v>38</v>
      </c>
      <c r="D8">
        <v>11.571288093812013</v>
      </c>
    </row>
    <row r="9" spans="2:4">
      <c r="B9" s="658" t="s">
        <v>56</v>
      </c>
      <c r="C9">
        <v>113</v>
      </c>
      <c r="D9">
        <v>20.009122745330476</v>
      </c>
    </row>
    <row r="10" spans="2:4">
      <c r="B10" s="658" t="s">
        <v>1169</v>
      </c>
      <c r="C10">
        <v>46</v>
      </c>
      <c r="D10">
        <v>30.540592206741032</v>
      </c>
    </row>
    <row r="11" spans="2:4">
      <c r="B11" s="658" t="s">
        <v>1175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bottomRight" activeCell="F234" sqref="F234"/>
      <selection pane="bottomLeft" activeCell="E804" sqref="E804"/>
      <selection pane="topRight" activeCell="E804" sqref="E804"/>
    </sheetView>
  </sheetViews>
  <sheetFormatPr defaultColWidth="9.42578125" defaultRowHeight="13.15" outlineLevelRow="4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87" t="s">
        <v>1709</v>
      </c>
      <c r="I1" s="888"/>
      <c r="J1" s="372"/>
      <c r="K1" s="887" t="s">
        <v>1710</v>
      </c>
      <c r="L1" s="888"/>
      <c r="M1" s="372"/>
      <c r="O1" s="442" t="s">
        <v>1057</v>
      </c>
      <c r="P1" s="442" t="s">
        <v>1711</v>
      </c>
      <c r="Q1" s="615" t="s">
        <v>441</v>
      </c>
      <c r="R1" s="442" t="s">
        <v>1712</v>
      </c>
    </row>
    <row r="2" spans="1:33" s="416" customFormat="1" ht="17.45">
      <c r="A2" s="376"/>
      <c r="B2" s="418" t="s">
        <v>1713</v>
      </c>
      <c r="C2" s="418"/>
      <c r="D2" s="418"/>
      <c r="E2" s="418"/>
      <c r="F2" s="423"/>
      <c r="G2" s="376"/>
      <c r="H2" s="419" t="s">
        <v>1714</v>
      </c>
      <c r="I2" s="420" t="s">
        <v>726</v>
      </c>
      <c r="J2" s="376"/>
      <c r="K2" s="419" t="s">
        <v>1714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1176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891</v>
      </c>
      <c r="C8" s="385" t="s">
        <v>1238</v>
      </c>
      <c r="D8" s="385"/>
      <c r="E8" s="380"/>
      <c r="F8" s="424" t="s">
        <v>1715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891</v>
      </c>
      <c r="C9" s="372" t="s">
        <v>1238</v>
      </c>
      <c r="D9" s="372" t="s">
        <v>159</v>
      </c>
      <c r="E9" s="376"/>
      <c r="F9" s="422" t="s">
        <v>1715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1240</v>
      </c>
      <c r="D10" s="372" t="s">
        <v>159</v>
      </c>
      <c r="E10" s="376" t="s">
        <v>1169</v>
      </c>
      <c r="F10" s="422" t="s">
        <v>1716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.45" hidden="1" outlineLevel="3">
      <c r="A11" s="372"/>
      <c r="B11" s="372" t="s">
        <v>891</v>
      </c>
      <c r="C11" s="372" t="s">
        <v>1240</v>
      </c>
      <c r="D11" s="372" t="s">
        <v>159</v>
      </c>
      <c r="E11" s="376" t="s">
        <v>1169</v>
      </c>
      <c r="F11" s="422" t="s">
        <v>1718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891</v>
      </c>
      <c r="C12" s="372" t="s">
        <v>1195</v>
      </c>
      <c r="D12" s="372" t="s">
        <v>159</v>
      </c>
      <c r="E12" s="376" t="s">
        <v>1169</v>
      </c>
      <c r="F12" s="422" t="s">
        <v>247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891</v>
      </c>
      <c r="C13" s="372" t="s">
        <v>1195</v>
      </c>
      <c r="D13" s="372" t="s">
        <v>159</v>
      </c>
      <c r="E13" s="376" t="s">
        <v>1169</v>
      </c>
      <c r="F13" s="422" t="s">
        <v>251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891</v>
      </c>
      <c r="C14" s="372" t="s">
        <v>1238</v>
      </c>
      <c r="D14" s="372" t="s">
        <v>518</v>
      </c>
      <c r="E14" s="372"/>
      <c r="F14" s="422" t="s">
        <v>1715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.45" hidden="1" outlineLevel="3">
      <c r="A15" s="372"/>
      <c r="B15" s="372" t="s">
        <v>891</v>
      </c>
      <c r="C15" s="372" t="s">
        <v>1240</v>
      </c>
      <c r="D15" s="372" t="s">
        <v>518</v>
      </c>
      <c r="E15" s="372" t="s">
        <v>56</v>
      </c>
      <c r="F15" s="422" t="s">
        <v>1718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891</v>
      </c>
      <c r="C16" s="372" t="s">
        <v>1195</v>
      </c>
      <c r="D16" s="372" t="s">
        <v>518</v>
      </c>
      <c r="E16" s="372" t="s">
        <v>56</v>
      </c>
      <c r="F16" s="422" t="s">
        <v>247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891</v>
      </c>
      <c r="C17" s="372" t="s">
        <v>1195</v>
      </c>
      <c r="D17" s="372" t="s">
        <v>518</v>
      </c>
      <c r="E17" s="372" t="s">
        <v>56</v>
      </c>
      <c r="F17" s="422" t="s">
        <v>251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891</v>
      </c>
      <c r="C18" s="372" t="s">
        <v>1238</v>
      </c>
      <c r="D18" s="372" t="s">
        <v>441</v>
      </c>
      <c r="E18" s="372"/>
      <c r="F18" s="422" t="s">
        <v>1715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891</v>
      </c>
      <c r="C19" s="372" t="s">
        <v>1195</v>
      </c>
      <c r="D19" s="372" t="s">
        <v>441</v>
      </c>
      <c r="E19" s="372" t="s">
        <v>437</v>
      </c>
      <c r="F19" s="422" t="s">
        <v>247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891</v>
      </c>
      <c r="C20" s="385" t="s">
        <v>1247</v>
      </c>
      <c r="D20" s="385"/>
      <c r="E20" s="380"/>
      <c r="F20" s="424" t="s">
        <v>1715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891</v>
      </c>
      <c r="C21" s="372" t="s">
        <v>1247</v>
      </c>
      <c r="D21" s="372" t="s">
        <v>159</v>
      </c>
      <c r="E21" s="376"/>
      <c r="F21" s="422" t="s">
        <v>1715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891</v>
      </c>
      <c r="C22" s="372" t="s">
        <v>1247</v>
      </c>
      <c r="D22" s="372" t="s">
        <v>159</v>
      </c>
      <c r="E22" s="387" t="s">
        <v>1169</v>
      </c>
      <c r="F22" s="422" t="s">
        <v>297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891</v>
      </c>
      <c r="C23" s="372" t="s">
        <v>1247</v>
      </c>
      <c r="D23" s="372" t="s">
        <v>159</v>
      </c>
      <c r="E23" s="387" t="s">
        <v>1169</v>
      </c>
      <c r="F23" s="422" t="s">
        <v>206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891</v>
      </c>
      <c r="C24" s="372" t="s">
        <v>1247</v>
      </c>
      <c r="D24" s="372" t="s">
        <v>159</v>
      </c>
      <c r="E24" s="387" t="s">
        <v>1169</v>
      </c>
      <c r="F24" s="422" t="s">
        <v>208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891</v>
      </c>
      <c r="C25" s="372" t="s">
        <v>1247</v>
      </c>
      <c r="D25" s="372" t="s">
        <v>159</v>
      </c>
      <c r="E25" s="387" t="s">
        <v>1169</v>
      </c>
      <c r="F25" s="422" t="s">
        <v>199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891</v>
      </c>
      <c r="C26" s="372" t="s">
        <v>1247</v>
      </c>
      <c r="D26" s="372" t="s">
        <v>159</v>
      </c>
      <c r="E26" s="387" t="s">
        <v>1169</v>
      </c>
      <c r="F26" s="422" t="s">
        <v>1726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891</v>
      </c>
      <c r="C27" s="372" t="s">
        <v>1247</v>
      </c>
      <c r="D27" s="372" t="s">
        <v>159</v>
      </c>
      <c r="E27" s="387" t="s">
        <v>1169</v>
      </c>
      <c r="F27" s="422" t="s">
        <v>1727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891</v>
      </c>
      <c r="C28" s="372" t="s">
        <v>1247</v>
      </c>
      <c r="D28" s="372" t="s">
        <v>159</v>
      </c>
      <c r="E28" s="387" t="s">
        <v>1169</v>
      </c>
      <c r="F28" s="422" t="s">
        <v>1728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891</v>
      </c>
      <c r="C29" s="372" t="s">
        <v>1247</v>
      </c>
      <c r="D29" s="372" t="s">
        <v>159</v>
      </c>
      <c r="E29" s="387" t="s">
        <v>1169</v>
      </c>
      <c r="F29" s="422" t="s">
        <v>1729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891</v>
      </c>
      <c r="C30" s="372" t="s">
        <v>1247</v>
      </c>
      <c r="D30" s="372" t="s">
        <v>159</v>
      </c>
      <c r="E30" s="387" t="s">
        <v>1169</v>
      </c>
      <c r="F30" s="422" t="s">
        <v>1730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891</v>
      </c>
      <c r="C31" s="372" t="s">
        <v>1247</v>
      </c>
      <c r="D31" s="372" t="s">
        <v>159</v>
      </c>
      <c r="E31" s="387" t="s">
        <v>1169</v>
      </c>
      <c r="F31" s="422" t="s">
        <v>1731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891</v>
      </c>
      <c r="C32" s="372" t="s">
        <v>1247</v>
      </c>
      <c r="D32" s="372" t="s">
        <v>159</v>
      </c>
      <c r="E32" s="387" t="s">
        <v>1169</v>
      </c>
      <c r="F32" s="422" t="s">
        <v>1732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891</v>
      </c>
      <c r="C33" s="372" t="s">
        <v>1247</v>
      </c>
      <c r="D33" s="372" t="s">
        <v>159</v>
      </c>
      <c r="E33" s="387" t="s">
        <v>1169</v>
      </c>
      <c r="F33" s="422" t="s">
        <v>1733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891</v>
      </c>
      <c r="C34" s="372" t="s">
        <v>1247</v>
      </c>
      <c r="D34" s="372" t="s">
        <v>159</v>
      </c>
      <c r="E34" s="387" t="s">
        <v>1169</v>
      </c>
      <c r="F34" s="422" t="s">
        <v>1734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891</v>
      </c>
      <c r="C35" s="372" t="s">
        <v>1247</v>
      </c>
      <c r="D35" s="372" t="s">
        <v>159</v>
      </c>
      <c r="E35" s="387" t="s">
        <v>1169</v>
      </c>
      <c r="F35" s="422" t="s">
        <v>1735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1247</v>
      </c>
      <c r="D36" s="372" t="s">
        <v>159</v>
      </c>
      <c r="E36" s="387" t="s">
        <v>1169</v>
      </c>
      <c r="F36" s="422" t="s">
        <v>490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891</v>
      </c>
      <c r="C37" s="372" t="s">
        <v>1247</v>
      </c>
      <c r="D37" s="372" t="s">
        <v>518</v>
      </c>
      <c r="E37" s="372"/>
      <c r="F37" s="422" t="s">
        <v>1715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891</v>
      </c>
      <c r="C38" s="372" t="s">
        <v>1247</v>
      </c>
      <c r="D38" s="372" t="s">
        <v>518</v>
      </c>
      <c r="E38" s="372" t="s">
        <v>56</v>
      </c>
      <c r="F38" s="422" t="s">
        <v>206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891</v>
      </c>
      <c r="C39" s="372" t="s">
        <v>1247</v>
      </c>
      <c r="D39" s="372" t="s">
        <v>518</v>
      </c>
      <c r="E39" s="372" t="s">
        <v>56</v>
      </c>
      <c r="F39" s="422" t="s">
        <v>199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891</v>
      </c>
      <c r="C40" s="372" t="s">
        <v>1247</v>
      </c>
      <c r="D40" s="372" t="s">
        <v>518</v>
      </c>
      <c r="E40" s="372" t="s">
        <v>56</v>
      </c>
      <c r="F40" s="422" t="s">
        <v>1736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891</v>
      </c>
      <c r="C41" s="372" t="s">
        <v>1247</v>
      </c>
      <c r="D41" s="372" t="s">
        <v>518</v>
      </c>
      <c r="E41" s="372" t="s">
        <v>56</v>
      </c>
      <c r="F41" s="422" t="s">
        <v>1737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891</v>
      </c>
      <c r="C42" s="372" t="s">
        <v>1247</v>
      </c>
      <c r="D42" s="372" t="s">
        <v>518</v>
      </c>
      <c r="E42" s="372" t="s">
        <v>56</v>
      </c>
      <c r="F42" s="422" t="s">
        <v>1730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891</v>
      </c>
      <c r="C43" s="372" t="s">
        <v>1247</v>
      </c>
      <c r="D43" s="372" t="s">
        <v>518</v>
      </c>
      <c r="E43" s="372" t="s">
        <v>56</v>
      </c>
      <c r="F43" s="422" t="s">
        <v>1738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891</v>
      </c>
      <c r="C44" s="372" t="s">
        <v>1247</v>
      </c>
      <c r="D44" s="372" t="s">
        <v>518</v>
      </c>
      <c r="E44" s="372" t="s">
        <v>56</v>
      </c>
      <c r="F44" s="422" t="s">
        <v>1739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891</v>
      </c>
      <c r="C45" s="372" t="s">
        <v>1247</v>
      </c>
      <c r="D45" s="372" t="s">
        <v>518</v>
      </c>
      <c r="E45" s="372" t="s">
        <v>56</v>
      </c>
      <c r="F45" s="422" t="s">
        <v>1732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891</v>
      </c>
      <c r="C46" s="372" t="s">
        <v>1247</v>
      </c>
      <c r="D46" s="372" t="s">
        <v>518</v>
      </c>
      <c r="E46" s="372" t="s">
        <v>56</v>
      </c>
      <c r="F46" s="422" t="s">
        <v>1740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891</v>
      </c>
      <c r="C47" s="372" t="s">
        <v>1247</v>
      </c>
      <c r="D47" s="372" t="s">
        <v>518</v>
      </c>
      <c r="E47" s="372" t="s">
        <v>56</v>
      </c>
      <c r="F47" s="422" t="s">
        <v>1741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891</v>
      </c>
      <c r="C48" s="372" t="s">
        <v>1247</v>
      </c>
      <c r="D48" s="372" t="s">
        <v>518</v>
      </c>
      <c r="E48" s="372" t="s">
        <v>56</v>
      </c>
      <c r="F48" s="422" t="s">
        <v>1733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891</v>
      </c>
      <c r="C49" s="372" t="s">
        <v>1247</v>
      </c>
      <c r="D49" s="372" t="s">
        <v>518</v>
      </c>
      <c r="E49" s="372" t="s">
        <v>56</v>
      </c>
      <c r="F49" s="422" t="s">
        <v>1734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1247</v>
      </c>
      <c r="D50" s="372" t="s">
        <v>518</v>
      </c>
      <c r="E50" s="372" t="s">
        <v>56</v>
      </c>
      <c r="F50" s="422" t="s">
        <v>1742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891</v>
      </c>
      <c r="C51" s="372" t="s">
        <v>1247</v>
      </c>
      <c r="D51" s="372" t="s">
        <v>518</v>
      </c>
      <c r="E51" s="372" t="s">
        <v>56</v>
      </c>
      <c r="F51" s="422" t="s">
        <v>1743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1247</v>
      </c>
      <c r="D52" s="372" t="s">
        <v>518</v>
      </c>
      <c r="E52" s="372" t="s">
        <v>56</v>
      </c>
      <c r="F52" s="422" t="s">
        <v>1735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891</v>
      </c>
      <c r="C53" s="372" t="s">
        <v>1247</v>
      </c>
      <c r="D53" s="372" t="s">
        <v>441</v>
      </c>
      <c r="E53" s="372"/>
      <c r="F53" s="422" t="s">
        <v>1715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891</v>
      </c>
      <c r="C54" s="372" t="s">
        <v>1247</v>
      </c>
      <c r="D54" s="372" t="s">
        <v>441</v>
      </c>
      <c r="E54" s="372" t="s">
        <v>437</v>
      </c>
      <c r="F54" s="422" t="s">
        <v>444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891</v>
      </c>
      <c r="C55" s="372" t="s">
        <v>1247</v>
      </c>
      <c r="D55" s="372" t="s">
        <v>441</v>
      </c>
      <c r="E55" s="372" t="s">
        <v>437</v>
      </c>
      <c r="F55" s="422" t="s">
        <v>481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891</v>
      </c>
      <c r="C56" s="372" t="s">
        <v>1247</v>
      </c>
      <c r="D56" s="372" t="s">
        <v>441</v>
      </c>
      <c r="E56" s="372" t="s">
        <v>437</v>
      </c>
      <c r="F56" s="422" t="s">
        <v>1744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891</v>
      </c>
      <c r="C57" s="372" t="s">
        <v>1247</v>
      </c>
      <c r="D57" s="372" t="s">
        <v>441</v>
      </c>
      <c r="E57" s="372" t="s">
        <v>437</v>
      </c>
      <c r="F57" s="422" t="s">
        <v>1745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891</v>
      </c>
      <c r="C58" s="372" t="s">
        <v>1247</v>
      </c>
      <c r="D58" s="372" t="s">
        <v>441</v>
      </c>
      <c r="E58" s="372" t="s">
        <v>437</v>
      </c>
      <c r="F58" s="422" t="s">
        <v>1728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891</v>
      </c>
      <c r="C59" s="372" t="s">
        <v>1247</v>
      </c>
      <c r="D59" s="372" t="s">
        <v>441</v>
      </c>
      <c r="E59" s="372" t="s">
        <v>437</v>
      </c>
      <c r="F59" s="422" t="s">
        <v>1726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891</v>
      </c>
      <c r="C60" s="372" t="s">
        <v>1247</v>
      </c>
      <c r="D60" s="372" t="s">
        <v>441</v>
      </c>
      <c r="E60" s="372" t="s">
        <v>437</v>
      </c>
      <c r="F60" s="422" t="s">
        <v>490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891</v>
      </c>
      <c r="C61" s="372" t="s">
        <v>1247</v>
      </c>
      <c r="D61" s="372" t="s">
        <v>860</v>
      </c>
      <c r="E61" s="372"/>
      <c r="F61" s="422" t="s">
        <v>1715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891</v>
      </c>
      <c r="C62" s="372" t="s">
        <v>1247</v>
      </c>
      <c r="D62" s="372" t="s">
        <v>860</v>
      </c>
      <c r="E62" s="372" t="s">
        <v>437</v>
      </c>
      <c r="F62" s="422" t="s">
        <v>206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891</v>
      </c>
      <c r="C63" s="372" t="s">
        <v>1247</v>
      </c>
      <c r="D63" s="372" t="s">
        <v>860</v>
      </c>
      <c r="E63" s="372" t="s">
        <v>437</v>
      </c>
      <c r="F63" s="422" t="s">
        <v>207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891</v>
      </c>
      <c r="C64" s="372" t="s">
        <v>1247</v>
      </c>
      <c r="D64" s="372" t="s">
        <v>860</v>
      </c>
      <c r="E64" s="372" t="s">
        <v>437</v>
      </c>
      <c r="F64" s="422" t="s">
        <v>1746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891</v>
      </c>
      <c r="C65" s="372" t="s">
        <v>1247</v>
      </c>
      <c r="D65" s="372" t="s">
        <v>860</v>
      </c>
      <c r="E65" s="372" t="s">
        <v>437</v>
      </c>
      <c r="F65" s="422" t="s">
        <v>244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891</v>
      </c>
      <c r="C66" s="372" t="s">
        <v>1247</v>
      </c>
      <c r="D66" s="372" t="s">
        <v>860</v>
      </c>
      <c r="E66" s="372" t="s">
        <v>437</v>
      </c>
      <c r="F66" s="422" t="s">
        <v>1747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893</v>
      </c>
      <c r="C67" s="407" t="s">
        <v>1351</v>
      </c>
      <c r="D67" s="386"/>
      <c r="E67" s="386"/>
      <c r="F67" s="426" t="s">
        <v>1715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893</v>
      </c>
      <c r="C68" s="372" t="s">
        <v>1351</v>
      </c>
      <c r="D68" s="372" t="s">
        <v>159</v>
      </c>
      <c r="E68" s="376"/>
      <c r="F68" s="425" t="s">
        <v>1715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893</v>
      </c>
      <c r="C69" s="372" t="s">
        <v>1351</v>
      </c>
      <c r="D69" s="372" t="s">
        <v>159</v>
      </c>
      <c r="E69" s="376" t="s">
        <v>664</v>
      </c>
      <c r="F69" s="422" t="s">
        <v>246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893</v>
      </c>
      <c r="C70" s="372" t="s">
        <v>1351</v>
      </c>
      <c r="D70" s="372" t="s">
        <v>159</v>
      </c>
      <c r="E70" s="376" t="s">
        <v>664</v>
      </c>
      <c r="F70" s="425" t="s">
        <v>247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893</v>
      </c>
      <c r="C71" s="372" t="s">
        <v>1351</v>
      </c>
      <c r="D71" s="372" t="s">
        <v>159</v>
      </c>
      <c r="E71" s="376" t="s">
        <v>664</v>
      </c>
      <c r="F71" s="425" t="s">
        <v>248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893</v>
      </c>
      <c r="C72" s="372" t="s">
        <v>1351</v>
      </c>
      <c r="D72" s="372" t="s">
        <v>518</v>
      </c>
      <c r="E72" s="372"/>
      <c r="F72" s="422" t="s">
        <v>1715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893</v>
      </c>
      <c r="C73" s="372" t="s">
        <v>1351</v>
      </c>
      <c r="D73" s="372" t="s">
        <v>518</v>
      </c>
      <c r="E73" s="372" t="s">
        <v>56</v>
      </c>
      <c r="F73" s="422" t="s">
        <v>1748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893</v>
      </c>
      <c r="C74" s="372" t="s">
        <v>1351</v>
      </c>
      <c r="D74" s="372" t="s">
        <v>518</v>
      </c>
      <c r="E74" s="372" t="s">
        <v>56</v>
      </c>
      <c r="F74" s="422" t="s">
        <v>1749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893</v>
      </c>
      <c r="C75" s="372" t="s">
        <v>1351</v>
      </c>
      <c r="D75" s="372" t="s">
        <v>518</v>
      </c>
      <c r="E75" s="372" t="s">
        <v>56</v>
      </c>
      <c r="F75" s="422" t="s">
        <v>246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893</v>
      </c>
      <c r="C76" s="372" t="s">
        <v>1351</v>
      </c>
      <c r="D76" s="372" t="s">
        <v>518</v>
      </c>
      <c r="E76" s="372" t="s">
        <v>56</v>
      </c>
      <c r="F76" s="422" t="s">
        <v>247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893</v>
      </c>
      <c r="C77" s="372" t="s">
        <v>1351</v>
      </c>
      <c r="D77" s="372" t="s">
        <v>441</v>
      </c>
      <c r="E77" s="372"/>
      <c r="F77" s="425" t="s">
        <v>1715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893</v>
      </c>
      <c r="C78" s="372" t="s">
        <v>1351</v>
      </c>
      <c r="D78" s="372" t="s">
        <v>441</v>
      </c>
      <c r="E78" s="372" t="s">
        <v>437</v>
      </c>
      <c r="F78" s="425" t="s">
        <v>490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893</v>
      </c>
      <c r="C79" s="372" t="s">
        <v>1351</v>
      </c>
      <c r="D79" s="372" t="s">
        <v>441</v>
      </c>
      <c r="E79" s="372" t="s">
        <v>437</v>
      </c>
      <c r="F79" s="425" t="s">
        <v>247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1399</v>
      </c>
      <c r="C80" s="407" t="s">
        <v>1220</v>
      </c>
      <c r="D80" s="386"/>
      <c r="E80" s="386"/>
      <c r="F80" s="426" t="s">
        <v>1750</v>
      </c>
      <c r="G80" s="407"/>
      <c r="H80" s="463" t="s">
        <v>953</v>
      </c>
      <c r="I80" s="413">
        <f>SUM(I81)</f>
        <v>0</v>
      </c>
      <c r="J80" s="407"/>
      <c r="K80" s="463" t="s">
        <v>953</v>
      </c>
      <c r="L80" s="413">
        <f>SUM(L81)</f>
        <v>0</v>
      </c>
      <c r="M80" s="407"/>
    </row>
    <row r="81" spans="2:13" hidden="1" outlineLevel="2">
      <c r="B81" s="387" t="s">
        <v>1399</v>
      </c>
      <c r="C81" s="387" t="s">
        <v>1220</v>
      </c>
      <c r="D81" s="372"/>
      <c r="E81" s="372"/>
      <c r="F81" s="428" t="s">
        <v>1751</v>
      </c>
      <c r="G81" s="372"/>
      <c r="H81" s="399" t="s">
        <v>953</v>
      </c>
      <c r="I81" s="378"/>
      <c r="J81" s="372"/>
      <c r="K81" s="399" t="s">
        <v>953</v>
      </c>
      <c r="L81" s="378"/>
      <c r="M81" s="372"/>
    </row>
    <row r="82" spans="2:13" s="415" customFormat="1" outlineLevel="1" collapsed="1">
      <c r="B82" s="386" t="s">
        <v>894</v>
      </c>
      <c r="C82" s="407" t="s">
        <v>1265</v>
      </c>
      <c r="D82" s="386"/>
      <c r="E82" s="386"/>
      <c r="F82" s="426" t="s">
        <v>1752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894</v>
      </c>
      <c r="C83" s="372" t="s">
        <v>1265</v>
      </c>
      <c r="D83" s="372" t="s">
        <v>159</v>
      </c>
      <c r="E83" s="376"/>
      <c r="F83" s="425" t="s">
        <v>1179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894</v>
      </c>
      <c r="C84" s="372" t="s">
        <v>1265</v>
      </c>
      <c r="D84" s="372" t="s">
        <v>159</v>
      </c>
      <c r="E84" s="376" t="s">
        <v>1169</v>
      </c>
      <c r="F84" s="425" t="s">
        <v>334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894</v>
      </c>
      <c r="C85" s="372" t="s">
        <v>1265</v>
      </c>
      <c r="D85" s="372" t="s">
        <v>159</v>
      </c>
      <c r="E85" s="376" t="s">
        <v>1169</v>
      </c>
      <c r="F85" s="425" t="s">
        <v>335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894</v>
      </c>
      <c r="C86" s="372" t="s">
        <v>1265</v>
      </c>
      <c r="D86" s="372" t="s">
        <v>159</v>
      </c>
      <c r="E86" s="376" t="s">
        <v>1169</v>
      </c>
      <c r="F86" s="425" t="s">
        <v>336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894</v>
      </c>
      <c r="C87" s="372" t="s">
        <v>1265</v>
      </c>
      <c r="D87" s="372" t="s">
        <v>159</v>
      </c>
      <c r="E87" s="376" t="s">
        <v>1169</v>
      </c>
      <c r="F87" s="425" t="s">
        <v>1758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894</v>
      </c>
      <c r="C88" s="372" t="s">
        <v>1265</v>
      </c>
      <c r="D88" s="372" t="s">
        <v>159</v>
      </c>
      <c r="E88" s="376" t="s">
        <v>1169</v>
      </c>
      <c r="F88" s="425" t="s">
        <v>337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894</v>
      </c>
      <c r="C89" s="372" t="s">
        <v>1265</v>
      </c>
      <c r="D89" s="372" t="s">
        <v>159</v>
      </c>
      <c r="E89" s="376" t="s">
        <v>1169</v>
      </c>
      <c r="F89" s="425" t="s">
        <v>338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894</v>
      </c>
      <c r="C90" s="372" t="s">
        <v>1265</v>
      </c>
      <c r="D90" s="372" t="s">
        <v>159</v>
      </c>
      <c r="E90" s="376" t="s">
        <v>1169</v>
      </c>
      <c r="F90" s="425" t="s">
        <v>339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894</v>
      </c>
      <c r="C91" s="372" t="s">
        <v>1265</v>
      </c>
      <c r="D91" s="372" t="s">
        <v>159</v>
      </c>
      <c r="E91" s="376" t="s">
        <v>1169</v>
      </c>
      <c r="F91" s="425" t="s">
        <v>340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894</v>
      </c>
      <c r="C92" s="372" t="s">
        <v>1265</v>
      </c>
      <c r="D92" s="372" t="s">
        <v>518</v>
      </c>
      <c r="E92" s="372"/>
      <c r="F92" s="425" t="s">
        <v>1179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894</v>
      </c>
      <c r="C93" s="372" t="s">
        <v>1265</v>
      </c>
      <c r="D93" s="372" t="s">
        <v>518</v>
      </c>
      <c r="E93" s="372" t="s">
        <v>56</v>
      </c>
      <c r="F93" s="425" t="s">
        <v>543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894</v>
      </c>
      <c r="C94" s="372" t="s">
        <v>1265</v>
      </c>
      <c r="D94" s="372" t="s">
        <v>518</v>
      </c>
      <c r="E94" s="372" t="s">
        <v>56</v>
      </c>
      <c r="F94" s="425" t="s">
        <v>221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894</v>
      </c>
      <c r="C95" s="372" t="s">
        <v>1265</v>
      </c>
      <c r="D95" s="372" t="s">
        <v>518</v>
      </c>
      <c r="E95" s="372" t="s">
        <v>56</v>
      </c>
      <c r="F95" s="425" t="s">
        <v>254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894</v>
      </c>
      <c r="C96" s="372" t="s">
        <v>1265</v>
      </c>
      <c r="D96" s="372" t="s">
        <v>441</v>
      </c>
      <c r="E96" s="372"/>
      <c r="F96" s="425" t="s">
        <v>1179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894</v>
      </c>
      <c r="C97" s="372" t="s">
        <v>1265</v>
      </c>
      <c r="D97" s="372" t="s">
        <v>441</v>
      </c>
      <c r="E97" s="372" t="s">
        <v>437</v>
      </c>
      <c r="F97" s="425" t="s">
        <v>221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894</v>
      </c>
      <c r="C98" s="372" t="s">
        <v>1265</v>
      </c>
      <c r="D98" s="372" t="s">
        <v>441</v>
      </c>
      <c r="E98" s="372" t="s">
        <v>437</v>
      </c>
      <c r="F98" s="425" t="s">
        <v>1767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894</v>
      </c>
      <c r="C99" s="372" t="s">
        <v>1265</v>
      </c>
      <c r="D99" s="372" t="s">
        <v>441</v>
      </c>
      <c r="E99" s="372" t="s">
        <v>437</v>
      </c>
      <c r="F99" s="425" t="s">
        <v>254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894</v>
      </c>
      <c r="C100" s="372" t="s">
        <v>1265</v>
      </c>
      <c r="D100" s="372" t="s">
        <v>860</v>
      </c>
      <c r="E100" s="372"/>
      <c r="F100" s="425" t="s">
        <v>1179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6.45" hidden="1" outlineLevel="3">
      <c r="B101" s="372" t="s">
        <v>894</v>
      </c>
      <c r="C101" s="372" t="s">
        <v>1265</v>
      </c>
      <c r="D101" s="372" t="s">
        <v>860</v>
      </c>
      <c r="E101" s="372" t="s">
        <v>437</v>
      </c>
      <c r="F101" s="425" t="s">
        <v>468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469</v>
      </c>
      <c r="C102" s="407" t="s">
        <v>1281</v>
      </c>
      <c r="D102" s="386"/>
      <c r="E102" s="386"/>
      <c r="F102" s="426" t="s">
        <v>1752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.45" hidden="1" outlineLevel="2" collapsed="1">
      <c r="B103" s="372" t="s">
        <v>469</v>
      </c>
      <c r="C103" s="372" t="s">
        <v>1281</v>
      </c>
      <c r="D103" s="372" t="s">
        <v>159</v>
      </c>
      <c r="E103" s="387"/>
      <c r="F103" s="422" t="s">
        <v>1769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469</v>
      </c>
      <c r="C104" s="372" t="s">
        <v>1281</v>
      </c>
      <c r="D104" s="372" t="s">
        <v>159</v>
      </c>
      <c r="E104" s="387" t="s">
        <v>1169</v>
      </c>
      <c r="F104" s="425" t="s">
        <v>1770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469</v>
      </c>
      <c r="C105" s="372" t="s">
        <v>1281</v>
      </c>
      <c r="D105" s="372" t="s">
        <v>159</v>
      </c>
      <c r="E105" s="387" t="s">
        <v>1169</v>
      </c>
      <c r="F105" s="425" t="s">
        <v>1771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469</v>
      </c>
      <c r="C106" s="372" t="s">
        <v>1281</v>
      </c>
      <c r="D106" s="372" t="s">
        <v>159</v>
      </c>
      <c r="E106" s="387" t="s">
        <v>1169</v>
      </c>
      <c r="F106" s="425" t="s">
        <v>1772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469</v>
      </c>
      <c r="C107" s="372" t="s">
        <v>1281</v>
      </c>
      <c r="D107" s="372" t="s">
        <v>159</v>
      </c>
      <c r="E107" s="387" t="s">
        <v>1169</v>
      </c>
      <c r="F107" s="425" t="s">
        <v>1773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469</v>
      </c>
      <c r="C108" s="372" t="s">
        <v>1281</v>
      </c>
      <c r="D108" s="372" t="s">
        <v>159</v>
      </c>
      <c r="E108" s="387" t="s">
        <v>1169</v>
      </c>
      <c r="F108" s="425" t="s">
        <v>1078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t="26.45" hidden="1" outlineLevel="3">
      <c r="B109" s="372" t="s">
        <v>469</v>
      </c>
      <c r="C109" s="372" t="s">
        <v>1281</v>
      </c>
      <c r="D109" s="372" t="s">
        <v>159</v>
      </c>
      <c r="E109" s="387" t="s">
        <v>1169</v>
      </c>
      <c r="F109" s="425" t="s">
        <v>1084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469</v>
      </c>
      <c r="C110" s="372" t="s">
        <v>1281</v>
      </c>
      <c r="D110" s="372" t="s">
        <v>159</v>
      </c>
      <c r="E110" s="387" t="s">
        <v>1169</v>
      </c>
      <c r="F110" s="425" t="s">
        <v>1774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469</v>
      </c>
      <c r="C111" s="372" t="s">
        <v>1281</v>
      </c>
      <c r="D111" s="372" t="s">
        <v>159</v>
      </c>
      <c r="E111" s="387" t="s">
        <v>1169</v>
      </c>
      <c r="F111" s="425" t="s">
        <v>1775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469</v>
      </c>
      <c r="C112" s="372" t="s">
        <v>1281</v>
      </c>
      <c r="D112" s="372" t="s">
        <v>159</v>
      </c>
      <c r="E112" s="387" t="s">
        <v>1169</v>
      </c>
      <c r="F112" s="425" t="s">
        <v>1776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469</v>
      </c>
      <c r="C113" s="372" t="s">
        <v>1281</v>
      </c>
      <c r="D113" s="372" t="s">
        <v>159</v>
      </c>
      <c r="E113" s="387" t="s">
        <v>1169</v>
      </c>
      <c r="F113" s="425" t="s">
        <v>244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469</v>
      </c>
      <c r="C114" s="372" t="s">
        <v>1281</v>
      </c>
      <c r="D114" s="372" t="s">
        <v>159</v>
      </c>
      <c r="E114" s="387" t="s">
        <v>1169</v>
      </c>
      <c r="F114" s="425" t="s">
        <v>544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469</v>
      </c>
      <c r="C115" s="372" t="s">
        <v>1281</v>
      </c>
      <c r="D115" s="372" t="s">
        <v>159</v>
      </c>
      <c r="E115" s="387" t="s">
        <v>1169</v>
      </c>
      <c r="F115" s="425" t="s">
        <v>545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.45" hidden="1" outlineLevel="3">
      <c r="B116" s="372" t="s">
        <v>469</v>
      </c>
      <c r="C116" s="372" t="s">
        <v>1281</v>
      </c>
      <c r="D116" s="372" t="s">
        <v>159</v>
      </c>
      <c r="E116" s="387" t="s">
        <v>1169</v>
      </c>
      <c r="F116" s="425" t="s">
        <v>1089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469</v>
      </c>
      <c r="C117" s="372" t="s">
        <v>1281</v>
      </c>
      <c r="D117" s="372" t="s">
        <v>159</v>
      </c>
      <c r="E117" s="387" t="s">
        <v>1169</v>
      </c>
      <c r="F117" s="425" t="s">
        <v>860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469</v>
      </c>
      <c r="C118" s="372" t="s">
        <v>1281</v>
      </c>
      <c r="D118" s="372" t="s">
        <v>159</v>
      </c>
      <c r="E118" s="387" t="s">
        <v>1169</v>
      </c>
      <c r="F118" s="425" t="s">
        <v>221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469</v>
      </c>
      <c r="C119" s="372" t="s">
        <v>1281</v>
      </c>
      <c r="D119" s="372" t="s">
        <v>159</v>
      </c>
      <c r="E119" s="387" t="s">
        <v>1169</v>
      </c>
      <c r="F119" s="425" t="s">
        <v>245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469</v>
      </c>
      <c r="C120" s="372" t="s">
        <v>1281</v>
      </c>
      <c r="D120" s="372" t="s">
        <v>159</v>
      </c>
      <c r="E120" s="387" t="s">
        <v>1169</v>
      </c>
      <c r="F120" s="425" t="s">
        <v>283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469</v>
      </c>
      <c r="C121" s="372" t="s">
        <v>1281</v>
      </c>
      <c r="D121" s="372" t="s">
        <v>159</v>
      </c>
      <c r="E121" s="387" t="s">
        <v>1169</v>
      </c>
      <c r="F121" s="425" t="s">
        <v>543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469</v>
      </c>
      <c r="C122" s="372" t="s">
        <v>1281</v>
      </c>
      <c r="D122" s="372" t="s">
        <v>518</v>
      </c>
      <c r="E122" s="372"/>
      <c r="F122" s="425" t="s">
        <v>1179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469</v>
      </c>
      <c r="C123" s="372" t="s">
        <v>1281</v>
      </c>
      <c r="D123" s="372" t="s">
        <v>518</v>
      </c>
      <c r="E123" s="372" t="s">
        <v>56</v>
      </c>
      <c r="F123" s="425" t="s">
        <v>544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469</v>
      </c>
      <c r="C124" s="372" t="s">
        <v>1281</v>
      </c>
      <c r="D124" s="372" t="s">
        <v>518</v>
      </c>
      <c r="E124" s="372" t="s">
        <v>56</v>
      </c>
      <c r="F124" s="425" t="s">
        <v>545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469</v>
      </c>
      <c r="C125" s="372" t="s">
        <v>1281</v>
      </c>
      <c r="D125" s="372" t="s">
        <v>518</v>
      </c>
      <c r="E125" s="372" t="s">
        <v>56</v>
      </c>
      <c r="F125" s="425" t="s">
        <v>342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469</v>
      </c>
      <c r="C126" s="372" t="s">
        <v>1281</v>
      </c>
      <c r="D126" s="372" t="s">
        <v>518</v>
      </c>
      <c r="E126" s="372" t="s">
        <v>56</v>
      </c>
      <c r="F126" s="425" t="s">
        <v>546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469</v>
      </c>
      <c r="C127" s="372" t="s">
        <v>1281</v>
      </c>
      <c r="D127" s="372" t="s">
        <v>518</v>
      </c>
      <c r="E127" s="372" t="s">
        <v>56</v>
      </c>
      <c r="F127" s="425" t="s">
        <v>547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469</v>
      </c>
      <c r="C128" s="372" t="s">
        <v>1281</v>
      </c>
      <c r="D128" s="372" t="s">
        <v>518</v>
      </c>
      <c r="E128" s="372" t="s">
        <v>56</v>
      </c>
      <c r="F128" s="425" t="s">
        <v>543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469</v>
      </c>
      <c r="C129" s="372" t="s">
        <v>1281</v>
      </c>
      <c r="D129" s="372" t="s">
        <v>518</v>
      </c>
      <c r="E129" s="372" t="s">
        <v>56</v>
      </c>
      <c r="F129" s="425" t="s">
        <v>221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469</v>
      </c>
      <c r="C130" s="372" t="s">
        <v>1281</v>
      </c>
      <c r="D130" s="372" t="s">
        <v>441</v>
      </c>
      <c r="E130" s="372"/>
      <c r="F130" s="422" t="s">
        <v>1282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469</v>
      </c>
      <c r="C131" s="372" t="s">
        <v>1281</v>
      </c>
      <c r="D131" s="372" t="s">
        <v>441</v>
      </c>
      <c r="E131" s="372" t="s">
        <v>437</v>
      </c>
      <c r="F131" s="452" t="s">
        <v>1777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469</v>
      </c>
      <c r="C132" s="372" t="s">
        <v>1281</v>
      </c>
      <c r="D132" s="372" t="s">
        <v>441</v>
      </c>
      <c r="E132" s="372" t="s">
        <v>437</v>
      </c>
      <c r="F132" s="425" t="s">
        <v>349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469</v>
      </c>
      <c r="C133" s="372" t="s">
        <v>1281</v>
      </c>
      <c r="D133" s="372" t="s">
        <v>441</v>
      </c>
      <c r="E133" s="372" t="s">
        <v>437</v>
      </c>
      <c r="F133" s="425" t="s">
        <v>350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469</v>
      </c>
      <c r="C134" s="372" t="s">
        <v>1281</v>
      </c>
      <c r="D134" s="372" t="s">
        <v>860</v>
      </c>
      <c r="E134" s="372"/>
      <c r="F134" s="422" t="s">
        <v>1282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897</v>
      </c>
      <c r="C135" s="385" t="s">
        <v>1201</v>
      </c>
      <c r="D135" s="380"/>
      <c r="E135" s="380"/>
      <c r="F135" s="426" t="s">
        <v>1752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897</v>
      </c>
      <c r="C136" s="372" t="s">
        <v>1201</v>
      </c>
      <c r="D136" s="372" t="s">
        <v>159</v>
      </c>
      <c r="E136" s="376"/>
      <c r="F136" s="422" t="s">
        <v>1179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897</v>
      </c>
      <c r="C138" s="372" t="s">
        <v>1201</v>
      </c>
      <c r="D138" s="372" t="s">
        <v>518</v>
      </c>
      <c r="E138" s="372"/>
      <c r="F138" s="422" t="s">
        <v>1179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897</v>
      </c>
      <c r="C139" s="372" t="s">
        <v>1201</v>
      </c>
      <c r="D139" s="372" t="s">
        <v>518</v>
      </c>
      <c r="E139" s="372" t="s">
        <v>56</v>
      </c>
      <c r="F139" s="422" t="s">
        <v>174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6.45" hidden="1" outlineLevel="3">
      <c r="A140" s="372"/>
      <c r="B140" s="376" t="s">
        <v>897</v>
      </c>
      <c r="C140" s="372" t="s">
        <v>1201</v>
      </c>
      <c r="D140" s="372" t="s">
        <v>518</v>
      </c>
      <c r="E140" s="372" t="s">
        <v>56</v>
      </c>
      <c r="F140" s="422" t="s">
        <v>552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897</v>
      </c>
      <c r="C141" s="372" t="s">
        <v>1201</v>
      </c>
      <c r="D141" s="372" t="s">
        <v>518</v>
      </c>
      <c r="E141" s="372" t="s">
        <v>56</v>
      </c>
      <c r="F141" s="422" t="s">
        <v>553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897</v>
      </c>
      <c r="C142" s="372" t="s">
        <v>1201</v>
      </c>
      <c r="D142" s="372" t="s">
        <v>441</v>
      </c>
      <c r="E142" s="372"/>
      <c r="F142" s="422" t="s">
        <v>1179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897</v>
      </c>
      <c r="C143" s="372" t="s">
        <v>1201</v>
      </c>
      <c r="D143" s="372" t="s">
        <v>860</v>
      </c>
      <c r="E143" s="372"/>
      <c r="F143" s="422" t="s">
        <v>1179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898</v>
      </c>
      <c r="C144" s="385" t="s">
        <v>1785</v>
      </c>
      <c r="D144" s="380"/>
      <c r="E144" s="380"/>
      <c r="F144" s="426" t="s">
        <v>1752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898</v>
      </c>
      <c r="C145" s="372" t="s">
        <v>1785</v>
      </c>
      <c r="D145" s="372" t="s">
        <v>159</v>
      </c>
      <c r="E145" s="376"/>
      <c r="F145" s="422" t="s">
        <v>1179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898</v>
      </c>
      <c r="C146" s="372" t="s">
        <v>1785</v>
      </c>
      <c r="D146" s="372" t="s">
        <v>159</v>
      </c>
      <c r="E146" s="376" t="s">
        <v>1162</v>
      </c>
      <c r="F146" s="422" t="s">
        <v>174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898</v>
      </c>
      <c r="C147" s="372" t="s">
        <v>1785</v>
      </c>
      <c r="D147" s="372" t="s">
        <v>159</v>
      </c>
      <c r="E147" s="376" t="s">
        <v>1162</v>
      </c>
      <c r="F147" s="422" t="s">
        <v>175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898</v>
      </c>
      <c r="C148" s="372" t="s">
        <v>1785</v>
      </c>
      <c r="D148" s="372" t="s">
        <v>518</v>
      </c>
      <c r="E148" s="372"/>
      <c r="F148" s="422" t="s">
        <v>1179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898</v>
      </c>
      <c r="C149" s="372" t="s">
        <v>1785</v>
      </c>
      <c r="D149" s="372" t="s">
        <v>518</v>
      </c>
      <c r="E149" s="372" t="s">
        <v>56</v>
      </c>
      <c r="F149" s="422" t="s">
        <v>175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898</v>
      </c>
      <c r="C150" s="372" t="s">
        <v>1785</v>
      </c>
      <c r="D150" s="372" t="s">
        <v>518</v>
      </c>
      <c r="E150" s="372" t="s">
        <v>56</v>
      </c>
      <c r="F150" s="422" t="s">
        <v>174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898</v>
      </c>
      <c r="C151" s="372" t="s">
        <v>1785</v>
      </c>
      <c r="D151" s="372" t="s">
        <v>518</v>
      </c>
      <c r="E151" s="372" t="s">
        <v>56</v>
      </c>
      <c r="F151" s="422" t="s">
        <v>195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898</v>
      </c>
      <c r="C152" s="372" t="s">
        <v>1785</v>
      </c>
      <c r="D152" s="372" t="s">
        <v>441</v>
      </c>
      <c r="E152" s="372"/>
      <c r="F152" s="422" t="s">
        <v>1179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898</v>
      </c>
      <c r="C153" s="372" t="s">
        <v>1785</v>
      </c>
      <c r="D153" s="372" t="s">
        <v>860</v>
      </c>
      <c r="E153" s="372"/>
      <c r="F153" s="422" t="s">
        <v>1179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899</v>
      </c>
      <c r="C154" s="385" t="s">
        <v>1178</v>
      </c>
      <c r="D154" s="380"/>
      <c r="E154" s="380"/>
      <c r="F154" s="424" t="s">
        <v>1789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899</v>
      </c>
      <c r="C155" s="372" t="s">
        <v>1178</v>
      </c>
      <c r="D155" s="372" t="s">
        <v>159</v>
      </c>
      <c r="E155" s="376"/>
      <c r="F155" s="422" t="s">
        <v>1179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899</v>
      </c>
      <c r="C156" s="372" t="s">
        <v>1178</v>
      </c>
      <c r="D156" s="372" t="s">
        <v>159</v>
      </c>
      <c r="E156" s="376" t="s">
        <v>1162</v>
      </c>
      <c r="F156" s="422" t="s">
        <v>188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899</v>
      </c>
      <c r="C157" s="372" t="s">
        <v>1178</v>
      </c>
      <c r="D157" s="372" t="s">
        <v>159</v>
      </c>
      <c r="E157" s="376" t="s">
        <v>1162</v>
      </c>
      <c r="F157" s="422" t="s">
        <v>189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899</v>
      </c>
      <c r="C158" s="372" t="s">
        <v>1178</v>
      </c>
      <c r="D158" s="372" t="s">
        <v>159</v>
      </c>
      <c r="E158" s="376" t="s">
        <v>1162</v>
      </c>
      <c r="F158" s="422" t="s">
        <v>190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899</v>
      </c>
      <c r="C159" s="372" t="s">
        <v>1178</v>
      </c>
      <c r="D159" s="372" t="s">
        <v>159</v>
      </c>
      <c r="E159" s="376" t="s">
        <v>1162</v>
      </c>
      <c r="F159" s="422" t="s">
        <v>1790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899</v>
      </c>
      <c r="C160" s="372" t="s">
        <v>1178</v>
      </c>
      <c r="D160" s="372" t="s">
        <v>518</v>
      </c>
      <c r="E160" s="372"/>
      <c r="F160" s="422" t="s">
        <v>1179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899</v>
      </c>
      <c r="C161" s="372" t="s">
        <v>1178</v>
      </c>
      <c r="D161" s="372" t="s">
        <v>518</v>
      </c>
      <c r="E161" s="372" t="s">
        <v>56</v>
      </c>
      <c r="F161" s="422" t="s">
        <v>1791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899</v>
      </c>
      <c r="C162" s="372" t="s">
        <v>1178</v>
      </c>
      <c r="D162" s="372" t="s">
        <v>518</v>
      </c>
      <c r="E162" s="372" t="s">
        <v>56</v>
      </c>
      <c r="F162" s="422" t="s">
        <v>1792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899</v>
      </c>
      <c r="C163" s="372" t="s">
        <v>1178</v>
      </c>
      <c r="D163" s="372" t="s">
        <v>518</v>
      </c>
      <c r="E163" s="372" t="s">
        <v>56</v>
      </c>
      <c r="F163" s="422" t="s">
        <v>1793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899</v>
      </c>
      <c r="C164" s="372" t="s">
        <v>1178</v>
      </c>
      <c r="D164" s="372" t="s">
        <v>518</v>
      </c>
      <c r="E164" s="372" t="s">
        <v>56</v>
      </c>
      <c r="F164" s="422" t="s">
        <v>1795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899</v>
      </c>
      <c r="C165" s="372" t="s">
        <v>1178</v>
      </c>
      <c r="D165" s="372" t="s">
        <v>518</v>
      </c>
      <c r="E165" s="372" t="s">
        <v>56</v>
      </c>
      <c r="F165" s="422" t="s">
        <v>1797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899</v>
      </c>
      <c r="C166" s="372" t="s">
        <v>1178</v>
      </c>
      <c r="D166" s="372" t="s">
        <v>518</v>
      </c>
      <c r="E166" s="372" t="s">
        <v>56</v>
      </c>
      <c r="F166" s="422" t="s">
        <v>1798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899</v>
      </c>
      <c r="C167" s="372" t="s">
        <v>1178</v>
      </c>
      <c r="D167" s="372" t="s">
        <v>518</v>
      </c>
      <c r="E167" s="372" t="s">
        <v>56</v>
      </c>
      <c r="F167" s="422" t="s">
        <v>1799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899</v>
      </c>
      <c r="C168" s="372" t="s">
        <v>1178</v>
      </c>
      <c r="D168" s="372" t="s">
        <v>518</v>
      </c>
      <c r="E168" s="372" t="s">
        <v>56</v>
      </c>
      <c r="F168" s="422" t="s">
        <v>1801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899</v>
      </c>
      <c r="C169" s="372" t="s">
        <v>1178</v>
      </c>
      <c r="D169" s="372" t="s">
        <v>518</v>
      </c>
      <c r="E169" s="372" t="s">
        <v>56</v>
      </c>
      <c r="F169" s="422" t="s">
        <v>1803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899</v>
      </c>
      <c r="C170" s="372" t="s">
        <v>1178</v>
      </c>
      <c r="D170" s="372" t="s">
        <v>518</v>
      </c>
      <c r="E170" s="372" t="s">
        <v>56</v>
      </c>
      <c r="F170" s="422" t="s">
        <v>1804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899</v>
      </c>
      <c r="C171" s="372" t="s">
        <v>1178</v>
      </c>
      <c r="D171" s="372" t="s">
        <v>518</v>
      </c>
      <c r="E171" s="372" t="s">
        <v>56</v>
      </c>
      <c r="F171" s="422" t="s">
        <v>192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899</v>
      </c>
      <c r="C172" s="372" t="s">
        <v>1178</v>
      </c>
      <c r="D172" s="372" t="s">
        <v>441</v>
      </c>
      <c r="E172" s="372"/>
      <c r="F172" s="422" t="s">
        <v>1179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899</v>
      </c>
      <c r="C173" s="372" t="s">
        <v>1178</v>
      </c>
      <c r="D173" s="372" t="s">
        <v>441</v>
      </c>
      <c r="E173" s="372" t="s">
        <v>437</v>
      </c>
      <c r="F173" s="422" t="s">
        <v>475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899</v>
      </c>
      <c r="C174" s="372" t="s">
        <v>1178</v>
      </c>
      <c r="D174" s="372" t="s">
        <v>441</v>
      </c>
      <c r="E174" s="372" t="s">
        <v>437</v>
      </c>
      <c r="F174" s="422" t="s">
        <v>476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899</v>
      </c>
      <c r="C175" s="372" t="s">
        <v>1178</v>
      </c>
      <c r="D175" s="372" t="s">
        <v>860</v>
      </c>
      <c r="E175" s="372"/>
      <c r="F175" s="422" t="s">
        <v>1179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6.45" outlineLevel="1" collapsed="1">
      <c r="A176" s="385"/>
      <c r="B176" s="386" t="s">
        <v>946</v>
      </c>
      <c r="C176" s="386" t="s">
        <v>1195</v>
      </c>
      <c r="D176" s="386"/>
      <c r="E176" s="386"/>
      <c r="F176" s="426" t="s">
        <v>1805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946</v>
      </c>
      <c r="C177" s="372" t="s">
        <v>1195</v>
      </c>
      <c r="D177" s="372" t="s">
        <v>159</v>
      </c>
      <c r="E177" s="376"/>
      <c r="F177" s="422" t="s">
        <v>1806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946</v>
      </c>
      <c r="C178" s="372" t="s">
        <v>1195</v>
      </c>
      <c r="D178" s="372" t="s">
        <v>159</v>
      </c>
      <c r="E178" s="376" t="s">
        <v>1162</v>
      </c>
      <c r="F178" s="422" t="s">
        <v>1807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946</v>
      </c>
      <c r="C179" s="372" t="s">
        <v>1195</v>
      </c>
      <c r="D179" s="372" t="s">
        <v>159</v>
      </c>
      <c r="E179" s="376" t="s">
        <v>1162</v>
      </c>
      <c r="F179" s="422" t="s">
        <v>1808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946</v>
      </c>
      <c r="C180" s="372" t="s">
        <v>1195</v>
      </c>
      <c r="D180" s="372" t="s">
        <v>159</v>
      </c>
      <c r="E180" s="376" t="s">
        <v>1162</v>
      </c>
      <c r="F180" s="422" t="s">
        <v>1809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946</v>
      </c>
      <c r="C181" s="372" t="s">
        <v>1195</v>
      </c>
      <c r="D181" s="372" t="s">
        <v>518</v>
      </c>
      <c r="E181" s="372"/>
      <c r="F181" s="422" t="s">
        <v>1806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946</v>
      </c>
      <c r="C182" s="372" t="s">
        <v>1195</v>
      </c>
      <c r="D182" s="372" t="s">
        <v>518</v>
      </c>
      <c r="E182" s="372" t="s">
        <v>56</v>
      </c>
      <c r="F182" s="422" t="s">
        <v>1810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946</v>
      </c>
      <c r="C183" s="372" t="s">
        <v>1195</v>
      </c>
      <c r="D183" s="372" t="s">
        <v>518</v>
      </c>
      <c r="E183" s="372" t="s">
        <v>56</v>
      </c>
      <c r="F183" s="422" t="s">
        <v>1807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946</v>
      </c>
      <c r="C184" s="372" t="s">
        <v>1195</v>
      </c>
      <c r="D184" s="372" t="s">
        <v>518</v>
      </c>
      <c r="E184" s="372" t="s">
        <v>56</v>
      </c>
      <c r="F184" s="422" t="s">
        <v>1808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946</v>
      </c>
      <c r="C185" s="372" t="s">
        <v>1195</v>
      </c>
      <c r="D185" s="372" t="s">
        <v>518</v>
      </c>
      <c r="E185" s="372" t="s">
        <v>56</v>
      </c>
      <c r="F185" s="422" t="s">
        <v>1809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946</v>
      </c>
      <c r="C186" s="372" t="s">
        <v>1195</v>
      </c>
      <c r="D186" s="372" t="s">
        <v>441</v>
      </c>
      <c r="E186" s="372"/>
      <c r="F186" s="422" t="s">
        <v>1806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946</v>
      </c>
      <c r="C187" s="372" t="s">
        <v>1195</v>
      </c>
      <c r="D187" s="372" t="s">
        <v>441</v>
      </c>
      <c r="E187" s="372" t="s">
        <v>437</v>
      </c>
      <c r="F187" s="422" t="s">
        <v>1807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946</v>
      </c>
      <c r="C188" s="372" t="s">
        <v>1195</v>
      </c>
      <c r="D188" s="372" t="s">
        <v>441</v>
      </c>
      <c r="E188" s="372" t="s">
        <v>437</v>
      </c>
      <c r="F188" s="424" t="s">
        <v>1808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901</v>
      </c>
      <c r="C189" s="385" t="s">
        <v>1201</v>
      </c>
      <c r="D189" s="380"/>
      <c r="E189" s="380"/>
      <c r="F189" s="426" t="s">
        <v>1752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901</v>
      </c>
      <c r="C190" s="372" t="s">
        <v>1201</v>
      </c>
      <c r="D190" s="372" t="s">
        <v>159</v>
      </c>
      <c r="E190" s="376"/>
      <c r="F190" s="422" t="s">
        <v>1179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901</v>
      </c>
      <c r="C191" s="372" t="s">
        <v>1201</v>
      </c>
      <c r="D191" s="372" t="s">
        <v>159</v>
      </c>
      <c r="E191" s="376" t="s">
        <v>1162</v>
      </c>
      <c r="F191" s="422" t="s">
        <v>216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901</v>
      </c>
      <c r="C192" s="372" t="s">
        <v>1201</v>
      </c>
      <c r="D192" s="372" t="s">
        <v>159</v>
      </c>
      <c r="E192" s="376" t="s">
        <v>1162</v>
      </c>
      <c r="F192" s="422" t="s">
        <v>218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901</v>
      </c>
      <c r="C193" s="372" t="s">
        <v>1201</v>
      </c>
      <c r="D193" s="372" t="s">
        <v>159</v>
      </c>
      <c r="E193" s="376" t="s">
        <v>1162</v>
      </c>
      <c r="F193" s="422" t="s">
        <v>190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901</v>
      </c>
      <c r="C194" s="372" t="s">
        <v>1201</v>
      </c>
      <c r="D194" s="372" t="s">
        <v>159</v>
      </c>
      <c r="E194" s="376" t="s">
        <v>1162</v>
      </c>
      <c r="F194" s="422" t="s">
        <v>174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901</v>
      </c>
      <c r="C195" s="372" t="s">
        <v>1201</v>
      </c>
      <c r="D195" s="372" t="s">
        <v>159</v>
      </c>
      <c r="E195" s="376" t="s">
        <v>1162</v>
      </c>
      <c r="F195" s="422" t="s">
        <v>195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901</v>
      </c>
      <c r="C196" s="372" t="s">
        <v>1201</v>
      </c>
      <c r="D196" s="372" t="s">
        <v>518</v>
      </c>
      <c r="E196" s="372"/>
      <c r="F196" s="422" t="s">
        <v>1179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901</v>
      </c>
      <c r="C197" s="372" t="s">
        <v>1201</v>
      </c>
      <c r="D197" s="372" t="s">
        <v>518</v>
      </c>
      <c r="E197" s="372" t="s">
        <v>56</v>
      </c>
      <c r="F197" s="422" t="s">
        <v>209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901</v>
      </c>
      <c r="C198" s="372" t="s">
        <v>1201</v>
      </c>
      <c r="D198" s="372" t="s">
        <v>518</v>
      </c>
      <c r="E198" s="372" t="s">
        <v>56</v>
      </c>
      <c r="F198" s="422" t="s">
        <v>217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901</v>
      </c>
      <c r="C199" s="372" t="s">
        <v>1201</v>
      </c>
      <c r="D199" s="372" t="s">
        <v>518</v>
      </c>
      <c r="E199" s="372" t="s">
        <v>56</v>
      </c>
      <c r="F199" s="422" t="s">
        <v>174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901</v>
      </c>
      <c r="C200" s="372" t="s">
        <v>1201</v>
      </c>
      <c r="D200" s="372" t="s">
        <v>518</v>
      </c>
      <c r="E200" s="372" t="s">
        <v>56</v>
      </c>
      <c r="F200" s="422" t="s">
        <v>195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.45" hidden="1" outlineLevel="3">
      <c r="A201" s="372"/>
      <c r="B201" s="376" t="s">
        <v>901</v>
      </c>
      <c r="C201" s="372" t="s">
        <v>1201</v>
      </c>
      <c r="D201" s="372" t="s">
        <v>518</v>
      </c>
      <c r="E201" s="372" t="s">
        <v>56</v>
      </c>
      <c r="F201" s="422" t="s">
        <v>1822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901</v>
      </c>
      <c r="C202" s="372" t="s">
        <v>1201</v>
      </c>
      <c r="D202" s="372" t="s">
        <v>441</v>
      </c>
      <c r="E202" s="372"/>
      <c r="F202" s="422" t="s">
        <v>1179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901</v>
      </c>
      <c r="C203" s="372" t="s">
        <v>1201</v>
      </c>
      <c r="D203" s="372" t="s">
        <v>441</v>
      </c>
      <c r="E203" s="372" t="s">
        <v>437</v>
      </c>
      <c r="F203" s="422" t="s">
        <v>195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901</v>
      </c>
      <c r="C204" s="372" t="s">
        <v>1201</v>
      </c>
      <c r="D204" s="372" t="s">
        <v>860</v>
      </c>
      <c r="E204" s="372"/>
      <c r="F204" s="422" t="s">
        <v>1179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162</v>
      </c>
      <c r="C205" s="380" t="s">
        <v>162</v>
      </c>
      <c r="D205" s="380"/>
      <c r="E205" s="380"/>
      <c r="F205" s="424" t="s">
        <v>1824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162</v>
      </c>
      <c r="C206" s="376" t="s">
        <v>162</v>
      </c>
      <c r="D206" s="372" t="s">
        <v>1166</v>
      </c>
      <c r="E206" s="376"/>
      <c r="F206" s="422" t="s">
        <v>1282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162</v>
      </c>
      <c r="C207" s="376" t="s">
        <v>162</v>
      </c>
      <c r="D207" s="372" t="s">
        <v>159</v>
      </c>
      <c r="E207" s="376"/>
      <c r="F207" s="422" t="s">
        <v>1282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162</v>
      </c>
      <c r="C208" s="376" t="s">
        <v>162</v>
      </c>
      <c r="D208" s="372" t="s">
        <v>159</v>
      </c>
      <c r="E208" s="376" t="s">
        <v>1007</v>
      </c>
      <c r="F208" s="422" t="s">
        <v>245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162</v>
      </c>
      <c r="C209" s="376" t="s">
        <v>162</v>
      </c>
      <c r="D209" s="372" t="s">
        <v>159</v>
      </c>
      <c r="E209" s="376" t="s">
        <v>1007</v>
      </c>
      <c r="F209" s="422" t="s">
        <v>283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162</v>
      </c>
      <c r="C210" s="376" t="s">
        <v>162</v>
      </c>
      <c r="D210" s="372" t="s">
        <v>518</v>
      </c>
      <c r="E210" s="372"/>
      <c r="F210" s="422" t="s">
        <v>1282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162</v>
      </c>
      <c r="C211" s="376" t="s">
        <v>162</v>
      </c>
      <c r="D211" s="372" t="s">
        <v>518</v>
      </c>
      <c r="E211" s="372" t="s">
        <v>56</v>
      </c>
      <c r="F211" s="422" t="s">
        <v>543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162</v>
      </c>
      <c r="C212" s="376" t="s">
        <v>162</v>
      </c>
      <c r="D212" s="372" t="s">
        <v>518</v>
      </c>
      <c r="E212" s="372" t="s">
        <v>56</v>
      </c>
      <c r="F212" s="422" t="s">
        <v>221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162</v>
      </c>
      <c r="C213" s="376" t="s">
        <v>162</v>
      </c>
      <c r="D213" s="372" t="s">
        <v>518</v>
      </c>
      <c r="E213" s="372" t="s">
        <v>56</v>
      </c>
      <c r="F213" s="422" t="s">
        <v>245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162</v>
      </c>
      <c r="C214" s="376" t="s">
        <v>162</v>
      </c>
      <c r="D214" s="372" t="s">
        <v>518</v>
      </c>
      <c r="E214" s="372" t="s">
        <v>56</v>
      </c>
      <c r="F214" s="422" t="s">
        <v>254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162</v>
      </c>
      <c r="C215" s="376" t="s">
        <v>162</v>
      </c>
      <c r="D215" s="372" t="s">
        <v>441</v>
      </c>
      <c r="E215" s="372"/>
      <c r="F215" s="422" t="s">
        <v>1282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162</v>
      </c>
      <c r="C216" s="376" t="s">
        <v>162</v>
      </c>
      <c r="D216" s="372" t="s">
        <v>441</v>
      </c>
      <c r="E216" s="372" t="s">
        <v>437</v>
      </c>
      <c r="F216" s="422" t="s">
        <v>243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162</v>
      </c>
      <c r="C217" s="376" t="s">
        <v>162</v>
      </c>
      <c r="D217" s="372" t="s">
        <v>441</v>
      </c>
      <c r="E217" s="372" t="s">
        <v>437</v>
      </c>
      <c r="F217" s="422" t="s">
        <v>1831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162</v>
      </c>
      <c r="C218" s="376" t="s">
        <v>162</v>
      </c>
      <c r="D218" s="372" t="s">
        <v>441</v>
      </c>
      <c r="E218" s="372" t="s">
        <v>437</v>
      </c>
      <c r="F218" s="422" t="s">
        <v>245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162</v>
      </c>
      <c r="C219" s="376" t="s">
        <v>162</v>
      </c>
      <c r="D219" s="372" t="s">
        <v>441</v>
      </c>
      <c r="E219" s="372" t="s">
        <v>437</v>
      </c>
      <c r="F219" s="422" t="s">
        <v>254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162</v>
      </c>
      <c r="C220" s="376" t="s">
        <v>162</v>
      </c>
      <c r="D220" s="372" t="s">
        <v>860</v>
      </c>
      <c r="E220" s="372"/>
      <c r="F220" s="422" t="s">
        <v>1282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162</v>
      </c>
      <c r="C221" s="376" t="s">
        <v>162</v>
      </c>
      <c r="D221" s="372" t="s">
        <v>860</v>
      </c>
      <c r="E221" s="372" t="s">
        <v>437</v>
      </c>
      <c r="F221" s="422" t="s">
        <v>1317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162</v>
      </c>
      <c r="C222" s="376" t="s">
        <v>162</v>
      </c>
      <c r="D222" s="372" t="s">
        <v>860</v>
      </c>
      <c r="E222" s="372" t="s">
        <v>437</v>
      </c>
      <c r="F222" s="422" t="s">
        <v>1834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162</v>
      </c>
      <c r="C223" s="376" t="s">
        <v>162</v>
      </c>
      <c r="D223" s="372" t="s">
        <v>860</v>
      </c>
      <c r="E223" s="372" t="s">
        <v>437</v>
      </c>
      <c r="F223" s="422" t="s">
        <v>283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1638</v>
      </c>
      <c r="C224" s="385" t="s">
        <v>1220</v>
      </c>
      <c r="D224" s="380"/>
      <c r="E224" s="380"/>
      <c r="F224" s="424" t="s">
        <v>1835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1638</v>
      </c>
      <c r="C225" s="372" t="s">
        <v>1220</v>
      </c>
      <c r="D225" s="372" t="s">
        <v>518</v>
      </c>
      <c r="E225" s="372"/>
      <c r="F225" s="422" t="s">
        <v>1179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1638</v>
      </c>
      <c r="C226" s="372" t="s">
        <v>1220</v>
      </c>
      <c r="D226" s="372" t="s">
        <v>518</v>
      </c>
      <c r="E226" s="372" t="s">
        <v>56</v>
      </c>
      <c r="F226" s="422" t="s">
        <v>1551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252</v>
      </c>
      <c r="C227" s="386" t="s">
        <v>252</v>
      </c>
      <c r="D227" s="386"/>
      <c r="E227" s="386"/>
      <c r="F227" s="424" t="s">
        <v>1835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252</v>
      </c>
      <c r="C228" s="376" t="s">
        <v>252</v>
      </c>
      <c r="D228" s="372" t="s">
        <v>159</v>
      </c>
      <c r="E228" s="387"/>
      <c r="F228" s="422" t="s">
        <v>1319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252</v>
      </c>
      <c r="C229" s="376" t="s">
        <v>252</v>
      </c>
      <c r="D229" s="372" t="s">
        <v>159</v>
      </c>
      <c r="E229" s="387" t="s">
        <v>1007</v>
      </c>
      <c r="F229" s="422" t="s">
        <v>75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1085</v>
      </c>
      <c r="B230" s="376" t="s">
        <v>252</v>
      </c>
      <c r="C230" s="376" t="s">
        <v>252</v>
      </c>
      <c r="D230" s="372" t="s">
        <v>159</v>
      </c>
      <c r="E230" s="387" t="s">
        <v>1007</v>
      </c>
      <c r="F230" s="422" t="s">
        <v>1246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252</v>
      </c>
      <c r="C231" s="376" t="s">
        <v>252</v>
      </c>
      <c r="D231" s="372" t="s">
        <v>159</v>
      </c>
      <c r="E231" s="387" t="s">
        <v>1007</v>
      </c>
      <c r="F231" s="422" t="s">
        <v>1321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252</v>
      </c>
      <c r="C232" s="376" t="s">
        <v>252</v>
      </c>
      <c r="D232" s="372" t="s">
        <v>159</v>
      </c>
      <c r="E232" s="387" t="s">
        <v>1007</v>
      </c>
      <c r="F232" s="422" t="s">
        <v>1322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252</v>
      </c>
      <c r="C233" s="376" t="s">
        <v>252</v>
      </c>
      <c r="D233" s="372" t="s">
        <v>159</v>
      </c>
      <c r="E233" s="387" t="s">
        <v>1007</v>
      </c>
      <c r="F233" s="422" t="s">
        <v>1323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252</v>
      </c>
      <c r="C234" s="376" t="s">
        <v>252</v>
      </c>
      <c r="D234" s="372" t="s">
        <v>159</v>
      </c>
      <c r="E234" s="387" t="s">
        <v>1007</v>
      </c>
      <c r="F234" s="422" t="s">
        <v>1324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252</v>
      </c>
      <c r="C235" s="376" t="s">
        <v>252</v>
      </c>
      <c r="D235" s="372" t="s">
        <v>159</v>
      </c>
      <c r="E235" s="387" t="s">
        <v>1007</v>
      </c>
      <c r="F235" s="422" t="s">
        <v>1325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252</v>
      </c>
      <c r="C236" s="376" t="s">
        <v>252</v>
      </c>
      <c r="D236" s="372" t="s">
        <v>159</v>
      </c>
      <c r="E236" s="387" t="s">
        <v>1007</v>
      </c>
      <c r="F236" s="422" t="s">
        <v>1326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252</v>
      </c>
      <c r="C237" s="376" t="s">
        <v>252</v>
      </c>
      <c r="D237" s="372" t="s">
        <v>159</v>
      </c>
      <c r="E237" s="387" t="s">
        <v>1007</v>
      </c>
      <c r="F237" s="422" t="s">
        <v>1313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252</v>
      </c>
      <c r="C238" s="376" t="s">
        <v>252</v>
      </c>
      <c r="D238" s="372" t="s">
        <v>159</v>
      </c>
      <c r="E238" s="387" t="s">
        <v>1007</v>
      </c>
      <c r="F238" s="422" t="s">
        <v>1328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252</v>
      </c>
      <c r="C239" s="376" t="s">
        <v>252</v>
      </c>
      <c r="D239" s="372" t="s">
        <v>518</v>
      </c>
      <c r="E239" s="372"/>
      <c r="F239" s="422" t="s">
        <v>1319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252</v>
      </c>
      <c r="C240" s="376" t="s">
        <v>252</v>
      </c>
      <c r="D240" s="372" t="s">
        <v>518</v>
      </c>
      <c r="E240" s="372" t="s">
        <v>56</v>
      </c>
      <c r="F240" s="422" t="s">
        <v>1839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252</v>
      </c>
      <c r="C241" s="376" t="s">
        <v>252</v>
      </c>
      <c r="D241" s="372" t="s">
        <v>518</v>
      </c>
      <c r="E241" s="372" t="s">
        <v>56</v>
      </c>
      <c r="F241" s="422" t="s">
        <v>1323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252</v>
      </c>
      <c r="C242" s="376" t="s">
        <v>252</v>
      </c>
      <c r="D242" s="372" t="s">
        <v>518</v>
      </c>
      <c r="E242" s="372" t="s">
        <v>56</v>
      </c>
      <c r="F242" s="422" t="s">
        <v>1556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252</v>
      </c>
      <c r="C243" s="376" t="s">
        <v>252</v>
      </c>
      <c r="D243" s="372" t="s">
        <v>518</v>
      </c>
      <c r="E243" s="372" t="s">
        <v>56</v>
      </c>
      <c r="F243" s="422" t="s">
        <v>1841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252</v>
      </c>
      <c r="C244" s="376" t="s">
        <v>252</v>
      </c>
      <c r="D244" s="372" t="s">
        <v>518</v>
      </c>
      <c r="E244" s="372" t="s">
        <v>56</v>
      </c>
      <c r="F244" s="422" t="s">
        <v>1558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252</v>
      </c>
      <c r="C245" s="376" t="s">
        <v>252</v>
      </c>
      <c r="D245" s="372" t="s">
        <v>518</v>
      </c>
      <c r="E245" s="372" t="s">
        <v>56</v>
      </c>
      <c r="F245" s="422" t="s">
        <v>1844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252</v>
      </c>
      <c r="C246" s="376" t="s">
        <v>252</v>
      </c>
      <c r="D246" s="372" t="s">
        <v>518</v>
      </c>
      <c r="E246" s="372" t="s">
        <v>56</v>
      </c>
      <c r="F246" s="422" t="s">
        <v>1560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252</v>
      </c>
      <c r="C247" s="376" t="s">
        <v>252</v>
      </c>
      <c r="D247" s="372" t="s">
        <v>518</v>
      </c>
      <c r="E247" s="372" t="s">
        <v>56</v>
      </c>
      <c r="F247" s="422" t="s">
        <v>1845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252</v>
      </c>
      <c r="C248" s="376" t="s">
        <v>252</v>
      </c>
      <c r="D248" s="372" t="s">
        <v>518</v>
      </c>
      <c r="E248" s="372" t="s">
        <v>56</v>
      </c>
      <c r="F248" s="422" t="s">
        <v>1562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252</v>
      </c>
      <c r="C249" s="376" t="s">
        <v>252</v>
      </c>
      <c r="D249" s="372" t="s">
        <v>518</v>
      </c>
      <c r="E249" s="372" t="s">
        <v>56</v>
      </c>
      <c r="F249" s="422" t="s">
        <v>1564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252</v>
      </c>
      <c r="C250" s="376" t="s">
        <v>252</v>
      </c>
      <c r="D250" s="372" t="s">
        <v>518</v>
      </c>
      <c r="E250" s="372" t="s">
        <v>56</v>
      </c>
      <c r="F250" s="422" t="s">
        <v>1847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252</v>
      </c>
      <c r="C251" s="376" t="s">
        <v>252</v>
      </c>
      <c r="D251" s="372" t="s">
        <v>518</v>
      </c>
      <c r="E251" s="372" t="s">
        <v>56</v>
      </c>
      <c r="F251" s="422" t="s">
        <v>1565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252</v>
      </c>
      <c r="C252" s="376" t="s">
        <v>252</v>
      </c>
      <c r="D252" s="372" t="s">
        <v>518</v>
      </c>
      <c r="E252" s="372" t="s">
        <v>56</v>
      </c>
      <c r="F252" s="422" t="s">
        <v>1567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252</v>
      </c>
      <c r="C253" s="376" t="s">
        <v>252</v>
      </c>
      <c r="D253" s="372" t="s">
        <v>518</v>
      </c>
      <c r="E253" s="372" t="s">
        <v>56</v>
      </c>
      <c r="F253" s="422" t="s">
        <v>1568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252</v>
      </c>
      <c r="C254" s="376" t="s">
        <v>252</v>
      </c>
      <c r="D254" s="372" t="s">
        <v>518</v>
      </c>
      <c r="E254" s="372" t="s">
        <v>56</v>
      </c>
      <c r="F254" s="422" t="s">
        <v>1569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252</v>
      </c>
      <c r="C255" s="376" t="s">
        <v>252</v>
      </c>
      <c r="D255" s="372" t="s">
        <v>518</v>
      </c>
      <c r="E255" s="372" t="s">
        <v>56</v>
      </c>
      <c r="F255" s="422" t="s">
        <v>1570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252</v>
      </c>
      <c r="C256" s="376" t="s">
        <v>252</v>
      </c>
      <c r="D256" s="372" t="s">
        <v>441</v>
      </c>
      <c r="E256" s="372"/>
      <c r="F256" s="422" t="s">
        <v>1319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252</v>
      </c>
      <c r="C257" s="376" t="s">
        <v>252</v>
      </c>
      <c r="D257" s="372" t="s">
        <v>441</v>
      </c>
      <c r="E257" s="372" t="s">
        <v>437</v>
      </c>
      <c r="F257" s="422" t="s">
        <v>1426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903</v>
      </c>
      <c r="C258" s="380" t="s">
        <v>903</v>
      </c>
      <c r="D258" s="380"/>
      <c r="E258" s="380"/>
      <c r="F258" s="424" t="s">
        <v>1848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903</v>
      </c>
      <c r="C259" s="376" t="s">
        <v>903</v>
      </c>
      <c r="D259" s="372" t="s">
        <v>159</v>
      </c>
      <c r="E259" s="376"/>
      <c r="F259" s="422" t="s">
        <v>1179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903</v>
      </c>
      <c r="C260" s="376" t="s">
        <v>903</v>
      </c>
      <c r="D260" s="372" t="s">
        <v>159</v>
      </c>
      <c r="E260" s="376" t="s">
        <v>1007</v>
      </c>
      <c r="F260" s="422" t="s">
        <v>242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903</v>
      </c>
      <c r="C261" s="376" t="s">
        <v>903</v>
      </c>
      <c r="D261" s="372" t="s">
        <v>159</v>
      </c>
      <c r="E261" s="376" t="s">
        <v>1007</v>
      </c>
      <c r="F261" s="422" t="s">
        <v>243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903</v>
      </c>
      <c r="C262" s="376" t="s">
        <v>903</v>
      </c>
      <c r="D262" s="372" t="s">
        <v>159</v>
      </c>
      <c r="E262" s="376" t="s">
        <v>1007</v>
      </c>
      <c r="F262" s="422" t="s">
        <v>490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903</v>
      </c>
      <c r="C263" s="376" t="s">
        <v>903</v>
      </c>
      <c r="D263" s="372" t="s">
        <v>159</v>
      </c>
      <c r="E263" s="376" t="s">
        <v>1007</v>
      </c>
      <c r="F263" s="422" t="s">
        <v>245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903</v>
      </c>
      <c r="C264" s="376" t="s">
        <v>903</v>
      </c>
      <c r="D264" s="372" t="s">
        <v>159</v>
      </c>
      <c r="E264" s="376" t="s">
        <v>1007</v>
      </c>
      <c r="F264" s="422" t="s">
        <v>246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903</v>
      </c>
      <c r="C265" s="376" t="s">
        <v>903</v>
      </c>
      <c r="D265" s="372" t="s">
        <v>159</v>
      </c>
      <c r="E265" s="376" t="s">
        <v>1007</v>
      </c>
      <c r="F265" s="422" t="s">
        <v>247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903</v>
      </c>
      <c r="C266" s="376" t="s">
        <v>903</v>
      </c>
      <c r="D266" s="372" t="s">
        <v>159</v>
      </c>
      <c r="E266" s="376" t="s">
        <v>1007</v>
      </c>
      <c r="F266" s="422" t="s">
        <v>248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903</v>
      </c>
      <c r="C267" s="376" t="s">
        <v>903</v>
      </c>
      <c r="D267" s="372" t="s">
        <v>159</v>
      </c>
      <c r="E267" s="376" t="s">
        <v>1007</v>
      </c>
      <c r="F267" s="422" t="s">
        <v>251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903</v>
      </c>
      <c r="C268" s="376" t="s">
        <v>903</v>
      </c>
      <c r="D268" s="372" t="s">
        <v>159</v>
      </c>
      <c r="E268" s="376" t="s">
        <v>1007</v>
      </c>
      <c r="F268" s="422" t="s">
        <v>1849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903</v>
      </c>
      <c r="C269" s="376" t="s">
        <v>903</v>
      </c>
      <c r="D269" s="372" t="s">
        <v>518</v>
      </c>
      <c r="E269" s="372"/>
      <c r="F269" s="422" t="s">
        <v>1179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903</v>
      </c>
      <c r="C270" s="376" t="s">
        <v>903</v>
      </c>
      <c r="D270" s="372" t="s">
        <v>518</v>
      </c>
      <c r="E270" s="372" t="s">
        <v>56</v>
      </c>
      <c r="F270" s="422" t="s">
        <v>273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903</v>
      </c>
      <c r="C271" s="376" t="s">
        <v>903</v>
      </c>
      <c r="D271" s="372" t="s">
        <v>518</v>
      </c>
      <c r="E271" s="372" t="s">
        <v>56</v>
      </c>
      <c r="F271" s="422" t="s">
        <v>246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903</v>
      </c>
      <c r="C272" s="376" t="s">
        <v>903</v>
      </c>
      <c r="D272" s="372" t="s">
        <v>518</v>
      </c>
      <c r="E272" s="372" t="s">
        <v>56</v>
      </c>
      <c r="F272" s="422" t="s">
        <v>247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903</v>
      </c>
      <c r="C273" s="376" t="s">
        <v>903</v>
      </c>
      <c r="D273" s="372" t="s">
        <v>518</v>
      </c>
      <c r="E273" s="372" t="s">
        <v>56</v>
      </c>
      <c r="F273" s="422" t="s">
        <v>243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903</v>
      </c>
      <c r="C274" s="376" t="s">
        <v>903</v>
      </c>
      <c r="D274" s="372" t="s">
        <v>518</v>
      </c>
      <c r="E274" s="372" t="s">
        <v>56</v>
      </c>
      <c r="F274" s="422" t="s">
        <v>245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903</v>
      </c>
      <c r="C275" s="376" t="s">
        <v>903</v>
      </c>
      <c r="D275" s="372" t="s">
        <v>518</v>
      </c>
      <c r="E275" s="372" t="s">
        <v>56</v>
      </c>
      <c r="F275" s="422" t="s">
        <v>551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903</v>
      </c>
      <c r="C276" s="376" t="s">
        <v>903</v>
      </c>
      <c r="D276" s="372" t="s">
        <v>441</v>
      </c>
      <c r="E276" s="372"/>
      <c r="F276" s="422" t="s">
        <v>1179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903</v>
      </c>
      <c r="C277" s="376" t="s">
        <v>903</v>
      </c>
      <c r="D277" s="372" t="s">
        <v>441</v>
      </c>
      <c r="E277" s="372" t="s">
        <v>437</v>
      </c>
      <c r="F277" s="422" t="s">
        <v>442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903</v>
      </c>
      <c r="C278" s="376" t="s">
        <v>903</v>
      </c>
      <c r="D278" s="372" t="s">
        <v>441</v>
      </c>
      <c r="E278" s="372" t="s">
        <v>437</v>
      </c>
      <c r="F278" s="422" t="s">
        <v>463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903</v>
      </c>
      <c r="C279" s="376" t="s">
        <v>903</v>
      </c>
      <c r="D279" s="372" t="s">
        <v>860</v>
      </c>
      <c r="E279" s="372"/>
      <c r="F279" s="422" t="s">
        <v>1179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502</v>
      </c>
      <c r="C280" s="385" t="s">
        <v>502</v>
      </c>
      <c r="D280" s="385"/>
      <c r="E280" s="380"/>
      <c r="F280" s="424" t="s">
        <v>1656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502</v>
      </c>
      <c r="C281" s="372" t="s">
        <v>502</v>
      </c>
      <c r="D281" s="372" t="s">
        <v>159</v>
      </c>
      <c r="E281" s="376"/>
      <c r="F281" s="422" t="s">
        <v>1179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502</v>
      </c>
      <c r="C282" s="372" t="s">
        <v>502</v>
      </c>
      <c r="D282" s="372" t="s">
        <v>159</v>
      </c>
      <c r="E282" s="376" t="s">
        <v>1007</v>
      </c>
      <c r="F282" s="422" t="s">
        <v>226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502</v>
      </c>
      <c r="C283" s="372" t="s">
        <v>502</v>
      </c>
      <c r="D283" s="372" t="s">
        <v>159</v>
      </c>
      <c r="E283" s="376" t="s">
        <v>1007</v>
      </c>
      <c r="F283" s="422" t="s">
        <v>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502</v>
      </c>
      <c r="C284" s="372" t="s">
        <v>502</v>
      </c>
      <c r="D284" s="372" t="s">
        <v>518</v>
      </c>
      <c r="E284" s="372"/>
      <c r="F284" s="422" t="s">
        <v>1179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502</v>
      </c>
      <c r="C285" s="372" t="s">
        <v>502</v>
      </c>
      <c r="D285" s="372" t="s">
        <v>441</v>
      </c>
      <c r="E285" s="372"/>
      <c r="F285" s="422" t="s">
        <v>1179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502</v>
      </c>
      <c r="C286" s="372" t="s">
        <v>502</v>
      </c>
      <c r="D286" s="372" t="s">
        <v>860</v>
      </c>
      <c r="E286" s="372"/>
      <c r="F286" s="422" t="s">
        <v>1179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414</v>
      </c>
      <c r="C287" s="380" t="s">
        <v>414</v>
      </c>
      <c r="D287" s="380"/>
      <c r="E287" s="380"/>
      <c r="F287" s="424" t="s">
        <v>1656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414</v>
      </c>
      <c r="C288" s="376" t="s">
        <v>414</v>
      </c>
      <c r="D288" s="372" t="s">
        <v>159</v>
      </c>
      <c r="E288" s="376"/>
      <c r="F288" s="422" t="s">
        <v>1179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414</v>
      </c>
      <c r="C289" s="376" t="s">
        <v>414</v>
      </c>
      <c r="D289" s="372" t="s">
        <v>159</v>
      </c>
      <c r="E289" s="376" t="s">
        <v>1167</v>
      </c>
      <c r="F289" s="422" t="s">
        <v>226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414</v>
      </c>
      <c r="C290" s="376" t="s">
        <v>414</v>
      </c>
      <c r="D290" s="372" t="s">
        <v>159</v>
      </c>
      <c r="E290" s="376" t="s">
        <v>1167</v>
      </c>
      <c r="F290" s="422" t="s">
        <v>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414</v>
      </c>
      <c r="C291" s="376" t="s">
        <v>414</v>
      </c>
      <c r="D291" s="372" t="s">
        <v>159</v>
      </c>
      <c r="E291" s="376" t="s">
        <v>1167</v>
      </c>
      <c r="F291" s="422" t="s">
        <v>208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414</v>
      </c>
      <c r="C292" s="376" t="s">
        <v>414</v>
      </c>
      <c r="D292" s="372" t="s">
        <v>518</v>
      </c>
      <c r="E292" s="372"/>
      <c r="F292" s="422" t="s">
        <v>1179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414</v>
      </c>
      <c r="C293" s="376" t="s">
        <v>414</v>
      </c>
      <c r="D293" s="372" t="s">
        <v>518</v>
      </c>
      <c r="E293" s="372" t="s">
        <v>56</v>
      </c>
      <c r="F293" s="422" t="s">
        <v>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414</v>
      </c>
      <c r="C294" s="376" t="s">
        <v>414</v>
      </c>
      <c r="D294" s="372" t="s">
        <v>441</v>
      </c>
      <c r="E294" s="372"/>
      <c r="F294" s="422" t="s">
        <v>1179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414</v>
      </c>
      <c r="C295" s="376" t="s">
        <v>414</v>
      </c>
      <c r="D295" s="372" t="s">
        <v>441</v>
      </c>
      <c r="E295" s="372" t="s">
        <v>437</v>
      </c>
      <c r="F295" s="422" t="s">
        <v>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414</v>
      </c>
      <c r="C296" s="376" t="s">
        <v>414</v>
      </c>
      <c r="D296" s="372" t="s">
        <v>441</v>
      </c>
      <c r="E296" s="372" t="s">
        <v>437</v>
      </c>
      <c r="F296" s="422" t="s">
        <v>208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414</v>
      </c>
      <c r="C297" s="376" t="s">
        <v>414</v>
      </c>
      <c r="D297" s="372" t="s">
        <v>860</v>
      </c>
      <c r="E297" s="372"/>
      <c r="F297" s="422" t="s">
        <v>1179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414</v>
      </c>
      <c r="C298" s="376" t="s">
        <v>414</v>
      </c>
      <c r="D298" s="372" t="s">
        <v>860</v>
      </c>
      <c r="E298" s="372" t="s">
        <v>437</v>
      </c>
      <c r="F298" s="422" t="s">
        <v>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414</v>
      </c>
      <c r="C299" s="376" t="s">
        <v>414</v>
      </c>
      <c r="D299" s="372" t="s">
        <v>860</v>
      </c>
      <c r="E299" s="372" t="s">
        <v>437</v>
      </c>
      <c r="F299" s="422" t="s">
        <v>208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612</v>
      </c>
      <c r="C300" s="380" t="s">
        <v>612</v>
      </c>
      <c r="D300" s="380"/>
      <c r="E300" s="380"/>
      <c r="F300" s="424" t="s">
        <v>1850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612</v>
      </c>
      <c r="C301" s="376" t="s">
        <v>612</v>
      </c>
      <c r="D301" s="372" t="s">
        <v>159</v>
      </c>
      <c r="E301" s="376"/>
      <c r="F301" s="422" t="s">
        <v>1179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612</v>
      </c>
      <c r="C302" s="376" t="s">
        <v>612</v>
      </c>
      <c r="D302" s="372" t="s">
        <v>159</v>
      </c>
      <c r="E302" s="376" t="s">
        <v>1167</v>
      </c>
      <c r="F302" s="422" t="s">
        <v>226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612</v>
      </c>
      <c r="C303" s="376" t="s">
        <v>612</v>
      </c>
      <c r="D303" s="372" t="s">
        <v>159</v>
      </c>
      <c r="E303" s="376" t="s">
        <v>1167</v>
      </c>
      <c r="F303" s="422" t="s">
        <v>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612</v>
      </c>
      <c r="C304" s="376" t="s">
        <v>612</v>
      </c>
      <c r="D304" s="372" t="s">
        <v>159</v>
      </c>
      <c r="E304" s="376" t="s">
        <v>1167</v>
      </c>
      <c r="F304" s="422" t="s">
        <v>208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612</v>
      </c>
      <c r="C305" s="376" t="s">
        <v>612</v>
      </c>
      <c r="D305" s="372" t="s">
        <v>518</v>
      </c>
      <c r="E305" s="372"/>
      <c r="F305" s="422" t="s">
        <v>1179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612</v>
      </c>
      <c r="C306" s="376" t="s">
        <v>612</v>
      </c>
      <c r="D306" s="372" t="s">
        <v>518</v>
      </c>
      <c r="E306" s="376" t="s">
        <v>1167</v>
      </c>
      <c r="F306" s="422" t="s">
        <v>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612</v>
      </c>
      <c r="C307" s="376" t="s">
        <v>612</v>
      </c>
      <c r="D307" s="372" t="s">
        <v>441</v>
      </c>
      <c r="E307" s="372"/>
      <c r="F307" s="422" t="s">
        <v>1179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612</v>
      </c>
      <c r="C308" s="376" t="s">
        <v>612</v>
      </c>
      <c r="D308" s="372" t="s">
        <v>441</v>
      </c>
      <c r="E308" s="376" t="s">
        <v>1167</v>
      </c>
      <c r="F308" s="422" t="s">
        <v>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612</v>
      </c>
      <c r="C309" s="376" t="s">
        <v>612</v>
      </c>
      <c r="D309" s="372" t="s">
        <v>441</v>
      </c>
      <c r="E309" s="376" t="s">
        <v>1167</v>
      </c>
      <c r="F309" s="422" t="s">
        <v>208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612</v>
      </c>
      <c r="C310" s="376" t="s">
        <v>612</v>
      </c>
      <c r="D310" s="372" t="s">
        <v>860</v>
      </c>
      <c r="E310" s="376"/>
      <c r="F310" s="422" t="s">
        <v>1179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612</v>
      </c>
      <c r="C311" s="376" t="s">
        <v>612</v>
      </c>
      <c r="D311" s="372" t="s">
        <v>860</v>
      </c>
      <c r="E311" s="376" t="s">
        <v>1167</v>
      </c>
      <c r="F311" s="422" t="s">
        <v>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612</v>
      </c>
      <c r="C312" s="376" t="s">
        <v>612</v>
      </c>
      <c r="D312" s="372" t="s">
        <v>860</v>
      </c>
      <c r="E312" s="376" t="s">
        <v>1167</v>
      </c>
      <c r="F312" s="422" t="s">
        <v>208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225</v>
      </c>
      <c r="C313" s="380" t="s">
        <v>1206</v>
      </c>
      <c r="D313" s="385"/>
      <c r="E313" s="380"/>
      <c r="F313" s="424" t="s">
        <v>1851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225</v>
      </c>
      <c r="C314" s="376" t="s">
        <v>1206</v>
      </c>
      <c r="D314" s="372" t="s">
        <v>159</v>
      </c>
      <c r="E314" s="376"/>
      <c r="F314" s="422" t="s">
        <v>1179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225</v>
      </c>
      <c r="C315" s="376" t="s">
        <v>1206</v>
      </c>
      <c r="D315" s="372" t="s">
        <v>159</v>
      </c>
      <c r="E315" s="376" t="s">
        <v>1162</v>
      </c>
      <c r="F315" s="422" t="s">
        <v>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225</v>
      </c>
      <c r="C316" s="376" t="s">
        <v>1206</v>
      </c>
      <c r="D316" s="372" t="s">
        <v>159</v>
      </c>
      <c r="E316" s="376" t="s">
        <v>1162</v>
      </c>
      <c r="F316" s="422" t="s">
        <v>208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225</v>
      </c>
      <c r="C317" s="376" t="s">
        <v>1206</v>
      </c>
      <c r="D317" s="372" t="s">
        <v>518</v>
      </c>
      <c r="E317" s="372"/>
      <c r="F317" s="422" t="s">
        <v>1179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225</v>
      </c>
      <c r="C318" s="376" t="s">
        <v>1206</v>
      </c>
      <c r="D318" s="372" t="s">
        <v>518</v>
      </c>
      <c r="E318" s="372" t="s">
        <v>56</v>
      </c>
      <c r="F318" s="422" t="s">
        <v>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225</v>
      </c>
      <c r="C319" s="376" t="s">
        <v>1206</v>
      </c>
      <c r="D319" s="372" t="s">
        <v>441</v>
      </c>
      <c r="E319" s="372"/>
      <c r="F319" s="422" t="s">
        <v>1179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225</v>
      </c>
      <c r="C320" s="376" t="s">
        <v>1206</v>
      </c>
      <c r="D320" s="372" t="s">
        <v>441</v>
      </c>
      <c r="E320" s="372" t="s">
        <v>437</v>
      </c>
      <c r="F320" s="422" t="s">
        <v>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225</v>
      </c>
      <c r="C321" s="376" t="s">
        <v>1206</v>
      </c>
      <c r="D321" s="372" t="s">
        <v>441</v>
      </c>
      <c r="E321" s="372" t="s">
        <v>437</v>
      </c>
      <c r="F321" s="422" t="s">
        <v>208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225</v>
      </c>
      <c r="C322" s="376" t="s">
        <v>1206</v>
      </c>
      <c r="D322" s="372" t="s">
        <v>860</v>
      </c>
      <c r="E322" s="372"/>
      <c r="F322" s="422" t="s">
        <v>1179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225</v>
      </c>
      <c r="C323" s="376" t="s">
        <v>1206</v>
      </c>
      <c r="D323" s="372" t="s">
        <v>860</v>
      </c>
      <c r="E323" s="372" t="s">
        <v>437</v>
      </c>
      <c r="F323" s="422" t="s">
        <v>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.45" outlineLevel="1" collapsed="1">
      <c r="A324" s="372"/>
      <c r="B324" s="380" t="s">
        <v>229</v>
      </c>
      <c r="C324" s="380" t="s">
        <v>1211</v>
      </c>
      <c r="D324" s="385"/>
      <c r="E324" s="380"/>
      <c r="F324" s="424" t="s">
        <v>1852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229</v>
      </c>
      <c r="C325" s="376" t="s">
        <v>1211</v>
      </c>
      <c r="D325" s="372" t="s">
        <v>159</v>
      </c>
      <c r="E325" s="376"/>
      <c r="F325" s="422" t="s">
        <v>1179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229</v>
      </c>
      <c r="C326" s="376" t="s">
        <v>1211</v>
      </c>
      <c r="D326" s="372" t="s">
        <v>159</v>
      </c>
      <c r="E326" s="376" t="s">
        <v>1162</v>
      </c>
      <c r="F326" s="422" t="s">
        <v>1209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229</v>
      </c>
      <c r="C327" s="376" t="s">
        <v>1211</v>
      </c>
      <c r="D327" s="372" t="s">
        <v>159</v>
      </c>
      <c r="E327" s="376" t="s">
        <v>1162</v>
      </c>
      <c r="F327" s="422" t="s">
        <v>1210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229</v>
      </c>
      <c r="C328" s="376" t="s">
        <v>1211</v>
      </c>
      <c r="D328" s="372" t="s">
        <v>159</v>
      </c>
      <c r="E328" s="376" t="s">
        <v>1162</v>
      </c>
      <c r="F328" s="422" t="s">
        <v>1215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229</v>
      </c>
      <c r="C329" s="376" t="s">
        <v>1211</v>
      </c>
      <c r="D329" s="372" t="s">
        <v>159</v>
      </c>
      <c r="E329" s="376" t="s">
        <v>1162</v>
      </c>
      <c r="F329" s="422" t="s">
        <v>1216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229</v>
      </c>
      <c r="C330" s="376" t="s">
        <v>1211</v>
      </c>
      <c r="D330" s="372" t="s">
        <v>518</v>
      </c>
      <c r="E330" s="372"/>
      <c r="F330" s="422" t="s">
        <v>1179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229</v>
      </c>
      <c r="C331" s="376" t="s">
        <v>1211</v>
      </c>
      <c r="D331" s="372" t="s">
        <v>518</v>
      </c>
      <c r="E331" s="372" t="s">
        <v>56</v>
      </c>
      <c r="F331" s="422" t="s">
        <v>1209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229</v>
      </c>
      <c r="C332" s="376" t="s">
        <v>1211</v>
      </c>
      <c r="D332" s="372" t="s">
        <v>518</v>
      </c>
      <c r="E332" s="372" t="s">
        <v>56</v>
      </c>
      <c r="F332" s="422" t="s">
        <v>1210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229</v>
      </c>
      <c r="C333" s="376" t="s">
        <v>1211</v>
      </c>
      <c r="D333" s="372" t="s">
        <v>518</v>
      </c>
      <c r="E333" s="372" t="s">
        <v>56</v>
      </c>
      <c r="F333" s="422" t="s">
        <v>1215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229</v>
      </c>
      <c r="C334" s="376" t="s">
        <v>1211</v>
      </c>
      <c r="D334" s="372" t="s">
        <v>441</v>
      </c>
      <c r="E334" s="372"/>
      <c r="F334" s="422" t="s">
        <v>1179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229</v>
      </c>
      <c r="C335" s="376" t="s">
        <v>1211</v>
      </c>
      <c r="D335" s="372" t="s">
        <v>441</v>
      </c>
      <c r="E335" s="372" t="s">
        <v>437</v>
      </c>
      <c r="F335" s="424" t="s">
        <v>208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229</v>
      </c>
      <c r="C336" s="376" t="s">
        <v>1211</v>
      </c>
      <c r="D336" s="372" t="s">
        <v>441</v>
      </c>
      <c r="E336" s="372" t="s">
        <v>437</v>
      </c>
      <c r="F336" s="424" t="s">
        <v>1209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229</v>
      </c>
      <c r="C337" s="376" t="s">
        <v>1211</v>
      </c>
      <c r="D337" s="372" t="s">
        <v>441</v>
      </c>
      <c r="E337" s="372" t="s">
        <v>437</v>
      </c>
      <c r="F337" s="422" t="s">
        <v>1210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229</v>
      </c>
      <c r="C338" s="376" t="s">
        <v>1211</v>
      </c>
      <c r="D338" s="372" t="s">
        <v>441</v>
      </c>
      <c r="E338" s="372" t="s">
        <v>437</v>
      </c>
      <c r="F338" s="422" t="s">
        <v>1215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229</v>
      </c>
      <c r="C339" s="376" t="s">
        <v>1211</v>
      </c>
      <c r="D339" s="372" t="s">
        <v>441</v>
      </c>
      <c r="E339" s="372" t="s">
        <v>437</v>
      </c>
      <c r="F339" s="422" t="s">
        <v>1216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229</v>
      </c>
      <c r="C340" s="376" t="s">
        <v>1211</v>
      </c>
      <c r="D340" s="372" t="s">
        <v>860</v>
      </c>
      <c r="E340" s="372"/>
      <c r="F340" s="422" t="s">
        <v>1179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229</v>
      </c>
      <c r="C341" s="376" t="s">
        <v>1211</v>
      </c>
      <c r="D341" s="372" t="s">
        <v>860</v>
      </c>
      <c r="E341" s="372" t="s">
        <v>437</v>
      </c>
      <c r="F341" s="422" t="s">
        <v>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229</v>
      </c>
      <c r="C342" s="376" t="s">
        <v>1211</v>
      </c>
      <c r="D342" s="372" t="s">
        <v>860</v>
      </c>
      <c r="E342" s="372" t="s">
        <v>437</v>
      </c>
      <c r="F342" s="424" t="s">
        <v>1209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229</v>
      </c>
      <c r="C343" s="376" t="s">
        <v>1211</v>
      </c>
      <c r="D343" s="372" t="s">
        <v>860</v>
      </c>
      <c r="E343" s="372" t="s">
        <v>437</v>
      </c>
      <c r="F343" s="422" t="s">
        <v>1215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918</v>
      </c>
      <c r="C344" s="380" t="s">
        <v>1378</v>
      </c>
      <c r="D344" s="385"/>
      <c r="E344" s="380"/>
      <c r="F344" s="424" t="s">
        <v>1715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918</v>
      </c>
      <c r="C345" s="376" t="s">
        <v>1378</v>
      </c>
      <c r="D345" s="372" t="s">
        <v>159</v>
      </c>
      <c r="E345" s="376"/>
      <c r="F345" s="422" t="s">
        <v>1179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918</v>
      </c>
      <c r="C346" s="376" t="s">
        <v>1378</v>
      </c>
      <c r="D346" s="372" t="s">
        <v>159</v>
      </c>
      <c r="E346" s="376" t="s">
        <v>1167</v>
      </c>
      <c r="F346" s="422" t="s">
        <v>1380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918</v>
      </c>
      <c r="C347" s="376" t="s">
        <v>1378</v>
      </c>
      <c r="D347" s="372" t="s">
        <v>159</v>
      </c>
      <c r="E347" s="376" t="s">
        <v>1167</v>
      </c>
      <c r="F347" s="422" t="s">
        <v>1381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918</v>
      </c>
      <c r="C348" s="376" t="s">
        <v>1378</v>
      </c>
      <c r="D348" s="372" t="s">
        <v>159</v>
      </c>
      <c r="E348" s="376" t="s">
        <v>1167</v>
      </c>
      <c r="F348" s="422" t="s">
        <v>1382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918</v>
      </c>
      <c r="C349" s="376" t="s">
        <v>1378</v>
      </c>
      <c r="D349" s="372" t="s">
        <v>159</v>
      </c>
      <c r="E349" s="376" t="s">
        <v>1167</v>
      </c>
      <c r="F349" s="422" t="s">
        <v>1383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918</v>
      </c>
      <c r="C350" s="376" t="s">
        <v>1378</v>
      </c>
      <c r="D350" s="372" t="s">
        <v>860</v>
      </c>
      <c r="E350" s="372"/>
      <c r="F350" s="422" t="s">
        <v>1179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918</v>
      </c>
      <c r="C351" s="376" t="s">
        <v>1378</v>
      </c>
      <c r="D351" s="372" t="s">
        <v>860</v>
      </c>
      <c r="E351" s="372" t="s">
        <v>437</v>
      </c>
      <c r="F351" s="422" t="s">
        <v>1435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918</v>
      </c>
      <c r="C352" s="376" t="s">
        <v>1378</v>
      </c>
      <c r="D352" s="372" t="s">
        <v>518</v>
      </c>
      <c r="E352" s="376"/>
      <c r="F352" s="422" t="s">
        <v>1179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918</v>
      </c>
      <c r="C353" s="376" t="s">
        <v>1378</v>
      </c>
      <c r="D353" s="372" t="s">
        <v>518</v>
      </c>
      <c r="E353" s="376" t="s">
        <v>56</v>
      </c>
      <c r="F353" s="422" t="s">
        <v>1383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498</v>
      </c>
      <c r="C354" s="380" t="s">
        <v>1217</v>
      </c>
      <c r="D354" s="385"/>
      <c r="E354" s="380"/>
      <c r="F354" s="424" t="s">
        <v>1848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498</v>
      </c>
      <c r="C355" s="376" t="s">
        <v>1217</v>
      </c>
      <c r="D355" s="372" t="s">
        <v>159</v>
      </c>
      <c r="E355" s="376"/>
      <c r="F355" s="422" t="s">
        <v>1179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498</v>
      </c>
      <c r="C356" s="376" t="s">
        <v>1217</v>
      </c>
      <c r="D356" s="372" t="s">
        <v>159</v>
      </c>
      <c r="E356" s="376" t="s">
        <v>1162</v>
      </c>
      <c r="F356" s="422" t="s">
        <v>226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498</v>
      </c>
      <c r="C357" s="376" t="s">
        <v>1217</v>
      </c>
      <c r="D357" s="372" t="s">
        <v>159</v>
      </c>
      <c r="E357" s="376" t="s">
        <v>1162</v>
      </c>
      <c r="F357" s="422" t="s">
        <v>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498</v>
      </c>
      <c r="C358" s="376" t="s">
        <v>1217</v>
      </c>
      <c r="D358" s="372" t="s">
        <v>518</v>
      </c>
      <c r="E358" s="372"/>
      <c r="F358" s="422" t="s">
        <v>1179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498</v>
      </c>
      <c r="C359" s="376" t="s">
        <v>1217</v>
      </c>
      <c r="D359" s="372" t="s">
        <v>441</v>
      </c>
      <c r="E359" s="372"/>
      <c r="F359" s="422" t="s">
        <v>1179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498</v>
      </c>
      <c r="C360" s="376" t="s">
        <v>1217</v>
      </c>
      <c r="D360" s="372" t="s">
        <v>860</v>
      </c>
      <c r="E360" s="372"/>
      <c r="F360" s="422" t="s">
        <v>1179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958</v>
      </c>
      <c r="C361" s="386" t="s">
        <v>160</v>
      </c>
      <c r="D361" s="386"/>
      <c r="E361" s="386"/>
      <c r="F361" s="424" t="s">
        <v>1004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162</v>
      </c>
      <c r="C362" s="387" t="s">
        <v>160</v>
      </c>
      <c r="D362" s="372" t="s">
        <v>159</v>
      </c>
      <c r="E362" s="372" t="s">
        <v>47</v>
      </c>
      <c r="F362" s="428" t="s">
        <v>1855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163</v>
      </c>
      <c r="C363" s="387" t="s">
        <v>160</v>
      </c>
      <c r="D363" s="372" t="s">
        <v>159</v>
      </c>
      <c r="E363" s="372" t="s">
        <v>47</v>
      </c>
      <c r="F363" s="422" t="s">
        <v>1856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164</v>
      </c>
      <c r="C364" s="387" t="s">
        <v>160</v>
      </c>
      <c r="D364" s="372" t="s">
        <v>159</v>
      </c>
      <c r="E364" s="372" t="s">
        <v>47</v>
      </c>
      <c r="F364" s="422" t="s">
        <v>1857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165</v>
      </c>
      <c r="C365" s="387" t="s">
        <v>160</v>
      </c>
      <c r="D365" s="372" t="s">
        <v>159</v>
      </c>
      <c r="E365" s="372" t="s">
        <v>47</v>
      </c>
      <c r="F365" s="422" t="s">
        <v>1858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973</v>
      </c>
      <c r="C366" s="387" t="s">
        <v>160</v>
      </c>
      <c r="D366" s="372" t="s">
        <v>159</v>
      </c>
      <c r="E366" s="372" t="s">
        <v>47</v>
      </c>
      <c r="F366" s="422" t="s">
        <v>1859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1578</v>
      </c>
      <c r="C367" s="385" t="s">
        <v>1579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469</v>
      </c>
      <c r="C368" s="372" t="s">
        <v>1281</v>
      </c>
      <c r="D368" s="372" t="s">
        <v>518</v>
      </c>
      <c r="E368" s="372" t="s">
        <v>56</v>
      </c>
      <c r="F368" s="422" t="s">
        <v>1860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962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902</v>
      </c>
      <c r="C372" s="385" t="s">
        <v>1220</v>
      </c>
      <c r="D372" s="380"/>
      <c r="E372" s="380"/>
      <c r="F372" s="424" t="s">
        <v>1861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902</v>
      </c>
      <c r="C373" s="372" t="s">
        <v>1220</v>
      </c>
      <c r="D373" s="372" t="s">
        <v>159</v>
      </c>
      <c r="E373" s="376"/>
      <c r="F373" s="422" t="s">
        <v>1862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902</v>
      </c>
      <c r="C374" s="372" t="s">
        <v>1220</v>
      </c>
      <c r="D374" s="372" t="s">
        <v>159</v>
      </c>
      <c r="E374" s="376" t="s">
        <v>1162</v>
      </c>
      <c r="F374" s="422" t="s">
        <v>205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902</v>
      </c>
      <c r="C375" s="372" t="s">
        <v>1220</v>
      </c>
      <c r="D375" s="372" t="s">
        <v>159</v>
      </c>
      <c r="E375" s="376" t="s">
        <v>1162</v>
      </c>
      <c r="F375" s="422" t="s">
        <v>206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902</v>
      </c>
      <c r="C376" s="372" t="s">
        <v>1220</v>
      </c>
      <c r="D376" s="372" t="s">
        <v>159</v>
      </c>
      <c r="E376" s="376" t="s">
        <v>1162</v>
      </c>
      <c r="F376" s="422" t="s">
        <v>208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902</v>
      </c>
      <c r="C377" s="372" t="s">
        <v>1220</v>
      </c>
      <c r="D377" s="372" t="s">
        <v>159</v>
      </c>
      <c r="E377" s="376" t="s">
        <v>1007</v>
      </c>
      <c r="F377" s="422" t="s">
        <v>290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902</v>
      </c>
      <c r="C378" s="372" t="s">
        <v>1220</v>
      </c>
      <c r="D378" s="372" t="s">
        <v>159</v>
      </c>
      <c r="E378" s="376" t="s">
        <v>1007</v>
      </c>
      <c r="F378" s="422" t="s">
        <v>1334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902</v>
      </c>
      <c r="C379" s="372" t="s">
        <v>1220</v>
      </c>
      <c r="D379" s="372" t="s">
        <v>518</v>
      </c>
      <c r="E379" s="372"/>
      <c r="F379" s="422" t="s">
        <v>1862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902</v>
      </c>
      <c r="C380" s="372" t="s">
        <v>1220</v>
      </c>
      <c r="D380" s="372" t="s">
        <v>518</v>
      </c>
      <c r="E380" s="372" t="s">
        <v>56</v>
      </c>
      <c r="F380" s="427" t="s">
        <v>206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902</v>
      </c>
      <c r="C381" s="372" t="s">
        <v>1220</v>
      </c>
      <c r="D381" s="372" t="s">
        <v>441</v>
      </c>
      <c r="E381" s="372"/>
      <c r="F381" s="422" t="s">
        <v>1862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902</v>
      </c>
      <c r="C382" s="372" t="s">
        <v>1220</v>
      </c>
      <c r="D382" s="372" t="s">
        <v>441</v>
      </c>
      <c r="E382" s="372" t="s">
        <v>437</v>
      </c>
      <c r="F382" s="422" t="s">
        <v>206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902</v>
      </c>
      <c r="C383" s="372" t="s">
        <v>1220</v>
      </c>
      <c r="D383" s="372" t="s">
        <v>441</v>
      </c>
      <c r="E383" s="372" t="s">
        <v>437</v>
      </c>
      <c r="F383" s="422" t="s">
        <v>208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902</v>
      </c>
      <c r="C384" s="372" t="s">
        <v>1220</v>
      </c>
      <c r="D384" s="372" t="s">
        <v>860</v>
      </c>
      <c r="E384" s="372"/>
      <c r="F384" s="422" t="s">
        <v>1862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902</v>
      </c>
      <c r="C385" s="372" t="s">
        <v>1220</v>
      </c>
      <c r="D385" s="372" t="s">
        <v>860</v>
      </c>
      <c r="E385" s="372" t="s">
        <v>437</v>
      </c>
      <c r="F385" s="422" t="s">
        <v>206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902</v>
      </c>
      <c r="C386" s="372" t="s">
        <v>1220</v>
      </c>
      <c r="D386" s="372" t="s">
        <v>860</v>
      </c>
      <c r="E386" s="372" t="s">
        <v>437</v>
      </c>
      <c r="F386" s="422" t="s">
        <v>208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.45" outlineLevel="1" collapsed="1">
      <c r="A387" s="372"/>
      <c r="B387" s="380" t="s">
        <v>964</v>
      </c>
      <c r="C387" s="380" t="s">
        <v>1247</v>
      </c>
      <c r="D387" s="380"/>
      <c r="E387" s="380"/>
      <c r="F387" s="424" t="s">
        <v>1863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964</v>
      </c>
      <c r="C388" s="376" t="s">
        <v>1247</v>
      </c>
      <c r="D388" s="372" t="s">
        <v>159</v>
      </c>
      <c r="E388" s="376"/>
      <c r="F388" s="422" t="s">
        <v>1864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964</v>
      </c>
      <c r="C389" s="376" t="s">
        <v>1247</v>
      </c>
      <c r="D389" s="372" t="s">
        <v>159</v>
      </c>
      <c r="E389" s="376" t="s">
        <v>664</v>
      </c>
      <c r="F389" s="422" t="s">
        <v>205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964</v>
      </c>
      <c r="C390" s="376" t="s">
        <v>1247</v>
      </c>
      <c r="D390" s="372" t="s">
        <v>159</v>
      </c>
      <c r="E390" s="376" t="s">
        <v>664</v>
      </c>
      <c r="F390" s="422" t="s">
        <v>206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964</v>
      </c>
      <c r="C391" s="376" t="s">
        <v>1247</v>
      </c>
      <c r="D391" s="372" t="s">
        <v>159</v>
      </c>
      <c r="E391" s="372" t="s">
        <v>664</v>
      </c>
      <c r="F391" s="422" t="s">
        <v>208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964</v>
      </c>
      <c r="C392" s="376" t="s">
        <v>1247</v>
      </c>
      <c r="D392" s="372" t="s">
        <v>518</v>
      </c>
      <c r="E392" s="372"/>
      <c r="F392" s="422" t="s">
        <v>1865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964</v>
      </c>
      <c r="C393" s="376" t="s">
        <v>1247</v>
      </c>
      <c r="D393" s="372" t="s">
        <v>518</v>
      </c>
      <c r="E393" s="372" t="s">
        <v>56</v>
      </c>
      <c r="F393" s="422" t="s">
        <v>206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964</v>
      </c>
      <c r="C394" s="376" t="s">
        <v>1247</v>
      </c>
      <c r="D394" s="372" t="s">
        <v>441</v>
      </c>
      <c r="E394" s="372"/>
      <c r="F394" s="422" t="s">
        <v>1866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964</v>
      </c>
      <c r="C395" s="376" t="s">
        <v>1247</v>
      </c>
      <c r="D395" s="372" t="s">
        <v>441</v>
      </c>
      <c r="E395" s="372" t="s">
        <v>437</v>
      </c>
      <c r="F395" s="422" t="s">
        <v>206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964</v>
      </c>
      <c r="C396" s="376" t="s">
        <v>1247</v>
      </c>
      <c r="D396" s="372" t="s">
        <v>441</v>
      </c>
      <c r="E396" s="372" t="s">
        <v>437</v>
      </c>
      <c r="F396" s="422" t="s">
        <v>208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964</v>
      </c>
      <c r="C397" s="376" t="s">
        <v>1247</v>
      </c>
      <c r="D397" s="372" t="s">
        <v>860</v>
      </c>
      <c r="E397" s="372"/>
      <c r="F397" s="422" t="s">
        <v>1866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964</v>
      </c>
      <c r="C398" s="376" t="s">
        <v>1247</v>
      </c>
      <c r="D398" s="372" t="s">
        <v>860</v>
      </c>
      <c r="E398" s="372" t="s">
        <v>437</v>
      </c>
      <c r="F398" s="422" t="s">
        <v>206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964</v>
      </c>
      <c r="C399" s="376" t="s">
        <v>1247</v>
      </c>
      <c r="D399" s="372" t="s">
        <v>860</v>
      </c>
      <c r="E399" s="372" t="s">
        <v>437</v>
      </c>
      <c r="F399" s="422" t="s">
        <v>208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6.45" outlineLevel="1" collapsed="1">
      <c r="A400" s="385"/>
      <c r="B400" s="386" t="s">
        <v>966</v>
      </c>
      <c r="C400" s="386" t="s">
        <v>1222</v>
      </c>
      <c r="D400" s="386"/>
      <c r="E400" s="386"/>
      <c r="F400" s="426" t="s">
        <v>1867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966</v>
      </c>
      <c r="C401" s="372" t="s">
        <v>1222</v>
      </c>
      <c r="D401" s="372" t="s">
        <v>159</v>
      </c>
      <c r="E401" s="376"/>
      <c r="F401" s="422" t="s">
        <v>1868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966</v>
      </c>
      <c r="C402" s="372" t="s">
        <v>1222</v>
      </c>
      <c r="D402" s="372" t="s">
        <v>159</v>
      </c>
      <c r="E402" s="376" t="s">
        <v>1162</v>
      </c>
      <c r="F402" s="422" t="s">
        <v>199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966</v>
      </c>
      <c r="C403" s="372" t="s">
        <v>1222</v>
      </c>
      <c r="D403" s="372" t="s">
        <v>159</v>
      </c>
      <c r="E403" s="376" t="s">
        <v>1162</v>
      </c>
      <c r="F403" s="422" t="s">
        <v>209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966</v>
      </c>
      <c r="C404" s="372" t="s">
        <v>1222</v>
      </c>
      <c r="D404" s="372" t="s">
        <v>159</v>
      </c>
      <c r="E404" s="376" t="s">
        <v>1162</v>
      </c>
      <c r="F404" s="422" t="s">
        <v>198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966</v>
      </c>
      <c r="C405" s="372" t="s">
        <v>1222</v>
      </c>
      <c r="D405" s="372" t="s">
        <v>518</v>
      </c>
      <c r="E405" s="372"/>
      <c r="F405" s="422" t="s">
        <v>1868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966</v>
      </c>
      <c r="C406" s="372" t="s">
        <v>1222</v>
      </c>
      <c r="D406" s="372" t="s">
        <v>518</v>
      </c>
      <c r="E406" s="372" t="s">
        <v>56</v>
      </c>
      <c r="F406" s="427" t="s">
        <v>206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966</v>
      </c>
      <c r="C407" s="372" t="s">
        <v>1222</v>
      </c>
      <c r="D407" s="372" t="s">
        <v>518</v>
      </c>
      <c r="E407" s="372" t="s">
        <v>56</v>
      </c>
      <c r="F407" s="422" t="s">
        <v>199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966</v>
      </c>
      <c r="C408" s="372" t="s">
        <v>1222</v>
      </c>
      <c r="D408" s="372" t="s">
        <v>441</v>
      </c>
      <c r="E408" s="372"/>
      <c r="F408" s="422" t="s">
        <v>1868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966</v>
      </c>
      <c r="C409" s="372" t="s">
        <v>1222</v>
      </c>
      <c r="D409" s="372" t="s">
        <v>441</v>
      </c>
      <c r="E409" s="372" t="s">
        <v>437</v>
      </c>
      <c r="F409" s="422" t="s">
        <v>206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966</v>
      </c>
      <c r="C410" s="372" t="s">
        <v>1222</v>
      </c>
      <c r="D410" s="372" t="s">
        <v>441</v>
      </c>
      <c r="E410" s="372" t="s">
        <v>437</v>
      </c>
      <c r="F410" s="422" t="s">
        <v>199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966</v>
      </c>
      <c r="C411" s="372" t="s">
        <v>1222</v>
      </c>
      <c r="D411" s="372" t="s">
        <v>441</v>
      </c>
      <c r="E411" s="372" t="s">
        <v>437</v>
      </c>
      <c r="F411" s="422" t="s">
        <v>209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966</v>
      </c>
      <c r="C412" s="372" t="s">
        <v>1222</v>
      </c>
      <c r="D412" s="372" t="s">
        <v>860</v>
      </c>
      <c r="E412" s="372"/>
      <c r="F412" s="422" t="s">
        <v>1868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966</v>
      </c>
      <c r="C413" s="372" t="s">
        <v>1222</v>
      </c>
      <c r="D413" s="372" t="s">
        <v>860</v>
      </c>
      <c r="E413" s="372" t="s">
        <v>437</v>
      </c>
      <c r="F413" s="422" t="s">
        <v>206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966</v>
      </c>
      <c r="C414" s="372" t="s">
        <v>1222</v>
      </c>
      <c r="D414" s="372" t="s">
        <v>860</v>
      </c>
      <c r="E414" s="372" t="s">
        <v>437</v>
      </c>
      <c r="F414" s="422" t="s">
        <v>199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.45" outlineLevel="1" collapsed="1">
      <c r="A415" s="393"/>
      <c r="B415" s="386" t="s">
        <v>968</v>
      </c>
      <c r="C415" s="386" t="s">
        <v>1163</v>
      </c>
      <c r="D415" s="407"/>
      <c r="E415" s="386"/>
      <c r="F415" s="426" t="s">
        <v>1869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1163</v>
      </c>
      <c r="C416" s="387" t="s">
        <v>1163</v>
      </c>
      <c r="D416" s="441" t="s">
        <v>159</v>
      </c>
      <c r="E416" s="387"/>
      <c r="F416" s="428" t="s">
        <v>1870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1163</v>
      </c>
      <c r="C417" s="387" t="s">
        <v>1163</v>
      </c>
      <c r="D417" s="441" t="s">
        <v>159</v>
      </c>
      <c r="E417" s="387" t="s">
        <v>1162</v>
      </c>
      <c r="F417" s="428" t="s">
        <v>205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1163</v>
      </c>
      <c r="C418" s="387" t="s">
        <v>1163</v>
      </c>
      <c r="D418" s="441" t="s">
        <v>159</v>
      </c>
      <c r="E418" s="387" t="s">
        <v>1162</v>
      </c>
      <c r="F418" s="428" t="s">
        <v>206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1163</v>
      </c>
      <c r="C419" s="387" t="s">
        <v>1163</v>
      </c>
      <c r="D419" s="441" t="s">
        <v>159</v>
      </c>
      <c r="E419" s="387" t="s">
        <v>1162</v>
      </c>
      <c r="F419" s="428" t="s">
        <v>208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1163</v>
      </c>
      <c r="C420" s="387" t="s">
        <v>1163</v>
      </c>
      <c r="D420" s="441" t="s">
        <v>159</v>
      </c>
      <c r="E420" s="387" t="s">
        <v>1162</v>
      </c>
      <c r="F420" s="428" t="s">
        <v>209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1163</v>
      </c>
      <c r="C421" s="387" t="s">
        <v>1163</v>
      </c>
      <c r="D421" s="441" t="s">
        <v>159</v>
      </c>
      <c r="E421" s="387" t="s">
        <v>1007</v>
      </c>
      <c r="F421" s="428" t="s">
        <v>1871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1163</v>
      </c>
      <c r="C422" s="387" t="s">
        <v>1163</v>
      </c>
      <c r="D422" s="441" t="s">
        <v>159</v>
      </c>
      <c r="E422" s="387" t="s">
        <v>1007</v>
      </c>
      <c r="F422" s="428" t="s">
        <v>1872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1163</v>
      </c>
      <c r="C423" s="387" t="s">
        <v>1163</v>
      </c>
      <c r="D423" s="441" t="s">
        <v>518</v>
      </c>
      <c r="E423" s="441"/>
      <c r="F423" s="428" t="s">
        <v>1870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1163</v>
      </c>
      <c r="C424" s="387" t="s">
        <v>1163</v>
      </c>
      <c r="D424" s="441" t="s">
        <v>518</v>
      </c>
      <c r="E424" s="441" t="s">
        <v>56</v>
      </c>
      <c r="F424" s="428" t="s">
        <v>206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1163</v>
      </c>
      <c r="C425" s="387" t="s">
        <v>1163</v>
      </c>
      <c r="D425" s="441" t="s">
        <v>518</v>
      </c>
      <c r="E425" s="441" t="s">
        <v>56</v>
      </c>
      <c r="F425" s="428" t="s">
        <v>209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1163</v>
      </c>
      <c r="C426" s="387" t="s">
        <v>1163</v>
      </c>
      <c r="D426" s="441" t="s">
        <v>441</v>
      </c>
      <c r="E426" s="441"/>
      <c r="F426" s="428" t="s">
        <v>1870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1163</v>
      </c>
      <c r="C427" s="387" t="s">
        <v>1163</v>
      </c>
      <c r="D427" s="441" t="s">
        <v>441</v>
      </c>
      <c r="E427" s="441" t="s">
        <v>437</v>
      </c>
      <c r="F427" s="428" t="s">
        <v>206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1163</v>
      </c>
      <c r="C428" s="387" t="s">
        <v>1163</v>
      </c>
      <c r="D428" s="441" t="s">
        <v>441</v>
      </c>
      <c r="E428" s="441" t="s">
        <v>437</v>
      </c>
      <c r="F428" s="428" t="s">
        <v>208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1163</v>
      </c>
      <c r="C429" s="387" t="s">
        <v>1163</v>
      </c>
      <c r="D429" s="441" t="s">
        <v>441</v>
      </c>
      <c r="E429" s="441" t="s">
        <v>437</v>
      </c>
      <c r="F429" s="428" t="s">
        <v>209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1163</v>
      </c>
      <c r="C430" s="387" t="s">
        <v>1163</v>
      </c>
      <c r="D430" s="441" t="s">
        <v>860</v>
      </c>
      <c r="E430" s="441"/>
      <c r="F430" s="428" t="s">
        <v>1873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1163</v>
      </c>
      <c r="C431" s="387" t="s">
        <v>1163</v>
      </c>
      <c r="D431" s="441" t="s">
        <v>860</v>
      </c>
      <c r="E431" s="441" t="s">
        <v>437</v>
      </c>
      <c r="F431" s="428" t="s">
        <v>206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1163</v>
      </c>
      <c r="C432" s="387" t="s">
        <v>1163</v>
      </c>
      <c r="D432" s="441" t="s">
        <v>860</v>
      </c>
      <c r="E432" s="441" t="s">
        <v>437</v>
      </c>
      <c r="F432" s="428" t="s">
        <v>209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970</v>
      </c>
      <c r="C433" s="386" t="s">
        <v>1165</v>
      </c>
      <c r="D433" s="386"/>
      <c r="E433" s="386"/>
      <c r="F433" s="426" t="s">
        <v>1874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1165</v>
      </c>
      <c r="C434" s="387" t="s">
        <v>1165</v>
      </c>
      <c r="D434" s="441" t="s">
        <v>159</v>
      </c>
      <c r="E434" s="387"/>
      <c r="F434" s="428" t="s">
        <v>1875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1165</v>
      </c>
      <c r="C435" s="387" t="s">
        <v>1165</v>
      </c>
      <c r="D435" s="441" t="s">
        <v>159</v>
      </c>
      <c r="E435" s="387" t="s">
        <v>664</v>
      </c>
      <c r="F435" s="428" t="s">
        <v>205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1165</v>
      </c>
      <c r="C436" s="387" t="s">
        <v>1165</v>
      </c>
      <c r="D436" s="441" t="s">
        <v>159</v>
      </c>
      <c r="E436" s="387" t="s">
        <v>664</v>
      </c>
      <c r="F436" s="428" t="s">
        <v>206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1165</v>
      </c>
      <c r="C437" s="387" t="s">
        <v>1165</v>
      </c>
      <c r="D437" s="441" t="s">
        <v>159</v>
      </c>
      <c r="E437" s="387" t="s">
        <v>664</v>
      </c>
      <c r="F437" s="428" t="s">
        <v>208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1165</v>
      </c>
      <c r="C438" s="387" t="s">
        <v>1165</v>
      </c>
      <c r="D438" s="441" t="s">
        <v>518</v>
      </c>
      <c r="E438" s="441"/>
      <c r="F438" s="428" t="s">
        <v>1875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1165</v>
      </c>
      <c r="C439" s="387" t="s">
        <v>1165</v>
      </c>
      <c r="D439" s="441" t="s">
        <v>518</v>
      </c>
      <c r="E439" s="441" t="s">
        <v>56</v>
      </c>
      <c r="F439" s="428" t="s">
        <v>206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1165</v>
      </c>
      <c r="C440" s="387" t="s">
        <v>1165</v>
      </c>
      <c r="D440" s="441" t="s">
        <v>441</v>
      </c>
      <c r="E440" s="441"/>
      <c r="F440" s="428" t="s">
        <v>1875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1165</v>
      </c>
      <c r="C441" s="387" t="s">
        <v>1165</v>
      </c>
      <c r="D441" s="441" t="s">
        <v>441</v>
      </c>
      <c r="E441" s="441" t="s">
        <v>437</v>
      </c>
      <c r="F441" s="428" t="s">
        <v>206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1165</v>
      </c>
      <c r="C442" s="387" t="s">
        <v>1165</v>
      </c>
      <c r="D442" s="441" t="s">
        <v>441</v>
      </c>
      <c r="E442" s="441" t="s">
        <v>437</v>
      </c>
      <c r="F442" s="428" t="s">
        <v>208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1165</v>
      </c>
      <c r="C443" s="387" t="s">
        <v>1165</v>
      </c>
      <c r="D443" s="441" t="s">
        <v>860</v>
      </c>
      <c r="E443" s="441"/>
      <c r="F443" s="428" t="s">
        <v>1875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972</v>
      </c>
      <c r="C444" s="386" t="s">
        <v>1164</v>
      </c>
      <c r="D444" s="386"/>
      <c r="E444" s="386"/>
      <c r="F444" s="426" t="s">
        <v>1874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1164</v>
      </c>
      <c r="C445" s="387" t="s">
        <v>1164</v>
      </c>
      <c r="D445" s="372" t="s">
        <v>159</v>
      </c>
      <c r="E445" s="387"/>
      <c r="F445" s="428" t="s">
        <v>1875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1164</v>
      </c>
      <c r="C446" s="387" t="s">
        <v>1164</v>
      </c>
      <c r="D446" s="372" t="s">
        <v>159</v>
      </c>
      <c r="E446" s="387" t="s">
        <v>664</v>
      </c>
      <c r="F446" s="428" t="s">
        <v>205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1164</v>
      </c>
      <c r="C447" s="387" t="s">
        <v>1164</v>
      </c>
      <c r="D447" s="372" t="s">
        <v>159</v>
      </c>
      <c r="E447" s="387" t="s">
        <v>664</v>
      </c>
      <c r="F447" s="428" t="s">
        <v>206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1164</v>
      </c>
      <c r="C448" s="387" t="s">
        <v>1164</v>
      </c>
      <c r="D448" s="372" t="s">
        <v>159</v>
      </c>
      <c r="E448" s="387" t="s">
        <v>664</v>
      </c>
      <c r="F448" s="428" t="s">
        <v>208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1164</v>
      </c>
      <c r="C449" s="387" t="s">
        <v>1164</v>
      </c>
      <c r="D449" s="372" t="s">
        <v>518</v>
      </c>
      <c r="E449" s="372"/>
      <c r="F449" s="428" t="s">
        <v>1875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1164</v>
      </c>
      <c r="C450" s="387" t="s">
        <v>1164</v>
      </c>
      <c r="D450" s="372" t="s">
        <v>518</v>
      </c>
      <c r="E450" s="372" t="s">
        <v>56</v>
      </c>
      <c r="F450" s="428" t="s">
        <v>206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1164</v>
      </c>
      <c r="C451" s="387" t="s">
        <v>1164</v>
      </c>
      <c r="D451" s="372" t="s">
        <v>441</v>
      </c>
      <c r="E451" s="372"/>
      <c r="F451" s="428" t="s">
        <v>1876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1164</v>
      </c>
      <c r="C452" s="387" t="s">
        <v>1164</v>
      </c>
      <c r="D452" s="372" t="s">
        <v>441</v>
      </c>
      <c r="E452" s="372" t="s">
        <v>437</v>
      </c>
      <c r="F452" s="428" t="s">
        <v>206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1164</v>
      </c>
      <c r="C453" s="387" t="s">
        <v>1164</v>
      </c>
      <c r="D453" s="372" t="s">
        <v>441</v>
      </c>
      <c r="E453" s="372" t="s">
        <v>437</v>
      </c>
      <c r="F453" s="428" t="s">
        <v>208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1164</v>
      </c>
      <c r="C454" s="387" t="s">
        <v>1164</v>
      </c>
      <c r="D454" s="372" t="s">
        <v>860</v>
      </c>
      <c r="E454" s="372"/>
      <c r="F454" s="428" t="s">
        <v>1876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973</v>
      </c>
      <c r="C455" s="380" t="s">
        <v>973</v>
      </c>
      <c r="D455" s="385"/>
      <c r="E455" s="380"/>
      <c r="F455" s="424" t="s">
        <v>1877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973</v>
      </c>
      <c r="C456" s="376" t="s">
        <v>973</v>
      </c>
      <c r="D456" s="372" t="s">
        <v>1166</v>
      </c>
      <c r="E456" s="372"/>
      <c r="F456" s="422" t="s">
        <v>1878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973</v>
      </c>
      <c r="C457" s="376" t="s">
        <v>973</v>
      </c>
      <c r="D457" s="372" t="s">
        <v>1166</v>
      </c>
      <c r="E457" s="372" t="s">
        <v>664</v>
      </c>
      <c r="F457" s="422" t="s">
        <v>374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973</v>
      </c>
      <c r="C458" s="376" t="s">
        <v>973</v>
      </c>
      <c r="D458" s="372" t="s">
        <v>1166</v>
      </c>
      <c r="E458" s="372" t="s">
        <v>664</v>
      </c>
      <c r="F458" s="422" t="s">
        <v>206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973</v>
      </c>
      <c r="C459" s="376" t="s">
        <v>973</v>
      </c>
      <c r="D459" s="372" t="s">
        <v>1166</v>
      </c>
      <c r="E459" s="372" t="s">
        <v>664</v>
      </c>
      <c r="F459" s="422" t="s">
        <v>1337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973</v>
      </c>
      <c r="C460" s="376" t="s">
        <v>973</v>
      </c>
      <c r="D460" s="372" t="s">
        <v>1166</v>
      </c>
      <c r="E460" s="372" t="s">
        <v>664</v>
      </c>
      <c r="F460" s="422" t="s">
        <v>1879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973</v>
      </c>
      <c r="C461" s="376" t="s">
        <v>973</v>
      </c>
      <c r="D461" s="372" t="s">
        <v>1166</v>
      </c>
      <c r="E461" s="372" t="s">
        <v>664</v>
      </c>
      <c r="F461" s="422" t="s">
        <v>198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973</v>
      </c>
      <c r="C462" s="376" t="s">
        <v>973</v>
      </c>
      <c r="D462" s="372" t="s">
        <v>1166</v>
      </c>
      <c r="E462" s="372" t="s">
        <v>664</v>
      </c>
      <c r="F462" s="422" t="s">
        <v>1955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973</v>
      </c>
      <c r="C463" s="376" t="s">
        <v>973</v>
      </c>
      <c r="D463" s="372" t="s">
        <v>159</v>
      </c>
      <c r="E463" s="376"/>
      <c r="F463" s="422" t="s">
        <v>1881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973</v>
      </c>
      <c r="C464" s="376" t="s">
        <v>973</v>
      </c>
      <c r="D464" s="372" t="s">
        <v>159</v>
      </c>
      <c r="E464" s="376" t="s">
        <v>1007</v>
      </c>
      <c r="F464" s="406" t="s">
        <v>290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973</v>
      </c>
      <c r="C465" s="376" t="s">
        <v>973</v>
      </c>
      <c r="D465" s="372" t="s">
        <v>159</v>
      </c>
      <c r="E465" s="376" t="s">
        <v>1007</v>
      </c>
      <c r="F465" s="406" t="s">
        <v>1334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973</v>
      </c>
      <c r="C466" s="376" t="s">
        <v>973</v>
      </c>
      <c r="D466" s="372" t="s">
        <v>159</v>
      </c>
      <c r="E466" s="376" t="s">
        <v>1007</v>
      </c>
      <c r="F466" s="406" t="s">
        <v>1883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973</v>
      </c>
      <c r="C467" s="376" t="s">
        <v>973</v>
      </c>
      <c r="D467" s="372" t="s">
        <v>518</v>
      </c>
      <c r="E467" s="372"/>
      <c r="F467" s="422" t="s">
        <v>1884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973</v>
      </c>
      <c r="C468" s="376" t="s">
        <v>973</v>
      </c>
      <c r="D468" s="372" t="s">
        <v>518</v>
      </c>
      <c r="E468" s="372" t="s">
        <v>56</v>
      </c>
      <c r="F468" s="422" t="s">
        <v>206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973</v>
      </c>
      <c r="C469" s="376" t="s">
        <v>973</v>
      </c>
      <c r="D469" s="372" t="s">
        <v>518</v>
      </c>
      <c r="E469" s="372" t="s">
        <v>56</v>
      </c>
      <c r="F469" s="422" t="s">
        <v>199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973</v>
      </c>
      <c r="C470" s="376" t="s">
        <v>973</v>
      </c>
      <c r="D470" s="372" t="s">
        <v>518</v>
      </c>
      <c r="E470" s="372" t="s">
        <v>56</v>
      </c>
      <c r="F470" s="422" t="s">
        <v>608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973</v>
      </c>
      <c r="C471" s="376" t="s">
        <v>973</v>
      </c>
      <c r="D471" s="372" t="s">
        <v>441</v>
      </c>
      <c r="E471" s="372"/>
      <c r="F471" s="422" t="s">
        <v>1885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973</v>
      </c>
      <c r="C472" s="376" t="s">
        <v>973</v>
      </c>
      <c r="D472" s="372" t="s">
        <v>441</v>
      </c>
      <c r="E472" s="372" t="s">
        <v>437</v>
      </c>
      <c r="F472" s="422" t="s">
        <v>206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973</v>
      </c>
      <c r="C473" s="376" t="s">
        <v>973</v>
      </c>
      <c r="D473" s="372" t="s">
        <v>441</v>
      </c>
      <c r="E473" s="372" t="s">
        <v>437</v>
      </c>
      <c r="F473" s="422" t="s">
        <v>208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973</v>
      </c>
      <c r="C474" s="376" t="s">
        <v>973</v>
      </c>
      <c r="D474" s="372" t="s">
        <v>441</v>
      </c>
      <c r="E474" s="372" t="s">
        <v>437</v>
      </c>
      <c r="F474" s="422" t="s">
        <v>199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973</v>
      </c>
      <c r="C475" s="376" t="s">
        <v>973</v>
      </c>
      <c r="D475" s="372" t="s">
        <v>441</v>
      </c>
      <c r="E475" s="372" t="s">
        <v>437</v>
      </c>
      <c r="F475" s="422" t="s">
        <v>209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973</v>
      </c>
      <c r="C476" s="376" t="s">
        <v>973</v>
      </c>
      <c r="D476" s="372" t="s">
        <v>860</v>
      </c>
      <c r="E476" s="372"/>
      <c r="F476" s="422" t="s">
        <v>1885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973</v>
      </c>
      <c r="C477" s="376" t="s">
        <v>973</v>
      </c>
      <c r="D477" s="372" t="s">
        <v>860</v>
      </c>
      <c r="E477" s="372" t="s">
        <v>437</v>
      </c>
      <c r="F477" s="464" t="s">
        <v>206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973</v>
      </c>
      <c r="C478" s="376" t="s">
        <v>973</v>
      </c>
      <c r="D478" s="372" t="s">
        <v>860</v>
      </c>
      <c r="E478" s="372" t="s">
        <v>437</v>
      </c>
      <c r="F478" s="422" t="s">
        <v>199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973</v>
      </c>
      <c r="C479" s="376" t="s">
        <v>973</v>
      </c>
      <c r="D479" s="372" t="s">
        <v>860</v>
      </c>
      <c r="E479" s="372" t="s">
        <v>437</v>
      </c>
      <c r="F479" s="422" t="s">
        <v>608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975</v>
      </c>
      <c r="C480" s="380" t="s">
        <v>163</v>
      </c>
      <c r="D480" s="380"/>
      <c r="E480" s="385"/>
      <c r="F480" s="424" t="s">
        <v>1887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975</v>
      </c>
      <c r="C481" s="376" t="s">
        <v>1201</v>
      </c>
      <c r="D481" s="372" t="s">
        <v>1166</v>
      </c>
      <c r="E481" s="372"/>
      <c r="F481" s="422" t="s">
        <v>1888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975</v>
      </c>
      <c r="C482" s="376" t="s">
        <v>1201</v>
      </c>
      <c r="D482" s="372" t="s">
        <v>1166</v>
      </c>
      <c r="E482" s="372" t="s">
        <v>437</v>
      </c>
      <c r="F482" s="422" t="s">
        <v>205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975</v>
      </c>
      <c r="C483" s="376" t="s">
        <v>1201</v>
      </c>
      <c r="D483" s="372" t="s">
        <v>1166</v>
      </c>
      <c r="E483" s="372" t="s">
        <v>437</v>
      </c>
      <c r="F483" s="422" t="s">
        <v>206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975</v>
      </c>
      <c r="C484" s="376" t="s">
        <v>1201</v>
      </c>
      <c r="D484" s="372" t="s">
        <v>1166</v>
      </c>
      <c r="E484" s="372" t="s">
        <v>437</v>
      </c>
      <c r="F484" s="422" t="s">
        <v>208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975</v>
      </c>
      <c r="C485" s="376" t="s">
        <v>1201</v>
      </c>
      <c r="D485" s="372" t="s">
        <v>1166</v>
      </c>
      <c r="E485" s="372" t="s">
        <v>437</v>
      </c>
      <c r="F485" s="422" t="s">
        <v>608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975</v>
      </c>
      <c r="C486" s="376" t="s">
        <v>1201</v>
      </c>
      <c r="D486" s="372" t="s">
        <v>159</v>
      </c>
      <c r="E486" s="372"/>
      <c r="F486" s="422" t="s">
        <v>1881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975</v>
      </c>
      <c r="C487" s="376" t="s">
        <v>1201</v>
      </c>
      <c r="D487" s="372" t="s">
        <v>518</v>
      </c>
      <c r="E487" s="372"/>
      <c r="F487" s="422" t="s">
        <v>1889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975</v>
      </c>
      <c r="C488" s="376" t="s">
        <v>1201</v>
      </c>
      <c r="D488" s="372" t="s">
        <v>518</v>
      </c>
      <c r="E488" s="372" t="s">
        <v>56</v>
      </c>
      <c r="F488" s="422" t="s">
        <v>206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975</v>
      </c>
      <c r="C489" s="376" t="s">
        <v>1201</v>
      </c>
      <c r="D489" s="372" t="s">
        <v>518</v>
      </c>
      <c r="E489" s="372" t="s">
        <v>56</v>
      </c>
      <c r="F489" s="422" t="s">
        <v>608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975</v>
      </c>
      <c r="C490" s="376" t="s">
        <v>1201</v>
      </c>
      <c r="D490" s="372" t="s">
        <v>441</v>
      </c>
      <c r="E490" s="372"/>
      <c r="F490" s="422" t="s">
        <v>1881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975</v>
      </c>
      <c r="C491" s="376" t="s">
        <v>1201</v>
      </c>
      <c r="D491" s="372" t="s">
        <v>441</v>
      </c>
      <c r="E491" s="372" t="s">
        <v>437</v>
      </c>
      <c r="F491" s="422" t="s">
        <v>206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975</v>
      </c>
      <c r="C492" s="376" t="s">
        <v>1201</v>
      </c>
      <c r="D492" s="372" t="s">
        <v>441</v>
      </c>
      <c r="E492" s="372" t="s">
        <v>437</v>
      </c>
      <c r="F492" s="422" t="s">
        <v>208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975</v>
      </c>
      <c r="C493" s="376" t="s">
        <v>1201</v>
      </c>
      <c r="D493" s="372" t="s">
        <v>441</v>
      </c>
      <c r="E493" s="372" t="s">
        <v>437</v>
      </c>
      <c r="F493" s="422" t="s">
        <v>608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975</v>
      </c>
      <c r="C494" s="376" t="s">
        <v>1201</v>
      </c>
      <c r="D494" s="372" t="s">
        <v>860</v>
      </c>
      <c r="E494" s="372"/>
      <c r="F494" s="422" t="s">
        <v>1881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975</v>
      </c>
      <c r="C495" s="376" t="s">
        <v>1201</v>
      </c>
      <c r="D495" s="372" t="s">
        <v>860</v>
      </c>
      <c r="E495" s="372" t="s">
        <v>437</v>
      </c>
      <c r="F495" s="422" t="s">
        <v>206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975</v>
      </c>
      <c r="C496" s="376" t="s">
        <v>1201</v>
      </c>
      <c r="D496" s="372" t="s">
        <v>860</v>
      </c>
      <c r="E496" s="372" t="s">
        <v>437</v>
      </c>
      <c r="F496" s="422" t="s">
        <v>208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975</v>
      </c>
      <c r="C497" s="376" t="s">
        <v>1201</v>
      </c>
      <c r="D497" s="372" t="s">
        <v>860</v>
      </c>
      <c r="E497" s="372" t="s">
        <v>437</v>
      </c>
      <c r="F497" s="422" t="s">
        <v>608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1890</v>
      </c>
      <c r="C498" s="386" t="s">
        <v>1201</v>
      </c>
      <c r="D498" s="391"/>
      <c r="E498" s="385"/>
      <c r="F498" s="424" t="s">
        <v>1891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1890</v>
      </c>
      <c r="C499" s="387" t="s">
        <v>1201</v>
      </c>
      <c r="D499" s="372" t="s">
        <v>1166</v>
      </c>
      <c r="E499" s="372"/>
      <c r="F499" s="422" t="s">
        <v>1892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1890</v>
      </c>
      <c r="C500" s="387" t="s">
        <v>1201</v>
      </c>
      <c r="D500" s="372" t="s">
        <v>1166</v>
      </c>
      <c r="E500" s="372" t="s">
        <v>437</v>
      </c>
      <c r="F500" s="422" t="s">
        <v>205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1890</v>
      </c>
      <c r="C501" s="387" t="s">
        <v>1201</v>
      </c>
      <c r="D501" s="372" t="s">
        <v>1166</v>
      </c>
      <c r="E501" s="372" t="s">
        <v>437</v>
      </c>
      <c r="F501" s="422" t="s">
        <v>206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1890</v>
      </c>
      <c r="C502" s="387" t="s">
        <v>1201</v>
      </c>
      <c r="D502" s="372" t="s">
        <v>1166</v>
      </c>
      <c r="E502" s="372" t="s">
        <v>437</v>
      </c>
      <c r="F502" s="422" t="s">
        <v>208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1890</v>
      </c>
      <c r="C503" s="387" t="s">
        <v>1201</v>
      </c>
      <c r="D503" s="372" t="s">
        <v>159</v>
      </c>
      <c r="E503" s="372"/>
      <c r="F503" s="422" t="s">
        <v>1892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1890</v>
      </c>
      <c r="C504" s="387" t="s">
        <v>1201</v>
      </c>
      <c r="D504" s="372" t="s">
        <v>159</v>
      </c>
      <c r="E504" s="372" t="s">
        <v>1007</v>
      </c>
      <c r="F504" s="422" t="s">
        <v>206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1890</v>
      </c>
      <c r="C505" s="387" t="s">
        <v>1201</v>
      </c>
      <c r="D505" s="372" t="s">
        <v>518</v>
      </c>
      <c r="E505" s="372"/>
      <c r="F505" s="422" t="s">
        <v>1892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1890</v>
      </c>
      <c r="C506" s="387" t="s">
        <v>1201</v>
      </c>
      <c r="D506" s="372" t="s">
        <v>518</v>
      </c>
      <c r="E506" s="372" t="s">
        <v>56</v>
      </c>
      <c r="F506" s="422" t="s">
        <v>206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1890</v>
      </c>
      <c r="C507" s="387" t="s">
        <v>1201</v>
      </c>
      <c r="D507" s="372" t="s">
        <v>441</v>
      </c>
      <c r="E507" s="372"/>
      <c r="F507" s="422" t="s">
        <v>1892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1890</v>
      </c>
      <c r="C508" s="387" t="s">
        <v>1201</v>
      </c>
      <c r="D508" s="373" t="s">
        <v>441</v>
      </c>
      <c r="E508" s="373" t="s">
        <v>437</v>
      </c>
      <c r="F508" s="422" t="s">
        <v>206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1890</v>
      </c>
      <c r="C509" s="387" t="s">
        <v>1201</v>
      </c>
      <c r="D509" s="373" t="s">
        <v>441</v>
      </c>
      <c r="E509" s="373" t="s">
        <v>437</v>
      </c>
      <c r="F509" s="422" t="s">
        <v>208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1890</v>
      </c>
      <c r="C510" s="387" t="s">
        <v>1201</v>
      </c>
      <c r="D510" s="372" t="s">
        <v>860</v>
      </c>
      <c r="E510" s="372"/>
      <c r="F510" s="422" t="s">
        <v>1892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1890</v>
      </c>
      <c r="C511" s="387" t="s">
        <v>1201</v>
      </c>
      <c r="D511" s="372" t="s">
        <v>860</v>
      </c>
      <c r="E511" s="373" t="s">
        <v>437</v>
      </c>
      <c r="F511" s="422" t="s">
        <v>206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1890</v>
      </c>
      <c r="C512" s="387" t="s">
        <v>1201</v>
      </c>
      <c r="D512" s="372" t="s">
        <v>860</v>
      </c>
      <c r="E512" s="373" t="s">
        <v>437</v>
      </c>
      <c r="F512" s="422" t="s">
        <v>208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609</v>
      </c>
      <c r="C513" s="386" t="s">
        <v>1201</v>
      </c>
      <c r="D513" s="391" t="s">
        <v>1176</v>
      </c>
      <c r="E513" s="385"/>
      <c r="F513" s="424" t="s">
        <v>1891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609</v>
      </c>
      <c r="C514" s="387" t="s">
        <v>1201</v>
      </c>
      <c r="D514" s="372" t="s">
        <v>1166</v>
      </c>
      <c r="E514" s="372"/>
      <c r="F514" s="422" t="s">
        <v>1892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609</v>
      </c>
      <c r="C515" s="387" t="s">
        <v>1201</v>
      </c>
      <c r="D515" s="372" t="s">
        <v>1166</v>
      </c>
      <c r="E515" s="372" t="s">
        <v>437</v>
      </c>
      <c r="F515" s="422" t="s">
        <v>1893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609</v>
      </c>
      <c r="C516" s="387" t="s">
        <v>1201</v>
      </c>
      <c r="D516" s="372" t="s">
        <v>1166</v>
      </c>
      <c r="E516" s="372" t="s">
        <v>437</v>
      </c>
      <c r="F516" s="422" t="s">
        <v>1894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609</v>
      </c>
      <c r="C517" s="387" t="s">
        <v>1201</v>
      </c>
      <c r="D517" s="372" t="s">
        <v>1166</v>
      </c>
      <c r="E517" s="372" t="s">
        <v>437</v>
      </c>
      <c r="F517" s="422" t="s">
        <v>199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609</v>
      </c>
      <c r="C518" s="387" t="s">
        <v>1201</v>
      </c>
      <c r="D518" s="372" t="s">
        <v>1166</v>
      </c>
      <c r="E518" s="372" t="s">
        <v>437</v>
      </c>
      <c r="F518" s="422" t="s">
        <v>608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609</v>
      </c>
      <c r="C519" s="387" t="s">
        <v>1201</v>
      </c>
      <c r="D519" s="372" t="s">
        <v>1166</v>
      </c>
      <c r="E519" s="372" t="s">
        <v>437</v>
      </c>
      <c r="F519" s="422" t="s">
        <v>198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609</v>
      </c>
      <c r="C520" s="387" t="s">
        <v>1201</v>
      </c>
      <c r="D520" s="372" t="s">
        <v>1166</v>
      </c>
      <c r="E520" s="372" t="s">
        <v>437</v>
      </c>
      <c r="F520" s="422" t="s">
        <v>1895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609</v>
      </c>
      <c r="C521" s="387" t="s">
        <v>1201</v>
      </c>
      <c r="D521" s="372" t="s">
        <v>159</v>
      </c>
      <c r="E521" s="372"/>
      <c r="F521" s="422" t="s">
        <v>1892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609</v>
      </c>
      <c r="C522" s="387" t="s">
        <v>1201</v>
      </c>
      <c r="D522" s="372" t="s">
        <v>159</v>
      </c>
      <c r="E522" s="372" t="s">
        <v>1007</v>
      </c>
      <c r="F522" s="422" t="s">
        <v>206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609</v>
      </c>
      <c r="C523" s="387" t="s">
        <v>1201</v>
      </c>
      <c r="D523" s="372" t="s">
        <v>518</v>
      </c>
      <c r="E523" s="372"/>
      <c r="F523" s="422" t="s">
        <v>1892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609</v>
      </c>
      <c r="C524" s="387" t="s">
        <v>1201</v>
      </c>
      <c r="D524" s="372" t="s">
        <v>518</v>
      </c>
      <c r="E524" s="372" t="s">
        <v>56</v>
      </c>
      <c r="F524" s="422" t="s">
        <v>206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609</v>
      </c>
      <c r="C525" s="387" t="s">
        <v>1201</v>
      </c>
      <c r="D525" s="372" t="s">
        <v>518</v>
      </c>
      <c r="E525" s="372" t="s">
        <v>56</v>
      </c>
      <c r="F525" s="422" t="s">
        <v>199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609</v>
      </c>
      <c r="C526" s="387" t="s">
        <v>1201</v>
      </c>
      <c r="D526" s="372" t="s">
        <v>518</v>
      </c>
      <c r="E526" s="372" t="s">
        <v>56</v>
      </c>
      <c r="F526" s="422" t="s">
        <v>608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609</v>
      </c>
      <c r="C527" s="387" t="s">
        <v>1201</v>
      </c>
      <c r="D527" s="372" t="s">
        <v>518</v>
      </c>
      <c r="E527" s="372" t="s">
        <v>56</v>
      </c>
      <c r="F527" s="422" t="s">
        <v>1895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609</v>
      </c>
      <c r="C528" s="387" t="s">
        <v>1201</v>
      </c>
      <c r="D528" s="372" t="s">
        <v>441</v>
      </c>
      <c r="E528" s="372"/>
      <c r="F528" s="422" t="s">
        <v>1892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609</v>
      </c>
      <c r="C529" s="387" t="s">
        <v>1201</v>
      </c>
      <c r="D529" s="372" t="s">
        <v>441</v>
      </c>
      <c r="E529" s="372" t="s">
        <v>437</v>
      </c>
      <c r="F529" s="422" t="s">
        <v>206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1896</v>
      </c>
      <c r="B530" s="372" t="s">
        <v>609</v>
      </c>
      <c r="C530" s="387" t="s">
        <v>1201</v>
      </c>
      <c r="D530" s="372" t="s">
        <v>441</v>
      </c>
      <c r="E530" s="372" t="s">
        <v>437</v>
      </c>
      <c r="F530" s="422" t="s">
        <v>1894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609</v>
      </c>
      <c r="C531" s="387" t="s">
        <v>1201</v>
      </c>
      <c r="D531" s="372" t="s">
        <v>441</v>
      </c>
      <c r="E531" s="372" t="s">
        <v>437</v>
      </c>
      <c r="F531" s="422" t="s">
        <v>199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609</v>
      </c>
      <c r="C532" s="387" t="s">
        <v>1201</v>
      </c>
      <c r="D532" s="372" t="s">
        <v>441</v>
      </c>
      <c r="E532" s="372" t="s">
        <v>437</v>
      </c>
      <c r="F532" s="422" t="s">
        <v>608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609</v>
      </c>
      <c r="C533" s="387" t="s">
        <v>1201</v>
      </c>
      <c r="D533" s="372" t="s">
        <v>441</v>
      </c>
      <c r="E533" s="372" t="s">
        <v>437</v>
      </c>
      <c r="F533" s="422" t="s">
        <v>1897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609</v>
      </c>
      <c r="C534" s="387" t="s">
        <v>1201</v>
      </c>
      <c r="D534" s="372" t="s">
        <v>860</v>
      </c>
      <c r="E534" s="372"/>
      <c r="F534" s="422" t="s">
        <v>1892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609</v>
      </c>
      <c r="C535" s="387" t="s">
        <v>1201</v>
      </c>
      <c r="D535" s="372" t="s">
        <v>860</v>
      </c>
      <c r="E535" s="372" t="s">
        <v>437</v>
      </c>
      <c r="F535" s="422" t="s">
        <v>206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609</v>
      </c>
      <c r="C536" s="387" t="s">
        <v>1201</v>
      </c>
      <c r="D536" s="372" t="s">
        <v>860</v>
      </c>
      <c r="E536" s="372" t="s">
        <v>437</v>
      </c>
      <c r="F536" s="422" t="s">
        <v>199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609</v>
      </c>
      <c r="C537" s="387" t="s">
        <v>1201</v>
      </c>
      <c r="D537" s="372" t="s">
        <v>860</v>
      </c>
      <c r="E537" s="372" t="s">
        <v>437</v>
      </c>
      <c r="F537" s="422" t="s">
        <v>608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609</v>
      </c>
      <c r="C538" s="387" t="s">
        <v>1201</v>
      </c>
      <c r="D538" s="372" t="s">
        <v>860</v>
      </c>
      <c r="E538" s="372" t="s">
        <v>437</v>
      </c>
      <c r="F538" s="422" t="s">
        <v>198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609</v>
      </c>
      <c r="C539" s="387" t="s">
        <v>1201</v>
      </c>
      <c r="D539" s="372" t="s">
        <v>860</v>
      </c>
      <c r="E539" s="372" t="s">
        <v>437</v>
      </c>
      <c r="F539" s="422" t="s">
        <v>1897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285</v>
      </c>
      <c r="C540" s="380" t="s">
        <v>285</v>
      </c>
      <c r="D540" s="380" t="s">
        <v>1898</v>
      </c>
      <c r="E540" s="385"/>
      <c r="F540" s="424" t="s">
        <v>1899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285</v>
      </c>
      <c r="C541" s="376" t="s">
        <v>1201</v>
      </c>
      <c r="D541" s="372" t="s">
        <v>1166</v>
      </c>
      <c r="E541" s="372"/>
      <c r="F541" s="422" t="s">
        <v>1888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285</v>
      </c>
      <c r="C542" s="376" t="s">
        <v>1201</v>
      </c>
      <c r="D542" s="372" t="s">
        <v>159</v>
      </c>
      <c r="E542" s="372"/>
      <c r="F542" s="422" t="s">
        <v>1881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285</v>
      </c>
      <c r="C543" s="376" t="s">
        <v>1201</v>
      </c>
      <c r="D543" s="372" t="s">
        <v>518</v>
      </c>
      <c r="E543" s="372"/>
      <c r="F543" s="422" t="s">
        <v>1900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285</v>
      </c>
      <c r="C544" s="376" t="s">
        <v>1201</v>
      </c>
      <c r="D544" s="372" t="s">
        <v>441</v>
      </c>
      <c r="E544" s="372"/>
      <c r="F544" s="422" t="s">
        <v>1881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285</v>
      </c>
      <c r="C545" s="376" t="s">
        <v>1201</v>
      </c>
      <c r="D545" s="372" t="s">
        <v>860</v>
      </c>
      <c r="E545" s="372"/>
      <c r="F545" s="422" t="s">
        <v>1881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916</v>
      </c>
      <c r="C546" s="380" t="s">
        <v>916</v>
      </c>
      <c r="D546" s="391"/>
      <c r="E546" s="380"/>
      <c r="F546" s="426" t="s">
        <v>1901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916</v>
      </c>
      <c r="C547" s="372" t="s">
        <v>916</v>
      </c>
      <c r="D547" s="372" t="s">
        <v>159</v>
      </c>
      <c r="E547" s="376"/>
      <c r="F547" s="422" t="s">
        <v>1902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916</v>
      </c>
      <c r="C548" s="372" t="s">
        <v>916</v>
      </c>
      <c r="D548" s="372" t="s">
        <v>159</v>
      </c>
      <c r="E548" s="376" t="s">
        <v>1007</v>
      </c>
      <c r="F548" s="422" t="s">
        <v>205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916</v>
      </c>
      <c r="C549" s="372" t="s">
        <v>916</v>
      </c>
      <c r="D549" s="372" t="s">
        <v>518</v>
      </c>
      <c r="E549" s="372"/>
      <c r="F549" s="422" t="s">
        <v>1884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916</v>
      </c>
      <c r="C550" s="372" t="s">
        <v>916</v>
      </c>
      <c r="D550" s="372" t="s">
        <v>441</v>
      </c>
      <c r="E550" s="372"/>
      <c r="F550" s="422" t="s">
        <v>1903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916</v>
      </c>
      <c r="C551" s="372" t="s">
        <v>916</v>
      </c>
      <c r="D551" s="372" t="s">
        <v>860</v>
      </c>
      <c r="E551" s="372"/>
      <c r="F551" s="422" t="s">
        <v>1903</v>
      </c>
      <c r="G551" s="372"/>
      <c r="H551" s="377"/>
      <c r="I551" s="397"/>
      <c r="J551" s="372"/>
      <c r="K551" s="377"/>
      <c r="L551" s="397"/>
      <c r="M551" s="372"/>
    </row>
    <row r="552" spans="1:13" ht="26.45" outlineLevel="1" collapsed="1">
      <c r="A552" s="372"/>
      <c r="B552" s="386" t="s">
        <v>912</v>
      </c>
      <c r="C552" s="386" t="s">
        <v>1654</v>
      </c>
      <c r="D552" s="386"/>
      <c r="E552" s="407"/>
      <c r="F552" s="426" t="s">
        <v>1901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1170</v>
      </c>
      <c r="C553" s="372" t="s">
        <v>1170</v>
      </c>
      <c r="D553" s="372" t="s">
        <v>159</v>
      </c>
      <c r="E553" s="376"/>
      <c r="F553" s="422" t="s">
        <v>1902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1170</v>
      </c>
      <c r="C554" s="372" t="s">
        <v>1170</v>
      </c>
      <c r="D554" s="372" t="s">
        <v>518</v>
      </c>
      <c r="E554" s="372"/>
      <c r="F554" s="422" t="s">
        <v>1884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1170</v>
      </c>
      <c r="C555" s="372" t="s">
        <v>1170</v>
      </c>
      <c r="D555" s="372" t="s">
        <v>441</v>
      </c>
      <c r="E555" s="372"/>
      <c r="F555" s="422" t="s">
        <v>1903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1170</v>
      </c>
      <c r="C556" s="372" t="s">
        <v>1170</v>
      </c>
      <c r="D556" s="372" t="s">
        <v>860</v>
      </c>
      <c r="E556" s="372"/>
      <c r="F556" s="422" t="s">
        <v>1903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985</v>
      </c>
      <c r="C557" s="380" t="s">
        <v>985</v>
      </c>
      <c r="D557" s="380"/>
      <c r="E557" s="380"/>
      <c r="F557" s="424" t="s">
        <v>1656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985</v>
      </c>
      <c r="C558" s="376" t="s">
        <v>985</v>
      </c>
      <c r="D558" s="372" t="s">
        <v>1166</v>
      </c>
      <c r="E558" s="376"/>
      <c r="F558" s="422" t="s">
        <v>1368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985</v>
      </c>
      <c r="C559" s="376" t="s">
        <v>985</v>
      </c>
      <c r="D559" s="372" t="s">
        <v>1166</v>
      </c>
      <c r="E559" s="376" t="s">
        <v>437</v>
      </c>
      <c r="F559" s="422" t="s">
        <v>205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985</v>
      </c>
      <c r="C560" s="376" t="s">
        <v>985</v>
      </c>
      <c r="D560" s="372" t="s">
        <v>1166</v>
      </c>
      <c r="E560" s="376" t="s">
        <v>437</v>
      </c>
      <c r="F560" s="422" t="s">
        <v>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985</v>
      </c>
      <c r="C561" s="376" t="s">
        <v>985</v>
      </c>
      <c r="D561" s="372" t="s">
        <v>1166</v>
      </c>
      <c r="E561" s="376" t="s">
        <v>437</v>
      </c>
      <c r="F561" s="422" t="s">
        <v>208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985</v>
      </c>
      <c r="C562" s="376" t="s">
        <v>985</v>
      </c>
      <c r="D562" s="372" t="s">
        <v>518</v>
      </c>
      <c r="E562" s="372"/>
      <c r="F562" s="422" t="s">
        <v>1368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985</v>
      </c>
      <c r="C563" s="376" t="s">
        <v>985</v>
      </c>
      <c r="D563" s="372" t="s">
        <v>518</v>
      </c>
      <c r="E563" s="372" t="s">
        <v>56</v>
      </c>
      <c r="F563" s="422" t="s">
        <v>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985</v>
      </c>
      <c r="C564" s="376" t="s">
        <v>985</v>
      </c>
      <c r="D564" s="372" t="s">
        <v>441</v>
      </c>
      <c r="E564" s="372"/>
      <c r="F564" s="422" t="s">
        <v>1368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985</v>
      </c>
      <c r="C565" s="376" t="s">
        <v>985</v>
      </c>
      <c r="D565" s="372" t="s">
        <v>441</v>
      </c>
      <c r="E565" s="372" t="s">
        <v>437</v>
      </c>
      <c r="F565" s="422" t="s">
        <v>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985</v>
      </c>
      <c r="C566" s="376" t="s">
        <v>985</v>
      </c>
      <c r="D566" s="372" t="s">
        <v>441</v>
      </c>
      <c r="E566" s="372" t="s">
        <v>437</v>
      </c>
      <c r="F566" s="422" t="s">
        <v>208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985</v>
      </c>
      <c r="C567" s="376" t="s">
        <v>985</v>
      </c>
      <c r="D567" s="372" t="s">
        <v>860</v>
      </c>
      <c r="E567" s="372"/>
      <c r="F567" s="422" t="s">
        <v>1368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985</v>
      </c>
      <c r="C568" s="376" t="s">
        <v>985</v>
      </c>
      <c r="D568" s="372" t="s">
        <v>860</v>
      </c>
      <c r="E568" s="372" t="s">
        <v>437</v>
      </c>
      <c r="F568" s="422" t="s">
        <v>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985</v>
      </c>
      <c r="C569" s="376" t="s">
        <v>985</v>
      </c>
      <c r="D569" s="372" t="s">
        <v>860</v>
      </c>
      <c r="E569" s="372" t="s">
        <v>437</v>
      </c>
      <c r="F569" s="422" t="s">
        <v>208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497</v>
      </c>
      <c r="C570" s="385" t="s">
        <v>1371</v>
      </c>
      <c r="D570" s="385"/>
      <c r="E570" s="380"/>
      <c r="F570" s="424" t="s">
        <v>1656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497</v>
      </c>
      <c r="C571" s="372" t="s">
        <v>1371</v>
      </c>
      <c r="D571" s="372" t="s">
        <v>159</v>
      </c>
      <c r="E571" s="376"/>
      <c r="F571" s="422" t="s">
        <v>1656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497</v>
      </c>
      <c r="C572" s="372" t="s">
        <v>1371</v>
      </c>
      <c r="D572" s="372" t="s">
        <v>159</v>
      </c>
      <c r="E572" s="376" t="s">
        <v>664</v>
      </c>
      <c r="F572" s="422" t="s">
        <v>226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497</v>
      </c>
      <c r="C573" s="372" t="s">
        <v>1371</v>
      </c>
      <c r="D573" s="372" t="s">
        <v>159</v>
      </c>
      <c r="E573" s="376" t="s">
        <v>664</v>
      </c>
      <c r="F573" s="422" t="s">
        <v>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497</v>
      </c>
      <c r="C574" s="372" t="s">
        <v>1371</v>
      </c>
      <c r="D574" s="372" t="s">
        <v>159</v>
      </c>
      <c r="E574" s="376" t="s">
        <v>664</v>
      </c>
      <c r="F574" s="422" t="s">
        <v>208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497</v>
      </c>
      <c r="C575" s="372" t="s">
        <v>1371</v>
      </c>
      <c r="D575" s="372" t="s">
        <v>518</v>
      </c>
      <c r="E575" s="372"/>
      <c r="F575" s="422" t="s">
        <v>1656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497</v>
      </c>
      <c r="C576" s="372" t="s">
        <v>1371</v>
      </c>
      <c r="D576" s="372" t="s">
        <v>518</v>
      </c>
      <c r="E576" s="372" t="s">
        <v>56</v>
      </c>
      <c r="F576" s="422" t="s">
        <v>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497</v>
      </c>
      <c r="C577" s="372" t="s">
        <v>1371</v>
      </c>
      <c r="D577" s="372" t="s">
        <v>441</v>
      </c>
      <c r="E577" s="372"/>
      <c r="F577" s="422" t="s">
        <v>1656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497</v>
      </c>
      <c r="C578" s="372" t="s">
        <v>1371</v>
      </c>
      <c r="D578" s="372" t="s">
        <v>441</v>
      </c>
      <c r="E578" s="372" t="s">
        <v>437</v>
      </c>
      <c r="F578" s="422" t="s">
        <v>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497</v>
      </c>
      <c r="C579" s="372" t="s">
        <v>1371</v>
      </c>
      <c r="D579" s="372" t="s">
        <v>441</v>
      </c>
      <c r="E579" s="372" t="s">
        <v>437</v>
      </c>
      <c r="F579" s="422" t="s">
        <v>208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497</v>
      </c>
      <c r="C580" s="372" t="s">
        <v>1371</v>
      </c>
      <c r="D580" s="372" t="s">
        <v>860</v>
      </c>
      <c r="E580" s="372"/>
      <c r="F580" s="422" t="s">
        <v>1656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497</v>
      </c>
      <c r="C581" s="372" t="s">
        <v>1371</v>
      </c>
      <c r="D581" s="372" t="s">
        <v>860</v>
      </c>
      <c r="E581" s="372" t="s">
        <v>437</v>
      </c>
      <c r="F581" s="422" t="s">
        <v>208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988</v>
      </c>
      <c r="C582" s="450" t="s">
        <v>1384</v>
      </c>
      <c r="D582" s="451"/>
      <c r="E582" s="450"/>
      <c r="F582" s="452" t="s">
        <v>1904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1384</v>
      </c>
      <c r="C583" s="456" t="s">
        <v>1384</v>
      </c>
      <c r="D583" s="457" t="s">
        <v>159</v>
      </c>
      <c r="E583" s="456"/>
      <c r="F583" s="425" t="s">
        <v>1179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1384</v>
      </c>
      <c r="C584" s="456" t="s">
        <v>1384</v>
      </c>
      <c r="D584" s="457" t="s">
        <v>159</v>
      </c>
      <c r="E584" s="456" t="s">
        <v>1167</v>
      </c>
      <c r="F584" s="425" t="s">
        <v>226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1384</v>
      </c>
      <c r="C585" s="456" t="s">
        <v>1384</v>
      </c>
      <c r="D585" s="457" t="s">
        <v>159</v>
      </c>
      <c r="E585" s="456" t="s">
        <v>1167</v>
      </c>
      <c r="F585" s="425" t="s">
        <v>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1384</v>
      </c>
      <c r="C586" s="456" t="s">
        <v>1384</v>
      </c>
      <c r="D586" s="457" t="s">
        <v>159</v>
      </c>
      <c r="E586" s="456" t="s">
        <v>1167</v>
      </c>
      <c r="F586" s="425" t="s">
        <v>208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1384</v>
      </c>
      <c r="C587" s="456" t="s">
        <v>1384</v>
      </c>
      <c r="D587" s="457" t="s">
        <v>518</v>
      </c>
      <c r="E587" s="457"/>
      <c r="F587" s="425" t="s">
        <v>1179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1384</v>
      </c>
      <c r="C588" s="456" t="s">
        <v>1384</v>
      </c>
      <c r="D588" s="457" t="s">
        <v>518</v>
      </c>
      <c r="E588" s="457" t="s">
        <v>56</v>
      </c>
      <c r="F588" s="425" t="s">
        <v>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1384</v>
      </c>
      <c r="C589" s="456" t="s">
        <v>1384</v>
      </c>
      <c r="D589" s="457" t="s">
        <v>441</v>
      </c>
      <c r="E589" s="457"/>
      <c r="F589" s="425" t="s">
        <v>1179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1384</v>
      </c>
      <c r="C590" s="456" t="s">
        <v>1384</v>
      </c>
      <c r="D590" s="457" t="s">
        <v>441</v>
      </c>
      <c r="E590" s="457" t="s">
        <v>437</v>
      </c>
      <c r="F590" s="425" t="s">
        <v>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1384</v>
      </c>
      <c r="C591" s="456" t="s">
        <v>1384</v>
      </c>
      <c r="D591" s="457" t="s">
        <v>441</v>
      </c>
      <c r="E591" s="457" t="s">
        <v>437</v>
      </c>
      <c r="F591" s="425" t="s">
        <v>208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1384</v>
      </c>
      <c r="C592" s="456" t="s">
        <v>1384</v>
      </c>
      <c r="D592" s="457" t="s">
        <v>860</v>
      </c>
      <c r="E592" s="457"/>
      <c r="F592" s="425" t="s">
        <v>1179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1384</v>
      </c>
      <c r="C593" s="456" t="s">
        <v>1384</v>
      </c>
      <c r="D593" s="457" t="s">
        <v>860</v>
      </c>
      <c r="E593" s="457" t="s">
        <v>437</v>
      </c>
      <c r="F593" s="425" t="s">
        <v>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1384</v>
      </c>
      <c r="C594" s="456" t="s">
        <v>1384</v>
      </c>
      <c r="D594" s="457" t="s">
        <v>860</v>
      </c>
      <c r="E594" s="457" t="s">
        <v>437</v>
      </c>
      <c r="F594" s="425" t="s">
        <v>208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.45" outlineLevel="1" collapsed="1">
      <c r="A595" s="457"/>
      <c r="B595" s="450" t="s">
        <v>369</v>
      </c>
      <c r="C595" s="450" t="s">
        <v>843</v>
      </c>
      <c r="D595" s="450"/>
      <c r="E595" s="450"/>
      <c r="F595" s="452" t="s">
        <v>1905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369</v>
      </c>
      <c r="C596" s="376" t="s">
        <v>843</v>
      </c>
      <c r="D596" s="372" t="s">
        <v>159</v>
      </c>
      <c r="E596" s="376"/>
      <c r="F596" s="422" t="s">
        <v>1906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369</v>
      </c>
      <c r="C597" s="376" t="s">
        <v>843</v>
      </c>
      <c r="D597" s="372" t="s">
        <v>159</v>
      </c>
      <c r="E597" s="376" t="s">
        <v>664</v>
      </c>
      <c r="F597" s="422" t="s">
        <v>370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369</v>
      </c>
      <c r="C598" s="376" t="s">
        <v>843</v>
      </c>
      <c r="D598" s="372" t="s">
        <v>159</v>
      </c>
      <c r="E598" s="376" t="s">
        <v>664</v>
      </c>
      <c r="F598" s="422" t="s">
        <v>230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369</v>
      </c>
      <c r="C599" s="376" t="s">
        <v>843</v>
      </c>
      <c r="D599" s="372" t="s">
        <v>159</v>
      </c>
      <c r="E599" s="376" t="s">
        <v>664</v>
      </c>
      <c r="F599" s="422" t="s">
        <v>208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369</v>
      </c>
      <c r="C600" s="376" t="s">
        <v>843</v>
      </c>
      <c r="D600" s="372" t="s">
        <v>159</v>
      </c>
      <c r="E600" s="376" t="s">
        <v>1007</v>
      </c>
      <c r="F600" s="406" t="s">
        <v>38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369</v>
      </c>
      <c r="C601" s="376" t="s">
        <v>843</v>
      </c>
      <c r="D601" s="372" t="s">
        <v>159</v>
      </c>
      <c r="E601" s="376" t="s">
        <v>1007</v>
      </c>
      <c r="F601" s="406" t="s">
        <v>1341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369</v>
      </c>
      <c r="C602" s="376" t="s">
        <v>843</v>
      </c>
      <c r="D602" s="372" t="s">
        <v>518</v>
      </c>
      <c r="E602" s="372"/>
      <c r="F602" s="422" t="s">
        <v>1884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369</v>
      </c>
      <c r="C603" s="376" t="s">
        <v>843</v>
      </c>
      <c r="D603" s="372" t="s">
        <v>518</v>
      </c>
      <c r="E603" s="372" t="s">
        <v>56</v>
      </c>
      <c r="F603" s="422" t="s">
        <v>370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369</v>
      </c>
      <c r="C604" s="376" t="s">
        <v>843</v>
      </c>
      <c r="D604" s="372" t="s">
        <v>518</v>
      </c>
      <c r="E604" s="372" t="s">
        <v>56</v>
      </c>
      <c r="F604" s="422" t="s">
        <v>230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369</v>
      </c>
      <c r="C605" s="376" t="s">
        <v>843</v>
      </c>
      <c r="D605" s="372" t="s">
        <v>441</v>
      </c>
      <c r="E605" s="372"/>
      <c r="F605" s="422" t="s">
        <v>1907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369</v>
      </c>
      <c r="C606" s="376" t="s">
        <v>843</v>
      </c>
      <c r="D606" s="372" t="s">
        <v>441</v>
      </c>
      <c r="E606" s="372" t="s">
        <v>437</v>
      </c>
      <c r="F606" s="422" t="s">
        <v>206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369</v>
      </c>
      <c r="C607" s="376" t="s">
        <v>843</v>
      </c>
      <c r="D607" s="372" t="s">
        <v>441</v>
      </c>
      <c r="E607" s="372" t="s">
        <v>437</v>
      </c>
      <c r="F607" s="422" t="s">
        <v>208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369</v>
      </c>
      <c r="C608" s="376" t="s">
        <v>843</v>
      </c>
      <c r="D608" s="372" t="s">
        <v>441</v>
      </c>
      <c r="E608" s="372" t="s">
        <v>437</v>
      </c>
      <c r="F608" s="422" t="s">
        <v>230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369</v>
      </c>
      <c r="C609" s="376" t="s">
        <v>843</v>
      </c>
      <c r="D609" s="372" t="s">
        <v>860</v>
      </c>
      <c r="E609" s="372"/>
      <c r="F609" s="422" t="s">
        <v>1907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369</v>
      </c>
      <c r="C610" s="376" t="s">
        <v>843</v>
      </c>
      <c r="D610" s="372" t="s">
        <v>860</v>
      </c>
      <c r="E610" s="372" t="s">
        <v>437</v>
      </c>
      <c r="F610" s="422" t="s">
        <v>206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369</v>
      </c>
      <c r="C611" s="376" t="s">
        <v>843</v>
      </c>
      <c r="D611" s="372" t="s">
        <v>860</v>
      </c>
      <c r="E611" s="372" t="s">
        <v>437</v>
      </c>
      <c r="F611" s="422" t="s">
        <v>208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2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1956</v>
      </c>
      <c r="C2" s="418"/>
      <c r="D2" s="418"/>
      <c r="E2" s="418"/>
      <c r="F2" s="469"/>
      <c r="G2" s="419" t="s">
        <v>1714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1176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1162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897</v>
      </c>
      <c r="C9" s="475" t="s">
        <v>1201</v>
      </c>
      <c r="D9" s="475" t="s">
        <v>159</v>
      </c>
      <c r="E9" s="475" t="s">
        <v>1162</v>
      </c>
      <c r="F9" s="475" t="s">
        <v>1957</v>
      </c>
      <c r="G9" s="476">
        <v>0</v>
      </c>
      <c r="H9" s="476">
        <v>0</v>
      </c>
    </row>
    <row r="10" spans="1:24" outlineLevel="1">
      <c r="B10" s="475" t="s">
        <v>898</v>
      </c>
      <c r="C10" s="446" t="s">
        <v>1785</v>
      </c>
      <c r="D10" s="445" t="s">
        <v>159</v>
      </c>
      <c r="E10" s="446" t="s">
        <v>1162</v>
      </c>
      <c r="F10" s="475" t="s">
        <v>1958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898</v>
      </c>
      <c r="C11" s="447" t="s">
        <v>1785</v>
      </c>
      <c r="D11" s="443" t="s">
        <v>159</v>
      </c>
      <c r="E11" s="447" t="s">
        <v>1162</v>
      </c>
      <c r="F11" s="477" t="s">
        <v>174</v>
      </c>
      <c r="G11" s="478">
        <v>7.0000000000000007E-2</v>
      </c>
      <c r="H11" s="478">
        <v>1</v>
      </c>
    </row>
    <row r="12" spans="1:24" outlineLevel="2">
      <c r="B12" s="477" t="s">
        <v>898</v>
      </c>
      <c r="C12" s="447" t="s">
        <v>1785</v>
      </c>
      <c r="D12" s="443" t="s">
        <v>159</v>
      </c>
      <c r="E12" s="447" t="s">
        <v>1162</v>
      </c>
      <c r="F12" s="477" t="s">
        <v>175</v>
      </c>
      <c r="G12" s="478">
        <v>0.18</v>
      </c>
      <c r="H12" s="478">
        <v>1</v>
      </c>
    </row>
    <row r="13" spans="1:24" outlineLevel="1">
      <c r="B13" s="475" t="s">
        <v>899</v>
      </c>
      <c r="C13" s="446" t="s">
        <v>1178</v>
      </c>
      <c r="D13" s="445" t="s">
        <v>159</v>
      </c>
      <c r="E13" s="446" t="s">
        <v>1162</v>
      </c>
      <c r="F13" s="475" t="s">
        <v>1959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899</v>
      </c>
      <c r="C14" s="447" t="s">
        <v>1178</v>
      </c>
      <c r="D14" s="443" t="s">
        <v>159</v>
      </c>
      <c r="E14" s="447" t="s">
        <v>1162</v>
      </c>
      <c r="F14" s="477" t="s">
        <v>188</v>
      </c>
      <c r="G14" s="478">
        <v>0.3</v>
      </c>
      <c r="H14" s="478">
        <v>1</v>
      </c>
    </row>
    <row r="15" spans="1:24" outlineLevel="2">
      <c r="B15" s="477" t="s">
        <v>899</v>
      </c>
      <c r="C15" s="447" t="s">
        <v>1178</v>
      </c>
      <c r="D15" s="443" t="s">
        <v>159</v>
      </c>
      <c r="E15" s="447" t="s">
        <v>1162</v>
      </c>
      <c r="F15" s="477" t="s">
        <v>189</v>
      </c>
      <c r="G15" s="478">
        <v>0.3</v>
      </c>
      <c r="H15" s="478">
        <v>1</v>
      </c>
    </row>
    <row r="16" spans="1:24" outlineLevel="2">
      <c r="B16" s="477" t="s">
        <v>899</v>
      </c>
      <c r="C16" s="447" t="s">
        <v>1178</v>
      </c>
      <c r="D16" s="443" t="s">
        <v>159</v>
      </c>
      <c r="E16" s="447" t="s">
        <v>1162</v>
      </c>
      <c r="F16" s="477" t="s">
        <v>190</v>
      </c>
      <c r="G16" s="478">
        <v>0.03</v>
      </c>
      <c r="H16" s="478">
        <v>1</v>
      </c>
    </row>
    <row r="17" spans="2:8" outlineLevel="2">
      <c r="B17" s="477" t="s">
        <v>899</v>
      </c>
      <c r="C17" s="447" t="s">
        <v>1178</v>
      </c>
      <c r="D17" s="443" t="s">
        <v>159</v>
      </c>
      <c r="E17" s="447" t="s">
        <v>1162</v>
      </c>
      <c r="F17" s="477" t="s">
        <v>1790</v>
      </c>
      <c r="G17" s="478">
        <v>1.7453571000000001</v>
      </c>
      <c r="H17" s="478">
        <v>1</v>
      </c>
    </row>
    <row r="18" spans="2:8" outlineLevel="1">
      <c r="B18" s="475" t="s">
        <v>946</v>
      </c>
      <c r="C18" s="446" t="s">
        <v>1195</v>
      </c>
      <c r="D18" s="445" t="s">
        <v>159</v>
      </c>
      <c r="E18" s="446" t="s">
        <v>1162</v>
      </c>
      <c r="F18" s="475" t="s">
        <v>1960</v>
      </c>
      <c r="G18" s="476">
        <v>0.30105801900000001</v>
      </c>
      <c r="H18" s="476">
        <f>SUM(H19:H21)</f>
        <v>3</v>
      </c>
    </row>
    <row r="19" spans="2:8" outlineLevel="2">
      <c r="B19" s="477" t="s">
        <v>946</v>
      </c>
      <c r="C19" s="447" t="s">
        <v>1195</v>
      </c>
      <c r="D19" s="443" t="s">
        <v>159</v>
      </c>
      <c r="E19" s="447" t="s">
        <v>1162</v>
      </c>
      <c r="F19" s="477" t="s">
        <v>1807</v>
      </c>
      <c r="G19" s="478">
        <v>9.2092275000000001E-2</v>
      </c>
      <c r="H19" s="478">
        <v>1</v>
      </c>
    </row>
    <row r="20" spans="2:8" outlineLevel="2">
      <c r="B20" s="477" t="s">
        <v>946</v>
      </c>
      <c r="C20" s="447" t="s">
        <v>1195</v>
      </c>
      <c r="D20" s="443" t="s">
        <v>159</v>
      </c>
      <c r="E20" s="447" t="s">
        <v>1162</v>
      </c>
      <c r="F20" s="477" t="s">
        <v>1808</v>
      </c>
      <c r="G20" s="478">
        <v>0.13060359000000002</v>
      </c>
      <c r="H20" s="478">
        <v>1</v>
      </c>
    </row>
    <row r="21" spans="2:8" outlineLevel="2">
      <c r="B21" s="477" t="s">
        <v>946</v>
      </c>
      <c r="C21" s="447" t="s">
        <v>1195</v>
      </c>
      <c r="D21" s="443" t="s">
        <v>159</v>
      </c>
      <c r="E21" s="447" t="s">
        <v>1162</v>
      </c>
      <c r="F21" s="477" t="s">
        <v>1809</v>
      </c>
      <c r="G21" s="478">
        <v>7.8362154000000003E-2</v>
      </c>
      <c r="H21" s="478">
        <v>1</v>
      </c>
    </row>
    <row r="22" spans="2:8" outlineLevel="1">
      <c r="B22" s="475" t="s">
        <v>966</v>
      </c>
      <c r="C22" s="446" t="s">
        <v>1222</v>
      </c>
      <c r="D22" s="445" t="s">
        <v>159</v>
      </c>
      <c r="E22" s="446" t="s">
        <v>1162</v>
      </c>
      <c r="F22" s="475" t="s">
        <v>1961</v>
      </c>
      <c r="G22" s="476">
        <v>8.7813947704253064</v>
      </c>
      <c r="H22" s="476">
        <f>SUM(H23:H25)</f>
        <v>3</v>
      </c>
    </row>
    <row r="23" spans="2:8" outlineLevel="2">
      <c r="B23" s="477" t="s">
        <v>966</v>
      </c>
      <c r="C23" s="447" t="s">
        <v>1222</v>
      </c>
      <c r="D23" s="443" t="s">
        <v>159</v>
      </c>
      <c r="E23" s="447" t="s">
        <v>1162</v>
      </c>
      <c r="F23" s="477" t="s">
        <v>199</v>
      </c>
      <c r="G23" s="478">
        <v>4.3906973852126532</v>
      </c>
      <c r="H23" s="478">
        <v>1</v>
      </c>
    </row>
    <row r="24" spans="2:8" outlineLevel="2">
      <c r="B24" s="477" t="s">
        <v>966</v>
      </c>
      <c r="C24" s="447" t="s">
        <v>1222</v>
      </c>
      <c r="D24" s="443" t="s">
        <v>159</v>
      </c>
      <c r="E24" s="447" t="s">
        <v>1162</v>
      </c>
      <c r="F24" s="477" t="s">
        <v>209</v>
      </c>
      <c r="G24" s="478">
        <v>2.1953486926063266</v>
      </c>
      <c r="H24" s="478">
        <v>1</v>
      </c>
    </row>
    <row r="25" spans="2:8" outlineLevel="2">
      <c r="B25" s="477" t="s">
        <v>966</v>
      </c>
      <c r="C25" s="447" t="s">
        <v>1222</v>
      </c>
      <c r="D25" s="443" t="s">
        <v>159</v>
      </c>
      <c r="E25" s="447" t="s">
        <v>1162</v>
      </c>
      <c r="F25" s="477" t="s">
        <v>198</v>
      </c>
      <c r="G25" s="478">
        <v>2.1953486926063266</v>
      </c>
      <c r="H25" s="478">
        <v>1</v>
      </c>
    </row>
    <row r="26" spans="2:8" outlineLevel="1">
      <c r="B26" s="475" t="s">
        <v>901</v>
      </c>
      <c r="C26" s="446" t="s">
        <v>1201</v>
      </c>
      <c r="D26" s="445" t="s">
        <v>159</v>
      </c>
      <c r="E26" s="446" t="s">
        <v>1162</v>
      </c>
      <c r="F26" s="475" t="s">
        <v>1962</v>
      </c>
      <c r="G26" s="476">
        <v>0.96000000000000008</v>
      </c>
      <c r="H26" s="476">
        <f>SUM(H27:H31)</f>
        <v>5</v>
      </c>
    </row>
    <row r="27" spans="2:8" outlineLevel="2">
      <c r="B27" s="477" t="s">
        <v>901</v>
      </c>
      <c r="C27" s="447" t="s">
        <v>1201</v>
      </c>
      <c r="D27" s="443" t="s">
        <v>159</v>
      </c>
      <c r="E27" s="447" t="s">
        <v>1162</v>
      </c>
      <c r="F27" s="477" t="s">
        <v>216</v>
      </c>
      <c r="G27" s="478">
        <v>0.51</v>
      </c>
      <c r="H27" s="478">
        <v>1</v>
      </c>
    </row>
    <row r="28" spans="2:8" outlineLevel="2">
      <c r="B28" s="477" t="s">
        <v>901</v>
      </c>
      <c r="C28" s="447" t="s">
        <v>1201</v>
      </c>
      <c r="D28" s="443" t="s">
        <v>159</v>
      </c>
      <c r="E28" s="447" t="s">
        <v>1162</v>
      </c>
      <c r="F28" s="477" t="s">
        <v>218</v>
      </c>
      <c r="G28" s="478">
        <v>0.3</v>
      </c>
      <c r="H28" s="478">
        <v>1</v>
      </c>
    </row>
    <row r="29" spans="2:8" outlineLevel="2">
      <c r="B29" s="477" t="s">
        <v>901</v>
      </c>
      <c r="C29" s="447" t="s">
        <v>1201</v>
      </c>
      <c r="D29" s="443" t="s">
        <v>159</v>
      </c>
      <c r="E29" s="447" t="s">
        <v>1162</v>
      </c>
      <c r="F29" s="477" t="s">
        <v>190</v>
      </c>
      <c r="G29" s="478">
        <v>0.09</v>
      </c>
      <c r="H29" s="478">
        <v>1</v>
      </c>
    </row>
    <row r="30" spans="2:8" outlineLevel="2">
      <c r="B30" s="477" t="s">
        <v>901</v>
      </c>
      <c r="C30" s="447" t="s">
        <v>1201</v>
      </c>
      <c r="D30" s="443" t="s">
        <v>159</v>
      </c>
      <c r="E30" s="447" t="s">
        <v>1162</v>
      </c>
      <c r="F30" s="477" t="s">
        <v>174</v>
      </c>
      <c r="G30" s="478">
        <v>0.03</v>
      </c>
      <c r="H30" s="478">
        <v>1</v>
      </c>
    </row>
    <row r="31" spans="2:8" outlineLevel="2">
      <c r="B31" s="477" t="s">
        <v>901</v>
      </c>
      <c r="C31" s="447" t="s">
        <v>1201</v>
      </c>
      <c r="D31" s="443" t="s">
        <v>159</v>
      </c>
      <c r="E31" s="447" t="s">
        <v>1162</v>
      </c>
      <c r="F31" s="477" t="s">
        <v>195</v>
      </c>
      <c r="G31" s="478">
        <v>0.03</v>
      </c>
      <c r="H31" s="478">
        <v>1</v>
      </c>
    </row>
    <row r="32" spans="2:8" outlineLevel="1">
      <c r="B32" s="475" t="s">
        <v>225</v>
      </c>
      <c r="C32" s="446" t="s">
        <v>1206</v>
      </c>
      <c r="D32" s="445" t="s">
        <v>159</v>
      </c>
      <c r="E32" s="446" t="s">
        <v>1162</v>
      </c>
      <c r="F32" s="475" t="s">
        <v>1963</v>
      </c>
      <c r="G32" s="476">
        <v>0.10500000000000001</v>
      </c>
      <c r="H32" s="476">
        <f>SUM(H33:H34)</f>
        <v>2</v>
      </c>
    </row>
    <row r="33" spans="2:8" outlineLevel="2">
      <c r="B33" s="477" t="s">
        <v>225</v>
      </c>
      <c r="C33" s="447" t="s">
        <v>1206</v>
      </c>
      <c r="D33" s="443" t="s">
        <v>159</v>
      </c>
      <c r="E33" s="447" t="s">
        <v>1162</v>
      </c>
      <c r="F33" s="477" t="s">
        <v>36</v>
      </c>
      <c r="G33" s="478">
        <v>6.3E-2</v>
      </c>
      <c r="H33" s="478">
        <v>1</v>
      </c>
    </row>
    <row r="34" spans="2:8" outlineLevel="2">
      <c r="B34" s="477" t="s">
        <v>225</v>
      </c>
      <c r="C34" s="447" t="s">
        <v>1206</v>
      </c>
      <c r="D34" s="443" t="s">
        <v>159</v>
      </c>
      <c r="E34" s="447" t="s">
        <v>1162</v>
      </c>
      <c r="F34" s="477" t="s">
        <v>208</v>
      </c>
      <c r="G34" s="478">
        <v>4.2000000000000003E-2</v>
      </c>
      <c r="H34" s="478">
        <v>1</v>
      </c>
    </row>
    <row r="35" spans="2:8" outlineLevel="1">
      <c r="B35" s="475" t="s">
        <v>229</v>
      </c>
      <c r="C35" s="446" t="s">
        <v>1211</v>
      </c>
      <c r="D35" s="445" t="s">
        <v>159</v>
      </c>
      <c r="E35" s="479" t="s">
        <v>1162</v>
      </c>
      <c r="F35" s="475" t="s">
        <v>1964</v>
      </c>
      <c r="G35" s="476">
        <v>0.77993999999999997</v>
      </c>
      <c r="H35" s="476">
        <f>SUM(H36:H39)</f>
        <v>4</v>
      </c>
    </row>
    <row r="36" spans="2:8" outlineLevel="2">
      <c r="B36" s="477" t="s">
        <v>229</v>
      </c>
      <c r="C36" s="447" t="s">
        <v>1211</v>
      </c>
      <c r="D36" s="443" t="s">
        <v>159</v>
      </c>
      <c r="E36" s="382" t="s">
        <v>1162</v>
      </c>
      <c r="F36" s="477" t="s">
        <v>1209</v>
      </c>
      <c r="G36" s="478">
        <v>0.12999000000000002</v>
      </c>
      <c r="H36" s="478">
        <v>1</v>
      </c>
    </row>
    <row r="37" spans="2:8" outlineLevel="2">
      <c r="B37" s="477" t="s">
        <v>229</v>
      </c>
      <c r="C37" s="447" t="s">
        <v>1211</v>
      </c>
      <c r="D37" s="443" t="s">
        <v>159</v>
      </c>
      <c r="E37" s="382" t="s">
        <v>1162</v>
      </c>
      <c r="F37" s="477" t="s">
        <v>1210</v>
      </c>
      <c r="G37" s="478">
        <v>0.25998000000000004</v>
      </c>
      <c r="H37" s="478">
        <v>1</v>
      </c>
    </row>
    <row r="38" spans="2:8" outlineLevel="2">
      <c r="B38" s="477" t="s">
        <v>229</v>
      </c>
      <c r="C38" s="447" t="s">
        <v>1211</v>
      </c>
      <c r="D38" s="443" t="s">
        <v>159</v>
      </c>
      <c r="E38" s="382" t="s">
        <v>1162</v>
      </c>
      <c r="F38" s="477" t="s">
        <v>1215</v>
      </c>
      <c r="G38" s="478">
        <v>0.19498499999999999</v>
      </c>
      <c r="H38" s="478">
        <v>1</v>
      </c>
    </row>
    <row r="39" spans="2:8" outlineLevel="2">
      <c r="B39" s="477" t="s">
        <v>229</v>
      </c>
      <c r="C39" s="447" t="s">
        <v>1211</v>
      </c>
      <c r="D39" s="443" t="s">
        <v>159</v>
      </c>
      <c r="E39" s="382" t="s">
        <v>1162</v>
      </c>
      <c r="F39" s="477" t="s">
        <v>1216</v>
      </c>
      <c r="G39" s="478">
        <v>0.19498499999999999</v>
      </c>
      <c r="H39" s="478">
        <v>1</v>
      </c>
    </row>
    <row r="40" spans="2:8" outlineLevel="1">
      <c r="B40" s="475" t="s">
        <v>498</v>
      </c>
      <c r="C40" s="446" t="s">
        <v>1217</v>
      </c>
      <c r="D40" s="445" t="s">
        <v>159</v>
      </c>
      <c r="E40" s="446" t="s">
        <v>1162</v>
      </c>
      <c r="F40" s="475" t="s">
        <v>1965</v>
      </c>
      <c r="G40" s="476">
        <v>0.43996002400000001</v>
      </c>
      <c r="H40" s="476">
        <f>SUM(H41:H42)</f>
        <v>2</v>
      </c>
    </row>
    <row r="41" spans="2:8" outlineLevel="2">
      <c r="B41" s="477" t="s">
        <v>498</v>
      </c>
      <c r="C41" s="447" t="s">
        <v>1217</v>
      </c>
      <c r="D41" s="443" t="s">
        <v>159</v>
      </c>
      <c r="E41" s="447" t="s">
        <v>1162</v>
      </c>
      <c r="F41" s="468" t="s">
        <v>226</v>
      </c>
      <c r="G41" s="480">
        <v>0.17598400959999999</v>
      </c>
      <c r="H41" s="478">
        <v>1</v>
      </c>
    </row>
    <row r="42" spans="2:8" outlineLevel="2">
      <c r="B42" s="477" t="s">
        <v>498</v>
      </c>
      <c r="C42" s="447" t="s">
        <v>1217</v>
      </c>
      <c r="D42" s="443" t="s">
        <v>159</v>
      </c>
      <c r="E42" s="447" t="s">
        <v>1162</v>
      </c>
      <c r="F42" s="468" t="s">
        <v>36</v>
      </c>
      <c r="G42" s="480">
        <v>0.26397601440000001</v>
      </c>
      <c r="H42" s="478">
        <v>1</v>
      </c>
    </row>
    <row r="43" spans="2:8" outlineLevel="1">
      <c r="B43" s="475" t="s">
        <v>902</v>
      </c>
      <c r="C43" s="446" t="s">
        <v>1220</v>
      </c>
      <c r="D43" s="445" t="s">
        <v>159</v>
      </c>
      <c r="E43" s="446" t="s">
        <v>1162</v>
      </c>
      <c r="F43" s="475" t="s">
        <v>1966</v>
      </c>
      <c r="G43" s="476">
        <v>1.18</v>
      </c>
      <c r="H43" s="476">
        <f>SUM(H44:H46)</f>
        <v>3</v>
      </c>
    </row>
    <row r="44" spans="2:8" outlineLevel="2">
      <c r="B44" s="477" t="s">
        <v>902</v>
      </c>
      <c r="C44" s="447" t="s">
        <v>1220</v>
      </c>
      <c r="D44" s="443" t="s">
        <v>159</v>
      </c>
      <c r="E44" s="447" t="s">
        <v>1162</v>
      </c>
      <c r="F44" s="477" t="s">
        <v>205</v>
      </c>
      <c r="G44" s="478">
        <v>0.54</v>
      </c>
      <c r="H44" s="478">
        <v>1</v>
      </c>
    </row>
    <row r="45" spans="2:8" outlineLevel="2">
      <c r="B45" s="477" t="s">
        <v>902</v>
      </c>
      <c r="C45" s="447" t="s">
        <v>1220</v>
      </c>
      <c r="D45" s="443" t="s">
        <v>159</v>
      </c>
      <c r="E45" s="447" t="s">
        <v>1162</v>
      </c>
      <c r="F45" s="477" t="s">
        <v>206</v>
      </c>
      <c r="G45" s="478">
        <v>0.43</v>
      </c>
      <c r="H45" s="478">
        <v>1</v>
      </c>
    </row>
    <row r="46" spans="2:8" outlineLevel="2">
      <c r="B46" s="477" t="s">
        <v>902</v>
      </c>
      <c r="C46" s="447" t="s">
        <v>1220</v>
      </c>
      <c r="D46" s="443" t="s">
        <v>159</v>
      </c>
      <c r="E46" s="447" t="s">
        <v>1162</v>
      </c>
      <c r="F46" s="477" t="s">
        <v>208</v>
      </c>
      <c r="G46" s="478">
        <v>0.21</v>
      </c>
      <c r="H46" s="478">
        <v>1</v>
      </c>
    </row>
    <row r="47" spans="2:8" outlineLevel="1">
      <c r="B47" s="475" t="s">
        <v>1163</v>
      </c>
      <c r="C47" s="446" t="s">
        <v>1163</v>
      </c>
      <c r="D47" s="445" t="s">
        <v>159</v>
      </c>
      <c r="E47" s="481" t="s">
        <v>1162</v>
      </c>
      <c r="F47" s="475" t="s">
        <v>1967</v>
      </c>
      <c r="G47" s="476">
        <v>13.810550000000003</v>
      </c>
      <c r="H47" s="476">
        <f>SUM(H48:H51)</f>
        <v>4</v>
      </c>
    </row>
    <row r="48" spans="2:8" outlineLevel="2">
      <c r="B48" s="477" t="s">
        <v>1163</v>
      </c>
      <c r="C48" s="447" t="s">
        <v>1163</v>
      </c>
      <c r="D48" s="443" t="s">
        <v>159</v>
      </c>
      <c r="E48" s="448" t="s">
        <v>1162</v>
      </c>
      <c r="F48" s="482" t="s">
        <v>205</v>
      </c>
      <c r="G48" s="483">
        <v>4.7746000000000013</v>
      </c>
      <c r="H48" s="478">
        <v>1</v>
      </c>
    </row>
    <row r="49" spans="2:8" outlineLevel="2">
      <c r="B49" s="477" t="s">
        <v>1163</v>
      </c>
      <c r="C49" s="447" t="s">
        <v>1163</v>
      </c>
      <c r="D49" s="443" t="s">
        <v>159</v>
      </c>
      <c r="E49" s="448" t="s">
        <v>1162</v>
      </c>
      <c r="F49" s="482" t="s">
        <v>206</v>
      </c>
      <c r="G49" s="483">
        <v>4.3640000000000008</v>
      </c>
      <c r="H49" s="478">
        <v>1</v>
      </c>
    </row>
    <row r="50" spans="2:8" outlineLevel="2">
      <c r="B50" s="477" t="s">
        <v>1163</v>
      </c>
      <c r="C50" s="447" t="s">
        <v>1163</v>
      </c>
      <c r="D50" s="443" t="s">
        <v>159</v>
      </c>
      <c r="E50" s="448" t="s">
        <v>1162</v>
      </c>
      <c r="F50" s="482" t="s">
        <v>208</v>
      </c>
      <c r="G50" s="483">
        <v>2.2846500000000005</v>
      </c>
      <c r="H50" s="478">
        <v>1</v>
      </c>
    </row>
    <row r="51" spans="2:8" outlineLevel="2">
      <c r="B51" s="477" t="s">
        <v>1163</v>
      </c>
      <c r="C51" s="447" t="s">
        <v>1163</v>
      </c>
      <c r="D51" s="443" t="s">
        <v>159</v>
      </c>
      <c r="E51" s="448" t="s">
        <v>1162</v>
      </c>
      <c r="F51" s="482" t="s">
        <v>209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28515625" style="495" bestFit="1" customWidth="1"/>
    <col min="5" max="5" width="12.5703125" style="495" customWidth="1"/>
    <col min="6" max="6" width="13.7109375" style="495" bestFit="1" customWidth="1"/>
    <col min="7" max="7" width="66.285156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7.45">
      <c r="A2" s="376"/>
      <c r="B2" s="376"/>
      <c r="C2" s="418" t="s">
        <v>1956</v>
      </c>
      <c r="D2" s="418"/>
      <c r="E2" s="418"/>
      <c r="F2" s="418"/>
      <c r="G2" s="469"/>
      <c r="H2" s="419" t="s">
        <v>1714</v>
      </c>
      <c r="I2" s="419" t="s">
        <v>726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1176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6">
      <c r="A7" s="376"/>
      <c r="B7" s="376" t="s">
        <v>1968</v>
      </c>
      <c r="C7" s="470" t="s">
        <v>1169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891</v>
      </c>
      <c r="D9" s="446" t="s">
        <v>1240</v>
      </c>
      <c r="E9" s="445" t="s">
        <v>159</v>
      </c>
      <c r="F9" s="446" t="s">
        <v>1169</v>
      </c>
      <c r="G9" s="475" t="s">
        <v>1969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891</v>
      </c>
      <c r="D10" s="447" t="s">
        <v>1240</v>
      </c>
      <c r="E10" s="443" t="s">
        <v>159</v>
      </c>
      <c r="F10" s="447" t="s">
        <v>1169</v>
      </c>
      <c r="G10" s="477" t="s">
        <v>1716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891</v>
      </c>
      <c r="D11" s="447" t="s">
        <v>1240</v>
      </c>
      <c r="E11" s="443" t="s">
        <v>159</v>
      </c>
      <c r="F11" s="447" t="s">
        <v>1169</v>
      </c>
      <c r="G11" s="477" t="s">
        <v>1718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891</v>
      </c>
      <c r="D12" s="446" t="s">
        <v>1195</v>
      </c>
      <c r="E12" s="445" t="s">
        <v>159</v>
      </c>
      <c r="F12" s="446" t="s">
        <v>1169</v>
      </c>
      <c r="G12" s="475" t="s">
        <v>1969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891</v>
      </c>
      <c r="D13" s="447" t="s">
        <v>1195</v>
      </c>
      <c r="E13" s="443" t="s">
        <v>159</v>
      </c>
      <c r="F13" s="447" t="s">
        <v>1169</v>
      </c>
      <c r="G13" s="477" t="s">
        <v>247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891</v>
      </c>
      <c r="D14" s="447" t="s">
        <v>1195</v>
      </c>
      <c r="E14" s="443" t="s">
        <v>159</v>
      </c>
      <c r="F14" s="447" t="s">
        <v>1169</v>
      </c>
      <c r="G14" s="477" t="s">
        <v>251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891</v>
      </c>
      <c r="D15" s="446" t="s">
        <v>1247</v>
      </c>
      <c r="E15" s="445" t="s">
        <v>159</v>
      </c>
      <c r="F15" s="446" t="s">
        <v>1169</v>
      </c>
      <c r="G15" s="475" t="s">
        <v>1969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891</v>
      </c>
      <c r="D16" s="447" t="s">
        <v>1247</v>
      </c>
      <c r="E16" s="443" t="s">
        <v>159</v>
      </c>
      <c r="F16" s="447" t="s">
        <v>1169</v>
      </c>
      <c r="G16" s="468" t="s">
        <v>297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891</v>
      </c>
      <c r="D17" s="447" t="s">
        <v>1247</v>
      </c>
      <c r="E17" s="443" t="s">
        <v>159</v>
      </c>
      <c r="F17" s="447" t="s">
        <v>1169</v>
      </c>
      <c r="G17" s="468" t="s">
        <v>206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891</v>
      </c>
      <c r="D18" s="447" t="s">
        <v>1247</v>
      </c>
      <c r="E18" s="443" t="s">
        <v>159</v>
      </c>
      <c r="F18" s="447" t="s">
        <v>1169</v>
      </c>
      <c r="G18" s="468" t="s">
        <v>208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891</v>
      </c>
      <c r="D19" s="447" t="s">
        <v>1247</v>
      </c>
      <c r="E19" s="443" t="s">
        <v>159</v>
      </c>
      <c r="F19" s="447" t="s">
        <v>1169</v>
      </c>
      <c r="G19" s="468" t="s">
        <v>199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891</v>
      </c>
      <c r="D20" s="447" t="s">
        <v>1247</v>
      </c>
      <c r="E20" s="443" t="s">
        <v>159</v>
      </c>
      <c r="F20" s="447" t="s">
        <v>1169</v>
      </c>
      <c r="G20" s="468" t="s">
        <v>1726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891</v>
      </c>
      <c r="D21" s="447" t="s">
        <v>1247</v>
      </c>
      <c r="E21" s="443" t="s">
        <v>159</v>
      </c>
      <c r="F21" s="447" t="s">
        <v>1169</v>
      </c>
      <c r="G21" s="468" t="s">
        <v>1728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891</v>
      </c>
      <c r="D22" s="447" t="s">
        <v>1247</v>
      </c>
      <c r="E22" s="443" t="s">
        <v>159</v>
      </c>
      <c r="F22" s="447" t="s">
        <v>1169</v>
      </c>
      <c r="G22" s="468" t="s">
        <v>1729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891</v>
      </c>
      <c r="D23" s="447" t="s">
        <v>1247</v>
      </c>
      <c r="E23" s="443" t="s">
        <v>159</v>
      </c>
      <c r="F23" s="447" t="s">
        <v>1169</v>
      </c>
      <c r="G23" s="468" t="s">
        <v>1731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891</v>
      </c>
      <c r="D24" s="447" t="s">
        <v>1247</v>
      </c>
      <c r="E24" s="443" t="s">
        <v>159</v>
      </c>
      <c r="F24" s="447" t="s">
        <v>1169</v>
      </c>
      <c r="G24" s="468" t="s">
        <v>1727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891</v>
      </c>
      <c r="D25" s="447" t="s">
        <v>1247</v>
      </c>
      <c r="E25" s="443" t="s">
        <v>159</v>
      </c>
      <c r="F25" s="447" t="s">
        <v>1169</v>
      </c>
      <c r="G25" s="468" t="s">
        <v>1730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891</v>
      </c>
      <c r="D26" s="447" t="s">
        <v>1247</v>
      </c>
      <c r="E26" s="443" t="s">
        <v>159</v>
      </c>
      <c r="F26" s="447" t="s">
        <v>1169</v>
      </c>
      <c r="G26" s="468" t="s">
        <v>1732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891</v>
      </c>
      <c r="D27" s="447" t="s">
        <v>1247</v>
      </c>
      <c r="E27" s="443" t="s">
        <v>159</v>
      </c>
      <c r="F27" s="447" t="s">
        <v>1169</v>
      </c>
      <c r="G27" s="468" t="s">
        <v>1733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891</v>
      </c>
      <c r="D28" s="447" t="s">
        <v>1247</v>
      </c>
      <c r="E28" s="443" t="s">
        <v>159</v>
      </c>
      <c r="F28" s="447" t="s">
        <v>1169</v>
      </c>
      <c r="G28" s="468" t="s">
        <v>1734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891</v>
      </c>
      <c r="D29" s="447" t="s">
        <v>1247</v>
      </c>
      <c r="E29" s="443" t="s">
        <v>159</v>
      </c>
      <c r="F29" s="447" t="s">
        <v>1169</v>
      </c>
      <c r="G29" s="468" t="s">
        <v>1735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891</v>
      </c>
      <c r="D30" s="447" t="s">
        <v>1247</v>
      </c>
      <c r="E30" s="443" t="s">
        <v>159</v>
      </c>
      <c r="F30" s="447" t="s">
        <v>1169</v>
      </c>
      <c r="G30" s="468" t="s">
        <v>490</v>
      </c>
      <c r="H30" s="480">
        <v>0.05</v>
      </c>
      <c r="I30" s="478">
        <v>1</v>
      </c>
    </row>
    <row r="31" spans="2:9" outlineLevel="1">
      <c r="B31" s="373"/>
      <c r="C31" s="475" t="s">
        <v>894</v>
      </c>
      <c r="D31" s="446" t="s">
        <v>1265</v>
      </c>
      <c r="E31" s="445" t="s">
        <v>159</v>
      </c>
      <c r="F31" s="446" t="s">
        <v>1169</v>
      </c>
      <c r="G31" s="475" t="s">
        <v>1970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894</v>
      </c>
      <c r="D32" s="447" t="s">
        <v>1265</v>
      </c>
      <c r="E32" s="443" t="s">
        <v>159</v>
      </c>
      <c r="F32" s="447" t="s">
        <v>1169</v>
      </c>
      <c r="G32" s="477" t="s">
        <v>334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894</v>
      </c>
      <c r="D33" s="447" t="s">
        <v>1265</v>
      </c>
      <c r="E33" s="443" t="s">
        <v>159</v>
      </c>
      <c r="F33" s="447" t="s">
        <v>1169</v>
      </c>
      <c r="G33" s="477" t="s">
        <v>335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894</v>
      </c>
      <c r="D34" s="447" t="s">
        <v>1265</v>
      </c>
      <c r="E34" s="443" t="s">
        <v>159</v>
      </c>
      <c r="F34" s="447" t="s">
        <v>1169</v>
      </c>
      <c r="G34" s="477" t="s">
        <v>336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894</v>
      </c>
      <c r="D35" s="447" t="s">
        <v>1265</v>
      </c>
      <c r="E35" s="443" t="s">
        <v>159</v>
      </c>
      <c r="F35" s="447" t="s">
        <v>1169</v>
      </c>
      <c r="G35" s="477" t="s">
        <v>1758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894</v>
      </c>
      <c r="D36" s="447" t="s">
        <v>1265</v>
      </c>
      <c r="E36" s="443" t="s">
        <v>159</v>
      </c>
      <c r="F36" s="447" t="s">
        <v>1169</v>
      </c>
      <c r="G36" s="477" t="s">
        <v>337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894</v>
      </c>
      <c r="D37" s="447" t="s">
        <v>1265</v>
      </c>
      <c r="E37" s="443" t="s">
        <v>159</v>
      </c>
      <c r="F37" s="447" t="s">
        <v>1169</v>
      </c>
      <c r="G37" s="477" t="s">
        <v>338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894</v>
      </c>
      <c r="D38" s="447" t="s">
        <v>1265</v>
      </c>
      <c r="E38" s="443" t="s">
        <v>159</v>
      </c>
      <c r="F38" s="447" t="s">
        <v>1169</v>
      </c>
      <c r="G38" s="477" t="s">
        <v>339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894</v>
      </c>
      <c r="D39" s="447" t="s">
        <v>1265</v>
      </c>
      <c r="E39" s="443" t="s">
        <v>159</v>
      </c>
      <c r="F39" s="447" t="s">
        <v>1169</v>
      </c>
      <c r="G39" s="477" t="s">
        <v>340</v>
      </c>
      <c r="H39" s="478">
        <v>0.03</v>
      </c>
      <c r="I39" s="478">
        <v>1</v>
      </c>
    </row>
    <row r="40" spans="2:9" outlineLevel="1">
      <c r="B40" s="373"/>
      <c r="C40" s="475" t="s">
        <v>469</v>
      </c>
      <c r="D40" s="446" t="s">
        <v>1281</v>
      </c>
      <c r="E40" s="445" t="s">
        <v>159</v>
      </c>
      <c r="F40" s="446" t="s">
        <v>1169</v>
      </c>
      <c r="G40" s="475" t="s">
        <v>1971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469</v>
      </c>
      <c r="D41" s="447" t="s">
        <v>1281</v>
      </c>
      <c r="E41" s="443" t="s">
        <v>159</v>
      </c>
      <c r="F41" s="447" t="s">
        <v>1169</v>
      </c>
      <c r="G41" s="477" t="s">
        <v>1770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469</v>
      </c>
      <c r="D42" s="447" t="s">
        <v>1281</v>
      </c>
      <c r="E42" s="443" t="s">
        <v>159</v>
      </c>
      <c r="F42" s="447" t="s">
        <v>1169</v>
      </c>
      <c r="G42" s="477" t="s">
        <v>1771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469</v>
      </c>
      <c r="D43" s="447" t="s">
        <v>1281</v>
      </c>
      <c r="E43" s="443" t="s">
        <v>159</v>
      </c>
      <c r="F43" s="447" t="s">
        <v>1169</v>
      </c>
      <c r="G43" s="477" t="s">
        <v>1772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469</v>
      </c>
      <c r="D44" s="447" t="s">
        <v>1281</v>
      </c>
      <c r="E44" s="443" t="s">
        <v>159</v>
      </c>
      <c r="F44" s="447" t="s">
        <v>1169</v>
      </c>
      <c r="G44" s="477" t="s">
        <v>1773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469</v>
      </c>
      <c r="D45" s="447" t="s">
        <v>1281</v>
      </c>
      <c r="E45" s="443" t="s">
        <v>159</v>
      </c>
      <c r="F45" s="447" t="s">
        <v>1169</v>
      </c>
      <c r="G45" s="477" t="s">
        <v>1078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469</v>
      </c>
      <c r="D46" s="447" t="s">
        <v>1281</v>
      </c>
      <c r="E46" s="443" t="s">
        <v>159</v>
      </c>
      <c r="F46" s="447" t="s">
        <v>1169</v>
      </c>
      <c r="G46" s="477" t="s">
        <v>1084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469</v>
      </c>
      <c r="D47" s="447" t="s">
        <v>1281</v>
      </c>
      <c r="E47" s="443" t="s">
        <v>159</v>
      </c>
      <c r="F47" s="447" t="s">
        <v>1169</v>
      </c>
      <c r="G47" s="477" t="s">
        <v>1775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469</v>
      </c>
      <c r="D48" s="447" t="s">
        <v>1281</v>
      </c>
      <c r="E48" s="443" t="s">
        <v>159</v>
      </c>
      <c r="F48" s="447" t="s">
        <v>1169</v>
      </c>
      <c r="G48" s="477" t="s">
        <v>1776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469</v>
      </c>
      <c r="D49" s="447" t="s">
        <v>1281</v>
      </c>
      <c r="E49" s="443" t="s">
        <v>159</v>
      </c>
      <c r="F49" s="447" t="s">
        <v>1169</v>
      </c>
      <c r="G49" s="477" t="s">
        <v>244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469</v>
      </c>
      <c r="D50" s="447" t="s">
        <v>1281</v>
      </c>
      <c r="E50" s="443" t="s">
        <v>159</v>
      </c>
      <c r="F50" s="447" t="s">
        <v>1169</v>
      </c>
      <c r="G50" s="477" t="s">
        <v>860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469</v>
      </c>
      <c r="D51" s="447" t="s">
        <v>1281</v>
      </c>
      <c r="E51" s="443" t="s">
        <v>159</v>
      </c>
      <c r="F51" s="447" t="s">
        <v>1169</v>
      </c>
      <c r="G51" s="477" t="s">
        <v>221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469</v>
      </c>
      <c r="D52" s="447" t="s">
        <v>1281</v>
      </c>
      <c r="E52" s="443" t="s">
        <v>159</v>
      </c>
      <c r="F52" s="447" t="s">
        <v>1169</v>
      </c>
      <c r="G52" s="477" t="s">
        <v>245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469</v>
      </c>
      <c r="D53" s="447" t="s">
        <v>1281</v>
      </c>
      <c r="E53" s="443" t="s">
        <v>159</v>
      </c>
      <c r="F53" s="447" t="s">
        <v>1169</v>
      </c>
      <c r="G53" s="477" t="s">
        <v>283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469</v>
      </c>
      <c r="D54" s="447" t="s">
        <v>1281</v>
      </c>
      <c r="E54" s="443" t="s">
        <v>159</v>
      </c>
      <c r="F54" s="447" t="s">
        <v>1169</v>
      </c>
      <c r="G54" s="477" t="s">
        <v>543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469</v>
      </c>
      <c r="D55" s="447" t="s">
        <v>1281</v>
      </c>
      <c r="E55" s="443" t="s">
        <v>159</v>
      </c>
      <c r="F55" s="447" t="s">
        <v>1169</v>
      </c>
      <c r="G55" s="477" t="s">
        <v>1774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469</v>
      </c>
      <c r="D56" s="447" t="s">
        <v>1281</v>
      </c>
      <c r="E56" s="443" t="s">
        <v>159</v>
      </c>
      <c r="F56" s="447" t="s">
        <v>1169</v>
      </c>
      <c r="G56" s="477" t="s">
        <v>544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469</v>
      </c>
      <c r="D57" s="447" t="s">
        <v>1281</v>
      </c>
      <c r="E57" s="443" t="s">
        <v>159</v>
      </c>
      <c r="F57" s="447" t="s">
        <v>1169</v>
      </c>
      <c r="G57" s="477" t="s">
        <v>545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469</v>
      </c>
      <c r="D58" s="447" t="s">
        <v>1281</v>
      </c>
      <c r="E58" s="443" t="s">
        <v>159</v>
      </c>
      <c r="F58" s="447" t="s">
        <v>1169</v>
      </c>
      <c r="G58" s="477" t="s">
        <v>1089</v>
      </c>
      <c r="H58" s="478">
        <v>0.96</v>
      </c>
      <c r="I58" s="478">
        <v>1</v>
      </c>
    </row>
    <row r="59" spans="2:9" outlineLevel="1">
      <c r="B59" s="373"/>
      <c r="C59" s="475" t="s">
        <v>1170</v>
      </c>
      <c r="D59" s="446" t="s">
        <v>1170</v>
      </c>
      <c r="E59" s="445" t="s">
        <v>159</v>
      </c>
      <c r="F59" s="446" t="s">
        <v>1169</v>
      </c>
      <c r="G59" s="475" t="s">
        <v>1972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7.45">
      <c r="A1" s="376"/>
      <c r="B1" s="418" t="s">
        <v>1956</v>
      </c>
      <c r="C1" s="418"/>
      <c r="D1" s="418"/>
      <c r="E1" s="418"/>
      <c r="F1" s="469"/>
      <c r="G1" s="419" t="s">
        <v>1714</v>
      </c>
      <c r="H1" s="419" t="s">
        <v>726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642</v>
      </c>
      <c r="C3" s="417" t="s">
        <v>643</v>
      </c>
      <c r="D3" s="417" t="s">
        <v>645</v>
      </c>
      <c r="E3" s="417" t="s">
        <v>0</v>
      </c>
      <c r="F3" s="433" t="s">
        <v>992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6">
      <c r="A5" s="376"/>
      <c r="B5" s="470" t="s">
        <v>664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893</v>
      </c>
      <c r="C7" s="446" t="s">
        <v>1351</v>
      </c>
      <c r="D7" s="445" t="s">
        <v>159</v>
      </c>
      <c r="E7" s="446" t="s">
        <v>664</v>
      </c>
      <c r="F7" s="475" t="s">
        <v>1973</v>
      </c>
      <c r="G7" s="476">
        <v>0.3642147722995997</v>
      </c>
      <c r="H7" s="476">
        <v>3</v>
      </c>
    </row>
    <row r="8" spans="1:23" outlineLevel="2">
      <c r="B8" s="477" t="s">
        <v>893</v>
      </c>
      <c r="C8" s="447" t="s">
        <v>1351</v>
      </c>
      <c r="D8" s="443" t="s">
        <v>159</v>
      </c>
      <c r="E8" s="447" t="s">
        <v>664</v>
      </c>
      <c r="F8" s="477" t="s">
        <v>246</v>
      </c>
      <c r="G8" s="480">
        <v>0.13658053961234987</v>
      </c>
      <c r="H8" s="478">
        <v>1</v>
      </c>
    </row>
    <row r="9" spans="1:23" outlineLevel="2">
      <c r="B9" s="477" t="s">
        <v>893</v>
      </c>
      <c r="C9" s="447" t="s">
        <v>1351</v>
      </c>
      <c r="D9" s="443" t="s">
        <v>159</v>
      </c>
      <c r="E9" s="447" t="s">
        <v>664</v>
      </c>
      <c r="F9" s="477" t="s">
        <v>247</v>
      </c>
      <c r="G9" s="480">
        <v>0.18210738614979985</v>
      </c>
      <c r="H9" s="478">
        <v>1</v>
      </c>
    </row>
    <row r="10" spans="1:23" outlineLevel="2">
      <c r="B10" s="477" t="s">
        <v>893</v>
      </c>
      <c r="C10" s="447" t="s">
        <v>1351</v>
      </c>
      <c r="D10" s="443" t="s">
        <v>159</v>
      </c>
      <c r="E10" s="447" t="s">
        <v>664</v>
      </c>
      <c r="F10" s="477" t="s">
        <v>248</v>
      </c>
      <c r="G10" s="480">
        <v>4.5526846537449962E-2</v>
      </c>
      <c r="H10" s="478">
        <v>1</v>
      </c>
    </row>
    <row r="11" spans="1:23" outlineLevel="1">
      <c r="B11" s="475" t="s">
        <v>497</v>
      </c>
      <c r="C11" s="446" t="s">
        <v>1371</v>
      </c>
      <c r="D11" s="445" t="s">
        <v>159</v>
      </c>
      <c r="E11" s="446" t="s">
        <v>664</v>
      </c>
      <c r="F11" s="475" t="s">
        <v>1974</v>
      </c>
      <c r="G11" s="476">
        <v>1.6099999999999999</v>
      </c>
      <c r="H11" s="476">
        <v>3</v>
      </c>
    </row>
    <row r="12" spans="1:23" outlineLevel="2">
      <c r="B12" s="477" t="s">
        <v>497</v>
      </c>
      <c r="C12" s="447" t="s">
        <v>1371</v>
      </c>
      <c r="D12" s="443" t="s">
        <v>159</v>
      </c>
      <c r="E12" s="447" t="s">
        <v>664</v>
      </c>
      <c r="F12" s="477" t="s">
        <v>226</v>
      </c>
      <c r="G12" s="480">
        <v>0.46</v>
      </c>
      <c r="H12" s="478">
        <v>1</v>
      </c>
    </row>
    <row r="13" spans="1:23" outlineLevel="2">
      <c r="B13" s="477" t="s">
        <v>497</v>
      </c>
      <c r="C13" s="447" t="s">
        <v>1371</v>
      </c>
      <c r="D13" s="443" t="s">
        <v>159</v>
      </c>
      <c r="E13" s="447" t="s">
        <v>664</v>
      </c>
      <c r="F13" s="477" t="s">
        <v>36</v>
      </c>
      <c r="G13" s="480">
        <v>0.69</v>
      </c>
      <c r="H13" s="478">
        <v>1</v>
      </c>
    </row>
    <row r="14" spans="1:23" outlineLevel="2">
      <c r="B14" s="477" t="s">
        <v>497</v>
      </c>
      <c r="C14" s="447" t="s">
        <v>1371</v>
      </c>
      <c r="D14" s="443" t="s">
        <v>159</v>
      </c>
      <c r="E14" s="447" t="s">
        <v>664</v>
      </c>
      <c r="F14" s="477" t="s">
        <v>208</v>
      </c>
      <c r="G14" s="480">
        <v>0.46</v>
      </c>
      <c r="H14" s="478">
        <v>1</v>
      </c>
    </row>
    <row r="15" spans="1:23" outlineLevel="1">
      <c r="B15" s="475" t="s">
        <v>964</v>
      </c>
      <c r="C15" s="446" t="s">
        <v>1247</v>
      </c>
      <c r="D15" s="445" t="s">
        <v>159</v>
      </c>
      <c r="E15" s="446" t="s">
        <v>664</v>
      </c>
      <c r="F15" s="475" t="s">
        <v>1975</v>
      </c>
      <c r="G15" s="476">
        <v>0.61820000000000008</v>
      </c>
      <c r="H15" s="476">
        <v>3</v>
      </c>
    </row>
    <row r="16" spans="1:23" outlineLevel="2">
      <c r="B16" s="477" t="s">
        <v>964</v>
      </c>
      <c r="C16" s="447" t="s">
        <v>1247</v>
      </c>
      <c r="D16" s="443" t="s">
        <v>159</v>
      </c>
      <c r="E16" s="447" t="s">
        <v>664</v>
      </c>
      <c r="F16" s="477" t="s">
        <v>205</v>
      </c>
      <c r="G16" s="480">
        <v>0.24728000000000006</v>
      </c>
      <c r="H16" s="478">
        <v>1</v>
      </c>
    </row>
    <row r="17" spans="2:8" outlineLevel="2">
      <c r="B17" s="477" t="s">
        <v>964</v>
      </c>
      <c r="C17" s="447" t="s">
        <v>1247</v>
      </c>
      <c r="D17" s="443" t="s">
        <v>159</v>
      </c>
      <c r="E17" s="447" t="s">
        <v>664</v>
      </c>
      <c r="F17" s="477" t="s">
        <v>206</v>
      </c>
      <c r="G17" s="480">
        <v>0.24728000000000006</v>
      </c>
      <c r="H17" s="478">
        <v>1</v>
      </c>
    </row>
    <row r="18" spans="2:8" outlineLevel="2">
      <c r="B18" s="477" t="s">
        <v>964</v>
      </c>
      <c r="C18" s="447" t="s">
        <v>1247</v>
      </c>
      <c r="D18" s="443" t="s">
        <v>159</v>
      </c>
      <c r="E18" s="447" t="s">
        <v>664</v>
      </c>
      <c r="F18" s="477" t="s">
        <v>208</v>
      </c>
      <c r="G18" s="480">
        <v>0.12364000000000003</v>
      </c>
      <c r="H18" s="478">
        <v>1</v>
      </c>
    </row>
    <row r="19" spans="2:8" outlineLevel="1">
      <c r="B19" s="475" t="s">
        <v>1164</v>
      </c>
      <c r="C19" s="446" t="s">
        <v>1164</v>
      </c>
      <c r="D19" s="445" t="s">
        <v>159</v>
      </c>
      <c r="E19" s="446" t="s">
        <v>664</v>
      </c>
      <c r="F19" s="475" t="s">
        <v>1976</v>
      </c>
      <c r="G19" s="476">
        <v>3.6843765000000004</v>
      </c>
      <c r="H19" s="476">
        <v>3</v>
      </c>
    </row>
    <row r="20" spans="2:8" outlineLevel="2">
      <c r="B20" s="477" t="s">
        <v>1164</v>
      </c>
      <c r="C20" s="447" t="s">
        <v>1164</v>
      </c>
      <c r="D20" s="443" t="s">
        <v>159</v>
      </c>
      <c r="E20" s="447" t="s">
        <v>664</v>
      </c>
      <c r="F20" s="477" t="s">
        <v>205</v>
      </c>
      <c r="G20" s="483">
        <v>1.2281255000000002</v>
      </c>
      <c r="H20" s="478">
        <v>1</v>
      </c>
    </row>
    <row r="21" spans="2:8" outlineLevel="2">
      <c r="B21" s="477" t="s">
        <v>1164</v>
      </c>
      <c r="C21" s="447" t="s">
        <v>1164</v>
      </c>
      <c r="D21" s="443" t="s">
        <v>159</v>
      </c>
      <c r="E21" s="447" t="s">
        <v>664</v>
      </c>
      <c r="F21" s="477" t="s">
        <v>206</v>
      </c>
      <c r="G21" s="483">
        <v>1.2281255000000002</v>
      </c>
      <c r="H21" s="478">
        <v>1</v>
      </c>
    </row>
    <row r="22" spans="2:8" outlineLevel="2">
      <c r="B22" s="477" t="s">
        <v>1164</v>
      </c>
      <c r="C22" s="447" t="s">
        <v>1164</v>
      </c>
      <c r="D22" s="443" t="s">
        <v>159</v>
      </c>
      <c r="E22" s="447" t="s">
        <v>664</v>
      </c>
      <c r="F22" s="477" t="s">
        <v>208</v>
      </c>
      <c r="G22" s="483">
        <v>1.2281255</v>
      </c>
      <c r="H22" s="478">
        <v>1</v>
      </c>
    </row>
    <row r="23" spans="2:8" outlineLevel="1">
      <c r="B23" s="475" t="s">
        <v>973</v>
      </c>
      <c r="C23" s="446" t="s">
        <v>973</v>
      </c>
      <c r="D23" s="445" t="s">
        <v>159</v>
      </c>
      <c r="E23" s="446" t="s">
        <v>664</v>
      </c>
      <c r="F23" s="475" t="s">
        <v>1977</v>
      </c>
      <c r="G23" s="476">
        <v>2.7524999999999999</v>
      </c>
      <c r="H23" s="476">
        <v>6</v>
      </c>
    </row>
    <row r="24" spans="2:8" outlineLevel="2">
      <c r="B24" s="477" t="s">
        <v>973</v>
      </c>
      <c r="C24" s="447" t="s">
        <v>973</v>
      </c>
      <c r="D24" s="443" t="s">
        <v>1166</v>
      </c>
      <c r="E24" s="447" t="s">
        <v>664</v>
      </c>
      <c r="F24" s="477" t="s">
        <v>374</v>
      </c>
      <c r="G24" s="480">
        <v>0.33750000000000002</v>
      </c>
      <c r="H24" s="478">
        <v>1</v>
      </c>
    </row>
    <row r="25" spans="2:8" outlineLevel="2">
      <c r="B25" s="477" t="s">
        <v>973</v>
      </c>
      <c r="C25" s="447" t="s">
        <v>973</v>
      </c>
      <c r="D25" s="443" t="s">
        <v>1166</v>
      </c>
      <c r="E25" s="447" t="s">
        <v>664</v>
      </c>
      <c r="F25" s="477" t="s">
        <v>206</v>
      </c>
      <c r="G25" s="480">
        <v>0.58000000000000007</v>
      </c>
      <c r="H25" s="478">
        <v>1</v>
      </c>
    </row>
    <row r="26" spans="2:8" outlineLevel="2">
      <c r="B26" s="477" t="s">
        <v>973</v>
      </c>
      <c r="C26" s="447" t="s">
        <v>973</v>
      </c>
      <c r="D26" s="443" t="s">
        <v>1166</v>
      </c>
      <c r="E26" s="447" t="s">
        <v>664</v>
      </c>
      <c r="F26" s="477" t="s">
        <v>1337</v>
      </c>
      <c r="G26" s="480">
        <v>0.58000000000000007</v>
      </c>
      <c r="H26" s="478">
        <v>1</v>
      </c>
    </row>
    <row r="27" spans="2:8" outlineLevel="2">
      <c r="B27" s="477" t="s">
        <v>973</v>
      </c>
      <c r="C27" s="447" t="s">
        <v>973</v>
      </c>
      <c r="D27" s="443" t="s">
        <v>1166</v>
      </c>
      <c r="E27" s="447" t="s">
        <v>664</v>
      </c>
      <c r="F27" s="477" t="s">
        <v>1879</v>
      </c>
      <c r="G27" s="480">
        <v>0.58000000000000007</v>
      </c>
      <c r="H27" s="478">
        <v>1</v>
      </c>
    </row>
    <row r="28" spans="2:8" outlineLevel="2">
      <c r="B28" s="477" t="s">
        <v>973</v>
      </c>
      <c r="C28" s="447" t="s">
        <v>973</v>
      </c>
      <c r="D28" s="443" t="s">
        <v>1166</v>
      </c>
      <c r="E28" s="447" t="s">
        <v>664</v>
      </c>
      <c r="F28" s="477" t="s">
        <v>198</v>
      </c>
      <c r="G28" s="480">
        <v>0.33750000000000002</v>
      </c>
      <c r="H28" s="478">
        <v>1</v>
      </c>
    </row>
    <row r="29" spans="2:8" outlineLevel="2">
      <c r="B29" s="477" t="s">
        <v>973</v>
      </c>
      <c r="C29" s="447" t="s">
        <v>973</v>
      </c>
      <c r="D29" s="443" t="s">
        <v>1166</v>
      </c>
      <c r="E29" s="447" t="s">
        <v>664</v>
      </c>
      <c r="F29" s="477" t="s">
        <v>1955</v>
      </c>
      <c r="G29" s="480">
        <v>0.33750000000000002</v>
      </c>
      <c r="H29" s="478">
        <v>1</v>
      </c>
    </row>
    <row r="30" spans="2:8" outlineLevel="1">
      <c r="B30" s="475" t="s">
        <v>1165</v>
      </c>
      <c r="C30" s="446" t="s">
        <v>1165</v>
      </c>
      <c r="D30" s="445" t="s">
        <v>159</v>
      </c>
      <c r="E30" s="446" t="s">
        <v>664</v>
      </c>
      <c r="F30" s="475" t="s">
        <v>1978</v>
      </c>
      <c r="G30" s="476">
        <v>11.053129500000001</v>
      </c>
      <c r="H30" s="476">
        <v>3</v>
      </c>
    </row>
    <row r="31" spans="2:8" outlineLevel="2">
      <c r="B31" s="477" t="s">
        <v>1165</v>
      </c>
      <c r="C31" s="447" t="s">
        <v>1165</v>
      </c>
      <c r="D31" s="443" t="s">
        <v>159</v>
      </c>
      <c r="E31" s="447" t="s">
        <v>664</v>
      </c>
      <c r="F31" s="477" t="s">
        <v>205</v>
      </c>
      <c r="G31" s="483">
        <v>3.6843765000000008</v>
      </c>
      <c r="H31" s="478">
        <v>1</v>
      </c>
    </row>
    <row r="32" spans="2:8" outlineLevel="2">
      <c r="B32" s="477" t="s">
        <v>1165</v>
      </c>
      <c r="C32" s="447" t="s">
        <v>1165</v>
      </c>
      <c r="D32" s="443" t="s">
        <v>159</v>
      </c>
      <c r="E32" s="447" t="s">
        <v>664</v>
      </c>
      <c r="F32" s="477" t="s">
        <v>206</v>
      </c>
      <c r="G32" s="483">
        <v>3.6843765000000008</v>
      </c>
      <c r="H32" s="478">
        <v>1</v>
      </c>
    </row>
    <row r="33" spans="2:8" outlineLevel="2">
      <c r="B33" s="477" t="s">
        <v>1165</v>
      </c>
      <c r="C33" s="447" t="s">
        <v>1165</v>
      </c>
      <c r="D33" s="443" t="s">
        <v>159</v>
      </c>
      <c r="E33" s="447" t="s">
        <v>664</v>
      </c>
      <c r="F33" s="477" t="s">
        <v>208</v>
      </c>
      <c r="G33" s="483">
        <v>3.6843764999999999</v>
      </c>
      <c r="H33" s="478">
        <v>1</v>
      </c>
    </row>
    <row r="34" spans="2:8" outlineLevel="1">
      <c r="B34" s="475" t="s">
        <v>369</v>
      </c>
      <c r="C34" s="446" t="s">
        <v>843</v>
      </c>
      <c r="D34" s="445" t="s">
        <v>159</v>
      </c>
      <c r="E34" s="446" t="s">
        <v>664</v>
      </c>
      <c r="F34" s="475" t="s">
        <v>1979</v>
      </c>
      <c r="G34" s="476">
        <v>3.35</v>
      </c>
      <c r="H34" s="476">
        <v>3</v>
      </c>
    </row>
    <row r="35" spans="2:8" outlineLevel="2">
      <c r="B35" s="477" t="s">
        <v>369</v>
      </c>
      <c r="C35" s="447" t="s">
        <v>843</v>
      </c>
      <c r="D35" s="443" t="s">
        <v>159</v>
      </c>
      <c r="E35" s="447" t="s">
        <v>664</v>
      </c>
      <c r="F35" s="477" t="s">
        <v>370</v>
      </c>
      <c r="G35" s="480">
        <v>1.34</v>
      </c>
      <c r="H35" s="478">
        <v>1</v>
      </c>
    </row>
    <row r="36" spans="2:8" outlineLevel="2">
      <c r="B36" s="477" t="s">
        <v>369</v>
      </c>
      <c r="C36" s="447" t="s">
        <v>843</v>
      </c>
      <c r="D36" s="443" t="s">
        <v>159</v>
      </c>
      <c r="E36" s="447" t="s">
        <v>664</v>
      </c>
      <c r="F36" s="477" t="s">
        <v>230</v>
      </c>
      <c r="G36" s="480">
        <v>1.34</v>
      </c>
      <c r="H36" s="478">
        <v>1</v>
      </c>
    </row>
    <row r="37" spans="2:8" outlineLevel="2">
      <c r="B37" s="477" t="s">
        <v>369</v>
      </c>
      <c r="C37" s="447" t="s">
        <v>843</v>
      </c>
      <c r="D37" s="443" t="s">
        <v>159</v>
      </c>
      <c r="E37" s="447" t="s">
        <v>664</v>
      </c>
      <c r="F37" s="477" t="s">
        <v>208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7.45">
      <c r="A2" s="376"/>
      <c r="B2" s="418" t="s">
        <v>1956</v>
      </c>
      <c r="C2" s="418"/>
      <c r="D2" s="418"/>
      <c r="E2" s="418"/>
      <c r="F2" s="469"/>
      <c r="G2" s="419" t="s">
        <v>1714</v>
      </c>
      <c r="H2" s="419" t="s">
        <v>726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6">
      <c r="A6" s="376"/>
      <c r="B6" s="470" t="s">
        <v>1007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162</v>
      </c>
      <c r="C8" s="446" t="s">
        <v>162</v>
      </c>
      <c r="D8" s="445" t="s">
        <v>159</v>
      </c>
      <c r="E8" s="446" t="s">
        <v>1007</v>
      </c>
      <c r="F8" s="475" t="s">
        <v>1980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162</v>
      </c>
      <c r="C9" s="447" t="s">
        <v>162</v>
      </c>
      <c r="D9" s="443" t="s">
        <v>159</v>
      </c>
      <c r="E9" s="447" t="s">
        <v>1007</v>
      </c>
      <c r="F9" s="477" t="s">
        <v>245</v>
      </c>
      <c r="G9" s="478">
        <v>0.1547754763030085</v>
      </c>
      <c r="H9" s="478">
        <v>1</v>
      </c>
    </row>
    <row r="10" spans="1:23" outlineLevel="2">
      <c r="B10" s="373" t="s">
        <v>162</v>
      </c>
      <c r="C10" s="447" t="s">
        <v>162</v>
      </c>
      <c r="D10" s="443" t="s">
        <v>159</v>
      </c>
      <c r="E10" s="447" t="s">
        <v>1007</v>
      </c>
      <c r="F10" s="477" t="s">
        <v>283</v>
      </c>
      <c r="G10" s="478">
        <v>0.1547754763030085</v>
      </c>
      <c r="H10" s="478">
        <v>1</v>
      </c>
    </row>
    <row r="11" spans="1:23" outlineLevel="1">
      <c r="B11" s="390" t="s">
        <v>252</v>
      </c>
      <c r="C11" s="446" t="s">
        <v>252</v>
      </c>
      <c r="D11" s="445" t="s">
        <v>159</v>
      </c>
      <c r="E11" s="446" t="s">
        <v>1007</v>
      </c>
      <c r="F11" s="475" t="s">
        <v>1981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252</v>
      </c>
      <c r="C12" s="447" t="s">
        <v>252</v>
      </c>
      <c r="D12" s="443" t="s">
        <v>159</v>
      </c>
      <c r="E12" s="447" t="s">
        <v>1007</v>
      </c>
      <c r="F12" s="468" t="s">
        <v>75</v>
      </c>
      <c r="G12" s="480">
        <v>0.22115071539599998</v>
      </c>
      <c r="H12" s="478">
        <v>1</v>
      </c>
    </row>
    <row r="13" spans="1:23" outlineLevel="2">
      <c r="B13" s="373" t="s">
        <v>252</v>
      </c>
      <c r="C13" s="447" t="s">
        <v>252</v>
      </c>
      <c r="D13" s="443" t="s">
        <v>159</v>
      </c>
      <c r="E13" s="447" t="s">
        <v>1007</v>
      </c>
      <c r="F13" s="468" t="s">
        <v>1246</v>
      </c>
      <c r="G13" s="480">
        <v>7.3716905132000007E-2</v>
      </c>
      <c r="H13" s="478">
        <v>1</v>
      </c>
    </row>
    <row r="14" spans="1:23" outlineLevel="2">
      <c r="B14" s="373" t="s">
        <v>252</v>
      </c>
      <c r="C14" s="447" t="s">
        <v>252</v>
      </c>
      <c r="D14" s="443" t="s">
        <v>159</v>
      </c>
      <c r="E14" s="447" t="s">
        <v>1007</v>
      </c>
      <c r="F14" s="468" t="s">
        <v>1321</v>
      </c>
      <c r="G14" s="480">
        <v>7.3716905132000007E-2</v>
      </c>
      <c r="H14" s="478">
        <v>1</v>
      </c>
    </row>
    <row r="15" spans="1:23" outlineLevel="2">
      <c r="B15" s="373" t="s">
        <v>252</v>
      </c>
      <c r="C15" s="447" t="s">
        <v>252</v>
      </c>
      <c r="D15" s="443" t="s">
        <v>159</v>
      </c>
      <c r="E15" s="447" t="s">
        <v>1007</v>
      </c>
      <c r="F15" s="468" t="s">
        <v>1322</v>
      </c>
      <c r="G15" s="480">
        <v>6.4031962499999998E-2</v>
      </c>
      <c r="H15" s="478">
        <v>1</v>
      </c>
    </row>
    <row r="16" spans="1:23" outlineLevel="2">
      <c r="B16" s="373" t="s">
        <v>252</v>
      </c>
      <c r="C16" s="447" t="s">
        <v>252</v>
      </c>
      <c r="D16" s="443" t="s">
        <v>159</v>
      </c>
      <c r="E16" s="447" t="s">
        <v>1007</v>
      </c>
      <c r="F16" s="468" t="s">
        <v>1323</v>
      </c>
      <c r="G16" s="480">
        <v>0.54994955184000005</v>
      </c>
      <c r="H16" s="478">
        <v>1</v>
      </c>
    </row>
    <row r="17" spans="2:8" outlineLevel="2">
      <c r="B17" s="373" t="s">
        <v>252</v>
      </c>
      <c r="C17" s="447" t="s">
        <v>252</v>
      </c>
      <c r="D17" s="443" t="s">
        <v>159</v>
      </c>
      <c r="E17" s="447" t="s">
        <v>1007</v>
      </c>
      <c r="F17" s="468" t="s">
        <v>1324</v>
      </c>
      <c r="G17" s="480">
        <v>0.27497477592000003</v>
      </c>
      <c r="H17" s="478">
        <v>1</v>
      </c>
    </row>
    <row r="18" spans="2:8" outlineLevel="2">
      <c r="B18" s="373" t="s">
        <v>252</v>
      </c>
      <c r="C18" s="447" t="s">
        <v>252</v>
      </c>
      <c r="D18" s="443" t="s">
        <v>159</v>
      </c>
      <c r="E18" s="447" t="s">
        <v>1007</v>
      </c>
      <c r="F18" s="468" t="s">
        <v>1325</v>
      </c>
      <c r="G18" s="480">
        <v>2.2352362560000003</v>
      </c>
      <c r="H18" s="478">
        <v>1</v>
      </c>
    </row>
    <row r="19" spans="2:8" outlineLevel="2">
      <c r="B19" s="373" t="s">
        <v>252</v>
      </c>
      <c r="C19" s="447" t="s">
        <v>252</v>
      </c>
      <c r="D19" s="443" t="s">
        <v>159</v>
      </c>
      <c r="E19" s="447" t="s">
        <v>1007</v>
      </c>
      <c r="F19" s="468" t="s">
        <v>1326</v>
      </c>
      <c r="G19" s="480">
        <v>2.2352362560000003</v>
      </c>
      <c r="H19" s="478">
        <v>1</v>
      </c>
    </row>
    <row r="20" spans="2:8" outlineLevel="2">
      <c r="B20" s="373" t="s">
        <v>252</v>
      </c>
      <c r="C20" s="447" t="s">
        <v>252</v>
      </c>
      <c r="D20" s="443" t="s">
        <v>159</v>
      </c>
      <c r="E20" s="447" t="s">
        <v>1007</v>
      </c>
      <c r="F20" s="468" t="s">
        <v>1313</v>
      </c>
      <c r="G20" s="480">
        <v>0.1125</v>
      </c>
      <c r="H20" s="478">
        <v>1</v>
      </c>
    </row>
    <row r="21" spans="2:8" outlineLevel="2">
      <c r="B21" s="373" t="s">
        <v>252</v>
      </c>
      <c r="C21" s="447" t="s">
        <v>252</v>
      </c>
      <c r="D21" s="443" t="s">
        <v>159</v>
      </c>
      <c r="E21" s="447" t="s">
        <v>1007</v>
      </c>
      <c r="F21" s="468" t="s">
        <v>1328</v>
      </c>
      <c r="G21" s="480">
        <v>3.7499999999999999E-2</v>
      </c>
      <c r="H21" s="478">
        <v>1</v>
      </c>
    </row>
    <row r="22" spans="2:8" outlineLevel="1">
      <c r="B22" s="390" t="s">
        <v>903</v>
      </c>
      <c r="C22" s="446" t="s">
        <v>903</v>
      </c>
      <c r="D22" s="445" t="s">
        <v>159</v>
      </c>
      <c r="E22" s="446" t="s">
        <v>1007</v>
      </c>
      <c r="F22" s="475" t="s">
        <v>1982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903</v>
      </c>
      <c r="C23" s="447" t="s">
        <v>903</v>
      </c>
      <c r="D23" s="443" t="s">
        <v>159</v>
      </c>
      <c r="E23" s="447" t="s">
        <v>1007</v>
      </c>
      <c r="F23" s="468" t="s">
        <v>242</v>
      </c>
      <c r="G23" s="480">
        <v>0.25575333042562204</v>
      </c>
      <c r="H23" s="478">
        <v>1</v>
      </c>
    </row>
    <row r="24" spans="2:8" outlineLevel="2">
      <c r="B24" s="373" t="s">
        <v>903</v>
      </c>
      <c r="C24" s="447" t="s">
        <v>903</v>
      </c>
      <c r="D24" s="443" t="s">
        <v>159</v>
      </c>
      <c r="E24" s="447" t="s">
        <v>1007</v>
      </c>
      <c r="F24" s="468" t="s">
        <v>243</v>
      </c>
      <c r="G24" s="480">
        <v>8.1564148364617506E-2</v>
      </c>
      <c r="H24" s="478">
        <v>1</v>
      </c>
    </row>
    <row r="25" spans="2:8" outlineLevel="2">
      <c r="B25" s="373" t="s">
        <v>903</v>
      </c>
      <c r="C25" s="447" t="s">
        <v>903</v>
      </c>
      <c r="D25" s="443" t="s">
        <v>159</v>
      </c>
      <c r="E25" s="447" t="s">
        <v>1007</v>
      </c>
      <c r="F25" s="468" t="s">
        <v>490</v>
      </c>
      <c r="G25" s="480">
        <v>0.18696938245168926</v>
      </c>
      <c r="H25" s="478">
        <v>1</v>
      </c>
    </row>
    <row r="26" spans="2:8" outlineLevel="2">
      <c r="B26" s="373" t="s">
        <v>903</v>
      </c>
      <c r="C26" s="447" t="s">
        <v>903</v>
      </c>
      <c r="D26" s="443" t="s">
        <v>159</v>
      </c>
      <c r="E26" s="447" t="s">
        <v>1007</v>
      </c>
      <c r="F26" s="468" t="s">
        <v>245</v>
      </c>
      <c r="G26" s="480">
        <v>2.7188049454872507E-2</v>
      </c>
      <c r="H26" s="478">
        <v>1</v>
      </c>
    </row>
    <row r="27" spans="2:8" outlineLevel="2">
      <c r="B27" s="373" t="s">
        <v>903</v>
      </c>
      <c r="C27" s="447" t="s">
        <v>903</v>
      </c>
      <c r="D27" s="443" t="s">
        <v>159</v>
      </c>
      <c r="E27" s="447" t="s">
        <v>1007</v>
      </c>
      <c r="F27" s="468" t="s">
        <v>246</v>
      </c>
      <c r="G27" s="480">
        <v>0.11218162947101355</v>
      </c>
      <c r="H27" s="478">
        <v>1</v>
      </c>
    </row>
    <row r="28" spans="2:8" outlineLevel="2">
      <c r="B28" s="373" t="s">
        <v>903</v>
      </c>
      <c r="C28" s="447" t="s">
        <v>903</v>
      </c>
      <c r="D28" s="443" t="s">
        <v>159</v>
      </c>
      <c r="E28" s="447" t="s">
        <v>1007</v>
      </c>
      <c r="F28" s="468" t="s">
        <v>247</v>
      </c>
      <c r="G28" s="480">
        <v>3.7393876490337853E-2</v>
      </c>
      <c r="H28" s="478">
        <v>1</v>
      </c>
    </row>
    <row r="29" spans="2:8" outlineLevel="2">
      <c r="B29" s="373" t="s">
        <v>903</v>
      </c>
      <c r="C29" s="447" t="s">
        <v>903</v>
      </c>
      <c r="D29" s="443" t="s">
        <v>159</v>
      </c>
      <c r="E29" s="447" t="s">
        <v>1007</v>
      </c>
      <c r="F29" s="468" t="s">
        <v>248</v>
      </c>
      <c r="G29" s="480">
        <v>3.7393876490337853E-2</v>
      </c>
      <c r="H29" s="478">
        <v>1</v>
      </c>
    </row>
    <row r="30" spans="2:8" outlineLevel="2">
      <c r="B30" s="373" t="s">
        <v>903</v>
      </c>
      <c r="C30" s="447" t="s">
        <v>903</v>
      </c>
      <c r="D30" s="443" t="s">
        <v>159</v>
      </c>
      <c r="E30" s="447" t="s">
        <v>1007</v>
      </c>
      <c r="F30" s="468" t="s">
        <v>251</v>
      </c>
      <c r="G30" s="480">
        <v>2.7188049454872507E-2</v>
      </c>
      <c r="H30" s="478">
        <v>1</v>
      </c>
    </row>
    <row r="31" spans="2:8" outlineLevel="2">
      <c r="B31" s="373" t="s">
        <v>903</v>
      </c>
      <c r="C31" s="447" t="s">
        <v>903</v>
      </c>
      <c r="D31" s="443" t="s">
        <v>159</v>
      </c>
      <c r="E31" s="447" t="s">
        <v>1007</v>
      </c>
      <c r="F31" s="468" t="s">
        <v>1849</v>
      </c>
      <c r="G31" s="480">
        <v>8.6149088147247421E-2</v>
      </c>
      <c r="H31" s="478">
        <v>1</v>
      </c>
    </row>
    <row r="32" spans="2:8" outlineLevel="1">
      <c r="B32" s="390" t="s">
        <v>502</v>
      </c>
      <c r="C32" s="446" t="s">
        <v>502</v>
      </c>
      <c r="D32" s="445" t="s">
        <v>159</v>
      </c>
      <c r="E32" s="446" t="s">
        <v>1007</v>
      </c>
      <c r="F32" s="475" t="s">
        <v>1983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502</v>
      </c>
      <c r="C33" s="447" t="s">
        <v>502</v>
      </c>
      <c r="D33" s="443" t="s">
        <v>159</v>
      </c>
      <c r="E33" s="447" t="s">
        <v>1007</v>
      </c>
      <c r="F33" s="468" t="s">
        <v>226</v>
      </c>
      <c r="G33" s="480">
        <v>0.15216712000000002</v>
      </c>
      <c r="H33" s="478">
        <v>1</v>
      </c>
    </row>
    <row r="34" spans="2:8" outlineLevel="2">
      <c r="B34" s="373" t="s">
        <v>502</v>
      </c>
      <c r="C34" s="447" t="s">
        <v>502</v>
      </c>
      <c r="D34" s="443" t="s">
        <v>159</v>
      </c>
      <c r="E34" s="447" t="s">
        <v>1007</v>
      </c>
      <c r="F34" s="468" t="s">
        <v>36</v>
      </c>
      <c r="G34" s="480">
        <v>0.22825067999999998</v>
      </c>
      <c r="H34" s="478">
        <v>1</v>
      </c>
    </row>
    <row r="35" spans="2:8" outlineLevel="1">
      <c r="B35" s="390" t="s">
        <v>1163</v>
      </c>
      <c r="C35" s="446" t="s">
        <v>1163</v>
      </c>
      <c r="D35" s="445" t="s">
        <v>159</v>
      </c>
      <c r="E35" s="446" t="s">
        <v>1007</v>
      </c>
      <c r="F35" s="475" t="s">
        <v>1967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1163</v>
      </c>
      <c r="C36" s="447" t="s">
        <v>1163</v>
      </c>
      <c r="D36" s="443" t="s">
        <v>159</v>
      </c>
      <c r="E36" s="447" t="s">
        <v>1007</v>
      </c>
      <c r="F36" s="482" t="s">
        <v>1871</v>
      </c>
      <c r="G36" s="483">
        <v>0.41060000000000008</v>
      </c>
      <c r="H36" s="478">
        <v>1</v>
      </c>
    </row>
    <row r="37" spans="2:8" outlineLevel="2">
      <c r="B37" s="373" t="s">
        <v>1163</v>
      </c>
      <c r="C37" s="447" t="s">
        <v>1163</v>
      </c>
      <c r="D37" s="443" t="s">
        <v>159</v>
      </c>
      <c r="E37" s="447" t="s">
        <v>1007</v>
      </c>
      <c r="F37" s="482" t="s">
        <v>1872</v>
      </c>
      <c r="G37" s="483">
        <v>0.10265000000000002</v>
      </c>
      <c r="H37" s="478">
        <v>1</v>
      </c>
    </row>
    <row r="38" spans="2:8" outlineLevel="1">
      <c r="B38" s="390" t="s">
        <v>973</v>
      </c>
      <c r="C38" s="446" t="s">
        <v>973</v>
      </c>
      <c r="D38" s="445" t="s">
        <v>159</v>
      </c>
      <c r="E38" s="446" t="s">
        <v>1007</v>
      </c>
      <c r="F38" s="475" t="s">
        <v>1977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973</v>
      </c>
      <c r="C39" s="447" t="s">
        <v>973</v>
      </c>
      <c r="D39" s="443" t="s">
        <v>159</v>
      </c>
      <c r="E39" s="447" t="s">
        <v>1007</v>
      </c>
      <c r="F39" s="406" t="s">
        <v>290</v>
      </c>
      <c r="G39" s="480">
        <v>9.5000000000000015E-2</v>
      </c>
      <c r="H39" s="478">
        <v>1</v>
      </c>
    </row>
    <row r="40" spans="2:8" outlineLevel="2">
      <c r="B40" s="373" t="s">
        <v>973</v>
      </c>
      <c r="C40" s="447" t="s">
        <v>973</v>
      </c>
      <c r="D40" s="443" t="s">
        <v>159</v>
      </c>
      <c r="E40" s="447" t="s">
        <v>1007</v>
      </c>
      <c r="F40" s="406" t="s">
        <v>1334</v>
      </c>
      <c r="G40" s="480">
        <v>9.5000000000000015E-2</v>
      </c>
      <c r="H40" s="478">
        <v>1</v>
      </c>
    </row>
    <row r="41" spans="2:8" outlineLevel="2">
      <c r="B41" s="373" t="s">
        <v>973</v>
      </c>
      <c r="C41" s="447" t="s">
        <v>973</v>
      </c>
      <c r="D41" s="443" t="s">
        <v>159</v>
      </c>
      <c r="E41" s="447" t="s">
        <v>1007</v>
      </c>
      <c r="F41" s="406" t="s">
        <v>1883</v>
      </c>
      <c r="G41" s="480">
        <v>9.5000000000000015E-2</v>
      </c>
      <c r="H41" s="478">
        <v>1</v>
      </c>
    </row>
    <row r="42" spans="2:8" outlineLevel="1">
      <c r="B42" s="390" t="s">
        <v>975</v>
      </c>
      <c r="C42" s="446" t="s">
        <v>1201</v>
      </c>
      <c r="D42" s="445" t="s">
        <v>159</v>
      </c>
      <c r="E42" s="446" t="s">
        <v>1007</v>
      </c>
      <c r="F42" s="475" t="s">
        <v>1984</v>
      </c>
      <c r="G42" s="476">
        <v>0</v>
      </c>
      <c r="H42" s="476">
        <v>0</v>
      </c>
    </row>
    <row r="43" spans="2:8" outlineLevel="1">
      <c r="B43" s="390" t="s">
        <v>1890</v>
      </c>
      <c r="C43" s="446" t="s">
        <v>1201</v>
      </c>
      <c r="D43" s="445" t="s">
        <v>159</v>
      </c>
      <c r="E43" s="446" t="s">
        <v>1007</v>
      </c>
      <c r="F43" s="475" t="s">
        <v>1985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1890</v>
      </c>
      <c r="C44" s="447" t="s">
        <v>1201</v>
      </c>
      <c r="D44" s="443" t="s">
        <v>159</v>
      </c>
      <c r="E44" s="447" t="s">
        <v>1007</v>
      </c>
      <c r="F44" s="468" t="s">
        <v>206</v>
      </c>
      <c r="G44" s="480">
        <v>8.9136273921988848E-2</v>
      </c>
      <c r="H44" s="478">
        <v>1</v>
      </c>
    </row>
    <row r="45" spans="2:8" outlineLevel="1">
      <c r="B45" s="390" t="s">
        <v>609</v>
      </c>
      <c r="C45" s="446" t="s">
        <v>1201</v>
      </c>
      <c r="D45" s="445" t="s">
        <v>159</v>
      </c>
      <c r="E45" s="446" t="s">
        <v>1007</v>
      </c>
      <c r="F45" s="475" t="s">
        <v>1986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609</v>
      </c>
      <c r="C46" s="447" t="s">
        <v>1201</v>
      </c>
      <c r="D46" s="443" t="s">
        <v>159</v>
      </c>
      <c r="E46" s="447" t="s">
        <v>1007</v>
      </c>
      <c r="F46" s="468" t="s">
        <v>206</v>
      </c>
      <c r="G46" s="480">
        <v>5.8216850999999993E-2</v>
      </c>
      <c r="H46" s="478">
        <v>1</v>
      </c>
    </row>
    <row r="47" spans="2:8" outlineLevel="1">
      <c r="B47" s="390" t="s">
        <v>285</v>
      </c>
      <c r="C47" s="446" t="s">
        <v>1201</v>
      </c>
      <c r="D47" s="445" t="s">
        <v>159</v>
      </c>
      <c r="E47" s="446" t="s">
        <v>1007</v>
      </c>
      <c r="F47" s="475" t="s">
        <v>1987</v>
      </c>
      <c r="G47" s="476">
        <v>0</v>
      </c>
      <c r="H47" s="476">
        <v>0</v>
      </c>
    </row>
    <row r="48" spans="2:8" outlineLevel="1">
      <c r="B48" s="390" t="s">
        <v>916</v>
      </c>
      <c r="C48" s="446" t="s">
        <v>916</v>
      </c>
      <c r="D48" s="445" t="s">
        <v>159</v>
      </c>
      <c r="E48" s="446" t="s">
        <v>1007</v>
      </c>
      <c r="F48" s="475" t="s">
        <v>1988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916</v>
      </c>
      <c r="C49" s="447" t="s">
        <v>916</v>
      </c>
      <c r="D49" s="443" t="s">
        <v>159</v>
      </c>
      <c r="E49" s="447" t="s">
        <v>1007</v>
      </c>
      <c r="F49" s="468" t="s">
        <v>205</v>
      </c>
      <c r="G49" s="480">
        <v>1.6141000000000003</v>
      </c>
      <c r="H49" s="478">
        <v>1</v>
      </c>
    </row>
    <row r="50" spans="2:8" outlineLevel="1">
      <c r="B50" s="390" t="s">
        <v>902</v>
      </c>
      <c r="C50" s="446" t="s">
        <v>1220</v>
      </c>
      <c r="D50" s="445" t="s">
        <v>159</v>
      </c>
      <c r="E50" s="446" t="s">
        <v>1007</v>
      </c>
      <c r="F50" s="475" t="s">
        <v>1966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902</v>
      </c>
      <c r="C51" s="447" t="s">
        <v>1220</v>
      </c>
      <c r="D51" s="443" t="s">
        <v>159</v>
      </c>
      <c r="E51" s="447" t="s">
        <v>1007</v>
      </c>
      <c r="F51" s="468" t="s">
        <v>290</v>
      </c>
      <c r="G51" s="480">
        <v>0.11</v>
      </c>
      <c r="H51" s="478">
        <v>1</v>
      </c>
    </row>
    <row r="52" spans="2:8" outlineLevel="2">
      <c r="B52" s="373" t="s">
        <v>902</v>
      </c>
      <c r="C52" s="447" t="s">
        <v>1220</v>
      </c>
      <c r="D52" s="443" t="s">
        <v>159</v>
      </c>
      <c r="E52" s="447" t="s">
        <v>1007</v>
      </c>
      <c r="F52" s="468" t="s">
        <v>1334</v>
      </c>
      <c r="G52" s="480">
        <v>0.06</v>
      </c>
      <c r="H52" s="478">
        <v>1</v>
      </c>
    </row>
    <row r="53" spans="2:8" outlineLevel="1">
      <c r="B53" s="390" t="s">
        <v>369</v>
      </c>
      <c r="C53" s="446" t="s">
        <v>843</v>
      </c>
      <c r="D53" s="445" t="s">
        <v>159</v>
      </c>
      <c r="E53" s="446" t="s">
        <v>1007</v>
      </c>
      <c r="F53" s="475" t="s">
        <v>1979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369</v>
      </c>
      <c r="C54" s="447" t="s">
        <v>843</v>
      </c>
      <c r="D54" s="443" t="s">
        <v>159</v>
      </c>
      <c r="E54" s="447" t="s">
        <v>1007</v>
      </c>
      <c r="F54" s="406" t="s">
        <v>38</v>
      </c>
      <c r="G54" s="480">
        <v>0.03</v>
      </c>
      <c r="H54" s="478">
        <v>1</v>
      </c>
    </row>
    <row r="55" spans="2:8" outlineLevel="2">
      <c r="B55" s="373" t="s">
        <v>369</v>
      </c>
      <c r="C55" s="447" t="s">
        <v>843</v>
      </c>
      <c r="D55" s="443" t="s">
        <v>159</v>
      </c>
      <c r="E55" s="447" t="s">
        <v>1007</v>
      </c>
      <c r="F55" s="406" t="s">
        <v>1341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25.7109375" style="373" customWidth="1"/>
    <col min="3" max="3" width="18.28515625" style="373" customWidth="1"/>
    <col min="4" max="4" width="12.5703125" style="373" customWidth="1"/>
    <col min="5" max="5" width="13.7109375" style="373" bestFit="1" customWidth="1"/>
    <col min="6" max="6" width="49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7.45">
      <c r="A2" s="376"/>
      <c r="B2" s="418" t="s">
        <v>1956</v>
      </c>
      <c r="C2" s="418"/>
      <c r="D2" s="418"/>
      <c r="E2" s="418"/>
      <c r="F2" s="469"/>
      <c r="G2" s="421" t="s">
        <v>1714</v>
      </c>
      <c r="H2" s="421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1176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1167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414</v>
      </c>
      <c r="C9" s="380" t="s">
        <v>414</v>
      </c>
      <c r="D9" s="525" t="s">
        <v>159</v>
      </c>
      <c r="E9" s="380" t="s">
        <v>1167</v>
      </c>
      <c r="F9" s="526" t="s">
        <v>1989</v>
      </c>
      <c r="G9" s="527">
        <v>0</v>
      </c>
      <c r="H9" s="527">
        <v>0</v>
      </c>
      <c r="I9" s="372"/>
    </row>
    <row r="10" spans="1:24" outlineLevel="1">
      <c r="A10" s="372"/>
      <c r="B10" s="385" t="s">
        <v>1990</v>
      </c>
      <c r="C10" s="380" t="s">
        <v>1991</v>
      </c>
      <c r="D10" s="525" t="s">
        <v>159</v>
      </c>
      <c r="E10" s="380" t="s">
        <v>1167</v>
      </c>
      <c r="F10" s="526" t="s">
        <v>1992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1990</v>
      </c>
      <c r="C11" s="376" t="s">
        <v>1991</v>
      </c>
      <c r="D11" s="528" t="s">
        <v>159</v>
      </c>
      <c r="E11" s="376" t="s">
        <v>1167</v>
      </c>
      <c r="F11" s="529" t="s">
        <v>226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1990</v>
      </c>
      <c r="C12" s="376" t="s">
        <v>1991</v>
      </c>
      <c r="D12" s="528" t="s">
        <v>159</v>
      </c>
      <c r="E12" s="376" t="s">
        <v>1167</v>
      </c>
      <c r="F12" s="529" t="s">
        <v>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1990</v>
      </c>
      <c r="C13" s="376" t="s">
        <v>1991</v>
      </c>
      <c r="D13" s="528" t="s">
        <v>159</v>
      </c>
      <c r="E13" s="376" t="s">
        <v>1167</v>
      </c>
      <c r="F13" s="529" t="s">
        <v>208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1990</v>
      </c>
      <c r="C14" s="387" t="s">
        <v>1991</v>
      </c>
      <c r="D14" s="531" t="s">
        <v>159</v>
      </c>
      <c r="E14" s="387" t="s">
        <v>1167</v>
      </c>
      <c r="F14" s="532" t="s">
        <v>1993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1990</v>
      </c>
      <c r="C15" s="387" t="s">
        <v>1991</v>
      </c>
      <c r="D15" s="531" t="s">
        <v>159</v>
      </c>
      <c r="E15" s="387" t="s">
        <v>1167</v>
      </c>
      <c r="F15" s="532" t="s">
        <v>1994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1990</v>
      </c>
      <c r="C16" s="387" t="s">
        <v>1991</v>
      </c>
      <c r="D16" s="531" t="s">
        <v>159</v>
      </c>
      <c r="E16" s="387" t="s">
        <v>1167</v>
      </c>
      <c r="F16" s="532" t="s">
        <v>1995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1990</v>
      </c>
      <c r="C17" s="387" t="s">
        <v>1991</v>
      </c>
      <c r="D17" s="531" t="s">
        <v>159</v>
      </c>
      <c r="E17" s="387" t="s">
        <v>1167</v>
      </c>
      <c r="F17" s="532" t="s">
        <v>1996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1990</v>
      </c>
      <c r="C18" s="387" t="s">
        <v>1991</v>
      </c>
      <c r="D18" s="531" t="s">
        <v>159</v>
      </c>
      <c r="E18" s="387" t="s">
        <v>1167</v>
      </c>
      <c r="F18" s="532" t="s">
        <v>1997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612</v>
      </c>
      <c r="C19" s="376" t="s">
        <v>612</v>
      </c>
      <c r="D19" s="528" t="s">
        <v>159</v>
      </c>
      <c r="E19" s="376" t="s">
        <v>1167</v>
      </c>
      <c r="F19" s="529" t="s">
        <v>1998</v>
      </c>
      <c r="G19" s="530"/>
      <c r="H19" s="530">
        <v>1</v>
      </c>
      <c r="I19" s="372"/>
    </row>
    <row r="20" spans="1:11" outlineLevel="1">
      <c r="A20" s="372"/>
      <c r="B20" s="385" t="s">
        <v>918</v>
      </c>
      <c r="C20" s="380" t="s">
        <v>918</v>
      </c>
      <c r="D20" s="525" t="s">
        <v>159</v>
      </c>
      <c r="E20" s="380" t="s">
        <v>1167</v>
      </c>
      <c r="F20" s="526" t="s">
        <v>1999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918</v>
      </c>
      <c r="C21" s="376" t="s">
        <v>918</v>
      </c>
      <c r="D21" s="528" t="s">
        <v>159</v>
      </c>
      <c r="E21" s="376" t="s">
        <v>1167</v>
      </c>
      <c r="F21" s="529" t="s">
        <v>1380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918</v>
      </c>
      <c r="C22" s="376" t="s">
        <v>918</v>
      </c>
      <c r="D22" s="528" t="s">
        <v>159</v>
      </c>
      <c r="E22" s="376" t="s">
        <v>1167</v>
      </c>
      <c r="F22" s="529" t="s">
        <v>1381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918</v>
      </c>
      <c r="C23" s="376" t="s">
        <v>918</v>
      </c>
      <c r="D23" s="528" t="s">
        <v>159</v>
      </c>
      <c r="E23" s="376" t="s">
        <v>1167</v>
      </c>
      <c r="F23" s="529" t="s">
        <v>1382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918</v>
      </c>
      <c r="C24" s="376" t="s">
        <v>918</v>
      </c>
      <c r="D24" s="528" t="s">
        <v>159</v>
      </c>
      <c r="E24" s="376" t="s">
        <v>1167</v>
      </c>
      <c r="F24" s="529" t="s">
        <v>1383</v>
      </c>
      <c r="G24" s="530">
        <v>5.0000000000000001E-4</v>
      </c>
      <c r="H24" s="530">
        <v>1</v>
      </c>
      <c r="I24" s="372"/>
      <c r="K24" s="373" t="s">
        <v>2000</v>
      </c>
    </row>
    <row r="25" spans="1:11" outlineLevel="1">
      <c r="A25" s="372"/>
      <c r="B25" s="385" t="s">
        <v>1384</v>
      </c>
      <c r="C25" s="380" t="s">
        <v>1384</v>
      </c>
      <c r="D25" s="525" t="s">
        <v>159</v>
      </c>
      <c r="E25" s="380" t="s">
        <v>1167</v>
      </c>
      <c r="F25" s="526" t="s">
        <v>2001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1384</v>
      </c>
      <c r="C26" s="376" t="s">
        <v>1384</v>
      </c>
      <c r="D26" s="528" t="s">
        <v>159</v>
      </c>
      <c r="E26" s="376" t="s">
        <v>1167</v>
      </c>
      <c r="F26" s="529" t="s">
        <v>226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1384</v>
      </c>
      <c r="C27" s="376" t="s">
        <v>1384</v>
      </c>
      <c r="D27" s="528" t="s">
        <v>159</v>
      </c>
      <c r="E27" s="376" t="s">
        <v>1167</v>
      </c>
      <c r="F27" s="529" t="s">
        <v>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1384</v>
      </c>
      <c r="C28" s="376" t="s">
        <v>1384</v>
      </c>
      <c r="D28" s="528" t="s">
        <v>159</v>
      </c>
      <c r="E28" s="376" t="s">
        <v>1167</v>
      </c>
      <c r="F28" s="529" t="s">
        <v>208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422</v>
      </c>
      <c r="C29" s="385" t="s">
        <v>422</v>
      </c>
      <c r="D29" s="525" t="s">
        <v>159</v>
      </c>
      <c r="E29" s="380" t="s">
        <v>1167</v>
      </c>
      <c r="F29" s="526" t="s">
        <v>2002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422</v>
      </c>
      <c r="C30" s="376" t="s">
        <v>422</v>
      </c>
      <c r="D30" s="528" t="s">
        <v>159</v>
      </c>
      <c r="E30" s="376" t="s">
        <v>1167</v>
      </c>
      <c r="F30" s="529" t="s">
        <v>2003</v>
      </c>
      <c r="G30" s="530"/>
      <c r="H30" s="530">
        <v>1</v>
      </c>
      <c r="I30" s="372"/>
    </row>
    <row r="31" spans="1:11" outlineLevel="2">
      <c r="A31" s="372"/>
      <c r="B31" s="372" t="s">
        <v>422</v>
      </c>
      <c r="C31" s="376" t="s">
        <v>422</v>
      </c>
      <c r="D31" s="528" t="s">
        <v>159</v>
      </c>
      <c r="E31" s="376" t="s">
        <v>1167</v>
      </c>
      <c r="F31" s="529" t="s">
        <v>2004</v>
      </c>
      <c r="G31" s="530"/>
      <c r="H31" s="530">
        <v>1</v>
      </c>
      <c r="I31" s="372"/>
    </row>
    <row r="32" spans="1:11" outlineLevel="2">
      <c r="A32" s="372"/>
      <c r="B32" s="372" t="s">
        <v>422</v>
      </c>
      <c r="C32" s="376" t="s">
        <v>422</v>
      </c>
      <c r="D32" s="528" t="s">
        <v>159</v>
      </c>
      <c r="E32" s="376" t="s">
        <v>1167</v>
      </c>
      <c r="F32" s="529" t="s">
        <v>2005</v>
      </c>
      <c r="G32" s="530"/>
      <c r="H32" s="530">
        <v>1</v>
      </c>
      <c r="I32" s="372"/>
    </row>
    <row r="33" spans="1:9" outlineLevel="2">
      <c r="A33" s="372"/>
      <c r="B33" s="372" t="s">
        <v>422</v>
      </c>
      <c r="C33" s="376" t="s">
        <v>422</v>
      </c>
      <c r="D33" s="528" t="s">
        <v>159</v>
      </c>
      <c r="E33" s="376" t="s">
        <v>1167</v>
      </c>
      <c r="F33" s="529" t="s">
        <v>2006</v>
      </c>
      <c r="G33" s="530"/>
      <c r="H33" s="530">
        <v>1</v>
      </c>
      <c r="I33" s="372"/>
    </row>
    <row r="34" spans="1:9" outlineLevel="2">
      <c r="A34" s="372"/>
      <c r="B34" s="372" t="s">
        <v>422</v>
      </c>
      <c r="C34" s="376" t="s">
        <v>422</v>
      </c>
      <c r="D34" s="528" t="s">
        <v>159</v>
      </c>
      <c r="E34" s="376" t="s">
        <v>1167</v>
      </c>
      <c r="F34" s="529" t="s">
        <v>2007</v>
      </c>
      <c r="G34" s="530"/>
      <c r="H34" s="530">
        <v>1</v>
      </c>
      <c r="I34" s="372"/>
    </row>
    <row r="35" spans="1:9" outlineLevel="2">
      <c r="A35" s="372"/>
      <c r="B35" s="372" t="s">
        <v>422</v>
      </c>
      <c r="C35" s="376" t="s">
        <v>422</v>
      </c>
      <c r="D35" s="528" t="s">
        <v>159</v>
      </c>
      <c r="E35" s="376" t="s">
        <v>1167</v>
      </c>
      <c r="F35" s="529" t="s">
        <v>2008</v>
      </c>
      <c r="G35" s="530"/>
      <c r="H35" s="530">
        <v>1</v>
      </c>
      <c r="I35" s="372"/>
    </row>
    <row r="36" spans="1:9" outlineLevel="2">
      <c r="A36" s="372"/>
      <c r="B36" s="372" t="s">
        <v>422</v>
      </c>
      <c r="C36" s="376" t="s">
        <v>422</v>
      </c>
      <c r="D36" s="528" t="s">
        <v>159</v>
      </c>
      <c r="E36" s="376" t="s">
        <v>1167</v>
      </c>
      <c r="F36" s="529" t="s">
        <v>2009</v>
      </c>
      <c r="G36" s="530"/>
      <c r="H36" s="530">
        <v>1</v>
      </c>
      <c r="I36" s="372"/>
    </row>
    <row r="37" spans="1:9" outlineLevel="2">
      <c r="A37" s="372"/>
      <c r="B37" s="372" t="s">
        <v>422</v>
      </c>
      <c r="C37" s="376" t="s">
        <v>422</v>
      </c>
      <c r="D37" s="528" t="s">
        <v>159</v>
      </c>
      <c r="E37" s="376" t="s">
        <v>1167</v>
      </c>
      <c r="F37" s="529" t="s">
        <v>2010</v>
      </c>
      <c r="G37" s="530"/>
      <c r="H37" s="530">
        <v>1</v>
      </c>
      <c r="I37" s="372"/>
    </row>
    <row r="38" spans="1:9" outlineLevel="2">
      <c r="A38" s="372"/>
      <c r="B38" s="372" t="s">
        <v>422</v>
      </c>
      <c r="C38" s="376" t="s">
        <v>422</v>
      </c>
      <c r="D38" s="528" t="s">
        <v>159</v>
      </c>
      <c r="E38" s="376" t="s">
        <v>1167</v>
      </c>
      <c r="F38" s="529" t="s">
        <v>2011</v>
      </c>
      <c r="G38" s="530"/>
      <c r="H38" s="530">
        <v>1</v>
      </c>
      <c r="I38" s="372"/>
    </row>
    <row r="39" spans="1:9" outlineLevel="2">
      <c r="A39" s="372"/>
      <c r="B39" s="372" t="s">
        <v>422</v>
      </c>
      <c r="C39" s="376" t="s">
        <v>422</v>
      </c>
      <c r="D39" s="528" t="s">
        <v>159</v>
      </c>
      <c r="E39" s="376" t="s">
        <v>1167</v>
      </c>
      <c r="F39" s="529" t="s">
        <v>2012</v>
      </c>
      <c r="G39" s="530"/>
      <c r="H39" s="530">
        <v>1</v>
      </c>
      <c r="I39" s="372"/>
    </row>
    <row r="40" spans="1:9" outlineLevel="1">
      <c r="A40" s="372"/>
      <c r="B40" s="534" t="s">
        <v>2013</v>
      </c>
      <c r="C40" s="385" t="s">
        <v>2014</v>
      </c>
      <c r="D40" s="525" t="s">
        <v>159</v>
      </c>
      <c r="E40" s="380" t="s">
        <v>1167</v>
      </c>
      <c r="F40" s="526" t="s">
        <v>2015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2013</v>
      </c>
      <c r="C41" s="376" t="s">
        <v>2014</v>
      </c>
      <c r="D41" s="528" t="s">
        <v>159</v>
      </c>
      <c r="E41" s="376" t="s">
        <v>1167</v>
      </c>
      <c r="F41" s="529" t="s">
        <v>2016</v>
      </c>
      <c r="G41" s="530"/>
      <c r="H41" s="530">
        <v>1</v>
      </c>
      <c r="I41" s="372"/>
    </row>
    <row r="42" spans="1:9" outlineLevel="2">
      <c r="A42" s="372"/>
      <c r="B42" s="372" t="s">
        <v>2013</v>
      </c>
      <c r="C42" s="376" t="s">
        <v>2014</v>
      </c>
      <c r="D42" s="528" t="s">
        <v>159</v>
      </c>
      <c r="E42" s="376" t="s">
        <v>1167</v>
      </c>
      <c r="F42" s="529" t="s">
        <v>2017</v>
      </c>
      <c r="G42" s="530"/>
      <c r="H42" s="530">
        <v>1</v>
      </c>
      <c r="I42" s="372"/>
    </row>
    <row r="43" spans="1:9" outlineLevel="2">
      <c r="A43" s="372"/>
      <c r="B43" s="372" t="s">
        <v>2013</v>
      </c>
      <c r="C43" s="376" t="s">
        <v>2014</v>
      </c>
      <c r="D43" s="528" t="s">
        <v>159</v>
      </c>
      <c r="E43" s="376" t="s">
        <v>1167</v>
      </c>
      <c r="F43" s="529" t="s">
        <v>2018</v>
      </c>
      <c r="G43" s="530"/>
      <c r="H43" s="530">
        <v>1</v>
      </c>
      <c r="I43" s="372"/>
    </row>
    <row r="44" spans="1:9" outlineLevel="2">
      <c r="A44" s="372"/>
      <c r="B44" s="372" t="s">
        <v>2013</v>
      </c>
      <c r="C44" s="376" t="s">
        <v>2014</v>
      </c>
      <c r="D44" s="528" t="s">
        <v>159</v>
      </c>
      <c r="E44" s="376" t="s">
        <v>1167</v>
      </c>
      <c r="F44" s="529" t="s">
        <v>2019</v>
      </c>
      <c r="G44" s="530"/>
      <c r="H44" s="530">
        <v>1</v>
      </c>
      <c r="I44" s="372"/>
    </row>
    <row r="45" spans="1:9" outlineLevel="2">
      <c r="A45" s="372"/>
      <c r="B45" s="372" t="s">
        <v>2013</v>
      </c>
      <c r="C45" s="376" t="s">
        <v>2014</v>
      </c>
      <c r="D45" s="528" t="s">
        <v>159</v>
      </c>
      <c r="E45" s="376" t="s">
        <v>1167</v>
      </c>
      <c r="F45" s="529" t="s">
        <v>2020</v>
      </c>
      <c r="G45" s="530"/>
      <c r="H45" s="530">
        <v>1</v>
      </c>
      <c r="I45" s="372"/>
    </row>
    <row r="46" spans="1:9" outlineLevel="1">
      <c r="A46" s="372"/>
      <c r="B46" s="385" t="s">
        <v>2021</v>
      </c>
      <c r="C46" s="385" t="s">
        <v>2022</v>
      </c>
      <c r="D46" s="525" t="s">
        <v>159</v>
      </c>
      <c r="E46" s="380" t="s">
        <v>1167</v>
      </c>
      <c r="F46" s="526" t="s">
        <v>2021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2021</v>
      </c>
      <c r="C47" s="372" t="s">
        <v>2022</v>
      </c>
      <c r="D47" s="528" t="s">
        <v>159</v>
      </c>
      <c r="E47" s="376" t="s">
        <v>1167</v>
      </c>
      <c r="F47" s="529" t="s">
        <v>205</v>
      </c>
      <c r="G47" s="530"/>
      <c r="H47" s="530">
        <v>1</v>
      </c>
      <c r="I47" s="372"/>
    </row>
    <row r="48" spans="1:9" outlineLevel="2">
      <c r="A48" s="372"/>
      <c r="B48" s="372" t="s">
        <v>2021</v>
      </c>
      <c r="C48" s="372" t="s">
        <v>2022</v>
      </c>
      <c r="D48" s="528" t="s">
        <v>159</v>
      </c>
      <c r="E48" s="376" t="s">
        <v>1167</v>
      </c>
      <c r="F48" s="529" t="s">
        <v>206</v>
      </c>
      <c r="G48" s="530"/>
      <c r="H48" s="530">
        <v>1</v>
      </c>
      <c r="I48" s="372"/>
    </row>
    <row r="49" spans="1:9" outlineLevel="1">
      <c r="A49" s="372"/>
      <c r="B49" s="385" t="s">
        <v>2023</v>
      </c>
      <c r="C49" s="534" t="s">
        <v>929</v>
      </c>
      <c r="D49" s="525" t="s">
        <v>159</v>
      </c>
      <c r="E49" s="380" t="s">
        <v>1167</v>
      </c>
      <c r="F49" s="526" t="s">
        <v>2023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2023</v>
      </c>
      <c r="C50" s="376" t="s">
        <v>929</v>
      </c>
      <c r="D50" s="528" t="s">
        <v>159</v>
      </c>
      <c r="E50" s="376" t="s">
        <v>1167</v>
      </c>
      <c r="F50" s="529" t="s">
        <v>2024</v>
      </c>
      <c r="G50" s="530"/>
      <c r="H50" s="530">
        <v>1</v>
      </c>
      <c r="I50" s="372"/>
    </row>
    <row r="51" spans="1:9" outlineLevel="2">
      <c r="A51" s="372"/>
      <c r="B51" s="372" t="s">
        <v>2023</v>
      </c>
      <c r="C51" s="376" t="s">
        <v>929</v>
      </c>
      <c r="D51" s="528" t="s">
        <v>159</v>
      </c>
      <c r="E51" s="376" t="s">
        <v>1167</v>
      </c>
      <c r="F51" s="529" t="s">
        <v>2025</v>
      </c>
      <c r="G51" s="530"/>
      <c r="H51" s="530">
        <v>1</v>
      </c>
      <c r="I51" s="372"/>
    </row>
    <row r="52" spans="1:9" outlineLevel="2">
      <c r="A52" s="372"/>
      <c r="B52" s="372" t="s">
        <v>2023</v>
      </c>
      <c r="C52" s="376" t="s">
        <v>929</v>
      </c>
      <c r="D52" s="528" t="s">
        <v>159</v>
      </c>
      <c r="E52" s="376" t="s">
        <v>1167</v>
      </c>
      <c r="F52" s="529" t="s">
        <v>2026</v>
      </c>
      <c r="G52" s="530"/>
      <c r="H52" s="530">
        <v>1</v>
      </c>
      <c r="I52" s="372"/>
    </row>
    <row r="53" spans="1:9" outlineLevel="1">
      <c r="A53" s="372"/>
      <c r="B53" s="385" t="s">
        <v>2027</v>
      </c>
      <c r="C53" s="380" t="s">
        <v>2028</v>
      </c>
      <c r="D53" s="525" t="s">
        <v>159</v>
      </c>
      <c r="E53" s="380" t="s">
        <v>1167</v>
      </c>
      <c r="F53" s="526" t="s">
        <v>407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2027</v>
      </c>
      <c r="C54" s="376" t="s">
        <v>2028</v>
      </c>
      <c r="D54" s="528" t="s">
        <v>159</v>
      </c>
      <c r="E54" s="376" t="s">
        <v>1167</v>
      </c>
      <c r="F54" s="529" t="s">
        <v>205</v>
      </c>
      <c r="G54" s="530"/>
      <c r="H54" s="530">
        <v>1</v>
      </c>
      <c r="I54" s="372"/>
    </row>
    <row r="55" spans="1:9" outlineLevel="1">
      <c r="A55" s="372"/>
      <c r="B55" s="385" t="s">
        <v>2029</v>
      </c>
      <c r="C55" s="385" t="s">
        <v>2029</v>
      </c>
      <c r="D55" s="525" t="s">
        <v>159</v>
      </c>
      <c r="E55" s="380" t="s">
        <v>1167</v>
      </c>
      <c r="F55" s="526" t="s">
        <v>2030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2029</v>
      </c>
      <c r="C56" s="372" t="s">
        <v>2029</v>
      </c>
      <c r="D56" s="528" t="s">
        <v>159</v>
      </c>
      <c r="E56" s="376" t="s">
        <v>1167</v>
      </c>
      <c r="F56" s="529" t="s">
        <v>2031</v>
      </c>
      <c r="G56" s="530"/>
      <c r="H56" s="530">
        <v>1</v>
      </c>
      <c r="I56" s="372"/>
    </row>
    <row r="57" spans="1:9" outlineLevel="2">
      <c r="A57" s="372"/>
      <c r="B57" s="372" t="s">
        <v>2029</v>
      </c>
      <c r="C57" s="372" t="s">
        <v>2029</v>
      </c>
      <c r="D57" s="528" t="s">
        <v>159</v>
      </c>
      <c r="E57" s="376" t="s">
        <v>1167</v>
      </c>
      <c r="F57" s="529" t="s">
        <v>2032</v>
      </c>
      <c r="G57" s="530"/>
      <c r="H57" s="530">
        <v>1</v>
      </c>
      <c r="I57" s="372"/>
    </row>
    <row r="58" spans="1:9" outlineLevel="2">
      <c r="A58" s="372"/>
      <c r="B58" s="372" t="s">
        <v>2029</v>
      </c>
      <c r="C58" s="372" t="s">
        <v>2029</v>
      </c>
      <c r="D58" s="528" t="s">
        <v>159</v>
      </c>
      <c r="E58" s="376" t="s">
        <v>1167</v>
      </c>
      <c r="F58" s="529" t="s">
        <v>2033</v>
      </c>
      <c r="G58" s="530"/>
      <c r="H58" s="530">
        <v>1</v>
      </c>
      <c r="I58" s="372"/>
    </row>
    <row r="59" spans="1:9" outlineLevel="1">
      <c r="A59" s="372"/>
      <c r="B59" s="385" t="s">
        <v>2034</v>
      </c>
      <c r="C59" s="385" t="s">
        <v>2034</v>
      </c>
      <c r="D59" s="525" t="s">
        <v>159</v>
      </c>
      <c r="E59" s="380" t="s">
        <v>1167</v>
      </c>
      <c r="F59" s="526" t="s">
        <v>2035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2034</v>
      </c>
      <c r="C60" s="372" t="s">
        <v>2034</v>
      </c>
      <c r="D60" s="528" t="s">
        <v>159</v>
      </c>
      <c r="E60" s="376" t="s">
        <v>1167</v>
      </c>
      <c r="F60" s="529" t="s">
        <v>205</v>
      </c>
      <c r="G60" s="530"/>
      <c r="H60" s="530">
        <v>1</v>
      </c>
      <c r="I60" s="372"/>
    </row>
    <row r="61" spans="1:9" outlineLevel="2">
      <c r="A61" s="372"/>
      <c r="B61" s="372" t="s">
        <v>2034</v>
      </c>
      <c r="C61" s="372" t="s">
        <v>2034</v>
      </c>
      <c r="D61" s="528" t="s">
        <v>159</v>
      </c>
      <c r="E61" s="376" t="s">
        <v>1167</v>
      </c>
      <c r="F61" s="529" t="s">
        <v>206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1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447"/>
      <c r="B2" s="542" t="s">
        <v>1956</v>
      </c>
      <c r="C2" s="542"/>
      <c r="D2" s="542"/>
      <c r="E2" s="542"/>
      <c r="F2" s="543"/>
      <c r="G2" s="544" t="s">
        <v>1714</v>
      </c>
      <c r="H2" s="544" t="s">
        <v>726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642</v>
      </c>
      <c r="C4" s="444" t="s">
        <v>643</v>
      </c>
      <c r="D4" s="444" t="s">
        <v>645</v>
      </c>
      <c r="E4" s="444" t="s">
        <v>0</v>
      </c>
      <c r="F4" s="546" t="s">
        <v>992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1176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6">
      <c r="A7" s="447"/>
      <c r="B7" s="550" t="s">
        <v>45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162</v>
      </c>
      <c r="C9" s="447" t="s">
        <v>160</v>
      </c>
      <c r="D9" s="443" t="s">
        <v>159</v>
      </c>
      <c r="E9" s="447" t="s">
        <v>45</v>
      </c>
      <c r="F9" s="477" t="s">
        <v>1855</v>
      </c>
      <c r="G9" s="478"/>
      <c r="H9" s="478">
        <v>6</v>
      </c>
      <c r="I9" s="382"/>
    </row>
    <row r="10" spans="1:24" outlineLevel="1">
      <c r="A10" s="382"/>
      <c r="B10" s="382" t="s">
        <v>163</v>
      </c>
      <c r="C10" s="447" t="s">
        <v>160</v>
      </c>
      <c r="D10" s="443" t="s">
        <v>159</v>
      </c>
      <c r="E10" s="447" t="s">
        <v>45</v>
      </c>
      <c r="F10" s="477" t="s">
        <v>1856</v>
      </c>
      <c r="G10" s="478"/>
      <c r="H10" s="478">
        <v>2</v>
      </c>
      <c r="I10" s="382"/>
    </row>
    <row r="11" spans="1:24" outlineLevel="1">
      <c r="A11" s="382"/>
      <c r="B11" s="382" t="s">
        <v>2036</v>
      </c>
      <c r="C11" s="447" t="s">
        <v>160</v>
      </c>
      <c r="D11" s="443" t="s">
        <v>159</v>
      </c>
      <c r="E11" s="447" t="s">
        <v>45</v>
      </c>
      <c r="F11" s="477" t="s">
        <v>2037</v>
      </c>
      <c r="G11" s="478"/>
      <c r="H11" s="478">
        <v>1</v>
      </c>
      <c r="I11" s="382"/>
    </row>
    <row r="12" spans="1:24" outlineLevel="1">
      <c r="A12" s="382"/>
      <c r="B12" s="382" t="s">
        <v>2036</v>
      </c>
      <c r="C12" s="447" t="s">
        <v>160</v>
      </c>
      <c r="D12" s="443" t="s">
        <v>159</v>
      </c>
      <c r="E12" s="447" t="s">
        <v>45</v>
      </c>
      <c r="F12" s="477" t="s">
        <v>2038</v>
      </c>
      <c r="G12" s="478"/>
      <c r="H12" s="478">
        <v>1</v>
      </c>
      <c r="I12" s="382"/>
    </row>
    <row r="13" spans="1:24" outlineLevel="1">
      <c r="A13" s="382"/>
      <c r="B13" s="382" t="s">
        <v>331</v>
      </c>
      <c r="C13" s="447" t="s">
        <v>160</v>
      </c>
      <c r="D13" s="443" t="s">
        <v>159</v>
      </c>
      <c r="E13" s="447" t="s">
        <v>45</v>
      </c>
      <c r="F13" s="477" t="s">
        <v>2039</v>
      </c>
      <c r="G13" s="478"/>
      <c r="H13" s="478">
        <v>1</v>
      </c>
      <c r="I13" s="382"/>
    </row>
    <row r="14" spans="1:24" outlineLevel="1">
      <c r="A14" s="382"/>
      <c r="B14" s="382" t="s">
        <v>331</v>
      </c>
      <c r="C14" s="447" t="s">
        <v>160</v>
      </c>
      <c r="D14" s="443" t="s">
        <v>159</v>
      </c>
      <c r="E14" s="447" t="s">
        <v>45</v>
      </c>
      <c r="F14" s="477" t="s">
        <v>2040</v>
      </c>
      <c r="G14" s="478"/>
      <c r="H14" s="478">
        <v>1</v>
      </c>
      <c r="I14" s="382"/>
    </row>
    <row r="15" spans="1:24" outlineLevel="1">
      <c r="A15" s="382"/>
      <c r="B15" s="382" t="s">
        <v>2041</v>
      </c>
      <c r="C15" s="447" t="s">
        <v>160</v>
      </c>
      <c r="D15" s="443" t="s">
        <v>159</v>
      </c>
      <c r="E15" s="447" t="s">
        <v>45</v>
      </c>
      <c r="F15" s="477" t="s">
        <v>2042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1956</v>
      </c>
      <c r="D2" s="418"/>
      <c r="E2" s="418"/>
      <c r="F2" s="418"/>
      <c r="G2" s="469"/>
      <c r="H2" s="421" t="s">
        <v>1714</v>
      </c>
      <c r="I2" s="421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1176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1968</v>
      </c>
      <c r="C7" s="470" t="s">
        <v>56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891</v>
      </c>
      <c r="D9" s="385" t="s">
        <v>1240</v>
      </c>
      <c r="E9" s="385" t="s">
        <v>518</v>
      </c>
      <c r="F9" s="385" t="s">
        <v>56</v>
      </c>
      <c r="G9" s="526" t="s">
        <v>1969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891</v>
      </c>
      <c r="D10" s="372" t="s">
        <v>1240</v>
      </c>
      <c r="E10" s="372" t="s">
        <v>518</v>
      </c>
      <c r="F10" s="372" t="s">
        <v>56</v>
      </c>
      <c r="G10" s="468" t="s">
        <v>1718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891</v>
      </c>
      <c r="D11" s="385" t="s">
        <v>1195</v>
      </c>
      <c r="E11" s="385" t="s">
        <v>518</v>
      </c>
      <c r="F11" s="385" t="s">
        <v>56</v>
      </c>
      <c r="G11" s="526" t="s">
        <v>1969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891</v>
      </c>
      <c r="D12" s="372" t="s">
        <v>1195</v>
      </c>
      <c r="E12" s="372" t="s">
        <v>518</v>
      </c>
      <c r="F12" s="372" t="s">
        <v>56</v>
      </c>
      <c r="G12" s="468" t="s">
        <v>247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891</v>
      </c>
      <c r="D13" s="372" t="s">
        <v>1195</v>
      </c>
      <c r="E13" s="372" t="s">
        <v>518</v>
      </c>
      <c r="F13" s="372" t="s">
        <v>56</v>
      </c>
      <c r="G13" s="468" t="s">
        <v>251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891</v>
      </c>
      <c r="D14" s="385" t="s">
        <v>1247</v>
      </c>
      <c r="E14" s="385" t="s">
        <v>518</v>
      </c>
      <c r="F14" s="385" t="s">
        <v>56</v>
      </c>
      <c r="G14" s="526" t="s">
        <v>1969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891</v>
      </c>
      <c r="D15" s="372" t="s">
        <v>1247</v>
      </c>
      <c r="E15" s="372" t="s">
        <v>518</v>
      </c>
      <c r="F15" s="372" t="s">
        <v>56</v>
      </c>
      <c r="G15" s="468" t="s">
        <v>206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891</v>
      </c>
      <c r="D16" s="372" t="s">
        <v>1247</v>
      </c>
      <c r="E16" s="372" t="s">
        <v>518</v>
      </c>
      <c r="F16" s="372" t="s">
        <v>56</v>
      </c>
      <c r="G16" s="468" t="s">
        <v>199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891</v>
      </c>
      <c r="D17" s="372" t="s">
        <v>1247</v>
      </c>
      <c r="E17" s="372" t="s">
        <v>518</v>
      </c>
      <c r="F17" s="372" t="s">
        <v>56</v>
      </c>
      <c r="G17" s="468" t="s">
        <v>1736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891</v>
      </c>
      <c r="D18" s="372" t="s">
        <v>1247</v>
      </c>
      <c r="E18" s="372" t="s">
        <v>518</v>
      </c>
      <c r="F18" s="372" t="s">
        <v>56</v>
      </c>
      <c r="G18" s="468" t="s">
        <v>1737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891</v>
      </c>
      <c r="D19" s="372" t="s">
        <v>1247</v>
      </c>
      <c r="E19" s="372" t="s">
        <v>518</v>
      </c>
      <c r="F19" s="372" t="s">
        <v>56</v>
      </c>
      <c r="G19" s="468" t="s">
        <v>1730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891</v>
      </c>
      <c r="D20" s="372" t="s">
        <v>1247</v>
      </c>
      <c r="E20" s="372" t="s">
        <v>518</v>
      </c>
      <c r="F20" s="372" t="s">
        <v>56</v>
      </c>
      <c r="G20" s="468" t="s">
        <v>1738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891</v>
      </c>
      <c r="D21" s="372" t="s">
        <v>1247</v>
      </c>
      <c r="E21" s="372" t="s">
        <v>518</v>
      </c>
      <c r="F21" s="372" t="s">
        <v>56</v>
      </c>
      <c r="G21" s="468" t="s">
        <v>1739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891</v>
      </c>
      <c r="D22" s="372" t="s">
        <v>1247</v>
      </c>
      <c r="E22" s="372" t="s">
        <v>518</v>
      </c>
      <c r="F22" s="372" t="s">
        <v>56</v>
      </c>
      <c r="G22" s="468" t="s">
        <v>1732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891</v>
      </c>
      <c r="D23" s="372" t="s">
        <v>1247</v>
      </c>
      <c r="E23" s="372" t="s">
        <v>518</v>
      </c>
      <c r="F23" s="372" t="s">
        <v>56</v>
      </c>
      <c r="G23" s="468" t="s">
        <v>1740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891</v>
      </c>
      <c r="D24" s="372" t="s">
        <v>1247</v>
      </c>
      <c r="E24" s="372" t="s">
        <v>518</v>
      </c>
      <c r="F24" s="372" t="s">
        <v>56</v>
      </c>
      <c r="G24" s="468" t="s">
        <v>1741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891</v>
      </c>
      <c r="D25" s="372" t="s">
        <v>1247</v>
      </c>
      <c r="E25" s="372" t="s">
        <v>518</v>
      </c>
      <c r="F25" s="372" t="s">
        <v>56</v>
      </c>
      <c r="G25" s="468" t="s">
        <v>1733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891</v>
      </c>
      <c r="D26" s="372" t="s">
        <v>1247</v>
      </c>
      <c r="E26" s="372" t="s">
        <v>518</v>
      </c>
      <c r="F26" s="372" t="s">
        <v>56</v>
      </c>
      <c r="G26" s="468" t="s">
        <v>1734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891</v>
      </c>
      <c r="D27" s="372" t="s">
        <v>1247</v>
      </c>
      <c r="E27" s="372" t="s">
        <v>518</v>
      </c>
      <c r="F27" s="372" t="s">
        <v>56</v>
      </c>
      <c r="G27" s="468" t="s">
        <v>1742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891</v>
      </c>
      <c r="D28" s="372" t="s">
        <v>1247</v>
      </c>
      <c r="E28" s="372" t="s">
        <v>518</v>
      </c>
      <c r="F28" s="372" t="s">
        <v>56</v>
      </c>
      <c r="G28" s="468" t="s">
        <v>1743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891</v>
      </c>
      <c r="D29" s="372" t="s">
        <v>1247</v>
      </c>
      <c r="E29" s="372" t="s">
        <v>518</v>
      </c>
      <c r="F29" s="372" t="s">
        <v>56</v>
      </c>
      <c r="G29" s="468" t="s">
        <v>1735</v>
      </c>
      <c r="H29" s="474">
        <v>3.5178109061621493E-3</v>
      </c>
      <c r="I29" s="474">
        <v>1</v>
      </c>
    </row>
    <row r="30" spans="2:9" outlineLevel="1">
      <c r="B30" s="372"/>
      <c r="C30" s="385" t="s">
        <v>893</v>
      </c>
      <c r="D30" s="385" t="s">
        <v>1351</v>
      </c>
      <c r="E30" s="385" t="s">
        <v>518</v>
      </c>
      <c r="F30" s="385" t="s">
        <v>56</v>
      </c>
      <c r="G30" s="526" t="s">
        <v>1973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893</v>
      </c>
      <c r="D31" s="372" t="s">
        <v>1351</v>
      </c>
      <c r="E31" s="372" t="s">
        <v>518</v>
      </c>
      <c r="F31" s="372" t="s">
        <v>56</v>
      </c>
      <c r="G31" s="468" t="s">
        <v>1748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893</v>
      </c>
      <c r="D32" s="372" t="s">
        <v>1351</v>
      </c>
      <c r="E32" s="372" t="s">
        <v>518</v>
      </c>
      <c r="F32" s="372" t="s">
        <v>56</v>
      </c>
      <c r="G32" s="468" t="s">
        <v>1749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893</v>
      </c>
      <c r="D33" s="372" t="s">
        <v>1351</v>
      </c>
      <c r="E33" s="372" t="s">
        <v>518</v>
      </c>
      <c r="F33" s="372" t="s">
        <v>56</v>
      </c>
      <c r="G33" s="468" t="s">
        <v>246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893</v>
      </c>
      <c r="D34" s="372" t="s">
        <v>1351</v>
      </c>
      <c r="E34" s="372" t="s">
        <v>518</v>
      </c>
      <c r="F34" s="372" t="s">
        <v>56</v>
      </c>
      <c r="G34" s="468" t="s">
        <v>247</v>
      </c>
      <c r="H34" s="474">
        <v>1.2071744078249999E-2</v>
      </c>
      <c r="I34" s="474">
        <v>1</v>
      </c>
    </row>
    <row r="35" spans="2:9" outlineLevel="1">
      <c r="B35" s="372"/>
      <c r="C35" s="385" t="s">
        <v>894</v>
      </c>
      <c r="D35" s="385" t="s">
        <v>1265</v>
      </c>
      <c r="E35" s="385" t="s">
        <v>518</v>
      </c>
      <c r="F35" s="385" t="s">
        <v>56</v>
      </c>
      <c r="G35" s="526" t="s">
        <v>1970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894</v>
      </c>
      <c r="D36" s="372" t="s">
        <v>1265</v>
      </c>
      <c r="E36" s="372" t="s">
        <v>518</v>
      </c>
      <c r="F36" s="372" t="s">
        <v>56</v>
      </c>
      <c r="G36" s="468" t="s">
        <v>543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894</v>
      </c>
      <c r="D37" s="372" t="s">
        <v>1265</v>
      </c>
      <c r="E37" s="372" t="s">
        <v>518</v>
      </c>
      <c r="F37" s="372" t="s">
        <v>56</v>
      </c>
      <c r="G37" s="468" t="s">
        <v>221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894</v>
      </c>
      <c r="D38" s="372" t="s">
        <v>1265</v>
      </c>
      <c r="E38" s="372" t="s">
        <v>518</v>
      </c>
      <c r="F38" s="372" t="s">
        <v>56</v>
      </c>
      <c r="G38" s="468" t="s">
        <v>254</v>
      </c>
      <c r="H38" s="474">
        <v>0.01</v>
      </c>
      <c r="I38" s="474">
        <v>1</v>
      </c>
    </row>
    <row r="39" spans="2:9" outlineLevel="1">
      <c r="B39" s="372"/>
      <c r="C39" s="385" t="s">
        <v>469</v>
      </c>
      <c r="D39" s="385" t="s">
        <v>1281</v>
      </c>
      <c r="E39" s="385" t="s">
        <v>518</v>
      </c>
      <c r="F39" s="385" t="s">
        <v>56</v>
      </c>
      <c r="G39" s="526" t="s">
        <v>1971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469</v>
      </c>
      <c r="D40" s="372" t="s">
        <v>1281</v>
      </c>
      <c r="E40" s="372" t="s">
        <v>518</v>
      </c>
      <c r="F40" s="372" t="s">
        <v>56</v>
      </c>
      <c r="G40" s="468" t="s">
        <v>544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469</v>
      </c>
      <c r="D41" s="372" t="s">
        <v>1281</v>
      </c>
      <c r="E41" s="372" t="s">
        <v>518</v>
      </c>
      <c r="F41" s="372" t="s">
        <v>56</v>
      </c>
      <c r="G41" s="468" t="s">
        <v>545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469</v>
      </c>
      <c r="D42" s="372" t="s">
        <v>1281</v>
      </c>
      <c r="E42" s="372" t="s">
        <v>518</v>
      </c>
      <c r="F42" s="372" t="s">
        <v>56</v>
      </c>
      <c r="G42" s="468" t="s">
        <v>342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469</v>
      </c>
      <c r="D43" s="372" t="s">
        <v>1281</v>
      </c>
      <c r="E43" s="372" t="s">
        <v>518</v>
      </c>
      <c r="F43" s="372" t="s">
        <v>56</v>
      </c>
      <c r="G43" s="468" t="s">
        <v>546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469</v>
      </c>
      <c r="D44" s="372" t="s">
        <v>1281</v>
      </c>
      <c r="E44" s="372" t="s">
        <v>518</v>
      </c>
      <c r="F44" s="372" t="s">
        <v>56</v>
      </c>
      <c r="G44" s="468" t="s">
        <v>547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469</v>
      </c>
      <c r="D45" s="372" t="s">
        <v>1281</v>
      </c>
      <c r="E45" s="372" t="s">
        <v>518</v>
      </c>
      <c r="F45" s="372" t="s">
        <v>56</v>
      </c>
      <c r="G45" s="468" t="s">
        <v>543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469</v>
      </c>
      <c r="D46" s="372" t="s">
        <v>1281</v>
      </c>
      <c r="E46" s="372" t="s">
        <v>518</v>
      </c>
      <c r="F46" s="372" t="s">
        <v>56</v>
      </c>
      <c r="G46" s="468" t="s">
        <v>221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469</v>
      </c>
      <c r="D47" s="372" t="s">
        <v>1281</v>
      </c>
      <c r="E47" s="372" t="s">
        <v>518</v>
      </c>
      <c r="F47" s="372" t="s">
        <v>56</v>
      </c>
      <c r="G47" s="468" t="s">
        <v>1860</v>
      </c>
      <c r="H47" s="474">
        <v>0.4</v>
      </c>
      <c r="I47" s="474">
        <v>1</v>
      </c>
    </row>
    <row r="48" spans="2:9" outlineLevel="1">
      <c r="B48" s="372"/>
      <c r="C48" s="385" t="s">
        <v>897</v>
      </c>
      <c r="D48" s="385" t="s">
        <v>1201</v>
      </c>
      <c r="E48" s="385" t="s">
        <v>518</v>
      </c>
      <c r="F48" s="385" t="s">
        <v>56</v>
      </c>
      <c r="G48" s="526" t="s">
        <v>1957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897</v>
      </c>
      <c r="D49" s="372" t="s">
        <v>1201</v>
      </c>
      <c r="E49" s="372" t="s">
        <v>518</v>
      </c>
      <c r="F49" s="372" t="s">
        <v>56</v>
      </c>
      <c r="G49" s="468" t="s">
        <v>174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897</v>
      </c>
      <c r="D50" s="372" t="s">
        <v>1201</v>
      </c>
      <c r="E50" s="372" t="s">
        <v>518</v>
      </c>
      <c r="F50" s="372" t="s">
        <v>56</v>
      </c>
      <c r="G50" s="468" t="s">
        <v>552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897</v>
      </c>
      <c r="D51" s="372" t="s">
        <v>1201</v>
      </c>
      <c r="E51" s="372" t="s">
        <v>518</v>
      </c>
      <c r="F51" s="372" t="s">
        <v>56</v>
      </c>
      <c r="G51" s="468" t="s">
        <v>553</v>
      </c>
      <c r="H51" s="474">
        <v>1.1911781127994301E-2</v>
      </c>
      <c r="I51" s="474">
        <v>1</v>
      </c>
    </row>
    <row r="52" spans="2:9" outlineLevel="1">
      <c r="B52" s="372"/>
      <c r="C52" s="385" t="s">
        <v>898</v>
      </c>
      <c r="D52" s="385" t="s">
        <v>1785</v>
      </c>
      <c r="E52" s="385" t="s">
        <v>518</v>
      </c>
      <c r="F52" s="385" t="s">
        <v>56</v>
      </c>
      <c r="G52" s="526" t="s">
        <v>1958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898</v>
      </c>
      <c r="D53" s="372" t="s">
        <v>1785</v>
      </c>
      <c r="E53" s="372" t="s">
        <v>518</v>
      </c>
      <c r="F53" s="372" t="s">
        <v>56</v>
      </c>
      <c r="G53" s="468" t="s">
        <v>175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898</v>
      </c>
      <c r="D54" s="372" t="s">
        <v>1785</v>
      </c>
      <c r="E54" s="372" t="s">
        <v>518</v>
      </c>
      <c r="F54" s="372" t="s">
        <v>56</v>
      </c>
      <c r="G54" s="468" t="s">
        <v>174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898</v>
      </c>
      <c r="D55" s="372" t="s">
        <v>1785</v>
      </c>
      <c r="E55" s="372" t="s">
        <v>518</v>
      </c>
      <c r="F55" s="372" t="s">
        <v>56</v>
      </c>
      <c r="G55" s="468" t="s">
        <v>195</v>
      </c>
      <c r="H55" s="474">
        <v>4.5086341500000002E-2</v>
      </c>
      <c r="I55" s="474">
        <v>1</v>
      </c>
    </row>
    <row r="56" spans="2:9" outlineLevel="1">
      <c r="B56" s="372"/>
      <c r="C56" s="385" t="s">
        <v>899</v>
      </c>
      <c r="D56" s="385" t="s">
        <v>1178</v>
      </c>
      <c r="E56" s="385" t="s">
        <v>518</v>
      </c>
      <c r="F56" s="385" t="s">
        <v>56</v>
      </c>
      <c r="G56" s="526" t="s">
        <v>1959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899</v>
      </c>
      <c r="D57" s="372" t="s">
        <v>1178</v>
      </c>
      <c r="E57" s="372" t="s">
        <v>518</v>
      </c>
      <c r="F57" s="372" t="s">
        <v>56</v>
      </c>
      <c r="G57" s="468" t="s">
        <v>1791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899</v>
      </c>
      <c r="D58" s="372" t="s">
        <v>1178</v>
      </c>
      <c r="E58" s="372" t="s">
        <v>518</v>
      </c>
      <c r="F58" s="372" t="s">
        <v>56</v>
      </c>
      <c r="G58" s="468" t="s">
        <v>1792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899</v>
      </c>
      <c r="D59" s="372" t="s">
        <v>1178</v>
      </c>
      <c r="E59" s="372" t="s">
        <v>518</v>
      </c>
      <c r="F59" s="372" t="s">
        <v>56</v>
      </c>
      <c r="G59" s="468" t="s">
        <v>1793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899</v>
      </c>
      <c r="D60" s="372" t="s">
        <v>1178</v>
      </c>
      <c r="E60" s="372" t="s">
        <v>518</v>
      </c>
      <c r="F60" s="372" t="s">
        <v>56</v>
      </c>
      <c r="G60" s="468" t="s">
        <v>1795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899</v>
      </c>
      <c r="D61" s="372" t="s">
        <v>1178</v>
      </c>
      <c r="E61" s="372" t="s">
        <v>518</v>
      </c>
      <c r="F61" s="372" t="s">
        <v>56</v>
      </c>
      <c r="G61" s="468" t="s">
        <v>1797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899</v>
      </c>
      <c r="D62" s="372" t="s">
        <v>1178</v>
      </c>
      <c r="E62" s="372" t="s">
        <v>518</v>
      </c>
      <c r="F62" s="372" t="s">
        <v>56</v>
      </c>
      <c r="G62" s="468" t="s">
        <v>1798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899</v>
      </c>
      <c r="D63" s="372" t="s">
        <v>1178</v>
      </c>
      <c r="E63" s="372" t="s">
        <v>518</v>
      </c>
      <c r="F63" s="372" t="s">
        <v>56</v>
      </c>
      <c r="G63" s="468" t="s">
        <v>1799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899</v>
      </c>
      <c r="D64" s="372" t="s">
        <v>1178</v>
      </c>
      <c r="E64" s="372" t="s">
        <v>518</v>
      </c>
      <c r="F64" s="372" t="s">
        <v>56</v>
      </c>
      <c r="G64" s="468" t="s">
        <v>1801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899</v>
      </c>
      <c r="D65" s="372" t="s">
        <v>1178</v>
      </c>
      <c r="E65" s="372" t="s">
        <v>518</v>
      </c>
      <c r="F65" s="372" t="s">
        <v>56</v>
      </c>
      <c r="G65" s="468" t="s">
        <v>1803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899</v>
      </c>
      <c r="D66" s="372" t="s">
        <v>1178</v>
      </c>
      <c r="E66" s="372" t="s">
        <v>518</v>
      </c>
      <c r="F66" s="372" t="s">
        <v>56</v>
      </c>
      <c r="G66" s="468" t="s">
        <v>1804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899</v>
      </c>
      <c r="D67" s="372" t="s">
        <v>1178</v>
      </c>
      <c r="E67" s="372" t="s">
        <v>518</v>
      </c>
      <c r="F67" s="372" t="s">
        <v>56</v>
      </c>
      <c r="G67" s="468" t="s">
        <v>192</v>
      </c>
      <c r="H67" s="474">
        <v>0.13</v>
      </c>
      <c r="I67" s="474">
        <v>1</v>
      </c>
    </row>
    <row r="68" spans="2:9" outlineLevel="1">
      <c r="B68" s="372"/>
      <c r="C68" s="385" t="s">
        <v>946</v>
      </c>
      <c r="D68" s="385" t="s">
        <v>1195</v>
      </c>
      <c r="E68" s="385" t="s">
        <v>518</v>
      </c>
      <c r="F68" s="385" t="s">
        <v>56</v>
      </c>
      <c r="G68" s="526" t="s">
        <v>1960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946</v>
      </c>
      <c r="D69" s="372" t="s">
        <v>1195</v>
      </c>
      <c r="E69" s="372" t="s">
        <v>518</v>
      </c>
      <c r="F69" s="372" t="s">
        <v>56</v>
      </c>
      <c r="G69" s="468" t="s">
        <v>1810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946</v>
      </c>
      <c r="D70" s="372" t="s">
        <v>1195</v>
      </c>
      <c r="E70" s="372" t="s">
        <v>518</v>
      </c>
      <c r="F70" s="372" t="s">
        <v>56</v>
      </c>
      <c r="G70" s="468" t="s">
        <v>1807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946</v>
      </c>
      <c r="D71" s="372" t="s">
        <v>1195</v>
      </c>
      <c r="E71" s="372" t="s">
        <v>518</v>
      </c>
      <c r="F71" s="372" t="s">
        <v>56</v>
      </c>
      <c r="G71" s="468" t="s">
        <v>1808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946</v>
      </c>
      <c r="D72" s="372" t="s">
        <v>1195</v>
      </c>
      <c r="E72" s="372" t="s">
        <v>518</v>
      </c>
      <c r="F72" s="372" t="s">
        <v>56</v>
      </c>
      <c r="G72" s="468" t="s">
        <v>1809</v>
      </c>
      <c r="H72" s="474">
        <v>0.11799571852507491</v>
      </c>
      <c r="I72" s="474">
        <v>1</v>
      </c>
    </row>
    <row r="73" spans="2:9" outlineLevel="1">
      <c r="B73" s="372"/>
      <c r="C73" s="385" t="s">
        <v>966</v>
      </c>
      <c r="D73" s="385" t="s">
        <v>1222</v>
      </c>
      <c r="E73" s="385" t="s">
        <v>518</v>
      </c>
      <c r="F73" s="385" t="s">
        <v>56</v>
      </c>
      <c r="G73" s="526" t="s">
        <v>1961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966</v>
      </c>
      <c r="D74" s="372" t="s">
        <v>1222</v>
      </c>
      <c r="E74" s="372" t="s">
        <v>518</v>
      </c>
      <c r="F74" s="372" t="s">
        <v>56</v>
      </c>
      <c r="G74" s="468" t="s">
        <v>206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966</v>
      </c>
      <c r="D75" s="372" t="s">
        <v>1222</v>
      </c>
      <c r="E75" s="372" t="s">
        <v>518</v>
      </c>
      <c r="F75" s="372" t="s">
        <v>56</v>
      </c>
      <c r="G75" s="468" t="s">
        <v>199</v>
      </c>
      <c r="H75" s="474">
        <v>1.8616556913301652</v>
      </c>
      <c r="I75" s="474">
        <v>1</v>
      </c>
    </row>
    <row r="76" spans="2:9" outlineLevel="1">
      <c r="B76" s="372"/>
      <c r="C76" s="372" t="s">
        <v>1168</v>
      </c>
      <c r="D76" s="372" t="s">
        <v>1583</v>
      </c>
      <c r="E76" s="372" t="s">
        <v>518</v>
      </c>
      <c r="F76" s="372" t="s">
        <v>56</v>
      </c>
      <c r="G76" s="526" t="s">
        <v>2043</v>
      </c>
      <c r="H76" s="474">
        <v>0</v>
      </c>
      <c r="I76" s="474">
        <v>0</v>
      </c>
    </row>
    <row r="77" spans="2:9" outlineLevel="1">
      <c r="B77" s="372"/>
      <c r="C77" s="385" t="s">
        <v>901</v>
      </c>
      <c r="D77" s="385" t="s">
        <v>1201</v>
      </c>
      <c r="E77" s="385" t="s">
        <v>518</v>
      </c>
      <c r="F77" s="385" t="s">
        <v>56</v>
      </c>
      <c r="G77" s="526" t="s">
        <v>1962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901</v>
      </c>
      <c r="D78" s="372" t="s">
        <v>1201</v>
      </c>
      <c r="E78" s="372" t="s">
        <v>518</v>
      </c>
      <c r="F78" s="372" t="s">
        <v>56</v>
      </c>
      <c r="G78" s="468" t="s">
        <v>209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901</v>
      </c>
      <c r="D79" s="372" t="s">
        <v>1201</v>
      </c>
      <c r="E79" s="372" t="s">
        <v>518</v>
      </c>
      <c r="F79" s="372" t="s">
        <v>56</v>
      </c>
      <c r="G79" s="468" t="s">
        <v>217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901</v>
      </c>
      <c r="D80" s="372" t="s">
        <v>1201</v>
      </c>
      <c r="E80" s="372" t="s">
        <v>518</v>
      </c>
      <c r="F80" s="372" t="s">
        <v>56</v>
      </c>
      <c r="G80" s="468" t="s">
        <v>174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901</v>
      </c>
      <c r="D81" s="372" t="s">
        <v>1201</v>
      </c>
      <c r="E81" s="372" t="s">
        <v>518</v>
      </c>
      <c r="F81" s="372" t="s">
        <v>56</v>
      </c>
      <c r="G81" s="468" t="s">
        <v>195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901</v>
      </c>
      <c r="D82" s="372" t="s">
        <v>1201</v>
      </c>
      <c r="E82" s="372" t="s">
        <v>518</v>
      </c>
      <c r="F82" s="372" t="s">
        <v>56</v>
      </c>
      <c r="G82" s="468" t="s">
        <v>1822</v>
      </c>
      <c r="H82" s="474">
        <v>7.0000000000000007E-2</v>
      </c>
      <c r="I82" s="474">
        <v>1</v>
      </c>
    </row>
    <row r="83" spans="2:9" outlineLevel="1">
      <c r="B83" s="372"/>
      <c r="C83" s="385" t="s">
        <v>162</v>
      </c>
      <c r="D83" s="385" t="s">
        <v>162</v>
      </c>
      <c r="E83" s="385" t="s">
        <v>518</v>
      </c>
      <c r="F83" s="385" t="s">
        <v>56</v>
      </c>
      <c r="G83" s="526" t="s">
        <v>1980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162</v>
      </c>
      <c r="D84" s="372" t="s">
        <v>162</v>
      </c>
      <c r="E84" s="372" t="s">
        <v>518</v>
      </c>
      <c r="F84" s="372" t="s">
        <v>56</v>
      </c>
      <c r="G84" s="468" t="s">
        <v>543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162</v>
      </c>
      <c r="D85" s="372" t="s">
        <v>162</v>
      </c>
      <c r="E85" s="372" t="s">
        <v>518</v>
      </c>
      <c r="F85" s="372" t="s">
        <v>56</v>
      </c>
      <c r="G85" s="468" t="s">
        <v>221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162</v>
      </c>
      <c r="D86" s="372" t="s">
        <v>162</v>
      </c>
      <c r="E86" s="372" t="s">
        <v>518</v>
      </c>
      <c r="F86" s="372" t="s">
        <v>56</v>
      </c>
      <c r="G86" s="468" t="s">
        <v>245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162</v>
      </c>
      <c r="D87" s="372" t="s">
        <v>162</v>
      </c>
      <c r="E87" s="372" t="s">
        <v>518</v>
      </c>
      <c r="F87" s="372" t="s">
        <v>56</v>
      </c>
      <c r="G87" s="468" t="s">
        <v>254</v>
      </c>
      <c r="H87" s="474">
        <v>0.06</v>
      </c>
      <c r="I87" s="474">
        <v>1</v>
      </c>
    </row>
    <row r="88" spans="2:9" outlineLevel="1">
      <c r="B88" s="372"/>
      <c r="C88" s="385" t="s">
        <v>1638</v>
      </c>
      <c r="D88" s="385" t="s">
        <v>1220</v>
      </c>
      <c r="E88" s="385" t="s">
        <v>518</v>
      </c>
      <c r="F88" s="385" t="s">
        <v>56</v>
      </c>
      <c r="G88" s="526" t="s">
        <v>2044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1638</v>
      </c>
      <c r="D89" s="372" t="s">
        <v>1220</v>
      </c>
      <c r="E89" s="372" t="s">
        <v>518</v>
      </c>
      <c r="F89" s="372" t="s">
        <v>56</v>
      </c>
      <c r="G89" s="468" t="s">
        <v>1551</v>
      </c>
      <c r="H89" s="474">
        <v>0.03</v>
      </c>
      <c r="I89" s="474">
        <v>1</v>
      </c>
    </row>
    <row r="90" spans="2:9" outlineLevel="1">
      <c r="B90" s="372"/>
      <c r="C90" s="385" t="s">
        <v>252</v>
      </c>
      <c r="D90" s="385" t="s">
        <v>252</v>
      </c>
      <c r="E90" s="385" t="s">
        <v>518</v>
      </c>
      <c r="F90" s="385" t="s">
        <v>56</v>
      </c>
      <c r="G90" s="526" t="s">
        <v>1981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252</v>
      </c>
      <c r="D91" s="372" t="s">
        <v>252</v>
      </c>
      <c r="E91" s="372" t="s">
        <v>518</v>
      </c>
      <c r="F91" s="372" t="s">
        <v>56</v>
      </c>
      <c r="G91" s="468" t="s">
        <v>1839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252</v>
      </c>
      <c r="D92" s="372" t="s">
        <v>252</v>
      </c>
      <c r="E92" s="372" t="s">
        <v>518</v>
      </c>
      <c r="F92" s="372" t="s">
        <v>56</v>
      </c>
      <c r="G92" s="468" t="s">
        <v>1323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252</v>
      </c>
      <c r="D93" s="372" t="s">
        <v>252</v>
      </c>
      <c r="E93" s="372" t="s">
        <v>518</v>
      </c>
      <c r="F93" s="372" t="s">
        <v>56</v>
      </c>
      <c r="G93" s="468" t="s">
        <v>1556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252</v>
      </c>
      <c r="D94" s="372" t="s">
        <v>252</v>
      </c>
      <c r="E94" s="372" t="s">
        <v>518</v>
      </c>
      <c r="F94" s="372" t="s">
        <v>56</v>
      </c>
      <c r="G94" s="468" t="s">
        <v>1841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252</v>
      </c>
      <c r="D95" s="372" t="s">
        <v>252</v>
      </c>
      <c r="E95" s="372" t="s">
        <v>518</v>
      </c>
      <c r="F95" s="372" t="s">
        <v>56</v>
      </c>
      <c r="G95" s="468" t="s">
        <v>1558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252</v>
      </c>
      <c r="D96" s="372" t="s">
        <v>252</v>
      </c>
      <c r="E96" s="372" t="s">
        <v>518</v>
      </c>
      <c r="F96" s="372" t="s">
        <v>56</v>
      </c>
      <c r="G96" s="468" t="s">
        <v>1844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252</v>
      </c>
      <c r="D97" s="372" t="s">
        <v>252</v>
      </c>
      <c r="E97" s="372" t="s">
        <v>518</v>
      </c>
      <c r="F97" s="372" t="s">
        <v>56</v>
      </c>
      <c r="G97" s="468" t="s">
        <v>1560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252</v>
      </c>
      <c r="D98" s="372" t="s">
        <v>252</v>
      </c>
      <c r="E98" s="372" t="s">
        <v>518</v>
      </c>
      <c r="F98" s="372" t="s">
        <v>56</v>
      </c>
      <c r="G98" s="468" t="s">
        <v>1845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252</v>
      </c>
      <c r="D99" s="372" t="s">
        <v>252</v>
      </c>
      <c r="E99" s="372" t="s">
        <v>518</v>
      </c>
      <c r="F99" s="372" t="s">
        <v>56</v>
      </c>
      <c r="G99" s="468" t="s">
        <v>1562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252</v>
      </c>
      <c r="D100" s="372" t="s">
        <v>252</v>
      </c>
      <c r="E100" s="372" t="s">
        <v>518</v>
      </c>
      <c r="F100" s="372" t="s">
        <v>56</v>
      </c>
      <c r="G100" s="468" t="s">
        <v>1564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252</v>
      </c>
      <c r="D101" s="372" t="s">
        <v>252</v>
      </c>
      <c r="E101" s="372" t="s">
        <v>518</v>
      </c>
      <c r="F101" s="372" t="s">
        <v>56</v>
      </c>
      <c r="G101" s="468" t="s">
        <v>1847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252</v>
      </c>
      <c r="D102" s="372" t="s">
        <v>252</v>
      </c>
      <c r="E102" s="372" t="s">
        <v>518</v>
      </c>
      <c r="F102" s="372" t="s">
        <v>56</v>
      </c>
      <c r="G102" s="468" t="s">
        <v>2045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252</v>
      </c>
      <c r="D103" s="372" t="s">
        <v>252</v>
      </c>
      <c r="E103" s="372" t="s">
        <v>518</v>
      </c>
      <c r="F103" s="372" t="s">
        <v>56</v>
      </c>
      <c r="G103" s="468" t="s">
        <v>1567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252</v>
      </c>
      <c r="D104" s="372" t="s">
        <v>252</v>
      </c>
      <c r="E104" s="372" t="s">
        <v>518</v>
      </c>
      <c r="F104" s="372" t="s">
        <v>56</v>
      </c>
      <c r="G104" s="468" t="s">
        <v>1568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252</v>
      </c>
      <c r="D105" s="372" t="s">
        <v>252</v>
      </c>
      <c r="E105" s="372" t="s">
        <v>518</v>
      </c>
      <c r="F105" s="372" t="s">
        <v>56</v>
      </c>
      <c r="G105" s="468" t="s">
        <v>1569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252</v>
      </c>
      <c r="D106" s="372" t="s">
        <v>252</v>
      </c>
      <c r="E106" s="372" t="s">
        <v>518</v>
      </c>
      <c r="F106" s="372" t="s">
        <v>56</v>
      </c>
      <c r="G106" s="468" t="s">
        <v>1570</v>
      </c>
      <c r="H106" s="474">
        <v>2.5612785000000002E-2</v>
      </c>
      <c r="I106" s="474">
        <v>1</v>
      </c>
    </row>
    <row r="107" spans="2:9" outlineLevel="1">
      <c r="B107" s="372"/>
      <c r="C107" s="385" t="s">
        <v>903</v>
      </c>
      <c r="D107" s="385" t="s">
        <v>903</v>
      </c>
      <c r="E107" s="385" t="s">
        <v>518</v>
      </c>
      <c r="F107" s="385" t="s">
        <v>56</v>
      </c>
      <c r="G107" s="526" t="s">
        <v>1982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903</v>
      </c>
      <c r="D108" s="372" t="s">
        <v>903</v>
      </c>
      <c r="E108" s="372" t="s">
        <v>518</v>
      </c>
      <c r="F108" s="372" t="s">
        <v>56</v>
      </c>
      <c r="G108" s="468" t="s">
        <v>273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903</v>
      </c>
      <c r="D109" s="372" t="s">
        <v>903</v>
      </c>
      <c r="E109" s="372" t="s">
        <v>518</v>
      </c>
      <c r="F109" s="372" t="s">
        <v>56</v>
      </c>
      <c r="G109" s="468" t="s">
        <v>246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903</v>
      </c>
      <c r="D110" s="372" t="s">
        <v>903</v>
      </c>
      <c r="E110" s="372" t="s">
        <v>518</v>
      </c>
      <c r="F110" s="372" t="s">
        <v>56</v>
      </c>
      <c r="G110" s="468" t="s">
        <v>247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903</v>
      </c>
      <c r="D111" s="372" t="s">
        <v>903</v>
      </c>
      <c r="E111" s="372" t="s">
        <v>518</v>
      </c>
      <c r="F111" s="372" t="s">
        <v>56</v>
      </c>
      <c r="G111" s="468" t="s">
        <v>243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903</v>
      </c>
      <c r="D112" s="372" t="s">
        <v>903</v>
      </c>
      <c r="E112" s="372" t="s">
        <v>518</v>
      </c>
      <c r="F112" s="372" t="s">
        <v>56</v>
      </c>
      <c r="G112" s="468" t="s">
        <v>245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903</v>
      </c>
      <c r="D113" s="372" t="s">
        <v>903</v>
      </c>
      <c r="E113" s="372" t="s">
        <v>518</v>
      </c>
      <c r="F113" s="372" t="s">
        <v>56</v>
      </c>
      <c r="G113" s="468" t="s">
        <v>551</v>
      </c>
      <c r="H113" s="474">
        <v>7.4255085000000005E-3</v>
      </c>
      <c r="I113" s="474">
        <v>1</v>
      </c>
    </row>
    <row r="114" spans="2:9" outlineLevel="1">
      <c r="B114" s="372"/>
      <c r="C114" s="385" t="s">
        <v>502</v>
      </c>
      <c r="D114" s="385" t="s">
        <v>502</v>
      </c>
      <c r="E114" s="385" t="s">
        <v>518</v>
      </c>
      <c r="F114" s="385" t="s">
        <v>56</v>
      </c>
      <c r="G114" s="526" t="s">
        <v>1983</v>
      </c>
      <c r="H114" s="535">
        <v>0</v>
      </c>
      <c r="I114" s="535">
        <v>0</v>
      </c>
    </row>
    <row r="115" spans="2:9" outlineLevel="1">
      <c r="B115" s="372"/>
      <c r="C115" s="385" t="s">
        <v>414</v>
      </c>
      <c r="D115" s="385" t="s">
        <v>414</v>
      </c>
      <c r="E115" s="385" t="s">
        <v>518</v>
      </c>
      <c r="F115" s="385" t="s">
        <v>56</v>
      </c>
      <c r="G115" s="526" t="s">
        <v>1989</v>
      </c>
      <c r="H115" s="535">
        <v>0</v>
      </c>
      <c r="I115" s="535">
        <v>0</v>
      </c>
    </row>
    <row r="116" spans="2:9" outlineLevel="1">
      <c r="B116" s="372"/>
      <c r="C116" s="385" t="s">
        <v>612</v>
      </c>
      <c r="D116" s="385" t="s">
        <v>612</v>
      </c>
      <c r="E116" s="385" t="s">
        <v>518</v>
      </c>
      <c r="F116" s="385" t="s">
        <v>56</v>
      </c>
      <c r="G116" s="526" t="s">
        <v>1992</v>
      </c>
      <c r="H116" s="535">
        <v>0</v>
      </c>
      <c r="I116" s="535">
        <v>0</v>
      </c>
    </row>
    <row r="117" spans="2:9" outlineLevel="1">
      <c r="B117" s="372"/>
      <c r="C117" s="385" t="s">
        <v>225</v>
      </c>
      <c r="D117" s="385" t="s">
        <v>1206</v>
      </c>
      <c r="E117" s="385" t="s">
        <v>518</v>
      </c>
      <c r="F117" s="385" t="s">
        <v>56</v>
      </c>
      <c r="G117" s="526" t="s">
        <v>1963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225</v>
      </c>
      <c r="D118" s="372" t="s">
        <v>1206</v>
      </c>
      <c r="E118" s="372" t="s">
        <v>518</v>
      </c>
      <c r="F118" s="372" t="s">
        <v>56</v>
      </c>
      <c r="G118" s="468" t="s">
        <v>36</v>
      </c>
      <c r="H118" s="474">
        <v>1.9200000000000002E-2</v>
      </c>
      <c r="I118" s="474">
        <v>1</v>
      </c>
    </row>
    <row r="119" spans="2:9" outlineLevel="1">
      <c r="B119" s="372"/>
      <c r="C119" s="385" t="s">
        <v>229</v>
      </c>
      <c r="D119" s="385" t="s">
        <v>1211</v>
      </c>
      <c r="E119" s="385" t="s">
        <v>518</v>
      </c>
      <c r="F119" s="385" t="s">
        <v>56</v>
      </c>
      <c r="G119" s="526" t="s">
        <v>1964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229</v>
      </c>
      <c r="D120" s="372" t="s">
        <v>1211</v>
      </c>
      <c r="E120" s="372" t="s">
        <v>518</v>
      </c>
      <c r="F120" s="372" t="s">
        <v>56</v>
      </c>
      <c r="G120" s="468" t="s">
        <v>1209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229</v>
      </c>
      <c r="D121" s="372" t="s">
        <v>1211</v>
      </c>
      <c r="E121" s="372" t="s">
        <v>518</v>
      </c>
      <c r="F121" s="372" t="s">
        <v>56</v>
      </c>
      <c r="G121" s="468" t="s">
        <v>1210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229</v>
      </c>
      <c r="D122" s="372" t="s">
        <v>1211</v>
      </c>
      <c r="E122" s="372" t="s">
        <v>518</v>
      </c>
      <c r="F122" s="372" t="s">
        <v>56</v>
      </c>
      <c r="G122" s="468" t="s">
        <v>1215</v>
      </c>
      <c r="H122" s="474">
        <v>1.4856000000000001E-2</v>
      </c>
      <c r="I122" s="474">
        <v>1</v>
      </c>
    </row>
    <row r="123" spans="2:9" outlineLevel="1">
      <c r="B123" s="372"/>
      <c r="C123" s="385" t="s">
        <v>498</v>
      </c>
      <c r="D123" s="385" t="s">
        <v>1217</v>
      </c>
      <c r="E123" s="385" t="s">
        <v>518</v>
      </c>
      <c r="F123" s="385" t="s">
        <v>56</v>
      </c>
      <c r="G123" s="526" t="s">
        <v>1965</v>
      </c>
      <c r="H123" s="535">
        <v>0</v>
      </c>
      <c r="I123" s="535">
        <v>0</v>
      </c>
    </row>
    <row r="124" spans="2:9" outlineLevel="1">
      <c r="B124" s="372"/>
      <c r="C124" s="385" t="s">
        <v>985</v>
      </c>
      <c r="D124" s="385" t="s">
        <v>985</v>
      </c>
      <c r="E124" s="385" t="s">
        <v>518</v>
      </c>
      <c r="F124" s="385" t="s">
        <v>56</v>
      </c>
      <c r="G124" s="526" t="s">
        <v>2046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985</v>
      </c>
      <c r="D125" s="372" t="s">
        <v>985</v>
      </c>
      <c r="E125" s="372" t="s">
        <v>518</v>
      </c>
      <c r="F125" s="372" t="s">
        <v>56</v>
      </c>
      <c r="G125" s="468" t="s">
        <v>36</v>
      </c>
      <c r="H125" s="474"/>
      <c r="I125" s="474">
        <v>1</v>
      </c>
    </row>
    <row r="126" spans="2:9" outlineLevel="1">
      <c r="B126" s="372"/>
      <c r="C126" s="385" t="s">
        <v>497</v>
      </c>
      <c r="D126" s="385" t="s">
        <v>1371</v>
      </c>
      <c r="E126" s="385" t="s">
        <v>518</v>
      </c>
      <c r="F126" s="385" t="s">
        <v>56</v>
      </c>
      <c r="G126" s="526" t="s">
        <v>1974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497</v>
      </c>
      <c r="D127" s="372" t="s">
        <v>1371</v>
      </c>
      <c r="E127" s="372" t="s">
        <v>518</v>
      </c>
      <c r="F127" s="372" t="s">
        <v>56</v>
      </c>
      <c r="G127" s="468" t="s">
        <v>36</v>
      </c>
      <c r="H127" s="474">
        <v>0.19</v>
      </c>
      <c r="I127" s="474">
        <v>1</v>
      </c>
    </row>
    <row r="128" spans="2:9" outlineLevel="1">
      <c r="B128" s="372"/>
      <c r="C128" s="385" t="s">
        <v>902</v>
      </c>
      <c r="D128" s="385" t="s">
        <v>1220</v>
      </c>
      <c r="E128" s="385" t="s">
        <v>518</v>
      </c>
      <c r="F128" s="385" t="s">
        <v>56</v>
      </c>
      <c r="G128" s="526" t="s">
        <v>1966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902</v>
      </c>
      <c r="D129" s="372" t="s">
        <v>1220</v>
      </c>
      <c r="E129" s="372" t="s">
        <v>518</v>
      </c>
      <c r="F129" s="372" t="s">
        <v>56</v>
      </c>
      <c r="G129" s="468" t="s">
        <v>206</v>
      </c>
      <c r="H129" s="474">
        <v>0.17172000000000001</v>
      </c>
      <c r="I129" s="474">
        <v>1</v>
      </c>
    </row>
    <row r="130" spans="2:9" outlineLevel="1">
      <c r="B130" s="372"/>
      <c r="C130" s="385" t="s">
        <v>964</v>
      </c>
      <c r="D130" s="385" t="s">
        <v>1247</v>
      </c>
      <c r="E130" s="385" t="s">
        <v>518</v>
      </c>
      <c r="F130" s="385" t="s">
        <v>56</v>
      </c>
      <c r="G130" s="526" t="s">
        <v>1975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964</v>
      </c>
      <c r="D131" s="372" t="s">
        <v>1247</v>
      </c>
      <c r="E131" s="372" t="s">
        <v>518</v>
      </c>
      <c r="F131" s="372" t="s">
        <v>56</v>
      </c>
      <c r="G131" s="468" t="s">
        <v>206</v>
      </c>
      <c r="H131" s="474">
        <v>7.8635040000000003E-2</v>
      </c>
      <c r="I131" s="474">
        <v>1</v>
      </c>
    </row>
    <row r="132" spans="2:9" outlineLevel="1">
      <c r="B132" s="372"/>
      <c r="C132" s="385" t="s">
        <v>1163</v>
      </c>
      <c r="D132" s="385" t="s">
        <v>1163</v>
      </c>
      <c r="E132" s="385" t="s">
        <v>518</v>
      </c>
      <c r="F132" s="385" t="s">
        <v>56</v>
      </c>
      <c r="G132" s="526" t="s">
        <v>1967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1163</v>
      </c>
      <c r="D133" s="372" t="s">
        <v>1163</v>
      </c>
      <c r="E133" s="372" t="s">
        <v>518</v>
      </c>
      <c r="F133" s="372" t="s">
        <v>56</v>
      </c>
      <c r="G133" s="468" t="s">
        <v>206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1163</v>
      </c>
      <c r="D134" s="372" t="s">
        <v>1163</v>
      </c>
      <c r="E134" s="372" t="s">
        <v>518</v>
      </c>
      <c r="F134" s="372" t="s">
        <v>56</v>
      </c>
      <c r="G134" s="468" t="s">
        <v>209</v>
      </c>
      <c r="H134" s="474">
        <v>0.5061076000000001</v>
      </c>
      <c r="I134" s="474">
        <v>1</v>
      </c>
    </row>
    <row r="135" spans="2:9" outlineLevel="1">
      <c r="B135" s="372"/>
      <c r="C135" s="385" t="s">
        <v>1165</v>
      </c>
      <c r="D135" s="385" t="s">
        <v>1165</v>
      </c>
      <c r="E135" s="385" t="s">
        <v>518</v>
      </c>
      <c r="F135" s="385" t="s">
        <v>56</v>
      </c>
      <c r="G135" s="526" t="s">
        <v>1978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1165</v>
      </c>
      <c r="D136" s="372" t="s">
        <v>1165</v>
      </c>
      <c r="E136" s="372" t="s">
        <v>518</v>
      </c>
      <c r="F136" s="372" t="s">
        <v>56</v>
      </c>
      <c r="G136" s="468" t="s">
        <v>206</v>
      </c>
      <c r="H136" s="474">
        <v>1.5621756360000001</v>
      </c>
      <c r="I136" s="474">
        <v>1</v>
      </c>
    </row>
    <row r="137" spans="2:9" outlineLevel="1">
      <c r="B137" s="372"/>
      <c r="C137" s="385" t="s">
        <v>1164</v>
      </c>
      <c r="D137" s="385" t="s">
        <v>1164</v>
      </c>
      <c r="E137" s="385" t="s">
        <v>518</v>
      </c>
      <c r="F137" s="385" t="s">
        <v>56</v>
      </c>
      <c r="G137" s="526" t="s">
        <v>1976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1164</v>
      </c>
      <c r="D138" s="372" t="s">
        <v>1164</v>
      </c>
      <c r="E138" s="372" t="s">
        <v>518</v>
      </c>
      <c r="F138" s="372" t="s">
        <v>56</v>
      </c>
      <c r="G138" s="468" t="s">
        <v>206</v>
      </c>
      <c r="H138" s="474">
        <v>0.52072521199999999</v>
      </c>
      <c r="I138" s="474">
        <v>1</v>
      </c>
    </row>
    <row r="139" spans="2:9" outlineLevel="1">
      <c r="B139" s="372"/>
      <c r="C139" s="385" t="s">
        <v>973</v>
      </c>
      <c r="D139" s="385" t="s">
        <v>973</v>
      </c>
      <c r="E139" s="385" t="s">
        <v>518</v>
      </c>
      <c r="F139" s="385" t="s">
        <v>56</v>
      </c>
      <c r="G139" s="526" t="s">
        <v>1977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973</v>
      </c>
      <c r="D140" s="372" t="s">
        <v>973</v>
      </c>
      <c r="E140" s="372" t="s">
        <v>518</v>
      </c>
      <c r="F140" s="372" t="s">
        <v>56</v>
      </c>
      <c r="G140" s="468" t="s">
        <v>206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973</v>
      </c>
      <c r="D141" s="372" t="s">
        <v>973</v>
      </c>
      <c r="E141" s="372" t="s">
        <v>518</v>
      </c>
      <c r="F141" s="372" t="s">
        <v>56</v>
      </c>
      <c r="G141" s="468" t="s">
        <v>199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973</v>
      </c>
      <c r="D142" s="372" t="s">
        <v>973</v>
      </c>
      <c r="E142" s="372" t="s">
        <v>518</v>
      </c>
      <c r="F142" s="372" t="s">
        <v>56</v>
      </c>
      <c r="G142" s="468" t="s">
        <v>608</v>
      </c>
      <c r="H142" s="474">
        <v>0.1431</v>
      </c>
      <c r="I142" s="474">
        <v>1</v>
      </c>
    </row>
    <row r="143" spans="2:9" outlineLevel="1">
      <c r="B143" s="372"/>
      <c r="C143" s="385" t="s">
        <v>975</v>
      </c>
      <c r="D143" s="385" t="s">
        <v>1201</v>
      </c>
      <c r="E143" s="385" t="s">
        <v>518</v>
      </c>
      <c r="F143" s="385" t="s">
        <v>56</v>
      </c>
      <c r="G143" s="526" t="s">
        <v>1984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975</v>
      </c>
      <c r="D144" s="372" t="s">
        <v>1201</v>
      </c>
      <c r="E144" s="372" t="s">
        <v>518</v>
      </c>
      <c r="F144" s="372" t="s">
        <v>56</v>
      </c>
      <c r="G144" s="468" t="s">
        <v>206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975</v>
      </c>
      <c r="D145" s="372" t="s">
        <v>1201</v>
      </c>
      <c r="E145" s="372" t="s">
        <v>518</v>
      </c>
      <c r="F145" s="372" t="s">
        <v>56</v>
      </c>
      <c r="G145" s="468" t="s">
        <v>608</v>
      </c>
      <c r="H145" s="474">
        <v>0.36252000000000001</v>
      </c>
      <c r="I145" s="474">
        <v>1</v>
      </c>
    </row>
    <row r="146" spans="2:9" outlineLevel="1">
      <c r="B146" s="372"/>
      <c r="C146" s="385" t="s">
        <v>1890</v>
      </c>
      <c r="D146" s="385" t="s">
        <v>1201</v>
      </c>
      <c r="E146" s="385" t="s">
        <v>518</v>
      </c>
      <c r="F146" s="385" t="s">
        <v>56</v>
      </c>
      <c r="G146" s="526" t="s">
        <v>1985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1890</v>
      </c>
      <c r="D147" s="372" t="s">
        <v>1201</v>
      </c>
      <c r="E147" s="372" t="s">
        <v>518</v>
      </c>
      <c r="F147" s="372" t="s">
        <v>56</v>
      </c>
      <c r="G147" s="468" t="s">
        <v>206</v>
      </c>
      <c r="H147" s="474">
        <v>0.20033977216751808</v>
      </c>
      <c r="I147" s="474">
        <v>1</v>
      </c>
    </row>
    <row r="148" spans="2:9" outlineLevel="1">
      <c r="B148" s="372"/>
      <c r="C148" s="385" t="s">
        <v>609</v>
      </c>
      <c r="D148" s="385" t="s">
        <v>1201</v>
      </c>
      <c r="E148" s="385" t="s">
        <v>518</v>
      </c>
      <c r="F148" s="385" t="s">
        <v>56</v>
      </c>
      <c r="G148" s="526" t="s">
        <v>1986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609</v>
      </c>
      <c r="D149" s="372" t="s">
        <v>1201</v>
      </c>
      <c r="E149" s="372" t="s">
        <v>518</v>
      </c>
      <c r="F149" s="372" t="s">
        <v>56</v>
      </c>
      <c r="G149" s="468" t="s">
        <v>206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609</v>
      </c>
      <c r="D150" s="372" t="s">
        <v>1201</v>
      </c>
      <c r="E150" s="372" t="s">
        <v>518</v>
      </c>
      <c r="F150" s="372" t="s">
        <v>56</v>
      </c>
      <c r="G150" s="468" t="s">
        <v>199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609</v>
      </c>
      <c r="D151" s="372" t="s">
        <v>1201</v>
      </c>
      <c r="E151" s="372" t="s">
        <v>518</v>
      </c>
      <c r="F151" s="372" t="s">
        <v>56</v>
      </c>
      <c r="G151" s="468" t="s">
        <v>608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609</v>
      </c>
      <c r="D152" s="372" t="s">
        <v>1201</v>
      </c>
      <c r="E152" s="372" t="s">
        <v>518</v>
      </c>
      <c r="F152" s="372" t="s">
        <v>56</v>
      </c>
      <c r="G152" s="468" t="s">
        <v>1895</v>
      </c>
      <c r="H152" s="474">
        <v>5.8370968240200008E-2</v>
      </c>
      <c r="I152" s="474">
        <v>1</v>
      </c>
    </row>
    <row r="153" spans="2:9" outlineLevel="1">
      <c r="B153" s="372"/>
      <c r="C153" s="385" t="s">
        <v>285</v>
      </c>
      <c r="D153" s="385" t="s">
        <v>1201</v>
      </c>
      <c r="E153" s="385" t="s">
        <v>518</v>
      </c>
      <c r="F153" s="385" t="s">
        <v>56</v>
      </c>
      <c r="G153" s="526" t="s">
        <v>1987</v>
      </c>
      <c r="H153" s="535">
        <v>0</v>
      </c>
      <c r="I153" s="535">
        <v>0</v>
      </c>
    </row>
    <row r="154" spans="2:9" outlineLevel="1">
      <c r="B154" s="372"/>
      <c r="C154" s="385" t="s">
        <v>916</v>
      </c>
      <c r="D154" s="385" t="s">
        <v>916</v>
      </c>
      <c r="E154" s="385" t="s">
        <v>518</v>
      </c>
      <c r="F154" s="385" t="s">
        <v>56</v>
      </c>
      <c r="G154" s="526" t="s">
        <v>1988</v>
      </c>
      <c r="H154" s="535">
        <v>0</v>
      </c>
      <c r="I154" s="535">
        <v>0</v>
      </c>
    </row>
    <row r="155" spans="2:9" outlineLevel="1">
      <c r="B155" s="372"/>
      <c r="C155" s="385" t="s">
        <v>1170</v>
      </c>
      <c r="D155" s="385" t="s">
        <v>1170</v>
      </c>
      <c r="E155" s="385" t="s">
        <v>518</v>
      </c>
      <c r="F155" s="385" t="s">
        <v>56</v>
      </c>
      <c r="G155" s="526" t="s">
        <v>1972</v>
      </c>
      <c r="H155" s="535">
        <v>0</v>
      </c>
      <c r="I155" s="535">
        <v>0</v>
      </c>
    </row>
    <row r="156" spans="2:9" outlineLevel="1">
      <c r="B156" s="372"/>
      <c r="C156" s="385" t="s">
        <v>918</v>
      </c>
      <c r="D156" s="385" t="s">
        <v>1378</v>
      </c>
      <c r="E156" s="385" t="s">
        <v>518</v>
      </c>
      <c r="F156" s="385" t="s">
        <v>56</v>
      </c>
      <c r="G156" s="526" t="s">
        <v>1999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918</v>
      </c>
      <c r="D157" s="372" t="s">
        <v>1378</v>
      </c>
      <c r="E157" s="372" t="s">
        <v>518</v>
      </c>
      <c r="F157" s="372" t="s">
        <v>56</v>
      </c>
      <c r="G157" s="468" t="s">
        <v>1383</v>
      </c>
      <c r="H157" s="474">
        <v>8.0000000000000004E-4</v>
      </c>
      <c r="I157" s="474">
        <v>1</v>
      </c>
    </row>
    <row r="158" spans="2:9" outlineLevel="1">
      <c r="B158" s="372"/>
      <c r="C158" s="385" t="s">
        <v>1384</v>
      </c>
      <c r="D158" s="385" t="s">
        <v>1384</v>
      </c>
      <c r="E158" s="385" t="s">
        <v>518</v>
      </c>
      <c r="F158" s="385" t="s">
        <v>56</v>
      </c>
      <c r="G158" s="526" t="s">
        <v>2001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1384</v>
      </c>
      <c r="D159" s="372" t="s">
        <v>1384</v>
      </c>
      <c r="E159" s="372" t="s">
        <v>518</v>
      </c>
      <c r="F159" s="372" t="s">
        <v>56</v>
      </c>
      <c r="G159" s="468" t="s">
        <v>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369</v>
      </c>
      <c r="D160" s="385" t="s">
        <v>843</v>
      </c>
      <c r="E160" s="385" t="s">
        <v>518</v>
      </c>
      <c r="F160" s="385" t="s">
        <v>56</v>
      </c>
      <c r="G160" s="526" t="s">
        <v>1979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369</v>
      </c>
      <c r="D161" s="372" t="s">
        <v>843</v>
      </c>
      <c r="E161" s="372" t="s">
        <v>518</v>
      </c>
      <c r="F161" s="372" t="s">
        <v>56</v>
      </c>
      <c r="G161" s="468" t="s">
        <v>370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369</v>
      </c>
      <c r="D162" s="372" t="s">
        <v>843</v>
      </c>
      <c r="E162" s="372" t="s">
        <v>518</v>
      </c>
      <c r="F162" s="372" t="s">
        <v>56</v>
      </c>
      <c r="G162" s="468" t="s">
        <v>230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1956</v>
      </c>
      <c r="D2" s="418"/>
      <c r="E2" s="418"/>
      <c r="F2" s="418"/>
      <c r="G2" s="469"/>
      <c r="H2" s="419" t="s">
        <v>1714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1176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1968</v>
      </c>
      <c r="C7" s="470" t="s">
        <v>102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891</v>
      </c>
      <c r="D9" s="390" t="s">
        <v>1195</v>
      </c>
      <c r="E9" s="385" t="s">
        <v>441</v>
      </c>
      <c r="F9" s="390" t="s">
        <v>102</v>
      </c>
      <c r="G9" s="475" t="s">
        <v>1969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891</v>
      </c>
      <c r="D10" s="373" t="s">
        <v>1195</v>
      </c>
      <c r="E10" s="372" t="s">
        <v>441</v>
      </c>
      <c r="F10" s="373" t="s">
        <v>102</v>
      </c>
      <c r="G10" s="468" t="s">
        <v>247</v>
      </c>
      <c r="H10" s="480">
        <v>1.4336873100000001E-2</v>
      </c>
      <c r="I10" s="480">
        <v>1</v>
      </c>
    </row>
    <row r="11" spans="1:25" outlineLevel="1">
      <c r="C11" s="390" t="s">
        <v>891</v>
      </c>
      <c r="D11" s="390" t="s">
        <v>1247</v>
      </c>
      <c r="E11" s="390"/>
      <c r="F11" s="390" t="s">
        <v>102</v>
      </c>
      <c r="G11" s="475" t="s">
        <v>1969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891</v>
      </c>
      <c r="D12" s="373" t="s">
        <v>1247</v>
      </c>
      <c r="E12" s="372" t="s">
        <v>441</v>
      </c>
      <c r="F12" s="373" t="s">
        <v>102</v>
      </c>
      <c r="G12" s="491" t="s">
        <v>444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891</v>
      </c>
      <c r="D13" s="373" t="s">
        <v>1247</v>
      </c>
      <c r="E13" s="372" t="s">
        <v>441</v>
      </c>
      <c r="F13" s="373" t="s">
        <v>102</v>
      </c>
      <c r="G13" s="491" t="s">
        <v>481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891</v>
      </c>
      <c r="D14" s="373" t="s">
        <v>1247</v>
      </c>
      <c r="E14" s="372" t="s">
        <v>441</v>
      </c>
      <c r="F14" s="373" t="s">
        <v>102</v>
      </c>
      <c r="G14" s="491" t="s">
        <v>1744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891</v>
      </c>
      <c r="D15" s="373" t="s">
        <v>1247</v>
      </c>
      <c r="E15" s="372" t="s">
        <v>441</v>
      </c>
      <c r="F15" s="373" t="s">
        <v>102</v>
      </c>
      <c r="G15" s="491" t="s">
        <v>1745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891</v>
      </c>
      <c r="D16" s="373" t="s">
        <v>1247</v>
      </c>
      <c r="E16" s="372" t="s">
        <v>441</v>
      </c>
      <c r="F16" s="373" t="s">
        <v>102</v>
      </c>
      <c r="G16" s="491" t="s">
        <v>1728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891</v>
      </c>
      <c r="D17" s="373" t="s">
        <v>1247</v>
      </c>
      <c r="E17" s="372" t="s">
        <v>441</v>
      </c>
      <c r="F17" s="373" t="s">
        <v>102</v>
      </c>
      <c r="G17" s="491" t="s">
        <v>1726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891</v>
      </c>
      <c r="D18" s="373" t="s">
        <v>1247</v>
      </c>
      <c r="E18" s="372" t="s">
        <v>441</v>
      </c>
      <c r="F18" s="373" t="s">
        <v>102</v>
      </c>
      <c r="G18" s="491" t="s">
        <v>490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891</v>
      </c>
      <c r="D19" s="373" t="s">
        <v>1247</v>
      </c>
      <c r="E19" s="372" t="s">
        <v>860</v>
      </c>
      <c r="F19" s="373" t="s">
        <v>102</v>
      </c>
      <c r="G19" s="491" t="s">
        <v>206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891</v>
      </c>
      <c r="D20" s="373" t="s">
        <v>1247</v>
      </c>
      <c r="E20" s="372" t="s">
        <v>860</v>
      </c>
      <c r="F20" s="373" t="s">
        <v>102</v>
      </c>
      <c r="G20" s="491" t="s">
        <v>207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891</v>
      </c>
      <c r="D21" s="373" t="s">
        <v>1247</v>
      </c>
      <c r="E21" s="372" t="s">
        <v>860</v>
      </c>
      <c r="F21" s="373" t="s">
        <v>102</v>
      </c>
      <c r="G21" s="491" t="s">
        <v>1746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891</v>
      </c>
      <c r="D22" s="373" t="s">
        <v>1247</v>
      </c>
      <c r="E22" s="372" t="s">
        <v>860</v>
      </c>
      <c r="F22" s="373" t="s">
        <v>102</v>
      </c>
      <c r="G22" s="491" t="s">
        <v>244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891</v>
      </c>
      <c r="D23" s="373" t="s">
        <v>1247</v>
      </c>
      <c r="E23" s="372" t="s">
        <v>860</v>
      </c>
      <c r="F23" s="373" t="s">
        <v>102</v>
      </c>
      <c r="G23" s="491" t="s">
        <v>1747</v>
      </c>
      <c r="H23" s="493">
        <v>0.01</v>
      </c>
      <c r="I23" s="493">
        <v>1</v>
      </c>
    </row>
    <row r="24" spans="2:9" outlineLevel="1">
      <c r="C24" s="390" t="s">
        <v>893</v>
      </c>
      <c r="D24" s="390" t="s">
        <v>1351</v>
      </c>
      <c r="E24" s="390"/>
      <c r="F24" s="390" t="s">
        <v>102</v>
      </c>
      <c r="G24" s="475" t="s">
        <v>1973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893</v>
      </c>
      <c r="D25" s="373" t="s">
        <v>1351</v>
      </c>
      <c r="E25" s="372" t="s">
        <v>441</v>
      </c>
      <c r="F25" s="373" t="s">
        <v>102</v>
      </c>
      <c r="G25" s="491" t="s">
        <v>490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893</v>
      </c>
      <c r="D26" s="373" t="s">
        <v>1351</v>
      </c>
      <c r="E26" s="372" t="s">
        <v>441</v>
      </c>
      <c r="F26" s="373" t="s">
        <v>102</v>
      </c>
      <c r="G26" s="491" t="s">
        <v>247</v>
      </c>
      <c r="H26" s="493">
        <v>0.12885037199999999</v>
      </c>
      <c r="I26" s="493">
        <v>1</v>
      </c>
    </row>
    <row r="27" spans="2:9" outlineLevel="1">
      <c r="C27" s="390" t="s">
        <v>894</v>
      </c>
      <c r="D27" s="390" t="s">
        <v>1265</v>
      </c>
      <c r="E27" s="390"/>
      <c r="F27" s="390" t="s">
        <v>102</v>
      </c>
      <c r="G27" s="475" t="s">
        <v>1970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894</v>
      </c>
      <c r="D28" s="373" t="s">
        <v>1265</v>
      </c>
      <c r="E28" s="372" t="s">
        <v>441</v>
      </c>
      <c r="F28" s="373" t="s">
        <v>102</v>
      </c>
      <c r="G28" s="491" t="s">
        <v>221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894</v>
      </c>
      <c r="D29" s="373" t="s">
        <v>1265</v>
      </c>
      <c r="E29" s="372" t="s">
        <v>441</v>
      </c>
      <c r="F29" s="373" t="s">
        <v>102</v>
      </c>
      <c r="G29" s="491" t="s">
        <v>1767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894</v>
      </c>
      <c r="D30" s="373" t="s">
        <v>1265</v>
      </c>
      <c r="E30" s="372" t="s">
        <v>441</v>
      </c>
      <c r="F30" s="373" t="s">
        <v>102</v>
      </c>
      <c r="G30" s="491" t="s">
        <v>254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894</v>
      </c>
      <c r="D31" s="373" t="s">
        <v>1265</v>
      </c>
      <c r="E31" s="372" t="s">
        <v>860</v>
      </c>
      <c r="F31" s="373" t="s">
        <v>102</v>
      </c>
      <c r="G31" s="491" t="s">
        <v>468</v>
      </c>
      <c r="H31" s="493">
        <v>0.04</v>
      </c>
      <c r="I31" s="493">
        <v>1</v>
      </c>
    </row>
    <row r="32" spans="2:9" outlineLevel="1">
      <c r="C32" s="390" t="s">
        <v>469</v>
      </c>
      <c r="D32" s="390" t="s">
        <v>1281</v>
      </c>
      <c r="E32" s="390"/>
      <c r="F32" s="390" t="s">
        <v>102</v>
      </c>
      <c r="G32" s="475" t="s">
        <v>1971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469</v>
      </c>
      <c r="D33" s="373" t="s">
        <v>1281</v>
      </c>
      <c r="E33" s="372" t="s">
        <v>441</v>
      </c>
      <c r="F33" s="373" t="s">
        <v>102</v>
      </c>
      <c r="G33" s="491" t="s">
        <v>1777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469</v>
      </c>
      <c r="D34" s="373" t="s">
        <v>1281</v>
      </c>
      <c r="E34" s="372" t="s">
        <v>441</v>
      </c>
      <c r="F34" s="373" t="s">
        <v>102</v>
      </c>
      <c r="G34" s="491" t="s">
        <v>349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469</v>
      </c>
      <c r="D35" s="373" t="s">
        <v>1281</v>
      </c>
      <c r="E35" s="372" t="s">
        <v>441</v>
      </c>
      <c r="F35" s="373" t="s">
        <v>102</v>
      </c>
      <c r="G35" s="491" t="s">
        <v>350</v>
      </c>
      <c r="H35" s="493">
        <v>0.06</v>
      </c>
      <c r="I35" s="493">
        <v>1</v>
      </c>
    </row>
    <row r="36" spans="2:9" outlineLevel="1">
      <c r="C36" s="390" t="s">
        <v>899</v>
      </c>
      <c r="D36" s="390" t="s">
        <v>1178</v>
      </c>
      <c r="E36" s="390"/>
      <c r="F36" s="390" t="s">
        <v>102</v>
      </c>
      <c r="G36" s="475" t="s">
        <v>1959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899</v>
      </c>
      <c r="D37" s="373" t="s">
        <v>1178</v>
      </c>
      <c r="E37" s="372" t="s">
        <v>441</v>
      </c>
      <c r="F37" s="373" t="s">
        <v>102</v>
      </c>
      <c r="G37" s="491" t="s">
        <v>475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899</v>
      </c>
      <c r="D38" s="373" t="s">
        <v>1178</v>
      </c>
      <c r="E38" s="372" t="s">
        <v>441</v>
      </c>
      <c r="F38" s="373" t="s">
        <v>102</v>
      </c>
      <c r="G38" s="491" t="s">
        <v>476</v>
      </c>
      <c r="H38" s="493">
        <v>1.5827943605759998E-2</v>
      </c>
      <c r="I38" s="493">
        <v>1</v>
      </c>
    </row>
    <row r="39" spans="2:9" outlineLevel="1">
      <c r="C39" s="390" t="s">
        <v>946</v>
      </c>
      <c r="D39" s="390" t="s">
        <v>1195</v>
      </c>
      <c r="E39" s="390"/>
      <c r="F39" s="390" t="s">
        <v>102</v>
      </c>
      <c r="G39" s="475" t="s">
        <v>1960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946</v>
      </c>
      <c r="D40" s="373" t="s">
        <v>1195</v>
      </c>
      <c r="E40" s="373" t="s">
        <v>441</v>
      </c>
      <c r="F40" s="373" t="s">
        <v>102</v>
      </c>
      <c r="G40" s="494" t="s">
        <v>1807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946</v>
      </c>
      <c r="D41" s="373" t="s">
        <v>1195</v>
      </c>
      <c r="E41" s="373" t="s">
        <v>441</v>
      </c>
      <c r="F41" s="373" t="s">
        <v>102</v>
      </c>
      <c r="G41" s="494" t="s">
        <v>1808</v>
      </c>
      <c r="H41" s="493">
        <v>3.0822447240000002E-2</v>
      </c>
      <c r="I41" s="493">
        <v>1</v>
      </c>
    </row>
    <row r="42" spans="2:9" outlineLevel="1">
      <c r="C42" s="390" t="s">
        <v>966</v>
      </c>
      <c r="D42" s="390" t="s">
        <v>1222</v>
      </c>
      <c r="E42" s="390"/>
      <c r="F42" s="390" t="s">
        <v>102</v>
      </c>
      <c r="G42" s="475" t="s">
        <v>1961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966</v>
      </c>
      <c r="D43" s="373" t="s">
        <v>1222</v>
      </c>
      <c r="E43" s="373" t="s">
        <v>441</v>
      </c>
      <c r="F43" s="373" t="s">
        <v>437</v>
      </c>
      <c r="G43" s="491" t="s">
        <v>206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966</v>
      </c>
      <c r="D44" s="373" t="s">
        <v>1222</v>
      </c>
      <c r="E44" s="373" t="s">
        <v>441</v>
      </c>
      <c r="F44" s="373" t="s">
        <v>437</v>
      </c>
      <c r="G44" s="491" t="s">
        <v>199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966</v>
      </c>
      <c r="D45" s="373" t="s">
        <v>1222</v>
      </c>
      <c r="E45" s="373" t="s">
        <v>441</v>
      </c>
      <c r="F45" s="373" t="s">
        <v>437</v>
      </c>
      <c r="G45" s="491" t="s">
        <v>209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966</v>
      </c>
      <c r="D46" s="373" t="s">
        <v>1222</v>
      </c>
      <c r="E46" s="373" t="s">
        <v>860</v>
      </c>
      <c r="F46" s="373" t="s">
        <v>437</v>
      </c>
      <c r="G46" s="491" t="s">
        <v>206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966</v>
      </c>
      <c r="D47" s="373" t="s">
        <v>1222</v>
      </c>
      <c r="E47" s="373" t="s">
        <v>860</v>
      </c>
      <c r="F47" s="373" t="s">
        <v>437</v>
      </c>
      <c r="G47" s="491" t="s">
        <v>199</v>
      </c>
      <c r="H47" s="492">
        <v>0.43467904113605266</v>
      </c>
      <c r="I47" s="492">
        <v>1</v>
      </c>
    </row>
    <row r="48" spans="2:9" outlineLevel="1">
      <c r="C48" s="390" t="s">
        <v>901</v>
      </c>
      <c r="D48" s="390" t="s">
        <v>1201</v>
      </c>
      <c r="E48" s="390"/>
      <c r="F48" s="390" t="s">
        <v>102</v>
      </c>
      <c r="G48" s="475" t="s">
        <v>1962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901</v>
      </c>
      <c r="D49" s="373" t="s">
        <v>1201</v>
      </c>
      <c r="E49" s="373" t="s">
        <v>441</v>
      </c>
      <c r="F49" s="373" t="s">
        <v>102</v>
      </c>
      <c r="G49" s="494" t="s">
        <v>195</v>
      </c>
      <c r="H49" s="493">
        <v>0.04</v>
      </c>
      <c r="I49" s="493">
        <v>1</v>
      </c>
    </row>
    <row r="50" spans="2:9" outlineLevel="1">
      <c r="C50" s="390" t="s">
        <v>162</v>
      </c>
      <c r="D50" s="390" t="s">
        <v>162</v>
      </c>
      <c r="E50" s="390"/>
      <c r="F50" s="390" t="s">
        <v>102</v>
      </c>
      <c r="G50" s="475" t="s">
        <v>1980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162</v>
      </c>
      <c r="D51" s="373" t="s">
        <v>162</v>
      </c>
      <c r="E51" s="373" t="s">
        <v>441</v>
      </c>
      <c r="F51" s="373" t="s">
        <v>437</v>
      </c>
      <c r="G51" s="494" t="s">
        <v>243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162</v>
      </c>
      <c r="D52" s="373" t="s">
        <v>162</v>
      </c>
      <c r="E52" s="373" t="s">
        <v>441</v>
      </c>
      <c r="F52" s="373" t="s">
        <v>437</v>
      </c>
      <c r="G52" s="494" t="s">
        <v>245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162</v>
      </c>
      <c r="D53" s="373" t="s">
        <v>162</v>
      </c>
      <c r="E53" s="373" t="s">
        <v>441</v>
      </c>
      <c r="F53" s="373" t="s">
        <v>437</v>
      </c>
      <c r="G53" s="494" t="s">
        <v>254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162</v>
      </c>
      <c r="D54" s="373" t="s">
        <v>162</v>
      </c>
      <c r="E54" s="373" t="s">
        <v>860</v>
      </c>
      <c r="F54" s="373" t="s">
        <v>437</v>
      </c>
      <c r="G54" s="494" t="s">
        <v>283</v>
      </c>
      <c r="H54" s="492">
        <v>8.1128101250000001E-2</v>
      </c>
      <c r="I54" s="492">
        <v>1</v>
      </c>
    </row>
    <row r="55" spans="2:9" outlineLevel="1">
      <c r="C55" s="390" t="s">
        <v>252</v>
      </c>
      <c r="D55" s="390" t="s">
        <v>252</v>
      </c>
      <c r="E55" s="390"/>
      <c r="F55" s="390" t="s">
        <v>102</v>
      </c>
      <c r="G55" s="475" t="s">
        <v>1981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252</v>
      </c>
      <c r="D56" s="373" t="s">
        <v>252</v>
      </c>
      <c r="E56" s="372" t="s">
        <v>441</v>
      </c>
      <c r="F56" s="373" t="s">
        <v>102</v>
      </c>
      <c r="G56" s="468" t="s">
        <v>1426</v>
      </c>
      <c r="H56" s="480">
        <v>3.6853334887931043E-2</v>
      </c>
      <c r="I56" s="480">
        <v>1</v>
      </c>
    </row>
    <row r="57" spans="2:9" outlineLevel="1">
      <c r="C57" s="390" t="s">
        <v>903</v>
      </c>
      <c r="D57" s="390" t="s">
        <v>903</v>
      </c>
      <c r="E57" s="390"/>
      <c r="F57" s="390" t="s">
        <v>102</v>
      </c>
      <c r="G57" s="475" t="s">
        <v>1982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903</v>
      </c>
      <c r="D58" s="373" t="s">
        <v>903</v>
      </c>
      <c r="E58" s="372" t="s">
        <v>441</v>
      </c>
      <c r="F58" s="373" t="s">
        <v>102</v>
      </c>
      <c r="G58" s="468" t="s">
        <v>442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903</v>
      </c>
      <c r="D59" s="373" t="s">
        <v>903</v>
      </c>
      <c r="E59" s="372" t="s">
        <v>441</v>
      </c>
      <c r="F59" s="373" t="s">
        <v>102</v>
      </c>
      <c r="G59" s="468" t="s">
        <v>463</v>
      </c>
      <c r="H59" s="480">
        <v>5.5533570000000003E-4</v>
      </c>
      <c r="I59" s="480">
        <v>1</v>
      </c>
    </row>
    <row r="60" spans="2:9" outlineLevel="1">
      <c r="C60" s="390" t="s">
        <v>502</v>
      </c>
      <c r="D60" s="390" t="s">
        <v>502</v>
      </c>
      <c r="E60" s="390"/>
      <c r="F60" s="390" t="s">
        <v>102</v>
      </c>
      <c r="G60" s="475" t="s">
        <v>1983</v>
      </c>
      <c r="H60" s="490">
        <v>0</v>
      </c>
      <c r="I60" s="490">
        <v>0</v>
      </c>
    </row>
    <row r="61" spans="2:9" outlineLevel="1">
      <c r="C61" s="390" t="s">
        <v>414</v>
      </c>
      <c r="D61" s="390" t="s">
        <v>414</v>
      </c>
      <c r="E61" s="390"/>
      <c r="F61" s="390" t="s">
        <v>102</v>
      </c>
      <c r="G61" s="475" t="s">
        <v>1989</v>
      </c>
      <c r="H61" s="490">
        <v>0</v>
      </c>
      <c r="I61" s="490">
        <v>0</v>
      </c>
    </row>
    <row r="62" spans="2:9" outlineLevel="1">
      <c r="C62" s="390" t="s">
        <v>612</v>
      </c>
      <c r="D62" s="390" t="s">
        <v>612</v>
      </c>
      <c r="E62" s="390"/>
      <c r="F62" s="390" t="s">
        <v>102</v>
      </c>
      <c r="G62" s="475" t="s">
        <v>1992</v>
      </c>
      <c r="H62" s="490">
        <v>0</v>
      </c>
      <c r="I62" s="490">
        <v>0</v>
      </c>
    </row>
    <row r="63" spans="2:9" outlineLevel="1">
      <c r="C63" s="390" t="s">
        <v>225</v>
      </c>
      <c r="D63" s="390" t="s">
        <v>1206</v>
      </c>
      <c r="E63" s="390"/>
      <c r="F63" s="390" t="s">
        <v>102</v>
      </c>
      <c r="G63" s="475" t="s">
        <v>1963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225</v>
      </c>
      <c r="D64" s="373" t="s">
        <v>1206</v>
      </c>
      <c r="E64" s="373" t="s">
        <v>441</v>
      </c>
      <c r="F64" s="373" t="s">
        <v>437</v>
      </c>
      <c r="G64" s="491" t="s">
        <v>36</v>
      </c>
      <c r="H64" s="492">
        <v>5.4000000000000003E-3</v>
      </c>
      <c r="I64" s="492">
        <v>1</v>
      </c>
    </row>
    <row r="65" spans="2:9" outlineLevel="2">
      <c r="C65" s="373" t="s">
        <v>225</v>
      </c>
      <c r="D65" s="373" t="s">
        <v>1206</v>
      </c>
      <c r="E65" s="373" t="s">
        <v>441</v>
      </c>
      <c r="F65" s="373" t="s">
        <v>437</v>
      </c>
      <c r="G65" s="491" t="s">
        <v>208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225</v>
      </c>
      <c r="D66" s="373" t="s">
        <v>1206</v>
      </c>
      <c r="E66" s="373" t="s">
        <v>860</v>
      </c>
      <c r="F66" s="373" t="s">
        <v>437</v>
      </c>
      <c r="G66" s="491" t="s">
        <v>36</v>
      </c>
      <c r="H66" s="492">
        <v>6.0000000000000001E-3</v>
      </c>
      <c r="I66" s="492">
        <v>1</v>
      </c>
    </row>
    <row r="67" spans="2:9" outlineLevel="1">
      <c r="C67" s="390" t="s">
        <v>229</v>
      </c>
      <c r="D67" s="390" t="s">
        <v>1211</v>
      </c>
      <c r="E67" s="390"/>
      <c r="F67" s="390" t="s">
        <v>102</v>
      </c>
      <c r="G67" s="475" t="s">
        <v>1964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229</v>
      </c>
      <c r="D68" s="373" t="s">
        <v>1211</v>
      </c>
      <c r="E68" s="373" t="s">
        <v>441</v>
      </c>
      <c r="F68" s="373" t="s">
        <v>437</v>
      </c>
      <c r="G68" s="491" t="s">
        <v>208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229</v>
      </c>
      <c r="D69" s="373" t="s">
        <v>1211</v>
      </c>
      <c r="E69" s="373" t="s">
        <v>441</v>
      </c>
      <c r="F69" s="373" t="s">
        <v>437</v>
      </c>
      <c r="G69" s="491" t="s">
        <v>1209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229</v>
      </c>
      <c r="D70" s="373" t="s">
        <v>1211</v>
      </c>
      <c r="E70" s="373" t="s">
        <v>441</v>
      </c>
      <c r="F70" s="373" t="s">
        <v>437</v>
      </c>
      <c r="G70" s="491" t="s">
        <v>1210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229</v>
      </c>
      <c r="D71" s="373" t="s">
        <v>1211</v>
      </c>
      <c r="E71" s="373" t="s">
        <v>441</v>
      </c>
      <c r="F71" s="373" t="s">
        <v>437</v>
      </c>
      <c r="G71" s="491" t="s">
        <v>1215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229</v>
      </c>
      <c r="D72" s="373" t="s">
        <v>1211</v>
      </c>
      <c r="E72" s="373" t="s">
        <v>441</v>
      </c>
      <c r="F72" s="373" t="s">
        <v>437</v>
      </c>
      <c r="G72" s="491" t="s">
        <v>1216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229</v>
      </c>
      <c r="D73" s="373" t="s">
        <v>1211</v>
      </c>
      <c r="E73" s="373" t="s">
        <v>860</v>
      </c>
      <c r="F73" s="373" t="s">
        <v>437</v>
      </c>
      <c r="G73" s="491" t="s">
        <v>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229</v>
      </c>
      <c r="D74" s="373" t="s">
        <v>1211</v>
      </c>
      <c r="E74" s="373" t="s">
        <v>860</v>
      </c>
      <c r="F74" s="373" t="s">
        <v>437</v>
      </c>
      <c r="G74" s="491" t="s">
        <v>1209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229</v>
      </c>
      <c r="D75" s="373" t="s">
        <v>1211</v>
      </c>
      <c r="E75" s="373" t="s">
        <v>860</v>
      </c>
      <c r="F75" s="373" t="s">
        <v>437</v>
      </c>
      <c r="G75" s="491" t="s">
        <v>1215</v>
      </c>
      <c r="H75" s="492">
        <v>5.1067500000000002E-2</v>
      </c>
      <c r="I75" s="492">
        <v>1</v>
      </c>
    </row>
    <row r="76" spans="2:9" outlineLevel="1">
      <c r="C76" s="390" t="s">
        <v>918</v>
      </c>
      <c r="D76" s="390" t="s">
        <v>1378</v>
      </c>
      <c r="E76" s="390"/>
      <c r="F76" s="390" t="s">
        <v>102</v>
      </c>
      <c r="G76" s="475" t="s">
        <v>1999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918</v>
      </c>
      <c r="D77" s="373" t="s">
        <v>1378</v>
      </c>
      <c r="E77" s="373" t="s">
        <v>860</v>
      </c>
      <c r="F77" s="373" t="s">
        <v>437</v>
      </c>
      <c r="G77" s="491" t="s">
        <v>1435</v>
      </c>
      <c r="H77" s="492">
        <v>1.13E-4</v>
      </c>
      <c r="I77" s="492">
        <v>1</v>
      </c>
    </row>
    <row r="78" spans="2:9" outlineLevel="1">
      <c r="C78" s="390" t="s">
        <v>498</v>
      </c>
      <c r="D78" s="390" t="s">
        <v>1217</v>
      </c>
      <c r="E78" s="390"/>
      <c r="F78" s="390" t="s">
        <v>102</v>
      </c>
      <c r="G78" s="475" t="s">
        <v>1965</v>
      </c>
      <c r="H78" s="490">
        <v>0</v>
      </c>
      <c r="I78" s="490">
        <v>0</v>
      </c>
    </row>
    <row r="79" spans="2:9" outlineLevel="1">
      <c r="C79" s="390" t="s">
        <v>985</v>
      </c>
      <c r="D79" s="390" t="s">
        <v>985</v>
      </c>
      <c r="E79" s="390"/>
      <c r="F79" s="390" t="s">
        <v>102</v>
      </c>
      <c r="G79" s="475" t="s">
        <v>2046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985</v>
      </c>
      <c r="D80" s="373" t="s">
        <v>985</v>
      </c>
      <c r="E80" s="373" t="s">
        <v>1166</v>
      </c>
      <c r="F80" s="373" t="s">
        <v>437</v>
      </c>
      <c r="G80" s="491" t="s">
        <v>205</v>
      </c>
      <c r="H80" s="492"/>
      <c r="I80" s="492">
        <v>1</v>
      </c>
    </row>
    <row r="81" spans="2:9" outlineLevel="2">
      <c r="B81" s="373">
        <v>3</v>
      </c>
      <c r="C81" s="373" t="s">
        <v>985</v>
      </c>
      <c r="D81" s="373" t="s">
        <v>985</v>
      </c>
      <c r="E81" s="373" t="s">
        <v>1166</v>
      </c>
      <c r="F81" s="373" t="s">
        <v>437</v>
      </c>
      <c r="G81" s="491" t="s">
        <v>36</v>
      </c>
      <c r="H81" s="492"/>
      <c r="I81" s="492">
        <v>1</v>
      </c>
    </row>
    <row r="82" spans="2:9" outlineLevel="2">
      <c r="B82" s="373">
        <v>3</v>
      </c>
      <c r="C82" s="373" t="s">
        <v>985</v>
      </c>
      <c r="D82" s="373" t="s">
        <v>985</v>
      </c>
      <c r="E82" s="373" t="s">
        <v>1166</v>
      </c>
      <c r="F82" s="373" t="s">
        <v>437</v>
      </c>
      <c r="G82" s="491" t="s">
        <v>208</v>
      </c>
      <c r="H82" s="492"/>
      <c r="I82" s="492">
        <v>1</v>
      </c>
    </row>
    <row r="83" spans="2:9" outlineLevel="2">
      <c r="B83" s="373">
        <v>3</v>
      </c>
      <c r="C83" s="373" t="s">
        <v>985</v>
      </c>
      <c r="D83" s="373" t="s">
        <v>985</v>
      </c>
      <c r="E83" s="373" t="s">
        <v>441</v>
      </c>
      <c r="F83" s="373" t="s">
        <v>437</v>
      </c>
      <c r="G83" s="491" t="s">
        <v>36</v>
      </c>
      <c r="H83" s="492"/>
      <c r="I83" s="492">
        <v>1</v>
      </c>
    </row>
    <row r="84" spans="2:9" outlineLevel="2">
      <c r="B84" s="373">
        <v>3</v>
      </c>
      <c r="C84" s="373" t="s">
        <v>985</v>
      </c>
      <c r="D84" s="373" t="s">
        <v>985</v>
      </c>
      <c r="E84" s="373" t="s">
        <v>441</v>
      </c>
      <c r="F84" s="373" t="s">
        <v>437</v>
      </c>
      <c r="G84" s="491" t="s">
        <v>208</v>
      </c>
      <c r="H84" s="492"/>
      <c r="I84" s="492">
        <v>1</v>
      </c>
    </row>
    <row r="85" spans="2:9" outlineLevel="2">
      <c r="B85" s="373">
        <v>3</v>
      </c>
      <c r="C85" s="373" t="s">
        <v>985</v>
      </c>
      <c r="D85" s="373" t="s">
        <v>985</v>
      </c>
      <c r="E85" s="373" t="s">
        <v>860</v>
      </c>
      <c r="F85" s="373" t="s">
        <v>437</v>
      </c>
      <c r="G85" s="491" t="s">
        <v>36</v>
      </c>
      <c r="H85" s="492"/>
      <c r="I85" s="492">
        <v>1</v>
      </c>
    </row>
    <row r="86" spans="2:9" outlineLevel="2">
      <c r="B86" s="373">
        <v>3</v>
      </c>
      <c r="C86" s="373" t="s">
        <v>985</v>
      </c>
      <c r="D86" s="373" t="s">
        <v>985</v>
      </c>
      <c r="E86" s="373" t="s">
        <v>860</v>
      </c>
      <c r="F86" s="373" t="s">
        <v>437</v>
      </c>
      <c r="G86" s="491" t="s">
        <v>208</v>
      </c>
      <c r="H86" s="492"/>
      <c r="I86" s="492">
        <v>1</v>
      </c>
    </row>
    <row r="87" spans="2:9" outlineLevel="1">
      <c r="C87" s="390" t="s">
        <v>497</v>
      </c>
      <c r="D87" s="390" t="s">
        <v>1371</v>
      </c>
      <c r="E87" s="390"/>
      <c r="F87" s="390" t="s">
        <v>102</v>
      </c>
      <c r="G87" s="475" t="s">
        <v>1974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497</v>
      </c>
      <c r="D88" s="373" t="s">
        <v>1371</v>
      </c>
      <c r="E88" s="373" t="s">
        <v>441</v>
      </c>
      <c r="F88" s="373" t="s">
        <v>437</v>
      </c>
      <c r="G88" s="491" t="s">
        <v>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497</v>
      </c>
      <c r="D89" s="373" t="s">
        <v>1371</v>
      </c>
      <c r="E89" s="373" t="s">
        <v>441</v>
      </c>
      <c r="F89" s="373" t="s">
        <v>437</v>
      </c>
      <c r="G89" s="491" t="s">
        <v>208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497</v>
      </c>
      <c r="D90" s="373" t="s">
        <v>1371</v>
      </c>
      <c r="E90" s="373" t="s">
        <v>860</v>
      </c>
      <c r="F90" s="373" t="s">
        <v>437</v>
      </c>
      <c r="G90" s="491" t="s">
        <v>208</v>
      </c>
      <c r="H90" s="492">
        <v>0.05</v>
      </c>
      <c r="I90" s="492">
        <v>1</v>
      </c>
    </row>
    <row r="91" spans="2:9" outlineLevel="1">
      <c r="C91" s="390" t="s">
        <v>902</v>
      </c>
      <c r="D91" s="390" t="s">
        <v>1220</v>
      </c>
      <c r="E91" s="390"/>
      <c r="F91" s="390" t="s">
        <v>102</v>
      </c>
      <c r="G91" s="475" t="s">
        <v>1966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902</v>
      </c>
      <c r="D92" s="373" t="s">
        <v>1220</v>
      </c>
      <c r="E92" s="372" t="s">
        <v>441</v>
      </c>
      <c r="F92" s="373" t="s">
        <v>102</v>
      </c>
      <c r="G92" s="491" t="s">
        <v>206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902</v>
      </c>
      <c r="D93" s="373" t="s">
        <v>1220</v>
      </c>
      <c r="E93" s="372" t="s">
        <v>441</v>
      </c>
      <c r="F93" s="373" t="s">
        <v>102</v>
      </c>
      <c r="G93" s="491" t="s">
        <v>208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902</v>
      </c>
      <c r="D94" s="373" t="s">
        <v>1220</v>
      </c>
      <c r="E94" s="372" t="s">
        <v>860</v>
      </c>
      <c r="F94" s="373" t="s">
        <v>102</v>
      </c>
      <c r="G94" s="491" t="s">
        <v>206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902</v>
      </c>
      <c r="D95" s="373" t="s">
        <v>1220</v>
      </c>
      <c r="E95" s="372" t="s">
        <v>860</v>
      </c>
      <c r="F95" s="373" t="s">
        <v>102</v>
      </c>
      <c r="G95" s="491" t="s">
        <v>208</v>
      </c>
      <c r="H95" s="493">
        <v>1.7819999999999999E-2</v>
      </c>
      <c r="I95" s="493">
        <v>1</v>
      </c>
    </row>
    <row r="96" spans="2:9" outlineLevel="1">
      <c r="C96" s="390" t="s">
        <v>964</v>
      </c>
      <c r="D96" s="390" t="s">
        <v>1247</v>
      </c>
      <c r="E96" s="390"/>
      <c r="F96" s="390" t="s">
        <v>102</v>
      </c>
      <c r="G96" s="475" t="s">
        <v>1975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964</v>
      </c>
      <c r="D97" s="373" t="s">
        <v>1247</v>
      </c>
      <c r="E97" s="373" t="s">
        <v>441</v>
      </c>
      <c r="F97" s="373" t="s">
        <v>102</v>
      </c>
      <c r="G97" s="491" t="s">
        <v>206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964</v>
      </c>
      <c r="D98" s="373" t="s">
        <v>1247</v>
      </c>
      <c r="E98" s="373" t="s">
        <v>441</v>
      </c>
      <c r="F98" s="373" t="s">
        <v>102</v>
      </c>
      <c r="G98" s="491" t="s">
        <v>208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964</v>
      </c>
      <c r="D99" s="373" t="s">
        <v>1247</v>
      </c>
      <c r="E99" s="373" t="s">
        <v>860</v>
      </c>
      <c r="F99" s="373" t="s">
        <v>102</v>
      </c>
      <c r="G99" s="491" t="s">
        <v>206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964</v>
      </c>
      <c r="D100" s="373" t="s">
        <v>1247</v>
      </c>
      <c r="E100" s="373" t="s">
        <v>860</v>
      </c>
      <c r="F100" s="373" t="s">
        <v>102</v>
      </c>
      <c r="G100" s="491" t="s">
        <v>208</v>
      </c>
      <c r="H100" s="493">
        <v>8.1602400000000009E-3</v>
      </c>
      <c r="I100" s="493">
        <v>1</v>
      </c>
    </row>
    <row r="101" spans="2:9" outlineLevel="1">
      <c r="C101" s="390" t="s">
        <v>1163</v>
      </c>
      <c r="D101" s="390" t="s">
        <v>1163</v>
      </c>
      <c r="E101" s="390"/>
      <c r="F101" s="390" t="s">
        <v>102</v>
      </c>
      <c r="G101" s="475" t="s">
        <v>1967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1163</v>
      </c>
      <c r="D102" s="373" t="s">
        <v>1163</v>
      </c>
      <c r="E102" s="373" t="s">
        <v>441</v>
      </c>
      <c r="F102" s="373" t="s">
        <v>102</v>
      </c>
      <c r="G102" s="491" t="s">
        <v>206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1163</v>
      </c>
      <c r="D103" s="373" t="s">
        <v>1163</v>
      </c>
      <c r="E103" s="373" t="s">
        <v>441</v>
      </c>
      <c r="F103" s="373" t="s">
        <v>102</v>
      </c>
      <c r="G103" s="491" t="s">
        <v>208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1163</v>
      </c>
      <c r="D104" s="373" t="s">
        <v>1163</v>
      </c>
      <c r="E104" s="373" t="s">
        <v>441</v>
      </c>
      <c r="F104" s="373" t="s">
        <v>102</v>
      </c>
      <c r="G104" s="491" t="s">
        <v>209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1163</v>
      </c>
      <c r="D105" s="373" t="s">
        <v>1163</v>
      </c>
      <c r="E105" s="373" t="s">
        <v>860</v>
      </c>
      <c r="F105" s="373" t="s">
        <v>102</v>
      </c>
      <c r="G105" s="491" t="s">
        <v>206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1163</v>
      </c>
      <c r="D106" s="373" t="s">
        <v>1163</v>
      </c>
      <c r="E106" s="373" t="s">
        <v>860</v>
      </c>
      <c r="F106" s="373" t="s">
        <v>102</v>
      </c>
      <c r="G106" s="491" t="s">
        <v>209</v>
      </c>
      <c r="H106" s="493">
        <v>0.15756180000000003</v>
      </c>
      <c r="I106" s="493">
        <v>1</v>
      </c>
    </row>
    <row r="107" spans="2:9" outlineLevel="1">
      <c r="C107" s="390" t="s">
        <v>1165</v>
      </c>
      <c r="D107" s="390" t="s">
        <v>1165</v>
      </c>
      <c r="E107" s="390"/>
      <c r="F107" s="390" t="s">
        <v>102</v>
      </c>
      <c r="G107" s="475" t="s">
        <v>1978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1165</v>
      </c>
      <c r="D108" s="373" t="s">
        <v>1165</v>
      </c>
      <c r="E108" s="373" t="s">
        <v>441</v>
      </c>
      <c r="F108" s="373" t="s">
        <v>102</v>
      </c>
      <c r="G108" s="491" t="s">
        <v>206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1165</v>
      </c>
      <c r="D109" s="373" t="s">
        <v>1165</v>
      </c>
      <c r="E109" s="373" t="s">
        <v>441</v>
      </c>
      <c r="F109" s="373" t="s">
        <v>102</v>
      </c>
      <c r="G109" s="491" t="s">
        <v>208</v>
      </c>
      <c r="H109" s="493">
        <v>0.43475642700000006</v>
      </c>
      <c r="I109" s="493">
        <v>1</v>
      </c>
    </row>
    <row r="110" spans="2:9" outlineLevel="1">
      <c r="C110" s="390" t="s">
        <v>1164</v>
      </c>
      <c r="D110" s="390" t="s">
        <v>1164</v>
      </c>
      <c r="E110" s="390"/>
      <c r="F110" s="390" t="s">
        <v>102</v>
      </c>
      <c r="G110" s="475" t="s">
        <v>1976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1164</v>
      </c>
      <c r="D111" s="373" t="s">
        <v>1164</v>
      </c>
      <c r="E111" s="373" t="s">
        <v>441</v>
      </c>
      <c r="F111" s="373" t="s">
        <v>102</v>
      </c>
      <c r="G111" s="491" t="s">
        <v>206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1164</v>
      </c>
      <c r="D112" s="373" t="s">
        <v>1164</v>
      </c>
      <c r="E112" s="373" t="s">
        <v>441</v>
      </c>
      <c r="F112" s="373" t="s">
        <v>102</v>
      </c>
      <c r="G112" s="491" t="s">
        <v>208</v>
      </c>
      <c r="H112" s="493">
        <v>0.14491880900000001</v>
      </c>
      <c r="I112" s="493">
        <v>1</v>
      </c>
    </row>
    <row r="113" spans="2:9" outlineLevel="1">
      <c r="C113" s="390" t="s">
        <v>973</v>
      </c>
      <c r="D113" s="390" t="s">
        <v>973</v>
      </c>
      <c r="E113" s="390"/>
      <c r="F113" s="390" t="s">
        <v>102</v>
      </c>
      <c r="G113" s="475" t="s">
        <v>1977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973</v>
      </c>
      <c r="D114" s="373" t="s">
        <v>973</v>
      </c>
      <c r="E114" s="373" t="s">
        <v>441</v>
      </c>
      <c r="F114" s="373" t="s">
        <v>437</v>
      </c>
      <c r="G114" s="491" t="s">
        <v>206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973</v>
      </c>
      <c r="D115" s="373" t="s">
        <v>973</v>
      </c>
      <c r="E115" s="373" t="s">
        <v>441</v>
      </c>
      <c r="F115" s="373" t="s">
        <v>437</v>
      </c>
      <c r="G115" s="491" t="s">
        <v>208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973</v>
      </c>
      <c r="D116" s="373" t="s">
        <v>973</v>
      </c>
      <c r="E116" s="373" t="s">
        <v>441</v>
      </c>
      <c r="F116" s="373" t="s">
        <v>437</v>
      </c>
      <c r="G116" s="491" t="s">
        <v>199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973</v>
      </c>
      <c r="D117" s="373" t="s">
        <v>973</v>
      </c>
      <c r="E117" s="373" t="s">
        <v>441</v>
      </c>
      <c r="F117" s="373" t="s">
        <v>437</v>
      </c>
      <c r="G117" s="491" t="s">
        <v>209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973</v>
      </c>
      <c r="D118" s="373" t="s">
        <v>973</v>
      </c>
      <c r="E118" s="373" t="s">
        <v>860</v>
      </c>
      <c r="F118" s="373" t="s">
        <v>437</v>
      </c>
      <c r="G118" s="491" t="s">
        <v>206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973</v>
      </c>
      <c r="D119" s="373" t="s">
        <v>973</v>
      </c>
      <c r="E119" s="373" t="s">
        <v>860</v>
      </c>
      <c r="F119" s="373" t="s">
        <v>437</v>
      </c>
      <c r="G119" s="491" t="s">
        <v>199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973</v>
      </c>
      <c r="D120" s="373" t="s">
        <v>973</v>
      </c>
      <c r="E120" s="373" t="s">
        <v>860</v>
      </c>
      <c r="F120" s="373" t="s">
        <v>437</v>
      </c>
      <c r="G120" s="491" t="s">
        <v>608</v>
      </c>
      <c r="H120" s="492">
        <v>2.2275000000000003E-2</v>
      </c>
      <c r="I120" s="492">
        <v>1</v>
      </c>
    </row>
    <row r="121" spans="2:9" outlineLevel="1">
      <c r="C121" s="390" t="s">
        <v>975</v>
      </c>
      <c r="D121" s="390" t="s">
        <v>1201</v>
      </c>
      <c r="E121" s="390"/>
      <c r="F121" s="390" t="s">
        <v>102</v>
      </c>
      <c r="G121" s="475" t="s">
        <v>1984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975</v>
      </c>
      <c r="D122" s="373" t="s">
        <v>1201</v>
      </c>
      <c r="E122" s="373" t="s">
        <v>1166</v>
      </c>
      <c r="F122" s="373" t="s">
        <v>437</v>
      </c>
      <c r="G122" s="491" t="s">
        <v>205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975</v>
      </c>
      <c r="D123" s="373" t="s">
        <v>1201</v>
      </c>
      <c r="E123" s="373" t="s">
        <v>1166</v>
      </c>
      <c r="F123" s="373" t="s">
        <v>437</v>
      </c>
      <c r="G123" s="491" t="s">
        <v>206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975</v>
      </c>
      <c r="D124" s="373" t="s">
        <v>1201</v>
      </c>
      <c r="E124" s="373" t="s">
        <v>1166</v>
      </c>
      <c r="F124" s="373" t="s">
        <v>437</v>
      </c>
      <c r="G124" s="491" t="s">
        <v>208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975</v>
      </c>
      <c r="D125" s="373" t="s">
        <v>1201</v>
      </c>
      <c r="E125" s="373" t="s">
        <v>1166</v>
      </c>
      <c r="F125" s="373" t="s">
        <v>437</v>
      </c>
      <c r="G125" s="491" t="s">
        <v>608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975</v>
      </c>
      <c r="D126" s="373" t="s">
        <v>1201</v>
      </c>
      <c r="E126" s="373" t="s">
        <v>441</v>
      </c>
      <c r="F126" s="373" t="s">
        <v>437</v>
      </c>
      <c r="G126" s="491" t="s">
        <v>206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975</v>
      </c>
      <c r="D127" s="373" t="s">
        <v>1201</v>
      </c>
      <c r="E127" s="373" t="s">
        <v>441</v>
      </c>
      <c r="F127" s="373" t="s">
        <v>437</v>
      </c>
      <c r="G127" s="491" t="s">
        <v>208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975</v>
      </c>
      <c r="D128" s="373" t="s">
        <v>1201</v>
      </c>
      <c r="E128" s="373" t="s">
        <v>441</v>
      </c>
      <c r="F128" s="373" t="s">
        <v>437</v>
      </c>
      <c r="G128" s="491" t="s">
        <v>608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975</v>
      </c>
      <c r="D129" s="373" t="s">
        <v>1201</v>
      </c>
      <c r="E129" s="373" t="s">
        <v>860</v>
      </c>
      <c r="F129" s="373" t="s">
        <v>437</v>
      </c>
      <c r="G129" s="491" t="s">
        <v>206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975</v>
      </c>
      <c r="D130" s="373" t="s">
        <v>1201</v>
      </c>
      <c r="E130" s="373" t="s">
        <v>860</v>
      </c>
      <c r="F130" s="373" t="s">
        <v>437</v>
      </c>
      <c r="G130" s="491" t="s">
        <v>208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975</v>
      </c>
      <c r="D131" s="373" t="s">
        <v>1201</v>
      </c>
      <c r="E131" s="373" t="s">
        <v>860</v>
      </c>
      <c r="F131" s="373" t="s">
        <v>437</v>
      </c>
      <c r="G131" s="491" t="s">
        <v>608</v>
      </c>
      <c r="H131" s="492">
        <v>5.6430000000000008E-2</v>
      </c>
      <c r="I131" s="492">
        <v>1</v>
      </c>
    </row>
    <row r="132" spans="2:9" outlineLevel="1">
      <c r="C132" s="390" t="s">
        <v>1890</v>
      </c>
      <c r="D132" s="390" t="s">
        <v>1201</v>
      </c>
      <c r="E132" s="390"/>
      <c r="F132" s="390" t="s">
        <v>102</v>
      </c>
      <c r="G132" s="475" t="s">
        <v>1985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1890</v>
      </c>
      <c r="D133" s="373" t="s">
        <v>1201</v>
      </c>
      <c r="E133" s="373" t="s">
        <v>1166</v>
      </c>
      <c r="F133" s="373" t="s">
        <v>437</v>
      </c>
      <c r="G133" s="491" t="s">
        <v>205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1890</v>
      </c>
      <c r="D134" s="373" t="s">
        <v>1201</v>
      </c>
      <c r="E134" s="373" t="s">
        <v>1166</v>
      </c>
      <c r="F134" s="373" t="s">
        <v>437</v>
      </c>
      <c r="G134" s="491" t="s">
        <v>206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1890</v>
      </c>
      <c r="D135" s="373" t="s">
        <v>1201</v>
      </c>
      <c r="E135" s="373" t="s">
        <v>1166</v>
      </c>
      <c r="F135" s="373" t="s">
        <v>437</v>
      </c>
      <c r="G135" s="491" t="s">
        <v>208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1890</v>
      </c>
      <c r="D136" s="373" t="s">
        <v>1201</v>
      </c>
      <c r="E136" s="373" t="s">
        <v>441</v>
      </c>
      <c r="F136" s="373" t="s">
        <v>437</v>
      </c>
      <c r="G136" s="491" t="s">
        <v>206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1890</v>
      </c>
      <c r="D137" s="373" t="s">
        <v>1201</v>
      </c>
      <c r="E137" s="373" t="s">
        <v>441</v>
      </c>
      <c r="F137" s="373" t="s">
        <v>437</v>
      </c>
      <c r="G137" s="491" t="s">
        <v>208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1890</v>
      </c>
      <c r="D138" s="373" t="s">
        <v>1201</v>
      </c>
      <c r="E138" s="373" t="s">
        <v>860</v>
      </c>
      <c r="F138" s="373" t="s">
        <v>437</v>
      </c>
      <c r="G138" s="491" t="s">
        <v>206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1890</v>
      </c>
      <c r="D139" s="373" t="s">
        <v>1201</v>
      </c>
      <c r="E139" s="373" t="s">
        <v>860</v>
      </c>
      <c r="F139" s="373" t="s">
        <v>437</v>
      </c>
      <c r="G139" s="491" t="s">
        <v>208</v>
      </c>
      <c r="H139" s="492">
        <v>9.3554893606529646E-2</v>
      </c>
      <c r="I139" s="492">
        <v>1</v>
      </c>
    </row>
    <row r="140" spans="2:9" outlineLevel="1">
      <c r="C140" s="390" t="s">
        <v>609</v>
      </c>
      <c r="D140" s="390" t="s">
        <v>1201</v>
      </c>
      <c r="E140" s="390"/>
      <c r="F140" s="390" t="s">
        <v>102</v>
      </c>
      <c r="G140" s="475" t="s">
        <v>1986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609</v>
      </c>
      <c r="D141" s="373" t="s">
        <v>1201</v>
      </c>
      <c r="E141" s="373" t="s">
        <v>1166</v>
      </c>
      <c r="F141" s="373" t="s">
        <v>437</v>
      </c>
      <c r="G141" s="491" t="s">
        <v>1893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609</v>
      </c>
      <c r="D142" s="373" t="s">
        <v>1201</v>
      </c>
      <c r="E142" s="373" t="s">
        <v>1166</v>
      </c>
      <c r="F142" s="373" t="s">
        <v>437</v>
      </c>
      <c r="G142" s="491" t="s">
        <v>1894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609</v>
      </c>
      <c r="D143" s="373" t="s">
        <v>1201</v>
      </c>
      <c r="E143" s="373" t="s">
        <v>1166</v>
      </c>
      <c r="F143" s="373" t="s">
        <v>437</v>
      </c>
      <c r="G143" s="491" t="s">
        <v>199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609</v>
      </c>
      <c r="D144" s="373" t="s">
        <v>1201</v>
      </c>
      <c r="E144" s="373" t="s">
        <v>1166</v>
      </c>
      <c r="F144" s="373" t="s">
        <v>437</v>
      </c>
      <c r="G144" s="491" t="s">
        <v>608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609</v>
      </c>
      <c r="D145" s="373" t="s">
        <v>1201</v>
      </c>
      <c r="E145" s="373" t="s">
        <v>1166</v>
      </c>
      <c r="F145" s="373" t="s">
        <v>437</v>
      </c>
      <c r="G145" s="491" t="s">
        <v>198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609</v>
      </c>
      <c r="D146" s="373" t="s">
        <v>1201</v>
      </c>
      <c r="E146" s="373" t="s">
        <v>1166</v>
      </c>
      <c r="F146" s="373" t="s">
        <v>437</v>
      </c>
      <c r="G146" s="491" t="s">
        <v>1895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609</v>
      </c>
      <c r="D147" s="373" t="s">
        <v>1201</v>
      </c>
      <c r="E147" s="373" t="s">
        <v>441</v>
      </c>
      <c r="F147" s="373" t="s">
        <v>437</v>
      </c>
      <c r="G147" s="491" t="s">
        <v>206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609</v>
      </c>
      <c r="D148" s="373" t="s">
        <v>1201</v>
      </c>
      <c r="E148" s="373" t="s">
        <v>441</v>
      </c>
      <c r="F148" s="373" t="s">
        <v>437</v>
      </c>
      <c r="G148" s="491" t="s">
        <v>1894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609</v>
      </c>
      <c r="D149" s="373" t="s">
        <v>1201</v>
      </c>
      <c r="E149" s="373" t="s">
        <v>441</v>
      </c>
      <c r="F149" s="373" t="s">
        <v>437</v>
      </c>
      <c r="G149" s="491" t="s">
        <v>199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609</v>
      </c>
      <c r="D150" s="373" t="s">
        <v>1201</v>
      </c>
      <c r="E150" s="373" t="s">
        <v>441</v>
      </c>
      <c r="F150" s="373" t="s">
        <v>437</v>
      </c>
      <c r="G150" s="491" t="s">
        <v>608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609</v>
      </c>
      <c r="D151" s="373" t="s">
        <v>1201</v>
      </c>
      <c r="E151" s="373" t="s">
        <v>441</v>
      </c>
      <c r="F151" s="373" t="s">
        <v>437</v>
      </c>
      <c r="G151" s="491" t="s">
        <v>1897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609</v>
      </c>
      <c r="D152" s="373" t="s">
        <v>1201</v>
      </c>
      <c r="E152" s="373" t="s">
        <v>860</v>
      </c>
      <c r="F152" s="373" t="s">
        <v>437</v>
      </c>
      <c r="G152" s="491" t="s">
        <v>206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609</v>
      </c>
      <c r="D153" s="373" t="s">
        <v>1201</v>
      </c>
      <c r="E153" s="373" t="s">
        <v>860</v>
      </c>
      <c r="F153" s="373" t="s">
        <v>437</v>
      </c>
      <c r="G153" s="491" t="s">
        <v>199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609</v>
      </c>
      <c r="D154" s="373" t="s">
        <v>1201</v>
      </c>
      <c r="E154" s="373" t="s">
        <v>860</v>
      </c>
      <c r="F154" s="373" t="s">
        <v>437</v>
      </c>
      <c r="G154" s="491" t="s">
        <v>608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609</v>
      </c>
      <c r="D155" s="373" t="s">
        <v>1201</v>
      </c>
      <c r="E155" s="373" t="s">
        <v>860</v>
      </c>
      <c r="F155" s="373" t="s">
        <v>437</v>
      </c>
      <c r="G155" s="491" t="s">
        <v>198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609</v>
      </c>
      <c r="D156" s="373" t="s">
        <v>1201</v>
      </c>
      <c r="E156" s="373" t="s">
        <v>860</v>
      </c>
      <c r="F156" s="373" t="s">
        <v>437</v>
      </c>
      <c r="G156" s="491" t="s">
        <v>1897</v>
      </c>
      <c r="H156" s="492">
        <v>1.8172093886100003E-2</v>
      </c>
      <c r="I156" s="492">
        <v>1</v>
      </c>
    </row>
    <row r="157" spans="2:9" outlineLevel="1">
      <c r="C157" s="390" t="s">
        <v>285</v>
      </c>
      <c r="D157" s="390" t="s">
        <v>1201</v>
      </c>
      <c r="E157" s="390"/>
      <c r="F157" s="390" t="s">
        <v>102</v>
      </c>
      <c r="G157" s="475" t="s">
        <v>1987</v>
      </c>
      <c r="H157" s="490">
        <v>0</v>
      </c>
      <c r="I157" s="490">
        <v>0</v>
      </c>
    </row>
    <row r="158" spans="2:9" outlineLevel="1">
      <c r="C158" s="390" t="s">
        <v>916</v>
      </c>
      <c r="D158" s="390" t="s">
        <v>916</v>
      </c>
      <c r="E158" s="390"/>
      <c r="F158" s="390" t="s">
        <v>102</v>
      </c>
      <c r="G158" s="475" t="s">
        <v>1988</v>
      </c>
      <c r="H158" s="490">
        <v>0</v>
      </c>
      <c r="I158" s="490">
        <v>0</v>
      </c>
    </row>
    <row r="159" spans="2:9" outlineLevel="1">
      <c r="C159" s="390" t="s">
        <v>1170</v>
      </c>
      <c r="D159" s="390" t="s">
        <v>1170</v>
      </c>
      <c r="E159" s="390"/>
      <c r="F159" s="390" t="s">
        <v>102</v>
      </c>
      <c r="G159" s="475" t="s">
        <v>1972</v>
      </c>
      <c r="H159" s="490">
        <v>0</v>
      </c>
      <c r="I159" s="490">
        <v>0</v>
      </c>
    </row>
    <row r="160" spans="2:9" outlineLevel="1">
      <c r="C160" s="390" t="s">
        <v>1384</v>
      </c>
      <c r="D160" s="390" t="s">
        <v>1384</v>
      </c>
      <c r="E160" s="390"/>
      <c r="F160" s="390" t="s">
        <v>102</v>
      </c>
      <c r="G160" s="475" t="s">
        <v>2001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1384</v>
      </c>
      <c r="D161" s="373" t="s">
        <v>1384</v>
      </c>
      <c r="E161" s="373" t="s">
        <v>441</v>
      </c>
      <c r="F161" s="373" t="s">
        <v>437</v>
      </c>
      <c r="G161" s="491" t="s">
        <v>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1384</v>
      </c>
      <c r="D162" s="373" t="s">
        <v>1384</v>
      </c>
      <c r="E162" s="373" t="s">
        <v>441</v>
      </c>
      <c r="F162" s="373" t="s">
        <v>437</v>
      </c>
      <c r="G162" s="491" t="s">
        <v>208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1384</v>
      </c>
      <c r="D163" s="373" t="s">
        <v>1384</v>
      </c>
      <c r="E163" s="373" t="s">
        <v>860</v>
      </c>
      <c r="F163" s="373" t="s">
        <v>437</v>
      </c>
      <c r="G163" s="491" t="s">
        <v>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1384</v>
      </c>
      <c r="D164" s="373" t="s">
        <v>1384</v>
      </c>
      <c r="E164" s="373" t="s">
        <v>860</v>
      </c>
      <c r="F164" s="373" t="s">
        <v>437</v>
      </c>
      <c r="G164" s="491" t="s">
        <v>208</v>
      </c>
      <c r="H164" s="492">
        <v>4.6977119999999997E-3</v>
      </c>
      <c r="I164" s="492">
        <v>1</v>
      </c>
    </row>
    <row r="165" spans="2:9" outlineLevel="1">
      <c r="C165" s="390" t="s">
        <v>369</v>
      </c>
      <c r="D165" s="390" t="s">
        <v>843</v>
      </c>
      <c r="E165" s="390"/>
      <c r="F165" s="390" t="s">
        <v>102</v>
      </c>
      <c r="G165" s="475" t="s">
        <v>1979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369</v>
      </c>
      <c r="D166" s="373" t="s">
        <v>843</v>
      </c>
      <c r="E166" s="373" t="s">
        <v>441</v>
      </c>
      <c r="F166" s="373" t="s">
        <v>437</v>
      </c>
      <c r="G166" s="491" t="s">
        <v>206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369</v>
      </c>
      <c r="D167" s="373" t="s">
        <v>843</v>
      </c>
      <c r="E167" s="373" t="s">
        <v>441</v>
      </c>
      <c r="F167" s="373" t="s">
        <v>437</v>
      </c>
      <c r="G167" s="491" t="s">
        <v>208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369</v>
      </c>
      <c r="D168" s="373" t="s">
        <v>843</v>
      </c>
      <c r="E168" s="373" t="s">
        <v>441</v>
      </c>
      <c r="F168" s="373" t="s">
        <v>437</v>
      </c>
      <c r="G168" s="491" t="s">
        <v>230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369</v>
      </c>
      <c r="D169" s="373" t="s">
        <v>843</v>
      </c>
      <c r="E169" s="373" t="s">
        <v>860</v>
      </c>
      <c r="F169" s="373" t="s">
        <v>437</v>
      </c>
      <c r="G169" s="491" t="s">
        <v>206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369</v>
      </c>
      <c r="D170" s="373" t="s">
        <v>843</v>
      </c>
      <c r="E170" s="373" t="s">
        <v>860</v>
      </c>
      <c r="F170" s="373" t="s">
        <v>437</v>
      </c>
      <c r="G170" s="491" t="s">
        <v>208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22.28515625" style="373" customWidth="1"/>
    <col min="4" max="4" width="14.7109375" style="373" customWidth="1"/>
    <col min="5" max="5" width="16.7109375" style="373" customWidth="1"/>
    <col min="6" max="6" width="13.7109375" style="373" bestFit="1" customWidth="1"/>
    <col min="7" max="7" width="56.7109375" style="491" customWidth="1"/>
    <col min="8" max="8" width="12.710937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1956</v>
      </c>
      <c r="D2" s="418"/>
      <c r="E2" s="418"/>
      <c r="F2" s="418"/>
      <c r="G2" s="469"/>
      <c r="H2" s="419" t="s">
        <v>1714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1176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1968</v>
      </c>
      <c r="C7" s="470" t="s">
        <v>144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3.9" outlineLevel="1">
      <c r="C9" s="513" t="s">
        <v>2047</v>
      </c>
      <c r="D9" s="513" t="s">
        <v>1472</v>
      </c>
      <c r="E9" s="513" t="s">
        <v>617</v>
      </c>
      <c r="F9" s="513" t="s">
        <v>144</v>
      </c>
      <c r="G9" s="513" t="s">
        <v>145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3.9" outlineLevel="2">
      <c r="B10" s="373">
        <v>1</v>
      </c>
      <c r="C10" s="536" t="s">
        <v>2048</v>
      </c>
      <c r="D10" s="536" t="s">
        <v>511</v>
      </c>
      <c r="E10" s="536" t="s">
        <v>617</v>
      </c>
      <c r="F10" s="536" t="s">
        <v>144</v>
      </c>
      <c r="G10" s="536" t="s">
        <v>2049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3.9" outlineLevel="2">
      <c r="B11" s="373">
        <v>1</v>
      </c>
      <c r="C11" s="536" t="s">
        <v>214</v>
      </c>
      <c r="D11" s="536" t="s">
        <v>515</v>
      </c>
      <c r="E11" s="536" t="s">
        <v>617</v>
      </c>
      <c r="F11" s="536" t="s">
        <v>144</v>
      </c>
      <c r="G11" s="536" t="s">
        <v>2050</v>
      </c>
      <c r="H11" s="483">
        <f>((8000*525)/10^7)</f>
        <v>0.42</v>
      </c>
      <c r="I11" s="538">
        <v>1</v>
      </c>
      <c r="K11" s="503"/>
      <c r="L11" s="503"/>
    </row>
    <row r="12" spans="1:25" ht="13.9" outlineLevel="1">
      <c r="C12" s="513" t="s">
        <v>2051</v>
      </c>
      <c r="D12" s="513" t="s">
        <v>2052</v>
      </c>
      <c r="E12" s="513" t="s">
        <v>617</v>
      </c>
      <c r="F12" s="513" t="s">
        <v>144</v>
      </c>
      <c r="G12" s="513" t="s">
        <v>146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3.9" outlineLevel="2">
      <c r="C13" s="536" t="s">
        <v>1158</v>
      </c>
      <c r="D13" s="536" t="s">
        <v>1158</v>
      </c>
      <c r="E13" s="536" t="s">
        <v>617</v>
      </c>
      <c r="F13" s="536" t="s">
        <v>144</v>
      </c>
      <c r="G13" s="536" t="s">
        <v>147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3.9" outlineLevel="2">
      <c r="C14" s="536" t="s">
        <v>1159</v>
      </c>
      <c r="D14" s="536" t="s">
        <v>1159</v>
      </c>
      <c r="E14" s="536" t="s">
        <v>617</v>
      </c>
      <c r="F14" s="536" t="s">
        <v>144</v>
      </c>
      <c r="G14" s="536" t="s">
        <v>148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3.9" outlineLevel="2">
      <c r="C15" s="536" t="s">
        <v>1160</v>
      </c>
      <c r="D15" s="536" t="s">
        <v>1160</v>
      </c>
      <c r="E15" s="536" t="s">
        <v>617</v>
      </c>
      <c r="F15" s="536" t="s">
        <v>144</v>
      </c>
      <c r="G15" s="536" t="s">
        <v>149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1956</v>
      </c>
      <c r="C2" s="418"/>
      <c r="D2" s="418"/>
      <c r="E2" s="418"/>
      <c r="F2" s="469"/>
      <c r="G2" s="419" t="s">
        <v>1714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1176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 collapsed="1">
      <c r="A7" s="376"/>
      <c r="B7" s="470" t="s">
        <v>1162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897</v>
      </c>
      <c r="C9" s="475" t="s">
        <v>1201</v>
      </c>
      <c r="D9" s="475" t="s">
        <v>159</v>
      </c>
      <c r="E9" s="475" t="s">
        <v>1162</v>
      </c>
      <c r="F9" s="475" t="s">
        <v>1957</v>
      </c>
      <c r="G9" s="476">
        <v>0</v>
      </c>
      <c r="H9" s="476">
        <v>0</v>
      </c>
    </row>
    <row r="10" spans="1:24" hidden="1" outlineLevel="1" collapsed="1">
      <c r="B10" s="475" t="s">
        <v>898</v>
      </c>
      <c r="C10" s="446" t="s">
        <v>1785</v>
      </c>
      <c r="D10" s="445" t="s">
        <v>159</v>
      </c>
      <c r="E10" s="446" t="s">
        <v>1162</v>
      </c>
      <c r="F10" s="475" t="s">
        <v>1958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898</v>
      </c>
      <c r="C11" s="447" t="s">
        <v>1785</v>
      </c>
      <c r="D11" s="443" t="s">
        <v>159</v>
      </c>
      <c r="E11" s="447" t="s">
        <v>1162</v>
      </c>
      <c r="F11" s="477" t="s">
        <v>174</v>
      </c>
      <c r="G11" s="478">
        <v>7.0000000000000007E-2</v>
      </c>
      <c r="H11" s="478">
        <v>1</v>
      </c>
    </row>
    <row r="12" spans="1:24" hidden="1" outlineLevel="2">
      <c r="B12" s="477" t="s">
        <v>898</v>
      </c>
      <c r="C12" s="447" t="s">
        <v>1785</v>
      </c>
      <c r="D12" s="443" t="s">
        <v>159</v>
      </c>
      <c r="E12" s="447" t="s">
        <v>1162</v>
      </c>
      <c r="F12" s="477" t="s">
        <v>175</v>
      </c>
      <c r="G12" s="478">
        <v>0.18</v>
      </c>
      <c r="H12" s="478">
        <v>1</v>
      </c>
    </row>
    <row r="13" spans="1:24" hidden="1" outlineLevel="1" collapsed="1">
      <c r="B13" s="475" t="s">
        <v>899</v>
      </c>
      <c r="C13" s="446" t="s">
        <v>1178</v>
      </c>
      <c r="D13" s="445" t="s">
        <v>159</v>
      </c>
      <c r="E13" s="446" t="s">
        <v>1162</v>
      </c>
      <c r="F13" s="475" t="s">
        <v>1959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899</v>
      </c>
      <c r="C14" s="447" t="s">
        <v>1178</v>
      </c>
      <c r="D14" s="443" t="s">
        <v>159</v>
      </c>
      <c r="E14" s="447" t="s">
        <v>1162</v>
      </c>
      <c r="F14" s="477" t="s">
        <v>188</v>
      </c>
      <c r="G14" s="478">
        <v>0.3</v>
      </c>
      <c r="H14" s="478">
        <v>1</v>
      </c>
    </row>
    <row r="15" spans="1:24" hidden="1" outlineLevel="2">
      <c r="B15" s="477" t="s">
        <v>899</v>
      </c>
      <c r="C15" s="447" t="s">
        <v>1178</v>
      </c>
      <c r="D15" s="443" t="s">
        <v>159</v>
      </c>
      <c r="E15" s="447" t="s">
        <v>1162</v>
      </c>
      <c r="F15" s="477" t="s">
        <v>189</v>
      </c>
      <c r="G15" s="478">
        <v>0.3</v>
      </c>
      <c r="H15" s="478">
        <v>1</v>
      </c>
    </row>
    <row r="16" spans="1:24" hidden="1" outlineLevel="2">
      <c r="B16" s="477" t="s">
        <v>899</v>
      </c>
      <c r="C16" s="447" t="s">
        <v>1178</v>
      </c>
      <c r="D16" s="443" t="s">
        <v>159</v>
      </c>
      <c r="E16" s="447" t="s">
        <v>1162</v>
      </c>
      <c r="F16" s="477" t="s">
        <v>190</v>
      </c>
      <c r="G16" s="478">
        <v>0.03</v>
      </c>
      <c r="H16" s="478">
        <v>1</v>
      </c>
    </row>
    <row r="17" spans="2:8" hidden="1" outlineLevel="2">
      <c r="B17" s="477" t="s">
        <v>899</v>
      </c>
      <c r="C17" s="447" t="s">
        <v>1178</v>
      </c>
      <c r="D17" s="443" t="s">
        <v>159</v>
      </c>
      <c r="E17" s="447" t="s">
        <v>1162</v>
      </c>
      <c r="F17" s="477" t="s">
        <v>1790</v>
      </c>
      <c r="G17" s="478">
        <v>1.7453571000000001</v>
      </c>
      <c r="H17" s="478">
        <v>1</v>
      </c>
    </row>
    <row r="18" spans="2:8" hidden="1" outlineLevel="1" collapsed="1">
      <c r="B18" s="475" t="s">
        <v>946</v>
      </c>
      <c r="C18" s="446" t="s">
        <v>1195</v>
      </c>
      <c r="D18" s="445" t="s">
        <v>159</v>
      </c>
      <c r="E18" s="446" t="s">
        <v>1162</v>
      </c>
      <c r="F18" s="475" t="s">
        <v>1960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946</v>
      </c>
      <c r="C19" s="447" t="s">
        <v>1195</v>
      </c>
      <c r="D19" s="443" t="s">
        <v>159</v>
      </c>
      <c r="E19" s="447" t="s">
        <v>1162</v>
      </c>
      <c r="F19" s="477" t="s">
        <v>1807</v>
      </c>
      <c r="G19" s="478">
        <v>9.2092275000000001E-2</v>
      </c>
      <c r="H19" s="478">
        <v>1</v>
      </c>
    </row>
    <row r="20" spans="2:8" hidden="1" outlineLevel="2">
      <c r="B20" s="477" t="s">
        <v>946</v>
      </c>
      <c r="C20" s="447" t="s">
        <v>1195</v>
      </c>
      <c r="D20" s="443" t="s">
        <v>159</v>
      </c>
      <c r="E20" s="447" t="s">
        <v>1162</v>
      </c>
      <c r="F20" s="477" t="s">
        <v>1808</v>
      </c>
      <c r="G20" s="478">
        <v>0.13060359000000002</v>
      </c>
      <c r="H20" s="478">
        <v>1</v>
      </c>
    </row>
    <row r="21" spans="2:8" hidden="1" outlineLevel="2">
      <c r="B21" s="477" t="s">
        <v>946</v>
      </c>
      <c r="C21" s="447" t="s">
        <v>1195</v>
      </c>
      <c r="D21" s="443" t="s">
        <v>159</v>
      </c>
      <c r="E21" s="447" t="s">
        <v>1162</v>
      </c>
      <c r="F21" s="477" t="s">
        <v>1809</v>
      </c>
      <c r="G21" s="478">
        <v>7.8362154000000003E-2</v>
      </c>
      <c r="H21" s="478">
        <v>1</v>
      </c>
    </row>
    <row r="22" spans="2:8" hidden="1" outlineLevel="1" collapsed="1">
      <c r="B22" s="475" t="s">
        <v>966</v>
      </c>
      <c r="C22" s="446" t="s">
        <v>1222</v>
      </c>
      <c r="D22" s="445" t="s">
        <v>159</v>
      </c>
      <c r="E22" s="446" t="s">
        <v>1162</v>
      </c>
      <c r="F22" s="475" t="s">
        <v>1961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966</v>
      </c>
      <c r="C23" s="447" t="s">
        <v>1222</v>
      </c>
      <c r="D23" s="443" t="s">
        <v>159</v>
      </c>
      <c r="E23" s="447" t="s">
        <v>1162</v>
      </c>
      <c r="F23" s="477" t="s">
        <v>199</v>
      </c>
      <c r="G23" s="478">
        <v>4.3906973852126532</v>
      </c>
      <c r="H23" s="478">
        <v>1</v>
      </c>
    </row>
    <row r="24" spans="2:8" hidden="1" outlineLevel="2">
      <c r="B24" s="477" t="s">
        <v>966</v>
      </c>
      <c r="C24" s="447" t="s">
        <v>1222</v>
      </c>
      <c r="D24" s="443" t="s">
        <v>159</v>
      </c>
      <c r="E24" s="447" t="s">
        <v>1162</v>
      </c>
      <c r="F24" s="477" t="s">
        <v>209</v>
      </c>
      <c r="G24" s="478">
        <v>2.1953486926063266</v>
      </c>
      <c r="H24" s="478">
        <v>1</v>
      </c>
    </row>
    <row r="25" spans="2:8" hidden="1" outlineLevel="2">
      <c r="B25" s="477" t="s">
        <v>966</v>
      </c>
      <c r="C25" s="447" t="s">
        <v>1222</v>
      </c>
      <c r="D25" s="443" t="s">
        <v>159</v>
      </c>
      <c r="E25" s="447" t="s">
        <v>1162</v>
      </c>
      <c r="F25" s="477" t="s">
        <v>198</v>
      </c>
      <c r="G25" s="478">
        <v>2.1953486926063266</v>
      </c>
      <c r="H25" s="478">
        <v>1</v>
      </c>
    </row>
    <row r="26" spans="2:8" hidden="1" outlineLevel="1" collapsed="1">
      <c r="B26" s="475" t="s">
        <v>901</v>
      </c>
      <c r="C26" s="446" t="s">
        <v>1201</v>
      </c>
      <c r="D26" s="445" t="s">
        <v>159</v>
      </c>
      <c r="E26" s="446" t="s">
        <v>1162</v>
      </c>
      <c r="F26" s="475" t="s">
        <v>1962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901</v>
      </c>
      <c r="C27" s="447" t="s">
        <v>1201</v>
      </c>
      <c r="D27" s="443" t="s">
        <v>159</v>
      </c>
      <c r="E27" s="447" t="s">
        <v>1162</v>
      </c>
      <c r="F27" s="477" t="s">
        <v>216</v>
      </c>
      <c r="G27" s="478">
        <v>0.51</v>
      </c>
      <c r="H27" s="478">
        <v>1</v>
      </c>
    </row>
    <row r="28" spans="2:8" hidden="1" outlineLevel="2">
      <c r="B28" s="477" t="s">
        <v>901</v>
      </c>
      <c r="C28" s="447" t="s">
        <v>1201</v>
      </c>
      <c r="D28" s="443" t="s">
        <v>159</v>
      </c>
      <c r="E28" s="447" t="s">
        <v>1162</v>
      </c>
      <c r="F28" s="477" t="s">
        <v>218</v>
      </c>
      <c r="G28" s="478">
        <v>0.3</v>
      </c>
      <c r="H28" s="478">
        <v>1</v>
      </c>
    </row>
    <row r="29" spans="2:8" hidden="1" outlineLevel="2">
      <c r="B29" s="477" t="s">
        <v>901</v>
      </c>
      <c r="C29" s="447" t="s">
        <v>1201</v>
      </c>
      <c r="D29" s="443" t="s">
        <v>159</v>
      </c>
      <c r="E29" s="447" t="s">
        <v>1162</v>
      </c>
      <c r="F29" s="477" t="s">
        <v>190</v>
      </c>
      <c r="G29" s="478">
        <v>0.09</v>
      </c>
      <c r="H29" s="478">
        <v>1</v>
      </c>
    </row>
    <row r="30" spans="2:8" hidden="1" outlineLevel="2">
      <c r="B30" s="477" t="s">
        <v>901</v>
      </c>
      <c r="C30" s="447" t="s">
        <v>1201</v>
      </c>
      <c r="D30" s="443" t="s">
        <v>159</v>
      </c>
      <c r="E30" s="447" t="s">
        <v>1162</v>
      </c>
      <c r="F30" s="477" t="s">
        <v>174</v>
      </c>
      <c r="G30" s="478">
        <v>0.03</v>
      </c>
      <c r="H30" s="478">
        <v>1</v>
      </c>
    </row>
    <row r="31" spans="2:8" hidden="1" outlineLevel="2">
      <c r="B31" s="477" t="s">
        <v>901</v>
      </c>
      <c r="C31" s="447" t="s">
        <v>1201</v>
      </c>
      <c r="D31" s="443" t="s">
        <v>159</v>
      </c>
      <c r="E31" s="447" t="s">
        <v>1162</v>
      </c>
      <c r="F31" s="477" t="s">
        <v>195</v>
      </c>
      <c r="G31" s="478">
        <v>0.03</v>
      </c>
      <c r="H31" s="478">
        <v>1</v>
      </c>
    </row>
    <row r="32" spans="2:8" hidden="1" outlineLevel="1" collapsed="1">
      <c r="B32" s="475" t="s">
        <v>225</v>
      </c>
      <c r="C32" s="446" t="s">
        <v>1206</v>
      </c>
      <c r="D32" s="445" t="s">
        <v>159</v>
      </c>
      <c r="E32" s="446" t="s">
        <v>1162</v>
      </c>
      <c r="F32" s="475" t="s">
        <v>1963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225</v>
      </c>
      <c r="C33" s="447" t="s">
        <v>1206</v>
      </c>
      <c r="D33" s="443" t="s">
        <v>159</v>
      </c>
      <c r="E33" s="447" t="s">
        <v>1162</v>
      </c>
      <c r="F33" s="477" t="s">
        <v>36</v>
      </c>
      <c r="G33" s="478">
        <v>6.3E-2</v>
      </c>
      <c r="H33" s="478">
        <v>1</v>
      </c>
    </row>
    <row r="34" spans="2:8" hidden="1" outlineLevel="2">
      <c r="B34" s="477" t="s">
        <v>225</v>
      </c>
      <c r="C34" s="447" t="s">
        <v>1206</v>
      </c>
      <c r="D34" s="443" t="s">
        <v>159</v>
      </c>
      <c r="E34" s="447" t="s">
        <v>1162</v>
      </c>
      <c r="F34" s="477" t="s">
        <v>208</v>
      </c>
      <c r="G34" s="478">
        <v>4.2000000000000003E-2</v>
      </c>
      <c r="H34" s="478">
        <v>1</v>
      </c>
    </row>
    <row r="35" spans="2:8" hidden="1" outlineLevel="1" collapsed="1">
      <c r="B35" s="475" t="s">
        <v>229</v>
      </c>
      <c r="C35" s="446" t="s">
        <v>1211</v>
      </c>
      <c r="D35" s="445" t="s">
        <v>159</v>
      </c>
      <c r="E35" s="479" t="s">
        <v>1162</v>
      </c>
      <c r="F35" s="475" t="s">
        <v>1964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229</v>
      </c>
      <c r="C36" s="447" t="s">
        <v>1211</v>
      </c>
      <c r="D36" s="443" t="s">
        <v>159</v>
      </c>
      <c r="E36" s="382" t="s">
        <v>1162</v>
      </c>
      <c r="F36" s="477" t="s">
        <v>1209</v>
      </c>
      <c r="G36" s="478">
        <v>0.12999000000000002</v>
      </c>
      <c r="H36" s="478">
        <v>1</v>
      </c>
    </row>
    <row r="37" spans="2:8" hidden="1" outlineLevel="2">
      <c r="B37" s="477" t="s">
        <v>229</v>
      </c>
      <c r="C37" s="447" t="s">
        <v>1211</v>
      </c>
      <c r="D37" s="443" t="s">
        <v>159</v>
      </c>
      <c r="E37" s="382" t="s">
        <v>1162</v>
      </c>
      <c r="F37" s="477" t="s">
        <v>1210</v>
      </c>
      <c r="G37" s="478">
        <v>0.25998000000000004</v>
      </c>
      <c r="H37" s="478">
        <v>1</v>
      </c>
    </row>
    <row r="38" spans="2:8" hidden="1" outlineLevel="2">
      <c r="B38" s="477" t="s">
        <v>229</v>
      </c>
      <c r="C38" s="447" t="s">
        <v>1211</v>
      </c>
      <c r="D38" s="443" t="s">
        <v>159</v>
      </c>
      <c r="E38" s="382" t="s">
        <v>1162</v>
      </c>
      <c r="F38" s="477" t="s">
        <v>1215</v>
      </c>
      <c r="G38" s="478">
        <v>0.19498499999999999</v>
      </c>
      <c r="H38" s="478">
        <v>1</v>
      </c>
    </row>
    <row r="39" spans="2:8" hidden="1" outlineLevel="2">
      <c r="B39" s="477" t="s">
        <v>229</v>
      </c>
      <c r="C39" s="447" t="s">
        <v>1211</v>
      </c>
      <c r="D39" s="443" t="s">
        <v>159</v>
      </c>
      <c r="E39" s="382" t="s">
        <v>1162</v>
      </c>
      <c r="F39" s="477" t="s">
        <v>1216</v>
      </c>
      <c r="G39" s="478">
        <v>0.19498499999999999</v>
      </c>
      <c r="H39" s="478">
        <v>1</v>
      </c>
    </row>
    <row r="40" spans="2:8" hidden="1" outlineLevel="1" collapsed="1">
      <c r="B40" s="475" t="s">
        <v>498</v>
      </c>
      <c r="C40" s="446" t="s">
        <v>1217</v>
      </c>
      <c r="D40" s="445" t="s">
        <v>159</v>
      </c>
      <c r="E40" s="446" t="s">
        <v>1162</v>
      </c>
      <c r="F40" s="475" t="s">
        <v>1965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498</v>
      </c>
      <c r="C41" s="447" t="s">
        <v>1217</v>
      </c>
      <c r="D41" s="443" t="s">
        <v>159</v>
      </c>
      <c r="E41" s="447" t="s">
        <v>1162</v>
      </c>
      <c r="F41" s="468" t="s">
        <v>226</v>
      </c>
      <c r="G41" s="480">
        <v>0.17598400959999999</v>
      </c>
      <c r="H41" s="478">
        <v>1</v>
      </c>
    </row>
    <row r="42" spans="2:8" hidden="1" outlineLevel="2">
      <c r="B42" s="477" t="s">
        <v>498</v>
      </c>
      <c r="C42" s="447" t="s">
        <v>1217</v>
      </c>
      <c r="D42" s="443" t="s">
        <v>159</v>
      </c>
      <c r="E42" s="447" t="s">
        <v>1162</v>
      </c>
      <c r="F42" s="468" t="s">
        <v>36</v>
      </c>
      <c r="G42" s="480">
        <v>0.26397601440000001</v>
      </c>
      <c r="H42" s="478">
        <v>1</v>
      </c>
    </row>
    <row r="43" spans="2:8" hidden="1" outlineLevel="1" collapsed="1">
      <c r="B43" s="475" t="s">
        <v>902</v>
      </c>
      <c r="C43" s="446" t="s">
        <v>1220</v>
      </c>
      <c r="D43" s="445" t="s">
        <v>159</v>
      </c>
      <c r="E43" s="446" t="s">
        <v>1162</v>
      </c>
      <c r="F43" s="475" t="s">
        <v>1966</v>
      </c>
      <c r="G43" s="476">
        <v>1.18</v>
      </c>
      <c r="H43" s="476">
        <f>SUM(H44:H46)</f>
        <v>3</v>
      </c>
    </row>
    <row r="44" spans="2:8" hidden="1" outlineLevel="2">
      <c r="B44" s="477" t="s">
        <v>902</v>
      </c>
      <c r="C44" s="447" t="s">
        <v>1220</v>
      </c>
      <c r="D44" s="443" t="s">
        <v>159</v>
      </c>
      <c r="E44" s="447" t="s">
        <v>1162</v>
      </c>
      <c r="F44" s="477" t="s">
        <v>205</v>
      </c>
      <c r="G44" s="478">
        <v>0.54</v>
      </c>
      <c r="H44" s="478">
        <v>1</v>
      </c>
    </row>
    <row r="45" spans="2:8" hidden="1" outlineLevel="2">
      <c r="B45" s="477" t="s">
        <v>902</v>
      </c>
      <c r="C45" s="447" t="s">
        <v>1220</v>
      </c>
      <c r="D45" s="443" t="s">
        <v>159</v>
      </c>
      <c r="E45" s="447" t="s">
        <v>1162</v>
      </c>
      <c r="F45" s="477" t="s">
        <v>206</v>
      </c>
      <c r="G45" s="478">
        <v>0.43</v>
      </c>
      <c r="H45" s="478">
        <v>1</v>
      </c>
    </row>
    <row r="46" spans="2:8" hidden="1" outlineLevel="2">
      <c r="B46" s="477" t="s">
        <v>902</v>
      </c>
      <c r="C46" s="447" t="s">
        <v>1220</v>
      </c>
      <c r="D46" s="443" t="s">
        <v>159</v>
      </c>
      <c r="E46" s="447" t="s">
        <v>1162</v>
      </c>
      <c r="F46" s="477" t="s">
        <v>208</v>
      </c>
      <c r="G46" s="478">
        <v>0.21</v>
      </c>
      <c r="H46" s="478">
        <v>1</v>
      </c>
    </row>
    <row r="47" spans="2:8" hidden="1" outlineLevel="1" collapsed="1">
      <c r="B47" s="475" t="s">
        <v>1163</v>
      </c>
      <c r="C47" s="446" t="s">
        <v>1163</v>
      </c>
      <c r="D47" s="445" t="s">
        <v>159</v>
      </c>
      <c r="E47" s="481" t="s">
        <v>1162</v>
      </c>
      <c r="F47" s="475" t="s">
        <v>1967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1163</v>
      </c>
      <c r="C48" s="447" t="s">
        <v>1163</v>
      </c>
      <c r="D48" s="443" t="s">
        <v>159</v>
      </c>
      <c r="E48" s="448" t="s">
        <v>1162</v>
      </c>
      <c r="F48" s="482" t="s">
        <v>205</v>
      </c>
      <c r="G48" s="483">
        <v>4.7746000000000013</v>
      </c>
      <c r="H48" s="478">
        <v>1</v>
      </c>
    </row>
    <row r="49" spans="2:8" hidden="1" outlineLevel="2">
      <c r="B49" s="477" t="s">
        <v>1163</v>
      </c>
      <c r="C49" s="447" t="s">
        <v>1163</v>
      </c>
      <c r="D49" s="443" t="s">
        <v>159</v>
      </c>
      <c r="E49" s="448" t="s">
        <v>1162</v>
      </c>
      <c r="F49" s="482" t="s">
        <v>206</v>
      </c>
      <c r="G49" s="483">
        <v>4.3640000000000008</v>
      </c>
      <c r="H49" s="478">
        <v>1</v>
      </c>
    </row>
    <row r="50" spans="2:8" hidden="1" outlineLevel="2">
      <c r="B50" s="477" t="s">
        <v>1163</v>
      </c>
      <c r="C50" s="447" t="s">
        <v>1163</v>
      </c>
      <c r="D50" s="443" t="s">
        <v>159</v>
      </c>
      <c r="E50" s="448" t="s">
        <v>1162</v>
      </c>
      <c r="F50" s="482" t="s">
        <v>208</v>
      </c>
      <c r="G50" s="483">
        <v>2.2846500000000005</v>
      </c>
      <c r="H50" s="478">
        <v>1</v>
      </c>
    </row>
    <row r="51" spans="2:8" hidden="1" outlineLevel="2">
      <c r="B51" s="477" t="s">
        <v>1163</v>
      </c>
      <c r="C51" s="447" t="s">
        <v>1163</v>
      </c>
      <c r="D51" s="443" t="s">
        <v>159</v>
      </c>
      <c r="E51" s="448" t="s">
        <v>1162</v>
      </c>
      <c r="F51" s="482" t="s">
        <v>209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6" collapsed="1">
      <c r="B53" s="470" t="s">
        <v>1169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891</v>
      </c>
      <c r="C55" s="446" t="s">
        <v>1240</v>
      </c>
      <c r="D55" s="445" t="s">
        <v>159</v>
      </c>
      <c r="E55" s="446" t="s">
        <v>1169</v>
      </c>
      <c r="F55" s="475" t="s">
        <v>1969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891</v>
      </c>
      <c r="C56" s="447" t="s">
        <v>1240</v>
      </c>
      <c r="D56" s="443" t="s">
        <v>159</v>
      </c>
      <c r="E56" s="447" t="s">
        <v>1169</v>
      </c>
      <c r="F56" s="477" t="s">
        <v>1716</v>
      </c>
      <c r="G56" s="478">
        <v>0.27</v>
      </c>
      <c r="H56" s="478">
        <v>1</v>
      </c>
    </row>
    <row r="57" spans="2:8" hidden="1" outlineLevel="2">
      <c r="B57" s="477" t="s">
        <v>891</v>
      </c>
      <c r="C57" s="447" t="s">
        <v>1240</v>
      </c>
      <c r="D57" s="443" t="s">
        <v>159</v>
      </c>
      <c r="E57" s="447" t="s">
        <v>1169</v>
      </c>
      <c r="F57" s="477" t="s">
        <v>1718</v>
      </c>
      <c r="G57" s="478">
        <v>4.5377035860000005E-2</v>
      </c>
      <c r="H57" s="478">
        <v>1</v>
      </c>
    </row>
    <row r="58" spans="2:8" hidden="1" outlineLevel="1" collapsed="1">
      <c r="B58" s="475" t="s">
        <v>891</v>
      </c>
      <c r="C58" s="446" t="s">
        <v>1195</v>
      </c>
      <c r="D58" s="445" t="s">
        <v>159</v>
      </c>
      <c r="E58" s="446" t="s">
        <v>1169</v>
      </c>
      <c r="F58" s="475" t="s">
        <v>1969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891</v>
      </c>
      <c r="C59" s="447" t="s">
        <v>1195</v>
      </c>
      <c r="D59" s="443" t="s">
        <v>159</v>
      </c>
      <c r="E59" s="447" t="s">
        <v>1169</v>
      </c>
      <c r="F59" s="477" t="s">
        <v>247</v>
      </c>
      <c r="G59" s="478">
        <v>4.2238262499999998E-2</v>
      </c>
      <c r="H59" s="478">
        <v>1</v>
      </c>
    </row>
    <row r="60" spans="2:8" hidden="1" outlineLevel="2">
      <c r="B60" s="477" t="s">
        <v>891</v>
      </c>
      <c r="C60" s="447" t="s">
        <v>1195</v>
      </c>
      <c r="D60" s="443" t="s">
        <v>159</v>
      </c>
      <c r="E60" s="447" t="s">
        <v>1169</v>
      </c>
      <c r="F60" s="477" t="s">
        <v>251</v>
      </c>
      <c r="G60" s="478">
        <v>3.9416283817853004E-2</v>
      </c>
      <c r="H60" s="478">
        <v>1</v>
      </c>
    </row>
    <row r="61" spans="2:8" hidden="1" outlineLevel="1" collapsed="1">
      <c r="B61" s="475" t="s">
        <v>891</v>
      </c>
      <c r="C61" s="446" t="s">
        <v>1247</v>
      </c>
      <c r="D61" s="445" t="s">
        <v>159</v>
      </c>
      <c r="E61" s="446" t="s">
        <v>1169</v>
      </c>
      <c r="F61" s="475" t="s">
        <v>1969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891</v>
      </c>
      <c r="C62" s="447" t="s">
        <v>1247</v>
      </c>
      <c r="D62" s="443" t="s">
        <v>159</v>
      </c>
      <c r="E62" s="447" t="s">
        <v>1169</v>
      </c>
      <c r="F62" s="468" t="s">
        <v>297</v>
      </c>
      <c r="G62" s="480">
        <v>0.27398366869616486</v>
      </c>
      <c r="H62" s="478">
        <v>1</v>
      </c>
    </row>
    <row r="63" spans="2:8" hidden="1" outlineLevel="2">
      <c r="B63" s="477" t="s">
        <v>891</v>
      </c>
      <c r="C63" s="447" t="s">
        <v>1247</v>
      </c>
      <c r="D63" s="443" t="s">
        <v>159</v>
      </c>
      <c r="E63" s="447" t="s">
        <v>1169</v>
      </c>
      <c r="F63" s="468" t="s">
        <v>206</v>
      </c>
      <c r="G63" s="480">
        <v>0.27398366869616486</v>
      </c>
      <c r="H63" s="478">
        <v>1</v>
      </c>
    </row>
    <row r="64" spans="2:8" hidden="1" outlineLevel="2">
      <c r="B64" s="477" t="s">
        <v>891</v>
      </c>
      <c r="C64" s="447" t="s">
        <v>1247</v>
      </c>
      <c r="D64" s="443" t="s">
        <v>159</v>
      </c>
      <c r="E64" s="447" t="s">
        <v>1169</v>
      </c>
      <c r="F64" s="468" t="s">
        <v>208</v>
      </c>
      <c r="G64" s="480">
        <v>0.13699183434808243</v>
      </c>
      <c r="H64" s="478">
        <v>1</v>
      </c>
    </row>
    <row r="65" spans="2:8" hidden="1" outlineLevel="2">
      <c r="B65" s="477" t="s">
        <v>891</v>
      </c>
      <c r="C65" s="447" t="s">
        <v>1247</v>
      </c>
      <c r="D65" s="443" t="s">
        <v>159</v>
      </c>
      <c r="E65" s="447" t="s">
        <v>1169</v>
      </c>
      <c r="F65" s="468" t="s">
        <v>199</v>
      </c>
      <c r="G65" s="480">
        <v>0.27398366869616486</v>
      </c>
      <c r="H65" s="478">
        <v>1</v>
      </c>
    </row>
    <row r="66" spans="2:8" hidden="1" outlineLevel="2">
      <c r="B66" s="477" t="s">
        <v>891</v>
      </c>
      <c r="C66" s="447" t="s">
        <v>1247</v>
      </c>
      <c r="D66" s="443" t="s">
        <v>159</v>
      </c>
      <c r="E66" s="447" t="s">
        <v>1169</v>
      </c>
      <c r="F66" s="468" t="s">
        <v>1726</v>
      </c>
      <c r="G66" s="480">
        <v>0.36</v>
      </c>
      <c r="H66" s="478">
        <v>1</v>
      </c>
    </row>
    <row r="67" spans="2:8" hidden="1" outlineLevel="2">
      <c r="B67" s="477" t="s">
        <v>891</v>
      </c>
      <c r="C67" s="447" t="s">
        <v>1247</v>
      </c>
      <c r="D67" s="443" t="s">
        <v>159</v>
      </c>
      <c r="E67" s="447" t="s">
        <v>1169</v>
      </c>
      <c r="F67" s="468" t="s">
        <v>1727</v>
      </c>
      <c r="G67" s="480">
        <v>4.3982695586700871E-2</v>
      </c>
      <c r="H67" s="478">
        <v>1</v>
      </c>
    </row>
    <row r="68" spans="2:8" hidden="1" outlineLevel="2">
      <c r="B68" s="477" t="s">
        <v>891</v>
      </c>
      <c r="C68" s="447" t="s">
        <v>1247</v>
      </c>
      <c r="D68" s="443" t="s">
        <v>159</v>
      </c>
      <c r="E68" s="447" t="s">
        <v>1169</v>
      </c>
      <c r="F68" s="468" t="s">
        <v>1728</v>
      </c>
      <c r="G68" s="480">
        <v>4.3982695586700871E-2</v>
      </c>
      <c r="H68" s="478">
        <v>1</v>
      </c>
    </row>
    <row r="69" spans="2:8" hidden="1" outlineLevel="2">
      <c r="B69" s="477" t="s">
        <v>891</v>
      </c>
      <c r="C69" s="447" t="s">
        <v>1247</v>
      </c>
      <c r="D69" s="443" t="s">
        <v>159</v>
      </c>
      <c r="E69" s="447" t="s">
        <v>1169</v>
      </c>
      <c r="F69" s="468" t="s">
        <v>1729</v>
      </c>
      <c r="G69" s="480">
        <v>6.5974043380051306E-2</v>
      </c>
      <c r="H69" s="478">
        <v>1</v>
      </c>
    </row>
    <row r="70" spans="2:8" hidden="1" outlineLevel="2">
      <c r="B70" s="477" t="s">
        <v>891</v>
      </c>
      <c r="C70" s="447" t="s">
        <v>1247</v>
      </c>
      <c r="D70" s="443" t="s">
        <v>159</v>
      </c>
      <c r="E70" s="447" t="s">
        <v>1169</v>
      </c>
      <c r="F70" s="468" t="s">
        <v>1730</v>
      </c>
      <c r="G70" s="480">
        <v>6.5974043380051306E-2</v>
      </c>
      <c r="H70" s="478">
        <v>1</v>
      </c>
    </row>
    <row r="71" spans="2:8" hidden="1" outlineLevel="2">
      <c r="B71" s="477" t="s">
        <v>891</v>
      </c>
      <c r="C71" s="447" t="s">
        <v>1247</v>
      </c>
      <c r="D71" s="443" t="s">
        <v>159</v>
      </c>
      <c r="E71" s="447" t="s">
        <v>1169</v>
      </c>
      <c r="F71" s="468" t="s">
        <v>1731</v>
      </c>
      <c r="G71" s="480">
        <v>6.5974043380051306E-2</v>
      </c>
      <c r="H71" s="478">
        <v>1</v>
      </c>
    </row>
    <row r="72" spans="2:8" hidden="1" outlineLevel="2">
      <c r="B72" s="477" t="s">
        <v>891</v>
      </c>
      <c r="C72" s="447" t="s">
        <v>1247</v>
      </c>
      <c r="D72" s="443" t="s">
        <v>159</v>
      </c>
      <c r="E72" s="447" t="s">
        <v>1169</v>
      </c>
      <c r="F72" s="468" t="s">
        <v>1732</v>
      </c>
      <c r="G72" s="480">
        <v>6.5974043380051306E-2</v>
      </c>
      <c r="H72" s="478">
        <v>1</v>
      </c>
    </row>
    <row r="73" spans="2:8" hidden="1" outlineLevel="2">
      <c r="B73" s="477" t="s">
        <v>891</v>
      </c>
      <c r="C73" s="447" t="s">
        <v>1247</v>
      </c>
      <c r="D73" s="443" t="s">
        <v>159</v>
      </c>
      <c r="E73" s="447" t="s">
        <v>1169</v>
      </c>
      <c r="F73" s="468" t="s">
        <v>1733</v>
      </c>
      <c r="G73" s="480">
        <v>1.466089852890029E-2</v>
      </c>
      <c r="H73" s="478">
        <v>1</v>
      </c>
    </row>
    <row r="74" spans="2:8" hidden="1" outlineLevel="2">
      <c r="B74" s="477" t="s">
        <v>891</v>
      </c>
      <c r="C74" s="447" t="s">
        <v>1247</v>
      </c>
      <c r="D74" s="443" t="s">
        <v>159</v>
      </c>
      <c r="E74" s="447" t="s">
        <v>1169</v>
      </c>
      <c r="F74" s="468" t="s">
        <v>1734</v>
      </c>
      <c r="G74" s="480">
        <v>2.932179705780058E-2</v>
      </c>
      <c r="H74" s="478">
        <v>1</v>
      </c>
    </row>
    <row r="75" spans="2:8" hidden="1" outlineLevel="2">
      <c r="B75" s="477" t="s">
        <v>891</v>
      </c>
      <c r="C75" s="447" t="s">
        <v>1247</v>
      </c>
      <c r="D75" s="443" t="s">
        <v>159</v>
      </c>
      <c r="E75" s="447" t="s">
        <v>1169</v>
      </c>
      <c r="F75" s="468" t="s">
        <v>1735</v>
      </c>
      <c r="G75" s="480">
        <v>4.3982695586700871E-2</v>
      </c>
      <c r="H75" s="478">
        <v>1</v>
      </c>
    </row>
    <row r="76" spans="2:8" hidden="1" outlineLevel="2">
      <c r="B76" s="477" t="s">
        <v>891</v>
      </c>
      <c r="C76" s="447" t="s">
        <v>1247</v>
      </c>
      <c r="D76" s="443" t="s">
        <v>159</v>
      </c>
      <c r="E76" s="447" t="s">
        <v>1169</v>
      </c>
      <c r="F76" s="468" t="s">
        <v>490</v>
      </c>
      <c r="G76" s="480">
        <v>0.05</v>
      </c>
      <c r="H76" s="478">
        <v>1</v>
      </c>
    </row>
    <row r="77" spans="2:8" hidden="1" outlineLevel="1" collapsed="1">
      <c r="B77" s="475" t="s">
        <v>894</v>
      </c>
      <c r="C77" s="446" t="s">
        <v>1265</v>
      </c>
      <c r="D77" s="445" t="s">
        <v>159</v>
      </c>
      <c r="E77" s="446" t="s">
        <v>1169</v>
      </c>
      <c r="F77" s="475" t="s">
        <v>1970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894</v>
      </c>
      <c r="C78" s="447" t="s">
        <v>1265</v>
      </c>
      <c r="D78" s="443" t="s">
        <v>159</v>
      </c>
      <c r="E78" s="447" t="s">
        <v>1169</v>
      </c>
      <c r="F78" s="477" t="s">
        <v>334</v>
      </c>
      <c r="G78" s="478">
        <v>0.17</v>
      </c>
      <c r="H78" s="478">
        <v>1</v>
      </c>
    </row>
    <row r="79" spans="2:8" hidden="1" outlineLevel="2">
      <c r="B79" s="477" t="s">
        <v>894</v>
      </c>
      <c r="C79" s="447" t="s">
        <v>1265</v>
      </c>
      <c r="D79" s="443" t="s">
        <v>159</v>
      </c>
      <c r="E79" s="447" t="s">
        <v>1169</v>
      </c>
      <c r="F79" s="477" t="s">
        <v>335</v>
      </c>
      <c r="G79" s="478">
        <v>0.17</v>
      </c>
      <c r="H79" s="478">
        <v>1</v>
      </c>
    </row>
    <row r="80" spans="2:8" hidden="1" outlineLevel="2">
      <c r="B80" s="477" t="s">
        <v>894</v>
      </c>
      <c r="C80" s="447" t="s">
        <v>1265</v>
      </c>
      <c r="D80" s="443" t="s">
        <v>159</v>
      </c>
      <c r="E80" s="447" t="s">
        <v>1169</v>
      </c>
      <c r="F80" s="477" t="s">
        <v>336</v>
      </c>
      <c r="G80" s="478">
        <v>1.18</v>
      </c>
      <c r="H80" s="478">
        <v>1</v>
      </c>
    </row>
    <row r="81" spans="2:8" hidden="1" outlineLevel="2">
      <c r="B81" s="477" t="s">
        <v>894</v>
      </c>
      <c r="C81" s="447" t="s">
        <v>1265</v>
      </c>
      <c r="D81" s="443" t="s">
        <v>159</v>
      </c>
      <c r="E81" s="447" t="s">
        <v>1169</v>
      </c>
      <c r="F81" s="477" t="s">
        <v>1758</v>
      </c>
      <c r="G81" s="478">
        <v>1.0659000000000001</v>
      </c>
      <c r="H81" s="478">
        <v>1</v>
      </c>
    </row>
    <row r="82" spans="2:8" hidden="1" outlineLevel="2">
      <c r="B82" s="477" t="s">
        <v>894</v>
      </c>
      <c r="C82" s="447" t="s">
        <v>1265</v>
      </c>
      <c r="D82" s="443" t="s">
        <v>159</v>
      </c>
      <c r="E82" s="447" t="s">
        <v>1169</v>
      </c>
      <c r="F82" s="477" t="s">
        <v>337</v>
      </c>
      <c r="G82" s="478">
        <v>0.45</v>
      </c>
      <c r="H82" s="478">
        <v>1</v>
      </c>
    </row>
    <row r="83" spans="2:8" hidden="1" outlineLevel="2">
      <c r="B83" s="477" t="s">
        <v>894</v>
      </c>
      <c r="C83" s="447" t="s">
        <v>1265</v>
      </c>
      <c r="D83" s="443" t="s">
        <v>159</v>
      </c>
      <c r="E83" s="447" t="s">
        <v>1169</v>
      </c>
      <c r="F83" s="477" t="s">
        <v>338</v>
      </c>
      <c r="G83" s="478">
        <v>0.15</v>
      </c>
      <c r="H83" s="478">
        <v>1</v>
      </c>
    </row>
    <row r="84" spans="2:8" hidden="1" outlineLevel="2">
      <c r="B84" s="477" t="s">
        <v>894</v>
      </c>
      <c r="C84" s="447" t="s">
        <v>1265</v>
      </c>
      <c r="D84" s="443" t="s">
        <v>159</v>
      </c>
      <c r="E84" s="447" t="s">
        <v>1169</v>
      </c>
      <c r="F84" s="477" t="s">
        <v>339</v>
      </c>
      <c r="G84" s="478">
        <v>0.15</v>
      </c>
      <c r="H84" s="478">
        <v>1</v>
      </c>
    </row>
    <row r="85" spans="2:8" hidden="1" outlineLevel="2">
      <c r="B85" s="477" t="s">
        <v>894</v>
      </c>
      <c r="C85" s="447" t="s">
        <v>1265</v>
      </c>
      <c r="D85" s="443" t="s">
        <v>159</v>
      </c>
      <c r="E85" s="447" t="s">
        <v>1169</v>
      </c>
      <c r="F85" s="477" t="s">
        <v>340</v>
      </c>
      <c r="G85" s="478">
        <v>0.03</v>
      </c>
      <c r="H85" s="478">
        <v>1</v>
      </c>
    </row>
    <row r="86" spans="2:8" hidden="1" outlineLevel="1" collapsed="1">
      <c r="B86" s="475" t="s">
        <v>469</v>
      </c>
      <c r="C86" s="446" t="s">
        <v>1281</v>
      </c>
      <c r="D86" s="445" t="s">
        <v>159</v>
      </c>
      <c r="E86" s="446" t="s">
        <v>1169</v>
      </c>
      <c r="F86" s="475" t="s">
        <v>1971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469</v>
      </c>
      <c r="C87" s="447" t="s">
        <v>1281</v>
      </c>
      <c r="D87" s="443" t="s">
        <v>159</v>
      </c>
      <c r="E87" s="447" t="s">
        <v>1169</v>
      </c>
      <c r="F87" s="477" t="s">
        <v>1770</v>
      </c>
      <c r="G87" s="478">
        <v>0.2</v>
      </c>
      <c r="H87" s="478">
        <v>1</v>
      </c>
    </row>
    <row r="88" spans="2:8" hidden="1" outlineLevel="2">
      <c r="B88" s="477" t="s">
        <v>469</v>
      </c>
      <c r="C88" s="447" t="s">
        <v>1281</v>
      </c>
      <c r="D88" s="443" t="s">
        <v>159</v>
      </c>
      <c r="E88" s="447" t="s">
        <v>1169</v>
      </c>
      <c r="F88" s="477" t="s">
        <v>1771</v>
      </c>
      <c r="G88" s="478">
        <v>0.41</v>
      </c>
      <c r="H88" s="478">
        <v>1</v>
      </c>
    </row>
    <row r="89" spans="2:8" hidden="1" outlineLevel="2">
      <c r="B89" s="477" t="s">
        <v>469</v>
      </c>
      <c r="C89" s="447" t="s">
        <v>1281</v>
      </c>
      <c r="D89" s="443" t="s">
        <v>159</v>
      </c>
      <c r="E89" s="447" t="s">
        <v>1169</v>
      </c>
      <c r="F89" s="477" t="s">
        <v>1772</v>
      </c>
      <c r="G89" s="478">
        <v>0.61</v>
      </c>
      <c r="H89" s="478">
        <v>1</v>
      </c>
    </row>
    <row r="90" spans="2:8" hidden="1" outlineLevel="2">
      <c r="B90" s="477" t="s">
        <v>469</v>
      </c>
      <c r="C90" s="447" t="s">
        <v>1281</v>
      </c>
      <c r="D90" s="443" t="s">
        <v>159</v>
      </c>
      <c r="E90" s="447" t="s">
        <v>1169</v>
      </c>
      <c r="F90" s="477" t="s">
        <v>1773</v>
      </c>
      <c r="G90" s="478">
        <v>0.82</v>
      </c>
      <c r="H90" s="478">
        <v>1</v>
      </c>
    </row>
    <row r="91" spans="2:8" hidden="1" outlineLevel="2">
      <c r="B91" s="477" t="s">
        <v>469</v>
      </c>
      <c r="C91" s="447" t="s">
        <v>1281</v>
      </c>
      <c r="D91" s="443" t="s">
        <v>159</v>
      </c>
      <c r="E91" s="447" t="s">
        <v>1169</v>
      </c>
      <c r="F91" s="477" t="s">
        <v>1078</v>
      </c>
      <c r="G91" s="478">
        <v>0.48</v>
      </c>
      <c r="H91" s="478">
        <v>1</v>
      </c>
    </row>
    <row r="92" spans="2:8" hidden="1" outlineLevel="2">
      <c r="B92" s="477" t="s">
        <v>469</v>
      </c>
      <c r="C92" s="447" t="s">
        <v>1281</v>
      </c>
      <c r="D92" s="443" t="s">
        <v>159</v>
      </c>
      <c r="E92" s="447" t="s">
        <v>1169</v>
      </c>
      <c r="F92" s="477" t="s">
        <v>1084</v>
      </c>
      <c r="G92" s="478">
        <v>0.9638500000000001</v>
      </c>
      <c r="H92" s="478">
        <v>1</v>
      </c>
    </row>
    <row r="93" spans="2:8" hidden="1" outlineLevel="2">
      <c r="B93" s="477" t="s">
        <v>469</v>
      </c>
      <c r="C93" s="447" t="s">
        <v>1281</v>
      </c>
      <c r="D93" s="443" t="s">
        <v>159</v>
      </c>
      <c r="E93" s="447" t="s">
        <v>1169</v>
      </c>
      <c r="F93" s="477" t="s">
        <v>1774</v>
      </c>
      <c r="G93" s="478">
        <v>0.52</v>
      </c>
      <c r="H93" s="478">
        <v>1</v>
      </c>
    </row>
    <row r="94" spans="2:8" hidden="1" outlineLevel="2">
      <c r="B94" s="477" t="s">
        <v>469</v>
      </c>
      <c r="C94" s="447" t="s">
        <v>1281</v>
      </c>
      <c r="D94" s="443" t="s">
        <v>159</v>
      </c>
      <c r="E94" s="447" t="s">
        <v>1169</v>
      </c>
      <c r="F94" s="477" t="s">
        <v>1775</v>
      </c>
      <c r="G94" s="478">
        <v>0.52</v>
      </c>
      <c r="H94" s="478">
        <v>1</v>
      </c>
    </row>
    <row r="95" spans="2:8" hidden="1" outlineLevel="2">
      <c r="B95" s="477" t="s">
        <v>469</v>
      </c>
      <c r="C95" s="447" t="s">
        <v>1281</v>
      </c>
      <c r="D95" s="443" t="s">
        <v>159</v>
      </c>
      <c r="E95" s="447" t="s">
        <v>1169</v>
      </c>
      <c r="F95" s="477" t="s">
        <v>1776</v>
      </c>
      <c r="G95" s="478">
        <v>0.52</v>
      </c>
      <c r="H95" s="478">
        <v>1</v>
      </c>
    </row>
    <row r="96" spans="2:8" hidden="1" outlineLevel="2">
      <c r="B96" s="477" t="s">
        <v>469</v>
      </c>
      <c r="C96" s="447" t="s">
        <v>1281</v>
      </c>
      <c r="D96" s="443" t="s">
        <v>159</v>
      </c>
      <c r="E96" s="447" t="s">
        <v>1169</v>
      </c>
      <c r="F96" s="477" t="s">
        <v>244</v>
      </c>
      <c r="G96" s="478">
        <v>0.17</v>
      </c>
      <c r="H96" s="478">
        <v>1</v>
      </c>
    </row>
    <row r="97" spans="2:8" hidden="1" outlineLevel="2">
      <c r="B97" s="477" t="s">
        <v>469</v>
      </c>
      <c r="C97" s="447" t="s">
        <v>1281</v>
      </c>
      <c r="D97" s="443" t="s">
        <v>159</v>
      </c>
      <c r="E97" s="447" t="s">
        <v>1169</v>
      </c>
      <c r="F97" s="477" t="s">
        <v>544</v>
      </c>
      <c r="G97" s="478">
        <v>0.48</v>
      </c>
      <c r="H97" s="478">
        <v>1</v>
      </c>
    </row>
    <row r="98" spans="2:8" hidden="1" outlineLevel="2">
      <c r="B98" s="477" t="s">
        <v>469</v>
      </c>
      <c r="C98" s="447" t="s">
        <v>1281</v>
      </c>
      <c r="D98" s="443" t="s">
        <v>159</v>
      </c>
      <c r="E98" s="447" t="s">
        <v>1169</v>
      </c>
      <c r="F98" s="477" t="s">
        <v>545</v>
      </c>
      <c r="G98" s="478">
        <v>0.24</v>
      </c>
      <c r="H98" s="478">
        <v>1</v>
      </c>
    </row>
    <row r="99" spans="2:8" hidden="1" outlineLevel="2">
      <c r="B99" s="477" t="s">
        <v>469</v>
      </c>
      <c r="C99" s="447" t="s">
        <v>1281</v>
      </c>
      <c r="D99" s="443" t="s">
        <v>159</v>
      </c>
      <c r="E99" s="447" t="s">
        <v>1169</v>
      </c>
      <c r="F99" s="477" t="s">
        <v>1089</v>
      </c>
      <c r="G99" s="478">
        <v>0.96</v>
      </c>
      <c r="H99" s="478">
        <v>1</v>
      </c>
    </row>
    <row r="100" spans="2:8" hidden="1" outlineLevel="2">
      <c r="B100" s="477" t="s">
        <v>469</v>
      </c>
      <c r="C100" s="447" t="s">
        <v>1281</v>
      </c>
      <c r="D100" s="443" t="s">
        <v>159</v>
      </c>
      <c r="E100" s="447" t="s">
        <v>1169</v>
      </c>
      <c r="F100" s="477" t="s">
        <v>860</v>
      </c>
      <c r="G100" s="478">
        <v>0.03</v>
      </c>
      <c r="H100" s="478">
        <v>1</v>
      </c>
    </row>
    <row r="101" spans="2:8" hidden="1" outlineLevel="2">
      <c r="B101" s="477" t="s">
        <v>469</v>
      </c>
      <c r="C101" s="447" t="s">
        <v>1281</v>
      </c>
      <c r="D101" s="443" t="s">
        <v>159</v>
      </c>
      <c r="E101" s="447" t="s">
        <v>1169</v>
      </c>
      <c r="F101" s="477" t="s">
        <v>221</v>
      </c>
      <c r="G101" s="478">
        <v>0.03</v>
      </c>
      <c r="H101" s="478">
        <v>1</v>
      </c>
    </row>
    <row r="102" spans="2:8" hidden="1" outlineLevel="2">
      <c r="B102" s="477" t="s">
        <v>469</v>
      </c>
      <c r="C102" s="447" t="s">
        <v>1281</v>
      </c>
      <c r="D102" s="443" t="s">
        <v>159</v>
      </c>
      <c r="E102" s="447" t="s">
        <v>1169</v>
      </c>
      <c r="F102" s="477" t="s">
        <v>245</v>
      </c>
      <c r="G102" s="478">
        <v>1.4999999999999999E-2</v>
      </c>
      <c r="H102" s="478">
        <v>1</v>
      </c>
    </row>
    <row r="103" spans="2:8" hidden="1" outlineLevel="2">
      <c r="B103" s="477" t="s">
        <v>469</v>
      </c>
      <c r="C103" s="447" t="s">
        <v>1281</v>
      </c>
      <c r="D103" s="443" t="s">
        <v>159</v>
      </c>
      <c r="E103" s="447" t="s">
        <v>1169</v>
      </c>
      <c r="F103" s="477" t="s">
        <v>283</v>
      </c>
      <c r="G103" s="478">
        <v>1.4999999999999999E-2</v>
      </c>
      <c r="H103" s="478">
        <v>1</v>
      </c>
    </row>
    <row r="104" spans="2:8" hidden="1" outlineLevel="2">
      <c r="B104" s="477" t="s">
        <v>469</v>
      </c>
      <c r="C104" s="447" t="s">
        <v>1281</v>
      </c>
      <c r="D104" s="443" t="s">
        <v>159</v>
      </c>
      <c r="E104" s="447" t="s">
        <v>1169</v>
      </c>
      <c r="F104" s="477" t="s">
        <v>543</v>
      </c>
      <c r="G104" s="478">
        <v>0.1</v>
      </c>
      <c r="H104" s="478">
        <v>1</v>
      </c>
    </row>
    <row r="105" spans="2:8" hidden="1" outlineLevel="1">
      <c r="B105" s="475" t="s">
        <v>1170</v>
      </c>
      <c r="C105" s="446" t="s">
        <v>1170</v>
      </c>
      <c r="D105" s="445" t="s">
        <v>159</v>
      </c>
      <c r="E105" s="446" t="s">
        <v>1169</v>
      </c>
      <c r="F105" s="475" t="s">
        <v>1972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6" collapsed="1">
      <c r="B107" s="470" t="s">
        <v>664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893</v>
      </c>
      <c r="C109" s="446" t="s">
        <v>1351</v>
      </c>
      <c r="D109" s="445" t="s">
        <v>159</v>
      </c>
      <c r="E109" s="446" t="s">
        <v>664</v>
      </c>
      <c r="F109" s="475" t="s">
        <v>1973</v>
      </c>
      <c r="G109" s="476">
        <v>0.3642147722995997</v>
      </c>
      <c r="H109" s="476">
        <v>3</v>
      </c>
    </row>
    <row r="110" spans="2:8" hidden="1" outlineLevel="2">
      <c r="B110" s="477" t="s">
        <v>893</v>
      </c>
      <c r="C110" s="447" t="s">
        <v>1351</v>
      </c>
      <c r="D110" s="443" t="s">
        <v>159</v>
      </c>
      <c r="E110" s="447" t="s">
        <v>664</v>
      </c>
      <c r="F110" s="477" t="s">
        <v>246</v>
      </c>
      <c r="G110" s="480">
        <v>0.13658053961234987</v>
      </c>
      <c r="H110" s="478">
        <v>1</v>
      </c>
    </row>
    <row r="111" spans="2:8" hidden="1" outlineLevel="2">
      <c r="B111" s="477" t="s">
        <v>893</v>
      </c>
      <c r="C111" s="447" t="s">
        <v>1351</v>
      </c>
      <c r="D111" s="443" t="s">
        <v>159</v>
      </c>
      <c r="E111" s="447" t="s">
        <v>664</v>
      </c>
      <c r="F111" s="477" t="s">
        <v>247</v>
      </c>
      <c r="G111" s="480">
        <v>0.18210738614979985</v>
      </c>
      <c r="H111" s="478">
        <v>1</v>
      </c>
    </row>
    <row r="112" spans="2:8" hidden="1" outlineLevel="2">
      <c r="B112" s="477" t="s">
        <v>893</v>
      </c>
      <c r="C112" s="447" t="s">
        <v>1351</v>
      </c>
      <c r="D112" s="443" t="s">
        <v>159</v>
      </c>
      <c r="E112" s="447" t="s">
        <v>664</v>
      </c>
      <c r="F112" s="477" t="s">
        <v>248</v>
      </c>
      <c r="G112" s="480">
        <v>4.5526846537449962E-2</v>
      </c>
      <c r="H112" s="478">
        <v>1</v>
      </c>
    </row>
    <row r="113" spans="2:8" hidden="1" outlineLevel="1" collapsed="1">
      <c r="B113" s="475" t="s">
        <v>497</v>
      </c>
      <c r="C113" s="446" t="s">
        <v>1371</v>
      </c>
      <c r="D113" s="445" t="s">
        <v>159</v>
      </c>
      <c r="E113" s="446" t="s">
        <v>664</v>
      </c>
      <c r="F113" s="475" t="s">
        <v>1974</v>
      </c>
      <c r="G113" s="476">
        <v>1.6099999999999999</v>
      </c>
      <c r="H113" s="476">
        <v>3</v>
      </c>
    </row>
    <row r="114" spans="2:8" hidden="1" outlineLevel="2">
      <c r="B114" s="477" t="s">
        <v>497</v>
      </c>
      <c r="C114" s="447" t="s">
        <v>1371</v>
      </c>
      <c r="D114" s="443" t="s">
        <v>159</v>
      </c>
      <c r="E114" s="447" t="s">
        <v>664</v>
      </c>
      <c r="F114" s="477" t="s">
        <v>226</v>
      </c>
      <c r="G114" s="480">
        <v>0.46</v>
      </c>
      <c r="H114" s="478">
        <v>1</v>
      </c>
    </row>
    <row r="115" spans="2:8" hidden="1" outlineLevel="2">
      <c r="B115" s="477" t="s">
        <v>497</v>
      </c>
      <c r="C115" s="447" t="s">
        <v>1371</v>
      </c>
      <c r="D115" s="443" t="s">
        <v>159</v>
      </c>
      <c r="E115" s="447" t="s">
        <v>664</v>
      </c>
      <c r="F115" s="477" t="s">
        <v>36</v>
      </c>
      <c r="G115" s="480">
        <v>0.69</v>
      </c>
      <c r="H115" s="478">
        <v>1</v>
      </c>
    </row>
    <row r="116" spans="2:8" hidden="1" outlineLevel="2">
      <c r="B116" s="477" t="s">
        <v>497</v>
      </c>
      <c r="C116" s="447" t="s">
        <v>1371</v>
      </c>
      <c r="D116" s="443" t="s">
        <v>159</v>
      </c>
      <c r="E116" s="447" t="s">
        <v>664</v>
      </c>
      <c r="F116" s="477" t="s">
        <v>208</v>
      </c>
      <c r="G116" s="480">
        <v>0.46</v>
      </c>
      <c r="H116" s="478">
        <v>1</v>
      </c>
    </row>
    <row r="117" spans="2:8" hidden="1" outlineLevel="1" collapsed="1">
      <c r="B117" s="475" t="s">
        <v>964</v>
      </c>
      <c r="C117" s="446" t="s">
        <v>1247</v>
      </c>
      <c r="D117" s="445" t="s">
        <v>159</v>
      </c>
      <c r="E117" s="446" t="s">
        <v>664</v>
      </c>
      <c r="F117" s="475" t="s">
        <v>1975</v>
      </c>
      <c r="G117" s="476">
        <v>0.61820000000000008</v>
      </c>
      <c r="H117" s="476">
        <v>3</v>
      </c>
    </row>
    <row r="118" spans="2:8" hidden="1" outlineLevel="2">
      <c r="B118" s="477" t="s">
        <v>964</v>
      </c>
      <c r="C118" s="447" t="s">
        <v>1247</v>
      </c>
      <c r="D118" s="443" t="s">
        <v>159</v>
      </c>
      <c r="E118" s="447" t="s">
        <v>664</v>
      </c>
      <c r="F118" s="477" t="s">
        <v>205</v>
      </c>
      <c r="G118" s="480">
        <v>0.24728000000000006</v>
      </c>
      <c r="H118" s="478">
        <v>1</v>
      </c>
    </row>
    <row r="119" spans="2:8" hidden="1" outlineLevel="2">
      <c r="B119" s="477" t="s">
        <v>964</v>
      </c>
      <c r="C119" s="447" t="s">
        <v>1247</v>
      </c>
      <c r="D119" s="443" t="s">
        <v>159</v>
      </c>
      <c r="E119" s="447" t="s">
        <v>664</v>
      </c>
      <c r="F119" s="477" t="s">
        <v>206</v>
      </c>
      <c r="G119" s="480">
        <v>0.24728000000000006</v>
      </c>
      <c r="H119" s="478">
        <v>1</v>
      </c>
    </row>
    <row r="120" spans="2:8" hidden="1" outlineLevel="2">
      <c r="B120" s="477" t="s">
        <v>964</v>
      </c>
      <c r="C120" s="447" t="s">
        <v>1247</v>
      </c>
      <c r="D120" s="443" t="s">
        <v>159</v>
      </c>
      <c r="E120" s="447" t="s">
        <v>664</v>
      </c>
      <c r="F120" s="477" t="s">
        <v>208</v>
      </c>
      <c r="G120" s="480">
        <v>0.12364000000000003</v>
      </c>
      <c r="H120" s="478">
        <v>1</v>
      </c>
    </row>
    <row r="121" spans="2:8" hidden="1" outlineLevel="1" collapsed="1">
      <c r="B121" s="475" t="s">
        <v>1164</v>
      </c>
      <c r="C121" s="446" t="s">
        <v>1164</v>
      </c>
      <c r="D121" s="445" t="s">
        <v>159</v>
      </c>
      <c r="E121" s="446" t="s">
        <v>664</v>
      </c>
      <c r="F121" s="475" t="s">
        <v>1976</v>
      </c>
      <c r="G121" s="476">
        <v>3.6843765000000004</v>
      </c>
      <c r="H121" s="476">
        <v>3</v>
      </c>
    </row>
    <row r="122" spans="2:8" hidden="1" outlineLevel="2">
      <c r="B122" s="477" t="s">
        <v>1164</v>
      </c>
      <c r="C122" s="447" t="s">
        <v>1164</v>
      </c>
      <c r="D122" s="443" t="s">
        <v>159</v>
      </c>
      <c r="E122" s="447" t="s">
        <v>664</v>
      </c>
      <c r="F122" s="477" t="s">
        <v>205</v>
      </c>
      <c r="G122" s="483">
        <v>1.2281255000000002</v>
      </c>
      <c r="H122" s="478">
        <v>1</v>
      </c>
    </row>
    <row r="123" spans="2:8" hidden="1" outlineLevel="2">
      <c r="B123" s="477" t="s">
        <v>1164</v>
      </c>
      <c r="C123" s="447" t="s">
        <v>1164</v>
      </c>
      <c r="D123" s="443" t="s">
        <v>159</v>
      </c>
      <c r="E123" s="447" t="s">
        <v>664</v>
      </c>
      <c r="F123" s="477" t="s">
        <v>206</v>
      </c>
      <c r="G123" s="483">
        <v>1.2281255000000002</v>
      </c>
      <c r="H123" s="478">
        <v>1</v>
      </c>
    </row>
    <row r="124" spans="2:8" hidden="1" outlineLevel="2">
      <c r="B124" s="477" t="s">
        <v>1164</v>
      </c>
      <c r="C124" s="447" t="s">
        <v>1164</v>
      </c>
      <c r="D124" s="443" t="s">
        <v>159</v>
      </c>
      <c r="E124" s="447" t="s">
        <v>664</v>
      </c>
      <c r="F124" s="477" t="s">
        <v>208</v>
      </c>
      <c r="G124" s="483">
        <v>1.2281255</v>
      </c>
      <c r="H124" s="478">
        <v>1</v>
      </c>
    </row>
    <row r="125" spans="2:8" hidden="1" outlineLevel="1" collapsed="1">
      <c r="B125" s="475" t="s">
        <v>973</v>
      </c>
      <c r="C125" s="446" t="s">
        <v>973</v>
      </c>
      <c r="D125" s="445" t="s">
        <v>159</v>
      </c>
      <c r="E125" s="446" t="s">
        <v>664</v>
      </c>
      <c r="F125" s="475" t="s">
        <v>1977</v>
      </c>
      <c r="G125" s="476">
        <v>2.7524999999999999</v>
      </c>
      <c r="H125" s="476">
        <v>6</v>
      </c>
    </row>
    <row r="126" spans="2:8" hidden="1" outlineLevel="2">
      <c r="B126" s="477" t="s">
        <v>973</v>
      </c>
      <c r="C126" s="447" t="s">
        <v>973</v>
      </c>
      <c r="D126" s="443" t="s">
        <v>1166</v>
      </c>
      <c r="E126" s="447" t="s">
        <v>664</v>
      </c>
      <c r="F126" s="477" t="s">
        <v>374</v>
      </c>
      <c r="G126" s="480">
        <v>0.33750000000000002</v>
      </c>
      <c r="H126" s="478">
        <v>1</v>
      </c>
    </row>
    <row r="127" spans="2:8" hidden="1" outlineLevel="2">
      <c r="B127" s="477" t="s">
        <v>973</v>
      </c>
      <c r="C127" s="447" t="s">
        <v>973</v>
      </c>
      <c r="D127" s="443" t="s">
        <v>1166</v>
      </c>
      <c r="E127" s="447" t="s">
        <v>664</v>
      </c>
      <c r="F127" s="477" t="s">
        <v>206</v>
      </c>
      <c r="G127" s="480">
        <v>0.58000000000000007</v>
      </c>
      <c r="H127" s="478">
        <v>1</v>
      </c>
    </row>
    <row r="128" spans="2:8" hidden="1" outlineLevel="2">
      <c r="B128" s="477" t="s">
        <v>973</v>
      </c>
      <c r="C128" s="447" t="s">
        <v>973</v>
      </c>
      <c r="D128" s="443" t="s">
        <v>1166</v>
      </c>
      <c r="E128" s="447" t="s">
        <v>664</v>
      </c>
      <c r="F128" s="477" t="s">
        <v>1337</v>
      </c>
      <c r="G128" s="480">
        <v>0.58000000000000007</v>
      </c>
      <c r="H128" s="478">
        <v>1</v>
      </c>
    </row>
    <row r="129" spans="2:8" hidden="1" outlineLevel="2">
      <c r="B129" s="477" t="s">
        <v>973</v>
      </c>
      <c r="C129" s="447" t="s">
        <v>973</v>
      </c>
      <c r="D129" s="443" t="s">
        <v>1166</v>
      </c>
      <c r="E129" s="447" t="s">
        <v>664</v>
      </c>
      <c r="F129" s="477" t="s">
        <v>1879</v>
      </c>
      <c r="G129" s="480">
        <v>0.58000000000000007</v>
      </c>
      <c r="H129" s="478">
        <v>1</v>
      </c>
    </row>
    <row r="130" spans="2:8" hidden="1" outlineLevel="2">
      <c r="B130" s="477" t="s">
        <v>973</v>
      </c>
      <c r="C130" s="447" t="s">
        <v>973</v>
      </c>
      <c r="D130" s="443" t="s">
        <v>1166</v>
      </c>
      <c r="E130" s="447" t="s">
        <v>664</v>
      </c>
      <c r="F130" s="477" t="s">
        <v>198</v>
      </c>
      <c r="G130" s="480">
        <v>0.33750000000000002</v>
      </c>
      <c r="H130" s="478">
        <v>1</v>
      </c>
    </row>
    <row r="131" spans="2:8" hidden="1" outlineLevel="2">
      <c r="B131" s="477" t="s">
        <v>973</v>
      </c>
      <c r="C131" s="447" t="s">
        <v>973</v>
      </c>
      <c r="D131" s="443" t="s">
        <v>1166</v>
      </c>
      <c r="E131" s="447" t="s">
        <v>664</v>
      </c>
      <c r="F131" s="477" t="s">
        <v>1955</v>
      </c>
      <c r="G131" s="480">
        <v>0.33750000000000002</v>
      </c>
      <c r="H131" s="478">
        <v>1</v>
      </c>
    </row>
    <row r="132" spans="2:8" hidden="1" outlineLevel="1" collapsed="1">
      <c r="B132" s="475" t="s">
        <v>1165</v>
      </c>
      <c r="C132" s="446" t="s">
        <v>1165</v>
      </c>
      <c r="D132" s="445" t="s">
        <v>159</v>
      </c>
      <c r="E132" s="446" t="s">
        <v>664</v>
      </c>
      <c r="F132" s="475" t="s">
        <v>1978</v>
      </c>
      <c r="G132" s="476">
        <v>11.053129500000001</v>
      </c>
      <c r="H132" s="476">
        <v>3</v>
      </c>
    </row>
    <row r="133" spans="2:8" hidden="1" outlineLevel="2">
      <c r="B133" s="477" t="s">
        <v>1165</v>
      </c>
      <c r="C133" s="447" t="s">
        <v>1165</v>
      </c>
      <c r="D133" s="443" t="s">
        <v>159</v>
      </c>
      <c r="E133" s="447" t="s">
        <v>664</v>
      </c>
      <c r="F133" s="477" t="s">
        <v>205</v>
      </c>
      <c r="G133" s="483">
        <v>3.6843765000000008</v>
      </c>
      <c r="H133" s="478">
        <v>1</v>
      </c>
    </row>
    <row r="134" spans="2:8" hidden="1" outlineLevel="2">
      <c r="B134" s="477" t="s">
        <v>1165</v>
      </c>
      <c r="C134" s="447" t="s">
        <v>1165</v>
      </c>
      <c r="D134" s="443" t="s">
        <v>159</v>
      </c>
      <c r="E134" s="447" t="s">
        <v>664</v>
      </c>
      <c r="F134" s="477" t="s">
        <v>206</v>
      </c>
      <c r="G134" s="483">
        <v>3.6843765000000008</v>
      </c>
      <c r="H134" s="478">
        <v>1</v>
      </c>
    </row>
    <row r="135" spans="2:8" hidden="1" outlineLevel="2">
      <c r="B135" s="477" t="s">
        <v>1165</v>
      </c>
      <c r="C135" s="447" t="s">
        <v>1165</v>
      </c>
      <c r="D135" s="443" t="s">
        <v>159</v>
      </c>
      <c r="E135" s="447" t="s">
        <v>664</v>
      </c>
      <c r="F135" s="477" t="s">
        <v>208</v>
      </c>
      <c r="G135" s="483">
        <v>3.6843764999999999</v>
      </c>
      <c r="H135" s="478">
        <v>1</v>
      </c>
    </row>
    <row r="136" spans="2:8" hidden="1" outlineLevel="1" collapsed="1">
      <c r="B136" s="475" t="s">
        <v>369</v>
      </c>
      <c r="C136" s="446" t="s">
        <v>843</v>
      </c>
      <c r="D136" s="445" t="s">
        <v>159</v>
      </c>
      <c r="E136" s="446" t="s">
        <v>664</v>
      </c>
      <c r="F136" s="475" t="s">
        <v>1979</v>
      </c>
      <c r="G136" s="476">
        <v>3.35</v>
      </c>
      <c r="H136" s="476">
        <v>3</v>
      </c>
    </row>
    <row r="137" spans="2:8" hidden="1" outlineLevel="2">
      <c r="B137" s="477" t="s">
        <v>369</v>
      </c>
      <c r="C137" s="447" t="s">
        <v>843</v>
      </c>
      <c r="D137" s="443" t="s">
        <v>159</v>
      </c>
      <c r="E137" s="447" t="s">
        <v>664</v>
      </c>
      <c r="F137" s="477" t="s">
        <v>370</v>
      </c>
      <c r="G137" s="480">
        <v>1.34</v>
      </c>
      <c r="H137" s="478">
        <v>1</v>
      </c>
    </row>
    <row r="138" spans="2:8" hidden="1" outlineLevel="2">
      <c r="B138" s="477" t="s">
        <v>369</v>
      </c>
      <c r="C138" s="447" t="s">
        <v>843</v>
      </c>
      <c r="D138" s="443" t="s">
        <v>159</v>
      </c>
      <c r="E138" s="447" t="s">
        <v>664</v>
      </c>
      <c r="F138" s="477" t="s">
        <v>230</v>
      </c>
      <c r="G138" s="480">
        <v>1.34</v>
      </c>
      <c r="H138" s="478">
        <v>1</v>
      </c>
    </row>
    <row r="139" spans="2:8" hidden="1" outlineLevel="2">
      <c r="B139" s="477" t="s">
        <v>369</v>
      </c>
      <c r="C139" s="447" t="s">
        <v>843</v>
      </c>
      <c r="D139" s="443" t="s">
        <v>159</v>
      </c>
      <c r="E139" s="447" t="s">
        <v>664</v>
      </c>
      <c r="F139" s="477" t="s">
        <v>208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6" collapsed="1">
      <c r="B141" s="470" t="s">
        <v>1007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162</v>
      </c>
      <c r="C143" s="446" t="s">
        <v>162</v>
      </c>
      <c r="D143" s="445" t="s">
        <v>159</v>
      </c>
      <c r="E143" s="446" t="s">
        <v>1007</v>
      </c>
      <c r="F143" s="475" t="s">
        <v>1980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162</v>
      </c>
      <c r="C144" s="447" t="s">
        <v>162</v>
      </c>
      <c r="D144" s="443" t="s">
        <v>159</v>
      </c>
      <c r="E144" s="447" t="s">
        <v>1007</v>
      </c>
      <c r="F144" s="477" t="s">
        <v>245</v>
      </c>
      <c r="G144" s="478">
        <v>0.1547754763030085</v>
      </c>
      <c r="H144" s="478">
        <v>1</v>
      </c>
    </row>
    <row r="145" spans="2:8" hidden="1" outlineLevel="2">
      <c r="B145" s="373" t="s">
        <v>162</v>
      </c>
      <c r="C145" s="447" t="s">
        <v>162</v>
      </c>
      <c r="D145" s="443" t="s">
        <v>159</v>
      </c>
      <c r="E145" s="447" t="s">
        <v>1007</v>
      </c>
      <c r="F145" s="477" t="s">
        <v>283</v>
      </c>
      <c r="G145" s="478">
        <v>0.1547754763030085</v>
      </c>
      <c r="H145" s="478">
        <v>1</v>
      </c>
    </row>
    <row r="146" spans="2:8" hidden="1" outlineLevel="1" collapsed="1">
      <c r="B146" s="390" t="s">
        <v>252</v>
      </c>
      <c r="C146" s="446" t="s">
        <v>252</v>
      </c>
      <c r="D146" s="445" t="s">
        <v>159</v>
      </c>
      <c r="E146" s="446" t="s">
        <v>1007</v>
      </c>
      <c r="F146" s="475" t="s">
        <v>1981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252</v>
      </c>
      <c r="C147" s="447" t="s">
        <v>252</v>
      </c>
      <c r="D147" s="443" t="s">
        <v>159</v>
      </c>
      <c r="E147" s="447" t="s">
        <v>1007</v>
      </c>
      <c r="F147" s="468" t="s">
        <v>75</v>
      </c>
      <c r="G147" s="480">
        <v>0.22115071539599998</v>
      </c>
      <c r="H147" s="478">
        <v>1</v>
      </c>
    </row>
    <row r="148" spans="2:8" hidden="1" outlineLevel="2">
      <c r="B148" s="373" t="s">
        <v>252</v>
      </c>
      <c r="C148" s="447" t="s">
        <v>252</v>
      </c>
      <c r="D148" s="443" t="s">
        <v>159</v>
      </c>
      <c r="E148" s="447" t="s">
        <v>1007</v>
      </c>
      <c r="F148" s="468" t="s">
        <v>1246</v>
      </c>
      <c r="G148" s="480">
        <v>7.3716905132000007E-2</v>
      </c>
      <c r="H148" s="478">
        <v>1</v>
      </c>
    </row>
    <row r="149" spans="2:8" hidden="1" outlineLevel="2">
      <c r="B149" s="373" t="s">
        <v>252</v>
      </c>
      <c r="C149" s="447" t="s">
        <v>252</v>
      </c>
      <c r="D149" s="443" t="s">
        <v>159</v>
      </c>
      <c r="E149" s="447" t="s">
        <v>1007</v>
      </c>
      <c r="F149" s="468" t="s">
        <v>1321</v>
      </c>
      <c r="G149" s="480">
        <v>7.3716905132000007E-2</v>
      </c>
      <c r="H149" s="478">
        <v>1</v>
      </c>
    </row>
    <row r="150" spans="2:8" hidden="1" outlineLevel="2">
      <c r="B150" s="373" t="s">
        <v>252</v>
      </c>
      <c r="C150" s="447" t="s">
        <v>252</v>
      </c>
      <c r="D150" s="443" t="s">
        <v>159</v>
      </c>
      <c r="E150" s="447" t="s">
        <v>1007</v>
      </c>
      <c r="F150" s="468" t="s">
        <v>1322</v>
      </c>
      <c r="G150" s="480">
        <v>6.4031962499999998E-2</v>
      </c>
      <c r="H150" s="478">
        <v>1</v>
      </c>
    </row>
    <row r="151" spans="2:8" hidden="1" outlineLevel="2">
      <c r="B151" s="373" t="s">
        <v>252</v>
      </c>
      <c r="C151" s="447" t="s">
        <v>252</v>
      </c>
      <c r="D151" s="443" t="s">
        <v>159</v>
      </c>
      <c r="E151" s="447" t="s">
        <v>1007</v>
      </c>
      <c r="F151" s="468" t="s">
        <v>1323</v>
      </c>
      <c r="G151" s="480">
        <v>0.54994955184000005</v>
      </c>
      <c r="H151" s="478">
        <v>1</v>
      </c>
    </row>
    <row r="152" spans="2:8" hidden="1" outlineLevel="2">
      <c r="B152" s="373" t="s">
        <v>252</v>
      </c>
      <c r="C152" s="447" t="s">
        <v>252</v>
      </c>
      <c r="D152" s="443" t="s">
        <v>159</v>
      </c>
      <c r="E152" s="447" t="s">
        <v>1007</v>
      </c>
      <c r="F152" s="468" t="s">
        <v>1324</v>
      </c>
      <c r="G152" s="480">
        <v>0.27497477592000003</v>
      </c>
      <c r="H152" s="478">
        <v>1</v>
      </c>
    </row>
    <row r="153" spans="2:8" hidden="1" outlineLevel="2">
      <c r="B153" s="373" t="s">
        <v>252</v>
      </c>
      <c r="C153" s="447" t="s">
        <v>252</v>
      </c>
      <c r="D153" s="443" t="s">
        <v>159</v>
      </c>
      <c r="E153" s="447" t="s">
        <v>1007</v>
      </c>
      <c r="F153" s="468" t="s">
        <v>1325</v>
      </c>
      <c r="G153" s="480">
        <v>2.2352362560000003</v>
      </c>
      <c r="H153" s="478">
        <v>1</v>
      </c>
    </row>
    <row r="154" spans="2:8" hidden="1" outlineLevel="2">
      <c r="B154" s="373" t="s">
        <v>252</v>
      </c>
      <c r="C154" s="447" t="s">
        <v>252</v>
      </c>
      <c r="D154" s="443" t="s">
        <v>159</v>
      </c>
      <c r="E154" s="447" t="s">
        <v>1007</v>
      </c>
      <c r="F154" s="468" t="s">
        <v>1326</v>
      </c>
      <c r="G154" s="480">
        <v>2.2352362560000003</v>
      </c>
      <c r="H154" s="478">
        <v>1</v>
      </c>
    </row>
    <row r="155" spans="2:8" hidden="1" outlineLevel="2">
      <c r="B155" s="373" t="s">
        <v>252</v>
      </c>
      <c r="C155" s="447" t="s">
        <v>252</v>
      </c>
      <c r="D155" s="443" t="s">
        <v>159</v>
      </c>
      <c r="E155" s="447" t="s">
        <v>1007</v>
      </c>
      <c r="F155" s="468" t="s">
        <v>1313</v>
      </c>
      <c r="G155" s="480">
        <v>0.1125</v>
      </c>
      <c r="H155" s="478">
        <v>1</v>
      </c>
    </row>
    <row r="156" spans="2:8" hidden="1" outlineLevel="2">
      <c r="B156" s="373" t="s">
        <v>252</v>
      </c>
      <c r="C156" s="447" t="s">
        <v>252</v>
      </c>
      <c r="D156" s="443" t="s">
        <v>159</v>
      </c>
      <c r="E156" s="447" t="s">
        <v>1007</v>
      </c>
      <c r="F156" s="468" t="s">
        <v>1328</v>
      </c>
      <c r="G156" s="480">
        <v>3.7499999999999999E-2</v>
      </c>
      <c r="H156" s="478">
        <v>1</v>
      </c>
    </row>
    <row r="157" spans="2:8" hidden="1" outlineLevel="1" collapsed="1">
      <c r="B157" s="390" t="s">
        <v>903</v>
      </c>
      <c r="C157" s="446" t="s">
        <v>903</v>
      </c>
      <c r="D157" s="445" t="s">
        <v>159</v>
      </c>
      <c r="E157" s="446" t="s">
        <v>1007</v>
      </c>
      <c r="F157" s="475" t="s">
        <v>1982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903</v>
      </c>
      <c r="C158" s="447" t="s">
        <v>903</v>
      </c>
      <c r="D158" s="443" t="s">
        <v>159</v>
      </c>
      <c r="E158" s="447" t="s">
        <v>1007</v>
      </c>
      <c r="F158" s="468" t="s">
        <v>242</v>
      </c>
      <c r="G158" s="480">
        <v>0.25575333042562204</v>
      </c>
      <c r="H158" s="478">
        <v>1</v>
      </c>
    </row>
    <row r="159" spans="2:8" hidden="1" outlineLevel="2">
      <c r="B159" s="373" t="s">
        <v>903</v>
      </c>
      <c r="C159" s="447" t="s">
        <v>903</v>
      </c>
      <c r="D159" s="443" t="s">
        <v>159</v>
      </c>
      <c r="E159" s="447" t="s">
        <v>1007</v>
      </c>
      <c r="F159" s="468" t="s">
        <v>243</v>
      </c>
      <c r="G159" s="480">
        <v>8.1564148364617506E-2</v>
      </c>
      <c r="H159" s="478">
        <v>1</v>
      </c>
    </row>
    <row r="160" spans="2:8" hidden="1" outlineLevel="2">
      <c r="B160" s="373" t="s">
        <v>903</v>
      </c>
      <c r="C160" s="447" t="s">
        <v>903</v>
      </c>
      <c r="D160" s="443" t="s">
        <v>159</v>
      </c>
      <c r="E160" s="447" t="s">
        <v>1007</v>
      </c>
      <c r="F160" s="468" t="s">
        <v>490</v>
      </c>
      <c r="G160" s="480">
        <v>0.18696938245168926</v>
      </c>
      <c r="H160" s="478">
        <v>1</v>
      </c>
    </row>
    <row r="161" spans="2:8" hidden="1" outlineLevel="2">
      <c r="B161" s="373" t="s">
        <v>903</v>
      </c>
      <c r="C161" s="447" t="s">
        <v>903</v>
      </c>
      <c r="D161" s="443" t="s">
        <v>159</v>
      </c>
      <c r="E161" s="447" t="s">
        <v>1007</v>
      </c>
      <c r="F161" s="468" t="s">
        <v>245</v>
      </c>
      <c r="G161" s="480">
        <v>2.7188049454872507E-2</v>
      </c>
      <c r="H161" s="478">
        <v>1</v>
      </c>
    </row>
    <row r="162" spans="2:8" hidden="1" outlineLevel="2">
      <c r="B162" s="373" t="s">
        <v>903</v>
      </c>
      <c r="C162" s="447" t="s">
        <v>903</v>
      </c>
      <c r="D162" s="443" t="s">
        <v>159</v>
      </c>
      <c r="E162" s="447" t="s">
        <v>1007</v>
      </c>
      <c r="F162" s="468" t="s">
        <v>246</v>
      </c>
      <c r="G162" s="480">
        <v>0.11218162947101355</v>
      </c>
      <c r="H162" s="478">
        <v>1</v>
      </c>
    </row>
    <row r="163" spans="2:8" hidden="1" outlineLevel="2">
      <c r="B163" s="373" t="s">
        <v>903</v>
      </c>
      <c r="C163" s="447" t="s">
        <v>903</v>
      </c>
      <c r="D163" s="443" t="s">
        <v>159</v>
      </c>
      <c r="E163" s="447" t="s">
        <v>1007</v>
      </c>
      <c r="F163" s="468" t="s">
        <v>247</v>
      </c>
      <c r="G163" s="480">
        <v>3.7393876490337853E-2</v>
      </c>
      <c r="H163" s="478">
        <v>1</v>
      </c>
    </row>
    <row r="164" spans="2:8" hidden="1" outlineLevel="2">
      <c r="B164" s="373" t="s">
        <v>903</v>
      </c>
      <c r="C164" s="447" t="s">
        <v>903</v>
      </c>
      <c r="D164" s="443" t="s">
        <v>159</v>
      </c>
      <c r="E164" s="447" t="s">
        <v>1007</v>
      </c>
      <c r="F164" s="468" t="s">
        <v>248</v>
      </c>
      <c r="G164" s="480">
        <v>3.7393876490337853E-2</v>
      </c>
      <c r="H164" s="478">
        <v>1</v>
      </c>
    </row>
    <row r="165" spans="2:8" hidden="1" outlineLevel="2">
      <c r="B165" s="373" t="s">
        <v>903</v>
      </c>
      <c r="C165" s="447" t="s">
        <v>903</v>
      </c>
      <c r="D165" s="443" t="s">
        <v>159</v>
      </c>
      <c r="E165" s="447" t="s">
        <v>1007</v>
      </c>
      <c r="F165" s="468" t="s">
        <v>251</v>
      </c>
      <c r="G165" s="480">
        <v>2.7188049454872507E-2</v>
      </c>
      <c r="H165" s="478">
        <v>1</v>
      </c>
    </row>
    <row r="166" spans="2:8" hidden="1" outlineLevel="2">
      <c r="B166" s="373" t="s">
        <v>903</v>
      </c>
      <c r="C166" s="447" t="s">
        <v>903</v>
      </c>
      <c r="D166" s="443" t="s">
        <v>159</v>
      </c>
      <c r="E166" s="447" t="s">
        <v>1007</v>
      </c>
      <c r="F166" s="468" t="s">
        <v>1849</v>
      </c>
      <c r="G166" s="480">
        <v>8.6149088147247421E-2</v>
      </c>
      <c r="H166" s="478">
        <v>1</v>
      </c>
    </row>
    <row r="167" spans="2:8" hidden="1" outlineLevel="1" collapsed="1">
      <c r="B167" s="390" t="s">
        <v>502</v>
      </c>
      <c r="C167" s="446" t="s">
        <v>502</v>
      </c>
      <c r="D167" s="445" t="s">
        <v>159</v>
      </c>
      <c r="E167" s="446" t="s">
        <v>1007</v>
      </c>
      <c r="F167" s="475" t="s">
        <v>1983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502</v>
      </c>
      <c r="C168" s="447" t="s">
        <v>502</v>
      </c>
      <c r="D168" s="443" t="s">
        <v>159</v>
      </c>
      <c r="E168" s="447" t="s">
        <v>1007</v>
      </c>
      <c r="F168" s="468" t="s">
        <v>226</v>
      </c>
      <c r="G168" s="480">
        <v>0.15216712000000002</v>
      </c>
      <c r="H168" s="478">
        <v>1</v>
      </c>
    </row>
    <row r="169" spans="2:8" hidden="1" outlineLevel="2">
      <c r="B169" s="373" t="s">
        <v>502</v>
      </c>
      <c r="C169" s="447" t="s">
        <v>502</v>
      </c>
      <c r="D169" s="443" t="s">
        <v>159</v>
      </c>
      <c r="E169" s="447" t="s">
        <v>1007</v>
      </c>
      <c r="F169" s="468" t="s">
        <v>36</v>
      </c>
      <c r="G169" s="480">
        <v>0.22825067999999998</v>
      </c>
      <c r="H169" s="478">
        <v>1</v>
      </c>
    </row>
    <row r="170" spans="2:8" hidden="1" outlineLevel="1" collapsed="1">
      <c r="B170" s="390" t="s">
        <v>1163</v>
      </c>
      <c r="C170" s="446" t="s">
        <v>1163</v>
      </c>
      <c r="D170" s="445" t="s">
        <v>159</v>
      </c>
      <c r="E170" s="446" t="s">
        <v>1007</v>
      </c>
      <c r="F170" s="475" t="s">
        <v>1967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1163</v>
      </c>
      <c r="C171" s="447" t="s">
        <v>1163</v>
      </c>
      <c r="D171" s="443" t="s">
        <v>159</v>
      </c>
      <c r="E171" s="447" t="s">
        <v>1007</v>
      </c>
      <c r="F171" s="482" t="s">
        <v>1871</v>
      </c>
      <c r="G171" s="483">
        <v>0.41060000000000008</v>
      </c>
      <c r="H171" s="478">
        <v>1</v>
      </c>
    </row>
    <row r="172" spans="2:8" hidden="1" outlineLevel="2">
      <c r="B172" s="373" t="s">
        <v>1163</v>
      </c>
      <c r="C172" s="447" t="s">
        <v>1163</v>
      </c>
      <c r="D172" s="443" t="s">
        <v>159</v>
      </c>
      <c r="E172" s="447" t="s">
        <v>1007</v>
      </c>
      <c r="F172" s="482" t="s">
        <v>1872</v>
      </c>
      <c r="G172" s="483">
        <v>0.10265000000000002</v>
      </c>
      <c r="H172" s="478">
        <v>1</v>
      </c>
    </row>
    <row r="173" spans="2:8" hidden="1" outlineLevel="1" collapsed="1">
      <c r="B173" s="390" t="s">
        <v>973</v>
      </c>
      <c r="C173" s="446" t="s">
        <v>973</v>
      </c>
      <c r="D173" s="445" t="s">
        <v>159</v>
      </c>
      <c r="E173" s="446" t="s">
        <v>1007</v>
      </c>
      <c r="F173" s="475" t="s">
        <v>1977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973</v>
      </c>
      <c r="C174" s="447" t="s">
        <v>973</v>
      </c>
      <c r="D174" s="443" t="s">
        <v>159</v>
      </c>
      <c r="E174" s="447" t="s">
        <v>1007</v>
      </c>
      <c r="F174" s="406" t="s">
        <v>290</v>
      </c>
      <c r="G174" s="480">
        <v>9.5000000000000015E-2</v>
      </c>
      <c r="H174" s="478">
        <v>1</v>
      </c>
    </row>
    <row r="175" spans="2:8" hidden="1" outlineLevel="2">
      <c r="B175" s="373" t="s">
        <v>973</v>
      </c>
      <c r="C175" s="447" t="s">
        <v>973</v>
      </c>
      <c r="D175" s="443" t="s">
        <v>159</v>
      </c>
      <c r="E175" s="447" t="s">
        <v>1007</v>
      </c>
      <c r="F175" s="406" t="s">
        <v>1334</v>
      </c>
      <c r="G175" s="480">
        <v>9.5000000000000015E-2</v>
      </c>
      <c r="H175" s="478">
        <v>1</v>
      </c>
    </row>
    <row r="176" spans="2:8" hidden="1" outlineLevel="2">
      <c r="B176" s="373" t="s">
        <v>973</v>
      </c>
      <c r="C176" s="447" t="s">
        <v>973</v>
      </c>
      <c r="D176" s="443" t="s">
        <v>159</v>
      </c>
      <c r="E176" s="447" t="s">
        <v>1007</v>
      </c>
      <c r="F176" s="406" t="s">
        <v>1883</v>
      </c>
      <c r="G176" s="480">
        <v>9.5000000000000015E-2</v>
      </c>
      <c r="H176" s="478">
        <v>1</v>
      </c>
    </row>
    <row r="177" spans="2:8" hidden="1" outlineLevel="1">
      <c r="B177" s="390" t="s">
        <v>975</v>
      </c>
      <c r="C177" s="446" t="s">
        <v>1201</v>
      </c>
      <c r="D177" s="445" t="s">
        <v>159</v>
      </c>
      <c r="E177" s="446" t="s">
        <v>1007</v>
      </c>
      <c r="F177" s="475" t="s">
        <v>1984</v>
      </c>
      <c r="G177" s="476">
        <v>0</v>
      </c>
      <c r="H177" s="476">
        <v>0</v>
      </c>
    </row>
    <row r="178" spans="2:8" hidden="1" outlineLevel="1" collapsed="1">
      <c r="B178" s="390" t="s">
        <v>1890</v>
      </c>
      <c r="C178" s="446" t="s">
        <v>1201</v>
      </c>
      <c r="D178" s="445" t="s">
        <v>159</v>
      </c>
      <c r="E178" s="446" t="s">
        <v>1007</v>
      </c>
      <c r="F178" s="475" t="s">
        <v>1985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1890</v>
      </c>
      <c r="C179" s="447" t="s">
        <v>1201</v>
      </c>
      <c r="D179" s="443" t="s">
        <v>159</v>
      </c>
      <c r="E179" s="447" t="s">
        <v>1007</v>
      </c>
      <c r="F179" s="468" t="s">
        <v>206</v>
      </c>
      <c r="G179" s="480">
        <v>8.9136273921988848E-2</v>
      </c>
      <c r="H179" s="478">
        <v>1</v>
      </c>
    </row>
    <row r="180" spans="2:8" hidden="1" outlineLevel="1" collapsed="1">
      <c r="B180" s="390" t="s">
        <v>609</v>
      </c>
      <c r="C180" s="446" t="s">
        <v>1201</v>
      </c>
      <c r="D180" s="445" t="s">
        <v>159</v>
      </c>
      <c r="E180" s="446" t="s">
        <v>1007</v>
      </c>
      <c r="F180" s="475" t="s">
        <v>1986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609</v>
      </c>
      <c r="C181" s="447" t="s">
        <v>1201</v>
      </c>
      <c r="D181" s="443" t="s">
        <v>159</v>
      </c>
      <c r="E181" s="447" t="s">
        <v>1007</v>
      </c>
      <c r="F181" s="468" t="s">
        <v>206</v>
      </c>
      <c r="G181" s="480">
        <v>5.8216850999999993E-2</v>
      </c>
      <c r="H181" s="478">
        <v>1</v>
      </c>
    </row>
    <row r="182" spans="2:8" hidden="1" outlineLevel="1">
      <c r="B182" s="390" t="s">
        <v>285</v>
      </c>
      <c r="C182" s="446" t="s">
        <v>1201</v>
      </c>
      <c r="D182" s="445" t="s">
        <v>159</v>
      </c>
      <c r="E182" s="446" t="s">
        <v>1007</v>
      </c>
      <c r="F182" s="475" t="s">
        <v>1987</v>
      </c>
      <c r="G182" s="476">
        <v>0</v>
      </c>
      <c r="H182" s="476">
        <v>0</v>
      </c>
    </row>
    <row r="183" spans="2:8" hidden="1" outlineLevel="1" collapsed="1">
      <c r="B183" s="390" t="s">
        <v>916</v>
      </c>
      <c r="C183" s="446" t="s">
        <v>916</v>
      </c>
      <c r="D183" s="445" t="s">
        <v>159</v>
      </c>
      <c r="E183" s="446" t="s">
        <v>1007</v>
      </c>
      <c r="F183" s="475" t="s">
        <v>1988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916</v>
      </c>
      <c r="C184" s="447" t="s">
        <v>916</v>
      </c>
      <c r="D184" s="443" t="s">
        <v>159</v>
      </c>
      <c r="E184" s="447" t="s">
        <v>1007</v>
      </c>
      <c r="F184" s="468" t="s">
        <v>205</v>
      </c>
      <c r="G184" s="480">
        <v>1.6141000000000003</v>
      </c>
      <c r="H184" s="478">
        <v>1</v>
      </c>
    </row>
    <row r="185" spans="2:8" hidden="1" outlineLevel="1" collapsed="1">
      <c r="B185" s="390" t="s">
        <v>902</v>
      </c>
      <c r="C185" s="446" t="s">
        <v>1220</v>
      </c>
      <c r="D185" s="445" t="s">
        <v>159</v>
      </c>
      <c r="E185" s="446" t="s">
        <v>1007</v>
      </c>
      <c r="F185" s="475" t="s">
        <v>1966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902</v>
      </c>
      <c r="C186" s="447" t="s">
        <v>1220</v>
      </c>
      <c r="D186" s="443" t="s">
        <v>159</v>
      </c>
      <c r="E186" s="447" t="s">
        <v>1007</v>
      </c>
      <c r="F186" s="468" t="s">
        <v>290</v>
      </c>
      <c r="G186" s="480">
        <v>0.11</v>
      </c>
      <c r="H186" s="478">
        <v>1</v>
      </c>
    </row>
    <row r="187" spans="2:8" hidden="1" outlineLevel="2">
      <c r="B187" s="373" t="s">
        <v>902</v>
      </c>
      <c r="C187" s="447" t="s">
        <v>1220</v>
      </c>
      <c r="D187" s="443" t="s">
        <v>159</v>
      </c>
      <c r="E187" s="447" t="s">
        <v>1007</v>
      </c>
      <c r="F187" s="468" t="s">
        <v>1334</v>
      </c>
      <c r="G187" s="480">
        <v>0.06</v>
      </c>
      <c r="H187" s="478">
        <v>1</v>
      </c>
    </row>
    <row r="188" spans="2:8" hidden="1" outlineLevel="1" collapsed="1">
      <c r="B188" s="390" t="s">
        <v>369</v>
      </c>
      <c r="C188" s="446" t="s">
        <v>843</v>
      </c>
      <c r="D188" s="445" t="s">
        <v>159</v>
      </c>
      <c r="E188" s="446" t="s">
        <v>1007</v>
      </c>
      <c r="F188" s="475" t="s">
        <v>1979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369</v>
      </c>
      <c r="C189" s="447" t="s">
        <v>843</v>
      </c>
      <c r="D189" s="443" t="s">
        <v>159</v>
      </c>
      <c r="E189" s="447" t="s">
        <v>1007</v>
      </c>
      <c r="F189" s="406" t="s">
        <v>38</v>
      </c>
      <c r="G189" s="480">
        <v>0.03</v>
      </c>
      <c r="H189" s="478">
        <v>1</v>
      </c>
    </row>
    <row r="190" spans="2:8" hidden="1" outlineLevel="2">
      <c r="B190" s="373" t="s">
        <v>369</v>
      </c>
      <c r="C190" s="447" t="s">
        <v>843</v>
      </c>
      <c r="D190" s="443" t="s">
        <v>159</v>
      </c>
      <c r="E190" s="447" t="s">
        <v>1007</v>
      </c>
      <c r="F190" s="406" t="s">
        <v>1341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6">
      <c r="B192" s="470" t="s">
        <v>1167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414</v>
      </c>
      <c r="C194" s="446" t="s">
        <v>414</v>
      </c>
      <c r="D194" s="445" t="s">
        <v>159</v>
      </c>
      <c r="E194" s="446" t="s">
        <v>1167</v>
      </c>
      <c r="F194" s="475" t="s">
        <v>1989</v>
      </c>
      <c r="G194" s="476">
        <v>0</v>
      </c>
      <c r="H194" s="476">
        <v>0</v>
      </c>
    </row>
    <row r="195" spans="2:8" outlineLevel="1" collapsed="1">
      <c r="B195" s="390" t="s">
        <v>612</v>
      </c>
      <c r="C195" s="446" t="s">
        <v>612</v>
      </c>
      <c r="D195" s="445" t="s">
        <v>159</v>
      </c>
      <c r="E195" s="446" t="s">
        <v>1167</v>
      </c>
      <c r="F195" s="475" t="s">
        <v>1992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612</v>
      </c>
      <c r="C196" s="447" t="s">
        <v>612</v>
      </c>
      <c r="D196" s="443" t="s">
        <v>159</v>
      </c>
      <c r="E196" s="447" t="s">
        <v>1167</v>
      </c>
      <c r="F196" s="477" t="s">
        <v>226</v>
      </c>
      <c r="G196" s="478">
        <v>0.15625749999999999</v>
      </c>
      <c r="H196" s="478">
        <v>1</v>
      </c>
    </row>
    <row r="197" spans="2:8" hidden="1" outlineLevel="2">
      <c r="B197" s="373" t="s">
        <v>612</v>
      </c>
      <c r="C197" s="447" t="s">
        <v>612</v>
      </c>
      <c r="D197" s="443" t="s">
        <v>159</v>
      </c>
      <c r="E197" s="447" t="s">
        <v>1167</v>
      </c>
      <c r="F197" s="477" t="s">
        <v>36</v>
      </c>
      <c r="G197" s="478">
        <v>0.23438624999999996</v>
      </c>
      <c r="H197" s="478">
        <v>1</v>
      </c>
    </row>
    <row r="198" spans="2:8" hidden="1" outlineLevel="2">
      <c r="B198" s="373" t="s">
        <v>612</v>
      </c>
      <c r="C198" s="447" t="s">
        <v>612</v>
      </c>
      <c r="D198" s="443" t="s">
        <v>159</v>
      </c>
      <c r="E198" s="447" t="s">
        <v>1167</v>
      </c>
      <c r="F198" s="477" t="s">
        <v>208</v>
      </c>
      <c r="G198" s="478">
        <v>0.15625749999999999</v>
      </c>
      <c r="H198" s="478">
        <v>1</v>
      </c>
    </row>
    <row r="199" spans="2:8" hidden="1" outlineLevel="2">
      <c r="B199" s="439" t="s">
        <v>612</v>
      </c>
      <c r="C199" s="484" t="s">
        <v>612</v>
      </c>
      <c r="D199" s="485" t="s">
        <v>159</v>
      </c>
      <c r="E199" s="484" t="s">
        <v>1167</v>
      </c>
      <c r="F199" s="486" t="s">
        <v>36</v>
      </c>
      <c r="G199" s="487">
        <v>7.1431999999999995E-2</v>
      </c>
      <c r="H199" s="487">
        <v>1</v>
      </c>
    </row>
    <row r="200" spans="2:8" hidden="1" outlineLevel="2">
      <c r="B200" s="439" t="s">
        <v>612</v>
      </c>
      <c r="C200" s="484" t="s">
        <v>612</v>
      </c>
      <c r="D200" s="485" t="s">
        <v>159</v>
      </c>
      <c r="E200" s="484" t="s">
        <v>1167</v>
      </c>
      <c r="F200" s="486" t="s">
        <v>36</v>
      </c>
      <c r="G200" s="487">
        <v>2.009025E-2</v>
      </c>
      <c r="H200" s="487">
        <v>1</v>
      </c>
    </row>
    <row r="201" spans="2:8" hidden="1" outlineLevel="2">
      <c r="B201" s="439" t="s">
        <v>612</v>
      </c>
      <c r="C201" s="484" t="s">
        <v>612</v>
      </c>
      <c r="D201" s="485" t="s">
        <v>159</v>
      </c>
      <c r="E201" s="484" t="s">
        <v>1167</v>
      </c>
      <c r="F201" s="486" t="s">
        <v>208</v>
      </c>
      <c r="G201" s="487">
        <v>2.009025E-2</v>
      </c>
      <c r="H201" s="487">
        <v>1</v>
      </c>
    </row>
    <row r="202" spans="2:8" hidden="1" outlineLevel="2">
      <c r="B202" s="439" t="s">
        <v>612</v>
      </c>
      <c r="C202" s="484" t="s">
        <v>612</v>
      </c>
      <c r="D202" s="485" t="s">
        <v>159</v>
      </c>
      <c r="E202" s="484" t="s">
        <v>1167</v>
      </c>
      <c r="F202" s="486" t="s">
        <v>36</v>
      </c>
      <c r="G202" s="487">
        <v>1.6741875E-2</v>
      </c>
      <c r="H202" s="487">
        <v>1</v>
      </c>
    </row>
    <row r="203" spans="2:8" hidden="1" outlineLevel="2">
      <c r="B203" s="439" t="s">
        <v>612</v>
      </c>
      <c r="C203" s="484" t="s">
        <v>612</v>
      </c>
      <c r="D203" s="485" t="s">
        <v>159</v>
      </c>
      <c r="E203" s="484" t="s">
        <v>1167</v>
      </c>
      <c r="F203" s="486" t="s">
        <v>208</v>
      </c>
      <c r="G203" s="487">
        <v>2.009025E-2</v>
      </c>
      <c r="H203" s="487">
        <v>1</v>
      </c>
    </row>
    <row r="204" spans="2:8" outlineLevel="1">
      <c r="B204" s="390" t="s">
        <v>918</v>
      </c>
      <c r="C204" s="446" t="s">
        <v>918</v>
      </c>
      <c r="D204" s="445" t="s">
        <v>159</v>
      </c>
      <c r="E204" s="446" t="s">
        <v>1167</v>
      </c>
      <c r="F204" s="475" t="s">
        <v>1999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918</v>
      </c>
      <c r="C205" s="447" t="s">
        <v>918</v>
      </c>
      <c r="D205" s="443" t="s">
        <v>159</v>
      </c>
      <c r="E205" s="447" t="s">
        <v>1167</v>
      </c>
      <c r="F205" s="477" t="s">
        <v>1380</v>
      </c>
      <c r="G205" s="478">
        <v>2.0999999999999999E-3</v>
      </c>
      <c r="H205" s="478">
        <v>1</v>
      </c>
    </row>
    <row r="206" spans="2:8" outlineLevel="2">
      <c r="B206" s="373" t="s">
        <v>918</v>
      </c>
      <c r="C206" s="447" t="s">
        <v>918</v>
      </c>
      <c r="D206" s="443" t="s">
        <v>159</v>
      </c>
      <c r="E206" s="447" t="s">
        <v>1167</v>
      </c>
      <c r="F206" s="477" t="s">
        <v>1381</v>
      </c>
      <c r="G206" s="478">
        <v>8.7500000000000002E-4</v>
      </c>
      <c r="H206" s="478">
        <v>1</v>
      </c>
    </row>
    <row r="207" spans="2:8" outlineLevel="2">
      <c r="B207" s="373" t="s">
        <v>918</v>
      </c>
      <c r="C207" s="447" t="s">
        <v>918</v>
      </c>
      <c r="D207" s="443" t="s">
        <v>159</v>
      </c>
      <c r="E207" s="447" t="s">
        <v>1167</v>
      </c>
      <c r="F207" s="477" t="s">
        <v>1382</v>
      </c>
      <c r="G207" s="478">
        <v>5.2499999999999997E-4</v>
      </c>
      <c r="H207" s="478">
        <v>1</v>
      </c>
    </row>
    <row r="208" spans="2:8" outlineLevel="2">
      <c r="B208" s="373" t="s">
        <v>918</v>
      </c>
      <c r="C208" s="447" t="s">
        <v>918</v>
      </c>
      <c r="D208" s="443" t="s">
        <v>159</v>
      </c>
      <c r="E208" s="447" t="s">
        <v>1167</v>
      </c>
      <c r="F208" s="477" t="s">
        <v>1383</v>
      </c>
      <c r="G208" s="478">
        <v>5.0000000000000001E-4</v>
      </c>
      <c r="H208" s="478">
        <v>1</v>
      </c>
    </row>
    <row r="209" spans="2:8" outlineLevel="1" collapsed="1">
      <c r="B209" s="390" t="s">
        <v>1384</v>
      </c>
      <c r="C209" s="446" t="s">
        <v>1384</v>
      </c>
      <c r="D209" s="445" t="s">
        <v>159</v>
      </c>
      <c r="E209" s="446" t="s">
        <v>1167</v>
      </c>
      <c r="F209" s="475" t="s">
        <v>2001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1384</v>
      </c>
      <c r="C210" s="447" t="s">
        <v>1384</v>
      </c>
      <c r="D210" s="443" t="s">
        <v>159</v>
      </c>
      <c r="E210" s="447" t="s">
        <v>1167</v>
      </c>
      <c r="F210" s="488" t="s">
        <v>226</v>
      </c>
      <c r="G210" s="489">
        <v>4.3845312000000004E-2</v>
      </c>
      <c r="H210" s="489">
        <v>1</v>
      </c>
    </row>
    <row r="211" spans="2:8" hidden="1" outlineLevel="2">
      <c r="B211" s="373" t="s">
        <v>1384</v>
      </c>
      <c r="C211" s="447" t="s">
        <v>1384</v>
      </c>
      <c r="D211" s="443" t="s">
        <v>159</v>
      </c>
      <c r="E211" s="447" t="s">
        <v>1167</v>
      </c>
      <c r="F211" s="488" t="s">
        <v>36</v>
      </c>
      <c r="G211" s="489">
        <v>6.576796800000001E-2</v>
      </c>
      <c r="H211" s="489">
        <v>1</v>
      </c>
    </row>
    <row r="212" spans="2:8" hidden="1" outlineLevel="2">
      <c r="B212" s="373" t="s">
        <v>1384</v>
      </c>
      <c r="C212" s="447" t="s">
        <v>1384</v>
      </c>
      <c r="D212" s="443" t="s">
        <v>159</v>
      </c>
      <c r="E212" s="447" t="s">
        <v>1167</v>
      </c>
      <c r="F212" s="488" t="s">
        <v>208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6" collapsed="1">
      <c r="B214" s="470" t="s">
        <v>45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162</v>
      </c>
      <c r="C216" s="447" t="s">
        <v>160</v>
      </c>
      <c r="D216" s="443" t="s">
        <v>159</v>
      </c>
      <c r="E216" s="447" t="s">
        <v>45</v>
      </c>
      <c r="F216" s="477" t="s">
        <v>2053</v>
      </c>
      <c r="G216" s="478"/>
      <c r="H216" s="478">
        <v>3</v>
      </c>
    </row>
    <row r="217" spans="2:8" hidden="1" outlineLevel="1">
      <c r="B217" s="373" t="s">
        <v>163</v>
      </c>
      <c r="C217" s="447" t="s">
        <v>160</v>
      </c>
      <c r="D217" s="443" t="s">
        <v>159</v>
      </c>
      <c r="E217" s="447" t="s">
        <v>45</v>
      </c>
      <c r="F217" s="477" t="s">
        <v>2054</v>
      </c>
      <c r="G217" s="478"/>
      <c r="H217" s="478">
        <v>3</v>
      </c>
    </row>
    <row r="218" spans="2:8" hidden="1" outlineLevel="1">
      <c r="B218" s="373" t="s">
        <v>164</v>
      </c>
      <c r="C218" s="447" t="s">
        <v>160</v>
      </c>
      <c r="D218" s="443" t="s">
        <v>159</v>
      </c>
      <c r="E218" s="447" t="s">
        <v>45</v>
      </c>
      <c r="F218" s="477" t="s">
        <v>2055</v>
      </c>
      <c r="G218" s="478"/>
      <c r="H218" s="478">
        <v>2</v>
      </c>
    </row>
    <row r="219" spans="2:8" hidden="1" outlineLevel="1">
      <c r="B219" s="373" t="s">
        <v>165</v>
      </c>
      <c r="C219" s="447" t="s">
        <v>160</v>
      </c>
      <c r="D219" s="443" t="s">
        <v>159</v>
      </c>
      <c r="E219" s="447" t="s">
        <v>45</v>
      </c>
      <c r="F219" s="477" t="s">
        <v>2056</v>
      </c>
      <c r="G219" s="478"/>
      <c r="H219" s="478">
        <v>1</v>
      </c>
    </row>
    <row r="220" spans="2:8" hidden="1" outlineLevel="1">
      <c r="B220" s="373" t="s">
        <v>973</v>
      </c>
      <c r="C220" s="447" t="s">
        <v>160</v>
      </c>
      <c r="D220" s="443" t="s">
        <v>159</v>
      </c>
      <c r="E220" s="447" t="s">
        <v>45</v>
      </c>
      <c r="F220" s="477" t="s">
        <v>2057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6" collapsed="1">
      <c r="B222" s="470" t="s">
        <v>56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891</v>
      </c>
      <c r="C224" s="390" t="s">
        <v>1240</v>
      </c>
      <c r="D224" s="390" t="s">
        <v>518</v>
      </c>
      <c r="E224" s="390" t="s">
        <v>56</v>
      </c>
      <c r="F224" s="475" t="s">
        <v>1969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891</v>
      </c>
      <c r="C225" s="373" t="s">
        <v>1240</v>
      </c>
      <c r="D225" s="373" t="s">
        <v>518</v>
      </c>
      <c r="E225" s="373" t="s">
        <v>56</v>
      </c>
      <c r="F225" s="491" t="s">
        <v>1718</v>
      </c>
      <c r="G225" s="492">
        <v>5.2867302539999998E-3</v>
      </c>
      <c r="H225" s="492">
        <v>1</v>
      </c>
    </row>
    <row r="226" spans="2:8" hidden="1" outlineLevel="1" collapsed="1">
      <c r="B226" s="390" t="s">
        <v>891</v>
      </c>
      <c r="C226" s="390" t="s">
        <v>1195</v>
      </c>
      <c r="D226" s="390" t="s">
        <v>518</v>
      </c>
      <c r="E226" s="390" t="s">
        <v>56</v>
      </c>
      <c r="F226" s="475" t="s">
        <v>1969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891</v>
      </c>
      <c r="C227" s="373" t="s">
        <v>1195</v>
      </c>
      <c r="D227" s="373" t="s">
        <v>518</v>
      </c>
      <c r="E227" s="373" t="s">
        <v>56</v>
      </c>
      <c r="F227" s="491" t="s">
        <v>247</v>
      </c>
      <c r="G227" s="492">
        <v>1.0861267500000001E-2</v>
      </c>
      <c r="H227" s="492">
        <v>1</v>
      </c>
    </row>
    <row r="228" spans="2:8" hidden="1" outlineLevel="2">
      <c r="B228" s="373" t="s">
        <v>891</v>
      </c>
      <c r="C228" s="373" t="s">
        <v>1195</v>
      </c>
      <c r="D228" s="373" t="s">
        <v>518</v>
      </c>
      <c r="E228" s="373" t="s">
        <v>56</v>
      </c>
      <c r="F228" s="491" t="s">
        <v>251</v>
      </c>
      <c r="G228" s="492">
        <v>5.2029494639565963E-3</v>
      </c>
      <c r="H228" s="492">
        <v>1</v>
      </c>
    </row>
    <row r="229" spans="2:8" hidden="1" outlineLevel="1" collapsed="1">
      <c r="B229" s="390" t="s">
        <v>891</v>
      </c>
      <c r="C229" s="390" t="s">
        <v>1247</v>
      </c>
      <c r="D229" s="390" t="s">
        <v>518</v>
      </c>
      <c r="E229" s="390" t="s">
        <v>56</v>
      </c>
      <c r="F229" s="475" t="s">
        <v>1969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891</v>
      </c>
      <c r="C230" s="373" t="s">
        <v>1247</v>
      </c>
      <c r="D230" s="373" t="s">
        <v>518</v>
      </c>
      <c r="E230" s="373" t="s">
        <v>56</v>
      </c>
      <c r="F230" s="491" t="s">
        <v>206</v>
      </c>
      <c r="G230" s="492">
        <v>9.3421603890201377E-2</v>
      </c>
      <c r="H230" s="492">
        <v>1</v>
      </c>
    </row>
    <row r="231" spans="2:8" hidden="1" outlineLevel="2">
      <c r="B231" s="373" t="s">
        <v>891</v>
      </c>
      <c r="C231" s="373" t="s">
        <v>1247</v>
      </c>
      <c r="D231" s="373" t="s">
        <v>518</v>
      </c>
      <c r="E231" s="373" t="s">
        <v>56</v>
      </c>
      <c r="F231" s="491" t="s">
        <v>199</v>
      </c>
      <c r="G231" s="492">
        <v>9.3421603890201377E-2</v>
      </c>
      <c r="H231" s="492">
        <v>1</v>
      </c>
    </row>
    <row r="232" spans="2:8" hidden="1" outlineLevel="2">
      <c r="B232" s="373" t="s">
        <v>891</v>
      </c>
      <c r="C232" s="373" t="s">
        <v>1247</v>
      </c>
      <c r="D232" s="373" t="s">
        <v>518</v>
      </c>
      <c r="E232" s="373" t="s">
        <v>56</v>
      </c>
      <c r="F232" s="491" t="s">
        <v>1736</v>
      </c>
      <c r="G232" s="492">
        <v>2.1106865436972901E-2</v>
      </c>
      <c r="H232" s="492">
        <v>1</v>
      </c>
    </row>
    <row r="233" spans="2:8" hidden="1" outlineLevel="2">
      <c r="B233" s="373" t="s">
        <v>891</v>
      </c>
      <c r="C233" s="373" t="s">
        <v>1247</v>
      </c>
      <c r="D233" s="373" t="s">
        <v>518</v>
      </c>
      <c r="E233" s="373" t="s">
        <v>56</v>
      </c>
      <c r="F233" s="491" t="s">
        <v>1737</v>
      </c>
      <c r="G233" s="492">
        <v>3.166029815545935E-2</v>
      </c>
      <c r="H233" s="492">
        <v>1</v>
      </c>
    </row>
    <row r="234" spans="2:8" hidden="1" outlineLevel="2">
      <c r="B234" s="373" t="s">
        <v>891</v>
      </c>
      <c r="C234" s="373" t="s">
        <v>1247</v>
      </c>
      <c r="D234" s="373" t="s">
        <v>518</v>
      </c>
      <c r="E234" s="373" t="s">
        <v>56</v>
      </c>
      <c r="F234" s="491" t="s">
        <v>1730</v>
      </c>
      <c r="G234" s="492">
        <v>5.2767163592432253E-3</v>
      </c>
      <c r="H234" s="492">
        <v>1</v>
      </c>
    </row>
    <row r="235" spans="2:8" hidden="1" outlineLevel="2">
      <c r="B235" s="373" t="s">
        <v>891</v>
      </c>
      <c r="C235" s="373" t="s">
        <v>1247</v>
      </c>
      <c r="D235" s="373" t="s">
        <v>518</v>
      </c>
      <c r="E235" s="373" t="s">
        <v>56</v>
      </c>
      <c r="F235" s="491" t="s">
        <v>1738</v>
      </c>
      <c r="G235" s="492">
        <v>2.1106865436972901E-2</v>
      </c>
      <c r="H235" s="492">
        <v>1</v>
      </c>
    </row>
    <row r="236" spans="2:8" hidden="1" outlineLevel="2">
      <c r="B236" s="373" t="s">
        <v>891</v>
      </c>
      <c r="C236" s="373" t="s">
        <v>1247</v>
      </c>
      <c r="D236" s="373" t="s">
        <v>518</v>
      </c>
      <c r="E236" s="373" t="s">
        <v>56</v>
      </c>
      <c r="F236" s="491" t="s">
        <v>1739</v>
      </c>
      <c r="G236" s="492">
        <v>3.166029815545935E-2</v>
      </c>
      <c r="H236" s="492">
        <v>1</v>
      </c>
    </row>
    <row r="237" spans="2:8" hidden="1" outlineLevel="2">
      <c r="B237" s="373" t="s">
        <v>891</v>
      </c>
      <c r="C237" s="373" t="s">
        <v>1247</v>
      </c>
      <c r="D237" s="373" t="s">
        <v>518</v>
      </c>
      <c r="E237" s="373" t="s">
        <v>56</v>
      </c>
      <c r="F237" s="491" t="s">
        <v>1732</v>
      </c>
      <c r="G237" s="492">
        <v>5.2767163592432253E-3</v>
      </c>
      <c r="H237" s="492">
        <v>1</v>
      </c>
    </row>
    <row r="238" spans="2:8" hidden="1" outlineLevel="2">
      <c r="B238" s="373" t="s">
        <v>891</v>
      </c>
      <c r="C238" s="373" t="s">
        <v>1247</v>
      </c>
      <c r="D238" s="373" t="s">
        <v>518</v>
      </c>
      <c r="E238" s="373" t="s">
        <v>56</v>
      </c>
      <c r="F238" s="491" t="s">
        <v>1740</v>
      </c>
      <c r="G238" s="492">
        <v>4.0000000000000001E-3</v>
      </c>
      <c r="H238" s="492">
        <v>1</v>
      </c>
    </row>
    <row r="239" spans="2:8" hidden="1" outlineLevel="2">
      <c r="B239" s="373" t="s">
        <v>891</v>
      </c>
      <c r="C239" s="373" t="s">
        <v>1247</v>
      </c>
      <c r="D239" s="373" t="s">
        <v>518</v>
      </c>
      <c r="E239" s="373" t="s">
        <v>56</v>
      </c>
      <c r="F239" s="491" t="s">
        <v>1741</v>
      </c>
      <c r="G239" s="492">
        <v>7.0000000000000001E-3</v>
      </c>
      <c r="H239" s="492">
        <v>1</v>
      </c>
    </row>
    <row r="240" spans="2:8" hidden="1" outlineLevel="2">
      <c r="B240" s="373" t="s">
        <v>891</v>
      </c>
      <c r="C240" s="373" t="s">
        <v>1247</v>
      </c>
      <c r="D240" s="373" t="s">
        <v>518</v>
      </c>
      <c r="E240" s="373" t="s">
        <v>56</v>
      </c>
      <c r="F240" s="491" t="s">
        <v>1733</v>
      </c>
      <c r="G240" s="492">
        <v>1E-3</v>
      </c>
      <c r="H240" s="492">
        <v>1</v>
      </c>
    </row>
    <row r="241" spans="2:8" hidden="1" outlineLevel="2">
      <c r="B241" s="373" t="s">
        <v>891</v>
      </c>
      <c r="C241" s="373" t="s">
        <v>1247</v>
      </c>
      <c r="D241" s="373" t="s">
        <v>518</v>
      </c>
      <c r="E241" s="373" t="s">
        <v>56</v>
      </c>
      <c r="F241" s="491" t="s">
        <v>1734</v>
      </c>
      <c r="G241" s="492">
        <v>2.3452072707747665E-3</v>
      </c>
      <c r="H241" s="492">
        <v>1</v>
      </c>
    </row>
    <row r="242" spans="2:8" hidden="1" outlineLevel="2">
      <c r="B242" s="373" t="s">
        <v>891</v>
      </c>
      <c r="C242" s="373" t="s">
        <v>1247</v>
      </c>
      <c r="D242" s="373" t="s">
        <v>518</v>
      </c>
      <c r="E242" s="373" t="s">
        <v>56</v>
      </c>
      <c r="F242" s="491" t="s">
        <v>1742</v>
      </c>
      <c r="G242" s="492">
        <v>1.4071243624648597E-2</v>
      </c>
      <c r="H242" s="492">
        <v>1</v>
      </c>
    </row>
    <row r="243" spans="2:8" hidden="1" outlineLevel="2">
      <c r="B243" s="373" t="s">
        <v>891</v>
      </c>
      <c r="C243" s="373" t="s">
        <v>1247</v>
      </c>
      <c r="D243" s="373" t="s">
        <v>518</v>
      </c>
      <c r="E243" s="373" t="s">
        <v>56</v>
      </c>
      <c r="F243" s="491" t="s">
        <v>1743</v>
      </c>
      <c r="G243" s="492">
        <v>2.1106865436972894E-2</v>
      </c>
      <c r="H243" s="492">
        <v>1</v>
      </c>
    </row>
    <row r="244" spans="2:8" hidden="1" outlineLevel="2">
      <c r="B244" s="373" t="s">
        <v>891</v>
      </c>
      <c r="C244" s="373" t="s">
        <v>1247</v>
      </c>
      <c r="D244" s="373" t="s">
        <v>518</v>
      </c>
      <c r="E244" s="373" t="s">
        <v>56</v>
      </c>
      <c r="F244" s="491" t="s">
        <v>1735</v>
      </c>
      <c r="G244" s="492">
        <v>3.5178109061621493E-3</v>
      </c>
      <c r="H244" s="492">
        <v>1</v>
      </c>
    </row>
    <row r="245" spans="2:8" hidden="1" outlineLevel="1" collapsed="1">
      <c r="B245" s="390" t="s">
        <v>893</v>
      </c>
      <c r="C245" s="390" t="s">
        <v>1351</v>
      </c>
      <c r="D245" s="390" t="s">
        <v>518</v>
      </c>
      <c r="E245" s="390" t="s">
        <v>56</v>
      </c>
      <c r="F245" s="475" t="s">
        <v>1973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893</v>
      </c>
      <c r="C246" s="373" t="s">
        <v>1351</v>
      </c>
      <c r="D246" s="373" t="s">
        <v>518</v>
      </c>
      <c r="E246" s="373" t="s">
        <v>56</v>
      </c>
      <c r="F246" s="491" t="s">
        <v>1748</v>
      </c>
      <c r="G246" s="492">
        <v>0.12911355532138755</v>
      </c>
      <c r="H246" s="492">
        <v>1</v>
      </c>
    </row>
    <row r="247" spans="2:8" hidden="1" outlineLevel="2">
      <c r="B247" s="373" t="s">
        <v>893</v>
      </c>
      <c r="C247" s="373" t="s">
        <v>1351</v>
      </c>
      <c r="D247" s="373" t="s">
        <v>518</v>
      </c>
      <c r="E247" s="373" t="s">
        <v>56</v>
      </c>
      <c r="F247" s="491" t="s">
        <v>1749</v>
      </c>
      <c r="G247" s="492">
        <v>0.25822711064277509</v>
      </c>
      <c r="H247" s="492">
        <v>1</v>
      </c>
    </row>
    <row r="248" spans="2:8" hidden="1" outlineLevel="2">
      <c r="B248" s="373" t="s">
        <v>893</v>
      </c>
      <c r="C248" s="373" t="s">
        <v>1351</v>
      </c>
      <c r="D248" s="373" t="s">
        <v>518</v>
      </c>
      <c r="E248" s="373" t="s">
        <v>56</v>
      </c>
      <c r="F248" s="491" t="s">
        <v>246</v>
      </c>
      <c r="G248" s="492">
        <v>1.4486092893899998E-2</v>
      </c>
      <c r="H248" s="492">
        <v>1</v>
      </c>
    </row>
    <row r="249" spans="2:8" hidden="1" outlineLevel="2">
      <c r="B249" s="373" t="s">
        <v>893</v>
      </c>
      <c r="C249" s="373" t="s">
        <v>1351</v>
      </c>
      <c r="D249" s="373" t="s">
        <v>518</v>
      </c>
      <c r="E249" s="373" t="s">
        <v>56</v>
      </c>
      <c r="F249" s="491" t="s">
        <v>247</v>
      </c>
      <c r="G249" s="492">
        <v>1.2071744078249999E-2</v>
      </c>
      <c r="H249" s="492">
        <v>1</v>
      </c>
    </row>
    <row r="250" spans="2:8" hidden="1" outlineLevel="1" collapsed="1">
      <c r="B250" s="390" t="s">
        <v>894</v>
      </c>
      <c r="C250" s="390" t="s">
        <v>1265</v>
      </c>
      <c r="D250" s="390" t="s">
        <v>518</v>
      </c>
      <c r="E250" s="390" t="s">
        <v>56</v>
      </c>
      <c r="F250" s="475" t="s">
        <v>1970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894</v>
      </c>
      <c r="C251" s="373" t="s">
        <v>1265</v>
      </c>
      <c r="D251" s="373" t="s">
        <v>518</v>
      </c>
      <c r="E251" s="373" t="s">
        <v>56</v>
      </c>
      <c r="F251" s="491" t="s">
        <v>543</v>
      </c>
      <c r="G251" s="492">
        <v>0.19</v>
      </c>
      <c r="H251" s="492">
        <v>1</v>
      </c>
    </row>
    <row r="252" spans="2:8" hidden="1" outlineLevel="2">
      <c r="B252" s="373" t="s">
        <v>894</v>
      </c>
      <c r="C252" s="373" t="s">
        <v>1265</v>
      </c>
      <c r="D252" s="373" t="s">
        <v>518</v>
      </c>
      <c r="E252" s="373" t="s">
        <v>56</v>
      </c>
      <c r="F252" s="491" t="s">
        <v>221</v>
      </c>
      <c r="G252" s="492">
        <v>0.16</v>
      </c>
      <c r="H252" s="492">
        <v>1</v>
      </c>
    </row>
    <row r="253" spans="2:8" hidden="1" outlineLevel="2">
      <c r="B253" s="373" t="s">
        <v>894</v>
      </c>
      <c r="C253" s="373" t="s">
        <v>1265</v>
      </c>
      <c r="D253" s="373" t="s">
        <v>518</v>
      </c>
      <c r="E253" s="373" t="s">
        <v>56</v>
      </c>
      <c r="F253" s="491" t="s">
        <v>254</v>
      </c>
      <c r="G253" s="492">
        <v>0.01</v>
      </c>
      <c r="H253" s="492">
        <v>1</v>
      </c>
    </row>
    <row r="254" spans="2:8" hidden="1" outlineLevel="1" collapsed="1">
      <c r="B254" s="390" t="s">
        <v>469</v>
      </c>
      <c r="C254" s="390" t="s">
        <v>1281</v>
      </c>
      <c r="D254" s="390" t="s">
        <v>518</v>
      </c>
      <c r="E254" s="390" t="s">
        <v>56</v>
      </c>
      <c r="F254" s="475" t="s">
        <v>1971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469</v>
      </c>
      <c r="C255" s="373" t="s">
        <v>1281</v>
      </c>
      <c r="D255" s="373" t="s">
        <v>518</v>
      </c>
      <c r="E255" s="373" t="s">
        <v>56</v>
      </c>
      <c r="F255" s="491" t="s">
        <v>544</v>
      </c>
      <c r="G255" s="492">
        <v>0.2</v>
      </c>
      <c r="H255" s="492">
        <v>1</v>
      </c>
    </row>
    <row r="256" spans="2:8" hidden="1" outlineLevel="2">
      <c r="B256" s="373" t="s">
        <v>469</v>
      </c>
      <c r="C256" s="373" t="s">
        <v>1281</v>
      </c>
      <c r="D256" s="373" t="s">
        <v>518</v>
      </c>
      <c r="E256" s="373" t="s">
        <v>56</v>
      </c>
      <c r="F256" s="491" t="s">
        <v>545</v>
      </c>
      <c r="G256" s="492">
        <v>0.4</v>
      </c>
      <c r="H256" s="492">
        <v>1</v>
      </c>
    </row>
    <row r="257" spans="2:8" hidden="1" outlineLevel="2">
      <c r="B257" s="373" t="s">
        <v>469</v>
      </c>
      <c r="C257" s="373" t="s">
        <v>1281</v>
      </c>
      <c r="D257" s="373" t="s">
        <v>518</v>
      </c>
      <c r="E257" s="373" t="s">
        <v>56</v>
      </c>
      <c r="F257" s="491" t="s">
        <v>342</v>
      </c>
      <c r="G257" s="492">
        <v>0.32</v>
      </c>
      <c r="H257" s="492">
        <v>1</v>
      </c>
    </row>
    <row r="258" spans="2:8" hidden="1" outlineLevel="2">
      <c r="B258" s="373" t="s">
        <v>469</v>
      </c>
      <c r="C258" s="373" t="s">
        <v>1281</v>
      </c>
      <c r="D258" s="373" t="s">
        <v>518</v>
      </c>
      <c r="E258" s="373" t="s">
        <v>56</v>
      </c>
      <c r="F258" s="491" t="s">
        <v>546</v>
      </c>
      <c r="G258" s="492">
        <v>0.32</v>
      </c>
      <c r="H258" s="492">
        <v>1</v>
      </c>
    </row>
    <row r="259" spans="2:8" hidden="1" outlineLevel="2">
      <c r="B259" s="373" t="s">
        <v>469</v>
      </c>
      <c r="C259" s="373" t="s">
        <v>1281</v>
      </c>
      <c r="D259" s="373" t="s">
        <v>518</v>
      </c>
      <c r="E259" s="373" t="s">
        <v>56</v>
      </c>
      <c r="F259" s="491" t="s">
        <v>547</v>
      </c>
      <c r="G259" s="492">
        <v>0.43</v>
      </c>
      <c r="H259" s="492">
        <v>1</v>
      </c>
    </row>
    <row r="260" spans="2:8" hidden="1" outlineLevel="2">
      <c r="B260" s="373" t="s">
        <v>469</v>
      </c>
      <c r="C260" s="373" t="s">
        <v>1281</v>
      </c>
      <c r="D260" s="373" t="s">
        <v>518</v>
      </c>
      <c r="E260" s="373" t="s">
        <v>56</v>
      </c>
      <c r="F260" s="491" t="s">
        <v>543</v>
      </c>
      <c r="G260" s="492">
        <v>0.02</v>
      </c>
      <c r="H260" s="492">
        <v>1</v>
      </c>
    </row>
    <row r="261" spans="2:8" hidden="1" outlineLevel="2">
      <c r="B261" s="373" t="s">
        <v>469</v>
      </c>
      <c r="C261" s="373" t="s">
        <v>1281</v>
      </c>
      <c r="D261" s="373" t="s">
        <v>518</v>
      </c>
      <c r="E261" s="373" t="s">
        <v>56</v>
      </c>
      <c r="F261" s="491" t="s">
        <v>221</v>
      </c>
      <c r="G261" s="492">
        <v>0.01</v>
      </c>
      <c r="H261" s="492">
        <v>1</v>
      </c>
    </row>
    <row r="262" spans="2:8" hidden="1" outlineLevel="2">
      <c r="B262" s="373" t="s">
        <v>469</v>
      </c>
      <c r="C262" s="373" t="s">
        <v>1281</v>
      </c>
      <c r="D262" s="373" t="s">
        <v>518</v>
      </c>
      <c r="E262" s="373" t="s">
        <v>56</v>
      </c>
      <c r="F262" s="491" t="s">
        <v>1860</v>
      </c>
      <c r="G262" s="492">
        <v>0.4</v>
      </c>
      <c r="H262" s="492">
        <v>1</v>
      </c>
    </row>
    <row r="263" spans="2:8" hidden="1" outlineLevel="1" collapsed="1">
      <c r="B263" s="390" t="s">
        <v>897</v>
      </c>
      <c r="C263" s="390" t="s">
        <v>1201</v>
      </c>
      <c r="D263" s="390" t="s">
        <v>518</v>
      </c>
      <c r="E263" s="390" t="s">
        <v>56</v>
      </c>
      <c r="F263" s="475" t="s">
        <v>1957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897</v>
      </c>
      <c r="C264" s="373" t="s">
        <v>1201</v>
      </c>
      <c r="D264" s="373" t="s">
        <v>518</v>
      </c>
      <c r="E264" s="373" t="s">
        <v>56</v>
      </c>
      <c r="F264" s="491" t="s">
        <v>174</v>
      </c>
      <c r="G264" s="492">
        <v>6.0248605439999423E-2</v>
      </c>
      <c r="H264" s="492">
        <v>1</v>
      </c>
    </row>
    <row r="265" spans="2:8" hidden="1" outlineLevel="2">
      <c r="B265" s="373" t="s">
        <v>897</v>
      </c>
      <c r="C265" s="373" t="s">
        <v>1201</v>
      </c>
      <c r="D265" s="373" t="s">
        <v>518</v>
      </c>
      <c r="E265" s="373" t="s">
        <v>56</v>
      </c>
      <c r="F265" s="491" t="s">
        <v>552</v>
      </c>
      <c r="G265" s="492">
        <v>1.1911781127994301E-2</v>
      </c>
      <c r="H265" s="492">
        <v>1</v>
      </c>
    </row>
    <row r="266" spans="2:8" hidden="1" outlineLevel="2">
      <c r="B266" s="373" t="s">
        <v>897</v>
      </c>
      <c r="C266" s="373" t="s">
        <v>1201</v>
      </c>
      <c r="D266" s="373" t="s">
        <v>518</v>
      </c>
      <c r="E266" s="373" t="s">
        <v>56</v>
      </c>
      <c r="F266" s="491" t="s">
        <v>553</v>
      </c>
      <c r="G266" s="492">
        <v>1.1911781127994301E-2</v>
      </c>
      <c r="H266" s="492">
        <v>1</v>
      </c>
    </row>
    <row r="267" spans="2:8" hidden="1" outlineLevel="1" collapsed="1">
      <c r="B267" s="390" t="s">
        <v>898</v>
      </c>
      <c r="C267" s="390" t="s">
        <v>1785</v>
      </c>
      <c r="D267" s="390" t="s">
        <v>518</v>
      </c>
      <c r="E267" s="390" t="s">
        <v>56</v>
      </c>
      <c r="F267" s="475" t="s">
        <v>1958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898</v>
      </c>
      <c r="C268" s="373" t="s">
        <v>1785</v>
      </c>
      <c r="D268" s="373" t="s">
        <v>518</v>
      </c>
      <c r="E268" s="373" t="s">
        <v>56</v>
      </c>
      <c r="F268" s="491" t="s">
        <v>175</v>
      </c>
      <c r="G268" s="492">
        <v>7.0000000000000007E-2</v>
      </c>
      <c r="H268" s="492">
        <v>1</v>
      </c>
    </row>
    <row r="269" spans="2:8" hidden="1" outlineLevel="2">
      <c r="B269" s="373" t="s">
        <v>898</v>
      </c>
      <c r="C269" s="373" t="s">
        <v>1785</v>
      </c>
      <c r="D269" s="373" t="s">
        <v>518</v>
      </c>
      <c r="E269" s="373" t="s">
        <v>56</v>
      </c>
      <c r="F269" s="491" t="s">
        <v>174</v>
      </c>
      <c r="G269" s="492">
        <v>5.4103609800000001E-2</v>
      </c>
      <c r="H269" s="492">
        <v>1</v>
      </c>
    </row>
    <row r="270" spans="2:8" hidden="1" outlineLevel="2">
      <c r="B270" s="373" t="s">
        <v>898</v>
      </c>
      <c r="C270" s="373" t="s">
        <v>1785</v>
      </c>
      <c r="D270" s="373" t="s">
        <v>518</v>
      </c>
      <c r="E270" s="373" t="s">
        <v>56</v>
      </c>
      <c r="F270" s="491" t="s">
        <v>195</v>
      </c>
      <c r="G270" s="492">
        <v>4.5086341500000002E-2</v>
      </c>
      <c r="H270" s="492">
        <v>1</v>
      </c>
    </row>
    <row r="271" spans="2:8" hidden="1" outlineLevel="1" collapsed="1">
      <c r="B271" s="390" t="s">
        <v>899</v>
      </c>
      <c r="C271" s="390" t="s">
        <v>1178</v>
      </c>
      <c r="D271" s="390" t="s">
        <v>518</v>
      </c>
      <c r="E271" s="390" t="s">
        <v>56</v>
      </c>
      <c r="F271" s="475" t="s">
        <v>1959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899</v>
      </c>
      <c r="C272" s="373" t="s">
        <v>1178</v>
      </c>
      <c r="D272" s="373" t="s">
        <v>518</v>
      </c>
      <c r="E272" s="373" t="s">
        <v>56</v>
      </c>
      <c r="F272" s="491" t="s">
        <v>1791</v>
      </c>
      <c r="G272" s="492">
        <v>7.0000000000000007E-2</v>
      </c>
      <c r="H272" s="492">
        <v>1</v>
      </c>
    </row>
    <row r="273" spans="2:8" hidden="1" outlineLevel="2">
      <c r="B273" s="373" t="s">
        <v>899</v>
      </c>
      <c r="C273" s="373" t="s">
        <v>1178</v>
      </c>
      <c r="D273" s="373" t="s">
        <v>518</v>
      </c>
      <c r="E273" s="373" t="s">
        <v>56</v>
      </c>
      <c r="F273" s="491" t="s">
        <v>1792</v>
      </c>
      <c r="G273" s="492">
        <v>7.0000000000000007E-2</v>
      </c>
      <c r="H273" s="492">
        <v>1</v>
      </c>
    </row>
    <row r="274" spans="2:8" hidden="1" outlineLevel="2">
      <c r="B274" s="373" t="s">
        <v>899</v>
      </c>
      <c r="C274" s="373" t="s">
        <v>1178</v>
      </c>
      <c r="D274" s="373" t="s">
        <v>518</v>
      </c>
      <c r="E274" s="373" t="s">
        <v>56</v>
      </c>
      <c r="F274" s="491" t="s">
        <v>1793</v>
      </c>
      <c r="G274" s="492">
        <v>7.0000000000000007E-2</v>
      </c>
      <c r="H274" s="492">
        <v>1</v>
      </c>
    </row>
    <row r="275" spans="2:8" hidden="1" outlineLevel="2">
      <c r="B275" s="373" t="s">
        <v>899</v>
      </c>
      <c r="C275" s="373" t="s">
        <v>1178</v>
      </c>
      <c r="D275" s="373" t="s">
        <v>518</v>
      </c>
      <c r="E275" s="373" t="s">
        <v>56</v>
      </c>
      <c r="F275" s="491" t="s">
        <v>1795</v>
      </c>
      <c r="G275" s="492">
        <v>7.0000000000000007E-2</v>
      </c>
      <c r="H275" s="492">
        <v>1</v>
      </c>
    </row>
    <row r="276" spans="2:8" hidden="1" outlineLevel="2">
      <c r="B276" s="373" t="s">
        <v>899</v>
      </c>
      <c r="C276" s="373" t="s">
        <v>1178</v>
      </c>
      <c r="D276" s="373" t="s">
        <v>518</v>
      </c>
      <c r="E276" s="373" t="s">
        <v>56</v>
      </c>
      <c r="F276" s="491" t="s">
        <v>1797</v>
      </c>
      <c r="G276" s="492">
        <v>7.0000000000000007E-2</v>
      </c>
      <c r="H276" s="492">
        <v>1</v>
      </c>
    </row>
    <row r="277" spans="2:8" hidden="1" outlineLevel="2">
      <c r="B277" s="373" t="s">
        <v>899</v>
      </c>
      <c r="C277" s="373" t="s">
        <v>1178</v>
      </c>
      <c r="D277" s="373" t="s">
        <v>518</v>
      </c>
      <c r="E277" s="373" t="s">
        <v>56</v>
      </c>
      <c r="F277" s="491" t="s">
        <v>1798</v>
      </c>
      <c r="G277" s="492">
        <v>7.0000000000000007E-2</v>
      </c>
      <c r="H277" s="492">
        <v>1</v>
      </c>
    </row>
    <row r="278" spans="2:8" hidden="1" outlineLevel="2">
      <c r="B278" s="373" t="s">
        <v>899</v>
      </c>
      <c r="C278" s="373" t="s">
        <v>1178</v>
      </c>
      <c r="D278" s="373" t="s">
        <v>518</v>
      </c>
      <c r="E278" s="373" t="s">
        <v>56</v>
      </c>
      <c r="F278" s="491" t="s">
        <v>1799</v>
      </c>
      <c r="G278" s="492">
        <v>0.13</v>
      </c>
      <c r="H278" s="492">
        <v>1</v>
      </c>
    </row>
    <row r="279" spans="2:8" hidden="1" outlineLevel="2">
      <c r="B279" s="373" t="s">
        <v>899</v>
      </c>
      <c r="C279" s="373" t="s">
        <v>1178</v>
      </c>
      <c r="D279" s="373" t="s">
        <v>518</v>
      </c>
      <c r="E279" s="373" t="s">
        <v>56</v>
      </c>
      <c r="F279" s="491" t="s">
        <v>1801</v>
      </c>
      <c r="G279" s="492">
        <v>0.18</v>
      </c>
      <c r="H279" s="492">
        <v>1</v>
      </c>
    </row>
    <row r="280" spans="2:8" hidden="1" outlineLevel="2">
      <c r="B280" s="373" t="s">
        <v>899</v>
      </c>
      <c r="C280" s="373" t="s">
        <v>1178</v>
      </c>
      <c r="D280" s="373" t="s">
        <v>518</v>
      </c>
      <c r="E280" s="373" t="s">
        <v>56</v>
      </c>
      <c r="F280" s="491" t="s">
        <v>1803</v>
      </c>
      <c r="G280" s="492">
        <v>0.13</v>
      </c>
      <c r="H280" s="492">
        <v>1</v>
      </c>
    </row>
    <row r="281" spans="2:8" hidden="1" outlineLevel="2">
      <c r="B281" s="373" t="s">
        <v>899</v>
      </c>
      <c r="C281" s="373" t="s">
        <v>1178</v>
      </c>
      <c r="D281" s="373" t="s">
        <v>518</v>
      </c>
      <c r="E281" s="373" t="s">
        <v>56</v>
      </c>
      <c r="F281" s="491" t="s">
        <v>1804</v>
      </c>
      <c r="G281" s="492">
        <v>0.13</v>
      </c>
      <c r="H281" s="492">
        <v>1</v>
      </c>
    </row>
    <row r="282" spans="2:8" hidden="1" outlineLevel="2">
      <c r="B282" s="373" t="s">
        <v>899</v>
      </c>
      <c r="C282" s="373" t="s">
        <v>1178</v>
      </c>
      <c r="D282" s="373" t="s">
        <v>518</v>
      </c>
      <c r="E282" s="373" t="s">
        <v>56</v>
      </c>
      <c r="F282" s="491" t="s">
        <v>192</v>
      </c>
      <c r="G282" s="492">
        <v>0.13</v>
      </c>
      <c r="H282" s="492">
        <v>1</v>
      </c>
    </row>
    <row r="283" spans="2:8" hidden="1" outlineLevel="1" collapsed="1">
      <c r="B283" s="390" t="s">
        <v>946</v>
      </c>
      <c r="C283" s="390" t="s">
        <v>1195</v>
      </c>
      <c r="D283" s="390" t="s">
        <v>518</v>
      </c>
      <c r="E283" s="390" t="s">
        <v>56</v>
      </c>
      <c r="F283" s="475" t="s">
        <v>1960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946</v>
      </c>
      <c r="C284" s="373" t="s">
        <v>1195</v>
      </c>
      <c r="D284" s="373" t="s">
        <v>518</v>
      </c>
      <c r="E284" s="373" t="s">
        <v>56</v>
      </c>
      <c r="F284" s="491" t="s">
        <v>1810</v>
      </c>
      <c r="G284" s="492">
        <v>9.7617811500000009E-3</v>
      </c>
      <c r="H284" s="492">
        <v>1</v>
      </c>
    </row>
    <row r="285" spans="2:8" hidden="1" outlineLevel="2">
      <c r="B285" s="373" t="s">
        <v>946</v>
      </c>
      <c r="C285" s="373" t="s">
        <v>1195</v>
      </c>
      <c r="D285" s="373" t="s">
        <v>518</v>
      </c>
      <c r="E285" s="373" t="s">
        <v>56</v>
      </c>
      <c r="F285" s="491" t="s">
        <v>1807</v>
      </c>
      <c r="G285" s="492">
        <v>3.9047124600000004E-2</v>
      </c>
      <c r="H285" s="492">
        <v>1</v>
      </c>
    </row>
    <row r="286" spans="2:8" hidden="1" outlineLevel="2">
      <c r="B286" s="373" t="s">
        <v>946</v>
      </c>
      <c r="C286" s="373" t="s">
        <v>1195</v>
      </c>
      <c r="D286" s="373" t="s">
        <v>518</v>
      </c>
      <c r="E286" s="373" t="s">
        <v>56</v>
      </c>
      <c r="F286" s="491" t="s">
        <v>1808</v>
      </c>
      <c r="G286" s="492">
        <v>0.11799571852507491</v>
      </c>
      <c r="H286" s="492">
        <v>1</v>
      </c>
    </row>
    <row r="287" spans="2:8" hidden="1" outlineLevel="2">
      <c r="B287" s="373" t="s">
        <v>946</v>
      </c>
      <c r="C287" s="373" t="s">
        <v>1195</v>
      </c>
      <c r="D287" s="373" t="s">
        <v>518</v>
      </c>
      <c r="E287" s="373" t="s">
        <v>56</v>
      </c>
      <c r="F287" s="491" t="s">
        <v>1809</v>
      </c>
      <c r="G287" s="492">
        <v>0.11799571852507491</v>
      </c>
      <c r="H287" s="492">
        <v>1</v>
      </c>
    </row>
    <row r="288" spans="2:8" hidden="1" outlineLevel="1" collapsed="1">
      <c r="B288" s="390" t="s">
        <v>966</v>
      </c>
      <c r="C288" s="390" t="s">
        <v>1222</v>
      </c>
      <c r="D288" s="390" t="s">
        <v>518</v>
      </c>
      <c r="E288" s="390" t="s">
        <v>56</v>
      </c>
      <c r="F288" s="475" t="s">
        <v>1961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966</v>
      </c>
      <c r="C289" s="373" t="s">
        <v>1222</v>
      </c>
      <c r="D289" s="373" t="s">
        <v>518</v>
      </c>
      <c r="E289" s="373" t="s">
        <v>56</v>
      </c>
      <c r="F289" s="491" t="s">
        <v>206</v>
      </c>
      <c r="G289" s="492">
        <v>1.3962417684976238</v>
      </c>
      <c r="H289" s="492">
        <v>1</v>
      </c>
    </row>
    <row r="290" spans="2:8" hidden="1" outlineLevel="2">
      <c r="B290" s="373" t="s">
        <v>966</v>
      </c>
      <c r="C290" s="373" t="s">
        <v>1222</v>
      </c>
      <c r="D290" s="373" t="s">
        <v>518</v>
      </c>
      <c r="E290" s="373" t="s">
        <v>56</v>
      </c>
      <c r="F290" s="491" t="s">
        <v>199</v>
      </c>
      <c r="G290" s="492">
        <v>1.8616556913301652</v>
      </c>
      <c r="H290" s="492">
        <v>1</v>
      </c>
    </row>
    <row r="291" spans="2:8" hidden="1" outlineLevel="1">
      <c r="B291" s="373" t="s">
        <v>1168</v>
      </c>
      <c r="C291" s="373" t="s">
        <v>1583</v>
      </c>
      <c r="D291" s="373" t="s">
        <v>518</v>
      </c>
      <c r="E291" s="373" t="s">
        <v>56</v>
      </c>
      <c r="F291" s="475" t="s">
        <v>2043</v>
      </c>
      <c r="G291" s="492">
        <v>0</v>
      </c>
      <c r="H291" s="492">
        <v>0</v>
      </c>
    </row>
    <row r="292" spans="2:8" hidden="1" outlineLevel="1" collapsed="1">
      <c r="B292" s="390" t="s">
        <v>901</v>
      </c>
      <c r="C292" s="390" t="s">
        <v>1201</v>
      </c>
      <c r="D292" s="390" t="s">
        <v>518</v>
      </c>
      <c r="E292" s="390" t="s">
        <v>56</v>
      </c>
      <c r="F292" s="475" t="s">
        <v>1962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901</v>
      </c>
      <c r="C293" s="373" t="s">
        <v>1201</v>
      </c>
      <c r="D293" s="373" t="s">
        <v>518</v>
      </c>
      <c r="E293" s="373" t="s">
        <v>56</v>
      </c>
      <c r="F293" s="491" t="s">
        <v>209</v>
      </c>
      <c r="G293" s="492">
        <v>0.08</v>
      </c>
      <c r="H293" s="492">
        <v>1</v>
      </c>
    </row>
    <row r="294" spans="2:8" hidden="1" outlineLevel="2">
      <c r="B294" s="373" t="s">
        <v>901</v>
      </c>
      <c r="C294" s="373" t="s">
        <v>1201</v>
      </c>
      <c r="D294" s="373" t="s">
        <v>518</v>
      </c>
      <c r="E294" s="373" t="s">
        <v>56</v>
      </c>
      <c r="F294" s="491" t="s">
        <v>217</v>
      </c>
      <c r="G294" s="492">
        <v>0.17</v>
      </c>
      <c r="H294" s="492">
        <v>1</v>
      </c>
    </row>
    <row r="295" spans="2:8" hidden="1" outlineLevel="2">
      <c r="B295" s="373" t="s">
        <v>901</v>
      </c>
      <c r="C295" s="373" t="s">
        <v>1201</v>
      </c>
      <c r="D295" s="373" t="s">
        <v>518</v>
      </c>
      <c r="E295" s="373" t="s">
        <v>56</v>
      </c>
      <c r="F295" s="491" t="s">
        <v>174</v>
      </c>
      <c r="G295" s="492">
        <v>0.03</v>
      </c>
      <c r="H295" s="492">
        <v>1</v>
      </c>
    </row>
    <row r="296" spans="2:8" hidden="1" outlineLevel="2">
      <c r="B296" s="373" t="s">
        <v>901</v>
      </c>
      <c r="C296" s="373" t="s">
        <v>1201</v>
      </c>
      <c r="D296" s="373" t="s">
        <v>518</v>
      </c>
      <c r="E296" s="373" t="s">
        <v>56</v>
      </c>
      <c r="F296" s="491" t="s">
        <v>195</v>
      </c>
      <c r="G296" s="492">
        <v>0.03</v>
      </c>
      <c r="H296" s="492">
        <v>1</v>
      </c>
    </row>
    <row r="297" spans="2:8" hidden="1" outlineLevel="2">
      <c r="B297" s="373" t="s">
        <v>901</v>
      </c>
      <c r="C297" s="373" t="s">
        <v>1201</v>
      </c>
      <c r="D297" s="373" t="s">
        <v>518</v>
      </c>
      <c r="E297" s="373" t="s">
        <v>56</v>
      </c>
      <c r="F297" s="491" t="s">
        <v>1822</v>
      </c>
      <c r="G297" s="492">
        <v>7.0000000000000007E-2</v>
      </c>
      <c r="H297" s="492">
        <v>1</v>
      </c>
    </row>
    <row r="298" spans="2:8" hidden="1" outlineLevel="1" collapsed="1">
      <c r="B298" s="390" t="s">
        <v>162</v>
      </c>
      <c r="C298" s="390" t="s">
        <v>162</v>
      </c>
      <c r="D298" s="390" t="s">
        <v>518</v>
      </c>
      <c r="E298" s="390" t="s">
        <v>56</v>
      </c>
      <c r="F298" s="475" t="s">
        <v>1980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162</v>
      </c>
      <c r="C299" s="373" t="s">
        <v>162</v>
      </c>
      <c r="D299" s="373" t="s">
        <v>518</v>
      </c>
      <c r="E299" s="373" t="s">
        <v>56</v>
      </c>
      <c r="F299" s="491" t="s">
        <v>543</v>
      </c>
      <c r="G299" s="492">
        <v>0.40295193575893268</v>
      </c>
      <c r="H299" s="492">
        <v>1</v>
      </c>
    </row>
    <row r="300" spans="2:8" hidden="1" outlineLevel="2">
      <c r="B300" s="373" t="s">
        <v>162</v>
      </c>
      <c r="C300" s="373" t="s">
        <v>162</v>
      </c>
      <c r="D300" s="373" t="s">
        <v>518</v>
      </c>
      <c r="E300" s="373" t="s">
        <v>56</v>
      </c>
      <c r="F300" s="491" t="s">
        <v>221</v>
      </c>
      <c r="G300" s="492">
        <v>0.33579327979911056</v>
      </c>
      <c r="H300" s="492">
        <v>1</v>
      </c>
    </row>
    <row r="301" spans="2:8" hidden="1" outlineLevel="2">
      <c r="B301" s="373" t="s">
        <v>162</v>
      </c>
      <c r="C301" s="373" t="s">
        <v>162</v>
      </c>
      <c r="D301" s="373" t="s">
        <v>518</v>
      </c>
      <c r="E301" s="373" t="s">
        <v>56</v>
      </c>
      <c r="F301" s="491" t="s">
        <v>245</v>
      </c>
      <c r="G301" s="492">
        <v>3.0990830409541533E-2</v>
      </c>
      <c r="H301" s="492">
        <v>1</v>
      </c>
    </row>
    <row r="302" spans="2:8" hidden="1" outlineLevel="2">
      <c r="B302" s="373" t="s">
        <v>162</v>
      </c>
      <c r="C302" s="373" t="s">
        <v>162</v>
      </c>
      <c r="D302" s="373" t="s">
        <v>518</v>
      </c>
      <c r="E302" s="373" t="s">
        <v>56</v>
      </c>
      <c r="F302" s="491" t="s">
        <v>283</v>
      </c>
      <c r="G302" s="492">
        <v>3.0990830409541533E-2</v>
      </c>
      <c r="H302" s="492">
        <v>1</v>
      </c>
    </row>
    <row r="303" spans="2:8" hidden="1" outlineLevel="1" collapsed="1">
      <c r="B303" s="390" t="s">
        <v>1638</v>
      </c>
      <c r="C303" s="390" t="s">
        <v>1220</v>
      </c>
      <c r="D303" s="390" t="s">
        <v>518</v>
      </c>
      <c r="E303" s="390" t="s">
        <v>56</v>
      </c>
      <c r="F303" s="475" t="s">
        <v>2044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1638</v>
      </c>
      <c r="C304" s="373" t="s">
        <v>1220</v>
      </c>
      <c r="D304" s="373" t="s">
        <v>518</v>
      </c>
      <c r="E304" s="373" t="s">
        <v>56</v>
      </c>
      <c r="F304" s="491" t="s">
        <v>1551</v>
      </c>
      <c r="G304" s="492">
        <v>0.03</v>
      </c>
      <c r="H304" s="492">
        <v>1</v>
      </c>
    </row>
    <row r="305" spans="2:8" hidden="1" outlineLevel="1" collapsed="1">
      <c r="B305" s="390" t="s">
        <v>252</v>
      </c>
      <c r="C305" s="390" t="s">
        <v>252</v>
      </c>
      <c r="D305" s="390" t="s">
        <v>518</v>
      </c>
      <c r="E305" s="390" t="s">
        <v>56</v>
      </c>
      <c r="F305" s="475" t="s">
        <v>1981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252</v>
      </c>
      <c r="C306" s="373" t="s">
        <v>252</v>
      </c>
      <c r="D306" s="373" t="s">
        <v>518</v>
      </c>
      <c r="E306" s="373" t="s">
        <v>56</v>
      </c>
      <c r="F306" s="491" t="s">
        <v>1839</v>
      </c>
      <c r="G306" s="492">
        <v>2.25123394992</v>
      </c>
      <c r="H306" s="492">
        <v>1</v>
      </c>
    </row>
    <row r="307" spans="2:8" hidden="1" outlineLevel="2">
      <c r="B307" s="373" t="s">
        <v>252</v>
      </c>
      <c r="C307" s="373" t="s">
        <v>252</v>
      </c>
      <c r="D307" s="373" t="s">
        <v>518</v>
      </c>
      <c r="E307" s="373" t="s">
        <v>56</v>
      </c>
      <c r="F307" s="491" t="s">
        <v>1323</v>
      </c>
      <c r="G307" s="492">
        <v>0.5295810499200001</v>
      </c>
      <c r="H307" s="492">
        <v>1</v>
      </c>
    </row>
    <row r="308" spans="2:8" hidden="1" outlineLevel="2">
      <c r="B308" s="373" t="s">
        <v>252</v>
      </c>
      <c r="C308" s="373" t="s">
        <v>252</v>
      </c>
      <c r="D308" s="373" t="s">
        <v>518</v>
      </c>
      <c r="E308" s="373" t="s">
        <v>56</v>
      </c>
      <c r="F308" s="491" t="s">
        <v>1556</v>
      </c>
      <c r="G308" s="492">
        <v>2.5612785000000002E-2</v>
      </c>
      <c r="H308" s="492">
        <v>1</v>
      </c>
    </row>
    <row r="309" spans="2:8" hidden="1" outlineLevel="2">
      <c r="B309" s="373" t="s">
        <v>252</v>
      </c>
      <c r="C309" s="373" t="s">
        <v>252</v>
      </c>
      <c r="D309" s="373" t="s">
        <v>518</v>
      </c>
      <c r="E309" s="373" t="s">
        <v>56</v>
      </c>
      <c r="F309" s="491" t="s">
        <v>1841</v>
      </c>
      <c r="G309" s="492">
        <v>0.10833933000000003</v>
      </c>
      <c r="H309" s="492">
        <v>1</v>
      </c>
    </row>
    <row r="310" spans="2:8" hidden="1" outlineLevel="2">
      <c r="B310" s="373" t="s">
        <v>252</v>
      </c>
      <c r="C310" s="373" t="s">
        <v>252</v>
      </c>
      <c r="D310" s="373" t="s">
        <v>518</v>
      </c>
      <c r="E310" s="373" t="s">
        <v>56</v>
      </c>
      <c r="F310" s="491" t="s">
        <v>1558</v>
      </c>
      <c r="G310" s="492">
        <v>5.4169665000000013E-2</v>
      </c>
      <c r="H310" s="492">
        <v>1</v>
      </c>
    </row>
    <row r="311" spans="2:8" hidden="1" outlineLevel="2">
      <c r="B311" s="373" t="s">
        <v>252</v>
      </c>
      <c r="C311" s="373" t="s">
        <v>252</v>
      </c>
      <c r="D311" s="373" t="s">
        <v>518</v>
      </c>
      <c r="E311" s="373" t="s">
        <v>56</v>
      </c>
      <c r="F311" s="491" t="s">
        <v>1844</v>
      </c>
      <c r="G311" s="492">
        <v>0.10833933000000003</v>
      </c>
      <c r="H311" s="492">
        <v>1</v>
      </c>
    </row>
    <row r="312" spans="2:8" hidden="1" outlineLevel="2">
      <c r="B312" s="373" t="s">
        <v>252</v>
      </c>
      <c r="C312" s="373" t="s">
        <v>252</v>
      </c>
      <c r="D312" s="373" t="s">
        <v>518</v>
      </c>
      <c r="E312" s="373" t="s">
        <v>56</v>
      </c>
      <c r="F312" s="491" t="s">
        <v>1560</v>
      </c>
      <c r="G312" s="492">
        <v>5.4169665000000013E-2</v>
      </c>
      <c r="H312" s="492">
        <v>1</v>
      </c>
    </row>
    <row r="313" spans="2:8" hidden="1" outlineLevel="2">
      <c r="B313" s="373" t="s">
        <v>252</v>
      </c>
      <c r="C313" s="373" t="s">
        <v>252</v>
      </c>
      <c r="D313" s="373" t="s">
        <v>518</v>
      </c>
      <c r="E313" s="373" t="s">
        <v>56</v>
      </c>
      <c r="F313" s="491" t="s">
        <v>1845</v>
      </c>
      <c r="G313" s="492">
        <v>0.10833933000000003</v>
      </c>
      <c r="H313" s="492">
        <v>1</v>
      </c>
    </row>
    <row r="314" spans="2:8" hidden="1" outlineLevel="2">
      <c r="B314" s="373" t="s">
        <v>252</v>
      </c>
      <c r="C314" s="373" t="s">
        <v>252</v>
      </c>
      <c r="D314" s="373" t="s">
        <v>518</v>
      </c>
      <c r="E314" s="373" t="s">
        <v>56</v>
      </c>
      <c r="F314" s="491" t="s">
        <v>1562</v>
      </c>
      <c r="G314" s="492">
        <v>5.4169665000000013E-2</v>
      </c>
      <c r="H314" s="492">
        <v>1</v>
      </c>
    </row>
    <row r="315" spans="2:8" hidden="1" outlineLevel="2">
      <c r="B315" s="373" t="s">
        <v>252</v>
      </c>
      <c r="C315" s="373" t="s">
        <v>252</v>
      </c>
      <c r="D315" s="373" t="s">
        <v>518</v>
      </c>
      <c r="E315" s="373" t="s">
        <v>56</v>
      </c>
      <c r="F315" s="491" t="s">
        <v>1847</v>
      </c>
      <c r="G315" s="492">
        <v>0.10833933000000003</v>
      </c>
      <c r="H315" s="492">
        <v>1</v>
      </c>
    </row>
    <row r="316" spans="2:8" hidden="1" outlineLevel="2">
      <c r="B316" s="373" t="s">
        <v>252</v>
      </c>
      <c r="C316" s="373" t="s">
        <v>252</v>
      </c>
      <c r="D316" s="373" t="s">
        <v>518</v>
      </c>
      <c r="E316" s="373" t="s">
        <v>56</v>
      </c>
      <c r="F316" s="491" t="s">
        <v>1565</v>
      </c>
      <c r="G316" s="492">
        <v>5.4169665000000013E-2</v>
      </c>
      <c r="H316" s="492">
        <v>1</v>
      </c>
    </row>
    <row r="317" spans="2:8" hidden="1" outlineLevel="2">
      <c r="B317" s="373" t="s">
        <v>252</v>
      </c>
      <c r="C317" s="373" t="s">
        <v>252</v>
      </c>
      <c r="D317" s="373" t="s">
        <v>518</v>
      </c>
      <c r="E317" s="373" t="s">
        <v>56</v>
      </c>
      <c r="F317" s="491" t="s">
        <v>1567</v>
      </c>
      <c r="G317" s="492">
        <v>5.1225570000000005E-2</v>
      </c>
      <c r="H317" s="492">
        <v>1</v>
      </c>
    </row>
    <row r="318" spans="2:8" hidden="1" outlineLevel="2">
      <c r="B318" s="373" t="s">
        <v>252</v>
      </c>
      <c r="C318" s="373" t="s">
        <v>252</v>
      </c>
      <c r="D318" s="373" t="s">
        <v>518</v>
      </c>
      <c r="E318" s="373" t="s">
        <v>56</v>
      </c>
      <c r="F318" s="491" t="s">
        <v>1568</v>
      </c>
      <c r="G318" s="492">
        <v>5.1225570000000005E-2</v>
      </c>
      <c r="H318" s="492">
        <v>1</v>
      </c>
    </row>
    <row r="319" spans="2:8" hidden="1" outlineLevel="2">
      <c r="B319" s="373" t="s">
        <v>252</v>
      </c>
      <c r="C319" s="373" t="s">
        <v>252</v>
      </c>
      <c r="D319" s="373" t="s">
        <v>518</v>
      </c>
      <c r="E319" s="373" t="s">
        <v>56</v>
      </c>
      <c r="F319" s="491" t="s">
        <v>1569</v>
      </c>
      <c r="G319" s="492">
        <v>5.1225570000000005E-2</v>
      </c>
      <c r="H319" s="492">
        <v>1</v>
      </c>
    </row>
    <row r="320" spans="2:8" hidden="1" outlineLevel="2">
      <c r="B320" s="373" t="s">
        <v>252</v>
      </c>
      <c r="C320" s="373" t="s">
        <v>252</v>
      </c>
      <c r="D320" s="373" t="s">
        <v>518</v>
      </c>
      <c r="E320" s="373" t="s">
        <v>56</v>
      </c>
      <c r="F320" s="491" t="s">
        <v>1570</v>
      </c>
      <c r="G320" s="492">
        <v>2.5612785000000002E-2</v>
      </c>
      <c r="H320" s="492">
        <v>1</v>
      </c>
    </row>
    <row r="321" spans="2:8" hidden="1" outlineLevel="1" collapsed="1">
      <c r="B321" s="390" t="s">
        <v>903</v>
      </c>
      <c r="C321" s="390" t="s">
        <v>903</v>
      </c>
      <c r="D321" s="390" t="s">
        <v>518</v>
      </c>
      <c r="E321" s="390" t="s">
        <v>56</v>
      </c>
      <c r="F321" s="475" t="s">
        <v>1982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903</v>
      </c>
      <c r="C322" s="373" t="s">
        <v>903</v>
      </c>
      <c r="D322" s="373" t="s">
        <v>518</v>
      </c>
      <c r="E322" s="373" t="s">
        <v>56</v>
      </c>
      <c r="F322" s="491" t="s">
        <v>273</v>
      </c>
      <c r="G322" s="492">
        <v>0.20115878538561949</v>
      </c>
      <c r="H322" s="492">
        <v>1</v>
      </c>
    </row>
    <row r="323" spans="2:8" hidden="1" outlineLevel="2">
      <c r="B323" s="373" t="s">
        <v>903</v>
      </c>
      <c r="C323" s="373" t="s">
        <v>903</v>
      </c>
      <c r="D323" s="373" t="s">
        <v>518</v>
      </c>
      <c r="E323" s="373" t="s">
        <v>56</v>
      </c>
      <c r="F323" s="491" t="s">
        <v>246</v>
      </c>
      <c r="G323" s="492">
        <v>5.8456730700000001E-2</v>
      </c>
      <c r="H323" s="492">
        <v>1</v>
      </c>
    </row>
    <row r="324" spans="2:8" hidden="1" outlineLevel="2">
      <c r="B324" s="373" t="s">
        <v>903</v>
      </c>
      <c r="C324" s="373" t="s">
        <v>903</v>
      </c>
      <c r="D324" s="373" t="s">
        <v>518</v>
      </c>
      <c r="E324" s="373" t="s">
        <v>56</v>
      </c>
      <c r="F324" s="491" t="s">
        <v>247</v>
      </c>
      <c r="G324" s="492">
        <v>4.8713942250000003E-2</v>
      </c>
      <c r="H324" s="492">
        <v>1</v>
      </c>
    </row>
    <row r="325" spans="2:8" hidden="1" outlineLevel="2">
      <c r="B325" s="373" t="s">
        <v>903</v>
      </c>
      <c r="C325" s="373" t="s">
        <v>903</v>
      </c>
      <c r="D325" s="373" t="s">
        <v>518</v>
      </c>
      <c r="E325" s="373" t="s">
        <v>56</v>
      </c>
      <c r="F325" s="491" t="s">
        <v>243</v>
      </c>
      <c r="G325" s="492">
        <v>2.5989279749999997E-2</v>
      </c>
      <c r="H325" s="492">
        <v>1</v>
      </c>
    </row>
    <row r="326" spans="2:8" hidden="1" outlineLevel="2">
      <c r="B326" s="373" t="s">
        <v>903</v>
      </c>
      <c r="C326" s="373" t="s">
        <v>903</v>
      </c>
      <c r="D326" s="373" t="s">
        <v>518</v>
      </c>
      <c r="E326" s="373" t="s">
        <v>56</v>
      </c>
      <c r="F326" s="491" t="s">
        <v>245</v>
      </c>
      <c r="G326" s="492">
        <v>3.7127542499999998E-3</v>
      </c>
      <c r="H326" s="492">
        <v>1</v>
      </c>
    </row>
    <row r="327" spans="2:8" hidden="1" outlineLevel="2">
      <c r="B327" s="373" t="s">
        <v>903</v>
      </c>
      <c r="C327" s="373" t="s">
        <v>903</v>
      </c>
      <c r="D327" s="373" t="s">
        <v>518</v>
      </c>
      <c r="E327" s="373" t="s">
        <v>56</v>
      </c>
      <c r="F327" s="491" t="s">
        <v>551</v>
      </c>
      <c r="G327" s="492">
        <v>7.4255085000000005E-3</v>
      </c>
      <c r="H327" s="492">
        <v>1</v>
      </c>
    </row>
    <row r="328" spans="2:8" hidden="1" outlineLevel="1">
      <c r="B328" s="390" t="s">
        <v>502</v>
      </c>
      <c r="C328" s="390" t="s">
        <v>502</v>
      </c>
      <c r="D328" s="390" t="s">
        <v>518</v>
      </c>
      <c r="E328" s="390" t="s">
        <v>56</v>
      </c>
      <c r="F328" s="475" t="s">
        <v>1983</v>
      </c>
      <c r="G328" s="490">
        <v>0</v>
      </c>
      <c r="H328" s="490">
        <v>0</v>
      </c>
    </row>
    <row r="329" spans="2:8" hidden="1" outlineLevel="1">
      <c r="B329" s="390" t="s">
        <v>414</v>
      </c>
      <c r="C329" s="390" t="s">
        <v>414</v>
      </c>
      <c r="D329" s="390" t="s">
        <v>518</v>
      </c>
      <c r="E329" s="390" t="s">
        <v>56</v>
      </c>
      <c r="F329" s="475" t="s">
        <v>1989</v>
      </c>
      <c r="G329" s="490">
        <v>0</v>
      </c>
      <c r="H329" s="490">
        <v>0</v>
      </c>
    </row>
    <row r="330" spans="2:8" hidden="1" outlineLevel="1">
      <c r="B330" s="390" t="s">
        <v>612</v>
      </c>
      <c r="C330" s="390" t="s">
        <v>612</v>
      </c>
      <c r="D330" s="390" t="s">
        <v>518</v>
      </c>
      <c r="E330" s="390" t="s">
        <v>56</v>
      </c>
      <c r="F330" s="475" t="s">
        <v>1992</v>
      </c>
      <c r="G330" s="490">
        <v>0</v>
      </c>
      <c r="H330" s="490">
        <v>0</v>
      </c>
    </row>
    <row r="331" spans="2:8" hidden="1" outlineLevel="1" collapsed="1">
      <c r="B331" s="390" t="s">
        <v>225</v>
      </c>
      <c r="C331" s="390" t="s">
        <v>1206</v>
      </c>
      <c r="D331" s="390" t="s">
        <v>518</v>
      </c>
      <c r="E331" s="390" t="s">
        <v>56</v>
      </c>
      <c r="F331" s="475" t="s">
        <v>1963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225</v>
      </c>
      <c r="C332" s="373" t="s">
        <v>1206</v>
      </c>
      <c r="D332" s="373" t="s">
        <v>518</v>
      </c>
      <c r="E332" s="373" t="s">
        <v>56</v>
      </c>
      <c r="F332" s="491" t="s">
        <v>36</v>
      </c>
      <c r="G332" s="492">
        <v>1.9200000000000002E-2</v>
      </c>
      <c r="H332" s="492">
        <v>1</v>
      </c>
    </row>
    <row r="333" spans="2:8" hidden="1" outlineLevel="1" collapsed="1">
      <c r="B333" s="390" t="s">
        <v>229</v>
      </c>
      <c r="C333" s="390" t="s">
        <v>1211</v>
      </c>
      <c r="D333" s="390" t="s">
        <v>518</v>
      </c>
      <c r="E333" s="390" t="s">
        <v>56</v>
      </c>
      <c r="F333" s="475" t="s">
        <v>1964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229</v>
      </c>
      <c r="C334" s="373" t="s">
        <v>1211</v>
      </c>
      <c r="D334" s="373" t="s">
        <v>518</v>
      </c>
      <c r="E334" s="373" t="s">
        <v>56</v>
      </c>
      <c r="F334" s="491" t="s">
        <v>1209</v>
      </c>
      <c r="G334" s="492">
        <v>5.9424000000000005E-2</v>
      </c>
      <c r="H334" s="492">
        <v>1</v>
      </c>
    </row>
    <row r="335" spans="2:8" hidden="1" outlineLevel="2">
      <c r="B335" s="373" t="s">
        <v>229</v>
      </c>
      <c r="C335" s="373" t="s">
        <v>1211</v>
      </c>
      <c r="D335" s="373" t="s">
        <v>518</v>
      </c>
      <c r="E335" s="373" t="s">
        <v>56</v>
      </c>
      <c r="F335" s="491" t="s">
        <v>1210</v>
      </c>
      <c r="G335" s="492">
        <v>0.14856</v>
      </c>
      <c r="H335" s="492">
        <v>1</v>
      </c>
    </row>
    <row r="336" spans="2:8" hidden="1" outlineLevel="2">
      <c r="B336" s="373" t="s">
        <v>229</v>
      </c>
      <c r="C336" s="373" t="s">
        <v>1211</v>
      </c>
      <c r="D336" s="373" t="s">
        <v>518</v>
      </c>
      <c r="E336" s="373" t="s">
        <v>56</v>
      </c>
      <c r="F336" s="491" t="s">
        <v>1215</v>
      </c>
      <c r="G336" s="492">
        <v>1.4856000000000001E-2</v>
      </c>
      <c r="H336" s="492">
        <v>1</v>
      </c>
    </row>
    <row r="337" spans="2:8" hidden="1" outlineLevel="1">
      <c r="B337" s="390" t="s">
        <v>498</v>
      </c>
      <c r="C337" s="390" t="s">
        <v>1217</v>
      </c>
      <c r="D337" s="390" t="s">
        <v>518</v>
      </c>
      <c r="E337" s="390" t="s">
        <v>56</v>
      </c>
      <c r="F337" s="475" t="s">
        <v>1965</v>
      </c>
      <c r="G337" s="490">
        <v>0</v>
      </c>
      <c r="H337" s="490">
        <v>0</v>
      </c>
    </row>
    <row r="338" spans="2:8" hidden="1" outlineLevel="1" collapsed="1">
      <c r="B338" s="390" t="s">
        <v>985</v>
      </c>
      <c r="C338" s="390" t="s">
        <v>985</v>
      </c>
      <c r="D338" s="390" t="s">
        <v>518</v>
      </c>
      <c r="E338" s="390" t="s">
        <v>56</v>
      </c>
      <c r="F338" s="475" t="s">
        <v>2046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985</v>
      </c>
      <c r="C339" s="373" t="s">
        <v>985</v>
      </c>
      <c r="D339" s="373" t="s">
        <v>518</v>
      </c>
      <c r="E339" s="373" t="s">
        <v>56</v>
      </c>
      <c r="F339" s="491" t="s">
        <v>36</v>
      </c>
      <c r="G339" s="492"/>
      <c r="H339" s="492">
        <v>1</v>
      </c>
    </row>
    <row r="340" spans="2:8" hidden="1" outlineLevel="1" collapsed="1">
      <c r="B340" s="390" t="s">
        <v>497</v>
      </c>
      <c r="C340" s="390" t="s">
        <v>1371</v>
      </c>
      <c r="D340" s="390" t="s">
        <v>518</v>
      </c>
      <c r="E340" s="390" t="s">
        <v>56</v>
      </c>
      <c r="F340" s="475" t="s">
        <v>1974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497</v>
      </c>
      <c r="C341" s="373" t="s">
        <v>1371</v>
      </c>
      <c r="D341" s="373" t="s">
        <v>518</v>
      </c>
      <c r="E341" s="373" t="s">
        <v>56</v>
      </c>
      <c r="F341" s="491" t="s">
        <v>36</v>
      </c>
      <c r="G341" s="492">
        <v>0.19</v>
      </c>
      <c r="H341" s="492">
        <v>1</v>
      </c>
    </row>
    <row r="342" spans="2:8" hidden="1" outlineLevel="1" collapsed="1">
      <c r="B342" s="390" t="s">
        <v>902</v>
      </c>
      <c r="C342" s="390" t="s">
        <v>1220</v>
      </c>
      <c r="D342" s="390" t="s">
        <v>518</v>
      </c>
      <c r="E342" s="390" t="s">
        <v>56</v>
      </c>
      <c r="F342" s="475" t="s">
        <v>1966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902</v>
      </c>
      <c r="C343" s="373" t="s">
        <v>1220</v>
      </c>
      <c r="D343" s="373" t="s">
        <v>518</v>
      </c>
      <c r="E343" s="373" t="s">
        <v>56</v>
      </c>
      <c r="F343" s="491" t="s">
        <v>206</v>
      </c>
      <c r="G343" s="492">
        <v>0.17172000000000001</v>
      </c>
      <c r="H343" s="492">
        <v>1</v>
      </c>
    </row>
    <row r="344" spans="2:8" hidden="1" outlineLevel="1" collapsed="1">
      <c r="B344" s="390" t="s">
        <v>964</v>
      </c>
      <c r="C344" s="390" t="s">
        <v>1247</v>
      </c>
      <c r="D344" s="390" t="s">
        <v>518</v>
      </c>
      <c r="E344" s="390" t="s">
        <v>56</v>
      </c>
      <c r="F344" s="475" t="s">
        <v>1975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964</v>
      </c>
      <c r="C345" s="373" t="s">
        <v>1247</v>
      </c>
      <c r="D345" s="373" t="s">
        <v>518</v>
      </c>
      <c r="E345" s="373" t="s">
        <v>56</v>
      </c>
      <c r="F345" s="491" t="s">
        <v>206</v>
      </c>
      <c r="G345" s="492">
        <v>7.8635040000000003E-2</v>
      </c>
      <c r="H345" s="492">
        <v>1</v>
      </c>
    </row>
    <row r="346" spans="2:8" hidden="1" outlineLevel="1" collapsed="1">
      <c r="B346" s="390" t="s">
        <v>1163</v>
      </c>
      <c r="C346" s="390" t="s">
        <v>1163</v>
      </c>
      <c r="D346" s="390" t="s">
        <v>518</v>
      </c>
      <c r="E346" s="390" t="s">
        <v>56</v>
      </c>
      <c r="F346" s="475" t="s">
        <v>1967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1163</v>
      </c>
      <c r="C347" s="373" t="s">
        <v>1163</v>
      </c>
      <c r="D347" s="373" t="s">
        <v>518</v>
      </c>
      <c r="E347" s="373" t="s">
        <v>56</v>
      </c>
      <c r="F347" s="491" t="s">
        <v>206</v>
      </c>
      <c r="G347" s="492">
        <v>1.5183228000000002</v>
      </c>
      <c r="H347" s="492">
        <v>1</v>
      </c>
    </row>
    <row r="348" spans="2:8" hidden="1" outlineLevel="2">
      <c r="B348" s="373" t="s">
        <v>1163</v>
      </c>
      <c r="C348" s="373" t="s">
        <v>1163</v>
      </c>
      <c r="D348" s="373" t="s">
        <v>518</v>
      </c>
      <c r="E348" s="373" t="s">
        <v>56</v>
      </c>
      <c r="F348" s="491" t="s">
        <v>209</v>
      </c>
      <c r="G348" s="492">
        <v>0.5061076000000001</v>
      </c>
      <c r="H348" s="492">
        <v>1</v>
      </c>
    </row>
    <row r="349" spans="2:8" hidden="1" outlineLevel="1" collapsed="1">
      <c r="B349" s="390" t="s">
        <v>1165</v>
      </c>
      <c r="C349" s="390" t="s">
        <v>1165</v>
      </c>
      <c r="D349" s="390" t="s">
        <v>518</v>
      </c>
      <c r="E349" s="390" t="s">
        <v>56</v>
      </c>
      <c r="F349" s="475" t="s">
        <v>1978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1165</v>
      </c>
      <c r="C350" s="373" t="s">
        <v>1165</v>
      </c>
      <c r="D350" s="373" t="s">
        <v>518</v>
      </c>
      <c r="E350" s="373" t="s">
        <v>56</v>
      </c>
      <c r="F350" s="491" t="s">
        <v>206</v>
      </c>
      <c r="G350" s="492">
        <v>1.5621756360000001</v>
      </c>
      <c r="H350" s="492">
        <v>1</v>
      </c>
    </row>
    <row r="351" spans="2:8" hidden="1" outlineLevel="1" collapsed="1">
      <c r="B351" s="390" t="s">
        <v>1164</v>
      </c>
      <c r="C351" s="390" t="s">
        <v>1164</v>
      </c>
      <c r="D351" s="390" t="s">
        <v>518</v>
      </c>
      <c r="E351" s="390" t="s">
        <v>56</v>
      </c>
      <c r="F351" s="475" t="s">
        <v>1976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1164</v>
      </c>
      <c r="C352" s="373" t="s">
        <v>1164</v>
      </c>
      <c r="D352" s="373" t="s">
        <v>518</v>
      </c>
      <c r="E352" s="373" t="s">
        <v>56</v>
      </c>
      <c r="F352" s="491" t="s">
        <v>206</v>
      </c>
      <c r="G352" s="492">
        <v>0.52072521199999999</v>
      </c>
      <c r="H352" s="492">
        <v>1</v>
      </c>
    </row>
    <row r="353" spans="2:8" hidden="1" outlineLevel="1" collapsed="1">
      <c r="B353" s="390" t="s">
        <v>973</v>
      </c>
      <c r="C353" s="390" t="s">
        <v>973</v>
      </c>
      <c r="D353" s="390" t="s">
        <v>518</v>
      </c>
      <c r="E353" s="390" t="s">
        <v>56</v>
      </c>
      <c r="F353" s="475" t="s">
        <v>1977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973</v>
      </c>
      <c r="C354" s="373" t="s">
        <v>973</v>
      </c>
      <c r="D354" s="373" t="s">
        <v>518</v>
      </c>
      <c r="E354" s="373" t="s">
        <v>56</v>
      </c>
      <c r="F354" s="491" t="s">
        <v>206</v>
      </c>
      <c r="G354" s="492">
        <v>0.1431</v>
      </c>
      <c r="H354" s="492">
        <v>1</v>
      </c>
    </row>
    <row r="355" spans="2:8" hidden="1" outlineLevel="2">
      <c r="B355" s="373" t="s">
        <v>973</v>
      </c>
      <c r="C355" s="373" t="s">
        <v>973</v>
      </c>
      <c r="D355" s="373" t="s">
        <v>518</v>
      </c>
      <c r="E355" s="373" t="s">
        <v>56</v>
      </c>
      <c r="F355" s="491" t="s">
        <v>199</v>
      </c>
      <c r="G355" s="492">
        <v>0.28620000000000001</v>
      </c>
      <c r="H355" s="492">
        <v>1</v>
      </c>
    </row>
    <row r="356" spans="2:8" hidden="1" outlineLevel="2">
      <c r="B356" s="373" t="s">
        <v>973</v>
      </c>
      <c r="C356" s="373" t="s">
        <v>973</v>
      </c>
      <c r="D356" s="373" t="s">
        <v>518</v>
      </c>
      <c r="E356" s="373" t="s">
        <v>56</v>
      </c>
      <c r="F356" s="491" t="s">
        <v>608</v>
      </c>
      <c r="G356" s="492">
        <v>0.1431</v>
      </c>
      <c r="H356" s="492">
        <v>1</v>
      </c>
    </row>
    <row r="357" spans="2:8" hidden="1" outlineLevel="1" collapsed="1">
      <c r="B357" s="390" t="s">
        <v>975</v>
      </c>
      <c r="C357" s="390" t="s">
        <v>1201</v>
      </c>
      <c r="D357" s="390" t="s">
        <v>518</v>
      </c>
      <c r="E357" s="390" t="s">
        <v>56</v>
      </c>
      <c r="F357" s="475" t="s">
        <v>1984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975</v>
      </c>
      <c r="C358" s="373" t="s">
        <v>1201</v>
      </c>
      <c r="D358" s="373" t="s">
        <v>518</v>
      </c>
      <c r="E358" s="373" t="s">
        <v>56</v>
      </c>
      <c r="F358" s="491" t="s">
        <v>206</v>
      </c>
      <c r="G358" s="492">
        <v>0.36252000000000001</v>
      </c>
      <c r="H358" s="492">
        <v>1</v>
      </c>
    </row>
    <row r="359" spans="2:8" hidden="1" outlineLevel="2">
      <c r="B359" s="373" t="s">
        <v>975</v>
      </c>
      <c r="C359" s="373" t="s">
        <v>1201</v>
      </c>
      <c r="D359" s="373" t="s">
        <v>518</v>
      </c>
      <c r="E359" s="373" t="s">
        <v>56</v>
      </c>
      <c r="F359" s="491" t="s">
        <v>608</v>
      </c>
      <c r="G359" s="492">
        <v>0.36252000000000001</v>
      </c>
      <c r="H359" s="492">
        <v>1</v>
      </c>
    </row>
    <row r="360" spans="2:8" hidden="1" outlineLevel="1" collapsed="1">
      <c r="B360" s="390" t="s">
        <v>1890</v>
      </c>
      <c r="C360" s="390" t="s">
        <v>1201</v>
      </c>
      <c r="D360" s="390" t="s">
        <v>518</v>
      </c>
      <c r="E360" s="390" t="s">
        <v>56</v>
      </c>
      <c r="F360" s="475" t="s">
        <v>1985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1890</v>
      </c>
      <c r="C361" s="373" t="s">
        <v>1201</v>
      </c>
      <c r="D361" s="373" t="s">
        <v>518</v>
      </c>
      <c r="E361" s="373" t="s">
        <v>56</v>
      </c>
      <c r="F361" s="491" t="s">
        <v>206</v>
      </c>
      <c r="G361" s="492">
        <v>0.20033977216751808</v>
      </c>
      <c r="H361" s="492">
        <v>1</v>
      </c>
    </row>
    <row r="362" spans="2:8" hidden="1" outlineLevel="1" collapsed="1">
      <c r="B362" s="390" t="s">
        <v>609</v>
      </c>
      <c r="C362" s="390" t="s">
        <v>1201</v>
      </c>
      <c r="D362" s="390" t="s">
        <v>518</v>
      </c>
      <c r="E362" s="390" t="s">
        <v>56</v>
      </c>
      <c r="F362" s="475" t="s">
        <v>1986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609</v>
      </c>
      <c r="C363" s="373" t="s">
        <v>1201</v>
      </c>
      <c r="D363" s="373" t="s">
        <v>518</v>
      </c>
      <c r="E363" s="373" t="s">
        <v>56</v>
      </c>
      <c r="F363" s="491" t="s">
        <v>206</v>
      </c>
      <c r="G363" s="492">
        <v>0.12908390889240001</v>
      </c>
      <c r="H363" s="492">
        <v>1</v>
      </c>
    </row>
    <row r="364" spans="2:8" hidden="1" outlineLevel="2">
      <c r="B364" s="373" t="s">
        <v>609</v>
      </c>
      <c r="C364" s="373" t="s">
        <v>1201</v>
      </c>
      <c r="D364" s="373" t="s">
        <v>518</v>
      </c>
      <c r="E364" s="373" t="s">
        <v>56</v>
      </c>
      <c r="F364" s="491" t="s">
        <v>199</v>
      </c>
      <c r="G364" s="492">
        <v>0.25816781778480002</v>
      </c>
      <c r="H364" s="492">
        <v>1</v>
      </c>
    </row>
    <row r="365" spans="2:8" hidden="1" outlineLevel="2">
      <c r="B365" s="373" t="s">
        <v>609</v>
      </c>
      <c r="C365" s="373" t="s">
        <v>1201</v>
      </c>
      <c r="D365" s="373" t="s">
        <v>518</v>
      </c>
      <c r="E365" s="373" t="s">
        <v>56</v>
      </c>
      <c r="F365" s="491" t="s">
        <v>608</v>
      </c>
      <c r="G365" s="492">
        <v>0.12908390889240001</v>
      </c>
      <c r="H365" s="492">
        <v>1</v>
      </c>
    </row>
    <row r="366" spans="2:8" hidden="1" outlineLevel="2">
      <c r="B366" s="373" t="s">
        <v>609</v>
      </c>
      <c r="C366" s="373" t="s">
        <v>1201</v>
      </c>
      <c r="D366" s="373" t="s">
        <v>518</v>
      </c>
      <c r="E366" s="373" t="s">
        <v>56</v>
      </c>
      <c r="F366" s="491" t="s">
        <v>1895</v>
      </c>
      <c r="G366" s="492">
        <v>5.8370968240200008E-2</v>
      </c>
      <c r="H366" s="492">
        <v>1</v>
      </c>
    </row>
    <row r="367" spans="2:8" hidden="1" outlineLevel="1">
      <c r="B367" s="390" t="s">
        <v>285</v>
      </c>
      <c r="C367" s="390" t="s">
        <v>1201</v>
      </c>
      <c r="D367" s="390" t="s">
        <v>518</v>
      </c>
      <c r="E367" s="390" t="s">
        <v>56</v>
      </c>
      <c r="F367" s="475" t="s">
        <v>1987</v>
      </c>
      <c r="G367" s="490">
        <v>0</v>
      </c>
      <c r="H367" s="490">
        <v>0</v>
      </c>
    </row>
    <row r="368" spans="2:8" hidden="1" outlineLevel="1">
      <c r="B368" s="390" t="s">
        <v>916</v>
      </c>
      <c r="C368" s="390" t="s">
        <v>916</v>
      </c>
      <c r="D368" s="390" t="s">
        <v>518</v>
      </c>
      <c r="E368" s="390" t="s">
        <v>56</v>
      </c>
      <c r="F368" s="475" t="s">
        <v>1988</v>
      </c>
      <c r="G368" s="490">
        <v>0</v>
      </c>
      <c r="H368" s="490">
        <v>0</v>
      </c>
    </row>
    <row r="369" spans="2:8" hidden="1" outlineLevel="1">
      <c r="B369" s="390" t="s">
        <v>1170</v>
      </c>
      <c r="C369" s="390" t="s">
        <v>1170</v>
      </c>
      <c r="D369" s="390" t="s">
        <v>518</v>
      </c>
      <c r="E369" s="390" t="s">
        <v>56</v>
      </c>
      <c r="F369" s="475" t="s">
        <v>1972</v>
      </c>
      <c r="G369" s="490">
        <v>0</v>
      </c>
      <c r="H369" s="490">
        <v>0</v>
      </c>
    </row>
    <row r="370" spans="2:8" hidden="1" outlineLevel="1" collapsed="1">
      <c r="B370" s="390" t="s">
        <v>918</v>
      </c>
      <c r="C370" s="390" t="s">
        <v>1378</v>
      </c>
      <c r="D370" s="390" t="s">
        <v>518</v>
      </c>
      <c r="E370" s="390" t="s">
        <v>56</v>
      </c>
      <c r="F370" s="475" t="s">
        <v>1999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918</v>
      </c>
      <c r="C371" s="373" t="s">
        <v>1378</v>
      </c>
      <c r="D371" s="373" t="s">
        <v>518</v>
      </c>
      <c r="E371" s="373" t="s">
        <v>56</v>
      </c>
      <c r="F371" s="491" t="s">
        <v>1383</v>
      </c>
      <c r="G371" s="492">
        <v>8.0000000000000004E-4</v>
      </c>
      <c r="H371" s="492">
        <v>1</v>
      </c>
    </row>
    <row r="372" spans="2:8" hidden="1" outlineLevel="1" collapsed="1">
      <c r="B372" s="390" t="s">
        <v>1384</v>
      </c>
      <c r="C372" s="390" t="s">
        <v>1384</v>
      </c>
      <c r="D372" s="390" t="s">
        <v>518</v>
      </c>
      <c r="E372" s="390" t="s">
        <v>56</v>
      </c>
      <c r="F372" s="475" t="s">
        <v>2001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1384</v>
      </c>
      <c r="C373" s="373" t="s">
        <v>1384</v>
      </c>
      <c r="D373" s="373" t="s">
        <v>518</v>
      </c>
      <c r="E373" s="373" t="s">
        <v>56</v>
      </c>
      <c r="F373" s="491" t="s">
        <v>36</v>
      </c>
      <c r="G373" s="492">
        <v>2.0043571200000002E-2</v>
      </c>
      <c r="H373" s="492">
        <v>1</v>
      </c>
    </row>
    <row r="374" spans="2:8" hidden="1" outlineLevel="1" collapsed="1">
      <c r="B374" s="390" t="s">
        <v>369</v>
      </c>
      <c r="C374" s="390" t="s">
        <v>843</v>
      </c>
      <c r="D374" s="390" t="s">
        <v>518</v>
      </c>
      <c r="E374" s="390" t="s">
        <v>56</v>
      </c>
      <c r="F374" s="475" t="s">
        <v>1979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369</v>
      </c>
      <c r="C375" s="373" t="s">
        <v>843</v>
      </c>
      <c r="D375" s="373" t="s">
        <v>518</v>
      </c>
      <c r="E375" s="373" t="s">
        <v>56</v>
      </c>
      <c r="F375" s="491" t="s">
        <v>370</v>
      </c>
      <c r="G375" s="492">
        <v>0.26984501099999997</v>
      </c>
      <c r="H375" s="492">
        <v>1</v>
      </c>
    </row>
    <row r="376" spans="2:8" hidden="1" outlineLevel="2">
      <c r="B376" s="373" t="s">
        <v>369</v>
      </c>
      <c r="C376" s="373" t="s">
        <v>843</v>
      </c>
      <c r="D376" s="373" t="s">
        <v>518</v>
      </c>
      <c r="E376" s="373" t="s">
        <v>56</v>
      </c>
      <c r="F376" s="491" t="s">
        <v>230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6" collapsed="1">
      <c r="B378" s="470" t="s">
        <v>102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891</v>
      </c>
      <c r="C380" s="390" t="s">
        <v>1195</v>
      </c>
      <c r="D380" s="385" t="s">
        <v>441</v>
      </c>
      <c r="E380" s="390" t="s">
        <v>102</v>
      </c>
      <c r="F380" s="475" t="s">
        <v>1969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891</v>
      </c>
      <c r="C381" s="390" t="s">
        <v>1195</v>
      </c>
      <c r="D381" s="372" t="s">
        <v>441</v>
      </c>
      <c r="E381" s="373" t="s">
        <v>102</v>
      </c>
      <c r="F381" s="468" t="s">
        <v>247</v>
      </c>
      <c r="G381" s="480">
        <v>1.4336873100000001E-2</v>
      </c>
      <c r="H381" s="480">
        <v>1</v>
      </c>
    </row>
    <row r="382" spans="2:8" hidden="1" outlineLevel="1" collapsed="1">
      <c r="B382" s="390" t="s">
        <v>891</v>
      </c>
      <c r="C382" s="390" t="s">
        <v>1247</v>
      </c>
      <c r="D382" s="390"/>
      <c r="E382" s="390" t="s">
        <v>102</v>
      </c>
      <c r="F382" s="475" t="s">
        <v>1969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891</v>
      </c>
      <c r="C383" s="373" t="s">
        <v>1247</v>
      </c>
      <c r="D383" s="372" t="s">
        <v>441</v>
      </c>
      <c r="E383" s="373" t="s">
        <v>102</v>
      </c>
      <c r="F383" s="491" t="s">
        <v>444</v>
      </c>
      <c r="G383" s="493">
        <v>2.1499694035440806E-2</v>
      </c>
      <c r="H383" s="493">
        <v>1</v>
      </c>
    </row>
    <row r="384" spans="2:8" hidden="1" outlineLevel="2">
      <c r="B384" s="373" t="s">
        <v>891</v>
      </c>
      <c r="C384" s="373" t="s">
        <v>1247</v>
      </c>
      <c r="D384" s="372" t="s">
        <v>441</v>
      </c>
      <c r="E384" s="373" t="s">
        <v>102</v>
      </c>
      <c r="F384" s="491" t="s">
        <v>481</v>
      </c>
      <c r="G384" s="493">
        <v>2.1499694035440806E-2</v>
      </c>
      <c r="H384" s="493">
        <v>1</v>
      </c>
    </row>
    <row r="385" spans="2:8" hidden="1" outlineLevel="2">
      <c r="B385" s="373" t="s">
        <v>891</v>
      </c>
      <c r="C385" s="373" t="s">
        <v>1247</v>
      </c>
      <c r="D385" s="372" t="s">
        <v>441</v>
      </c>
      <c r="E385" s="373" t="s">
        <v>102</v>
      </c>
      <c r="F385" s="491" t="s">
        <v>1744</v>
      </c>
      <c r="G385" s="493">
        <v>9.4245302543668119E-4</v>
      </c>
      <c r="H385" s="493">
        <v>1</v>
      </c>
    </row>
    <row r="386" spans="2:8" hidden="1" outlineLevel="2">
      <c r="B386" s="373" t="s">
        <v>891</v>
      </c>
      <c r="C386" s="373" t="s">
        <v>1247</v>
      </c>
      <c r="D386" s="372" t="s">
        <v>441</v>
      </c>
      <c r="E386" s="373" t="s">
        <v>102</v>
      </c>
      <c r="F386" s="491" t="s">
        <v>1745</v>
      </c>
      <c r="G386" s="493">
        <v>1.8849060508733624E-3</v>
      </c>
      <c r="H386" s="493">
        <v>1</v>
      </c>
    </row>
    <row r="387" spans="2:8" hidden="1" outlineLevel="2">
      <c r="B387" s="373" t="s">
        <v>891</v>
      </c>
      <c r="C387" s="373" t="s">
        <v>1247</v>
      </c>
      <c r="D387" s="372" t="s">
        <v>441</v>
      </c>
      <c r="E387" s="373" t="s">
        <v>102</v>
      </c>
      <c r="F387" s="491" t="s">
        <v>1728</v>
      </c>
      <c r="G387" s="493">
        <v>2.8273590763100436E-3</v>
      </c>
      <c r="H387" s="493">
        <v>1</v>
      </c>
    </row>
    <row r="388" spans="2:8" hidden="1" outlineLevel="2">
      <c r="B388" s="373" t="s">
        <v>891</v>
      </c>
      <c r="C388" s="373" t="s">
        <v>1247</v>
      </c>
      <c r="D388" s="372" t="s">
        <v>441</v>
      </c>
      <c r="E388" s="373" t="s">
        <v>102</v>
      </c>
      <c r="F388" s="491" t="s">
        <v>1726</v>
      </c>
      <c r="G388" s="493">
        <v>0.10494596538461541</v>
      </c>
      <c r="H388" s="493">
        <v>1</v>
      </c>
    </row>
    <row r="389" spans="2:8" hidden="1" outlineLevel="2">
      <c r="B389" s="373" t="s">
        <v>891</v>
      </c>
      <c r="C389" s="373" t="s">
        <v>1247</v>
      </c>
      <c r="D389" s="372" t="s">
        <v>441</v>
      </c>
      <c r="E389" s="373" t="s">
        <v>102</v>
      </c>
      <c r="F389" s="491" t="s">
        <v>490</v>
      </c>
      <c r="G389" s="493">
        <v>0.04</v>
      </c>
      <c r="H389" s="493">
        <v>1</v>
      </c>
    </row>
    <row r="390" spans="2:8" hidden="1" outlineLevel="2">
      <c r="B390" s="373" t="s">
        <v>891</v>
      </c>
      <c r="C390" s="373" t="s">
        <v>1247</v>
      </c>
      <c r="D390" s="372" t="s">
        <v>860</v>
      </c>
      <c r="E390" s="373" t="s">
        <v>102</v>
      </c>
      <c r="F390" s="491" t="s">
        <v>206</v>
      </c>
      <c r="G390" s="493">
        <v>4.7863519954722676E-2</v>
      </c>
      <c r="H390" s="493">
        <v>1</v>
      </c>
    </row>
    <row r="391" spans="2:8" hidden="1" outlineLevel="2">
      <c r="B391" s="373" t="s">
        <v>891</v>
      </c>
      <c r="C391" s="373" t="s">
        <v>1247</v>
      </c>
      <c r="D391" s="372" t="s">
        <v>860</v>
      </c>
      <c r="E391" s="373" t="s">
        <v>102</v>
      </c>
      <c r="F391" s="491" t="s">
        <v>207</v>
      </c>
      <c r="G391" s="493">
        <v>4.7863519954722676E-2</v>
      </c>
      <c r="H391" s="493">
        <v>1</v>
      </c>
    </row>
    <row r="392" spans="2:8" hidden="1" outlineLevel="2">
      <c r="B392" s="373" t="s">
        <v>891</v>
      </c>
      <c r="C392" s="373" t="s">
        <v>1247</v>
      </c>
      <c r="D392" s="372" t="s">
        <v>860</v>
      </c>
      <c r="E392" s="373" t="s">
        <v>102</v>
      </c>
      <c r="F392" s="491" t="s">
        <v>1746</v>
      </c>
      <c r="G392" s="493">
        <v>4.6404645614642186E-2</v>
      </c>
      <c r="H392" s="493">
        <v>1</v>
      </c>
    </row>
    <row r="393" spans="2:8" hidden="1" outlineLevel="2">
      <c r="B393" s="373" t="s">
        <v>891</v>
      </c>
      <c r="C393" s="373" t="s">
        <v>1247</v>
      </c>
      <c r="D393" s="372" t="s">
        <v>860</v>
      </c>
      <c r="E393" s="373" t="s">
        <v>102</v>
      </c>
      <c r="F393" s="491" t="s">
        <v>244</v>
      </c>
      <c r="G393" s="493">
        <v>0.02</v>
      </c>
      <c r="H393" s="493">
        <v>1</v>
      </c>
    </row>
    <row r="394" spans="2:8" hidden="1" outlineLevel="2">
      <c r="B394" s="373" t="s">
        <v>891</v>
      </c>
      <c r="C394" s="373" t="s">
        <v>1247</v>
      </c>
      <c r="D394" s="372" t="s">
        <v>860</v>
      </c>
      <c r="E394" s="373" t="s">
        <v>102</v>
      </c>
      <c r="F394" s="491" t="s">
        <v>1747</v>
      </c>
      <c r="G394" s="493">
        <v>0.01</v>
      </c>
      <c r="H394" s="493">
        <v>1</v>
      </c>
    </row>
    <row r="395" spans="2:8" hidden="1" outlineLevel="1" collapsed="1">
      <c r="B395" s="390" t="s">
        <v>893</v>
      </c>
      <c r="C395" s="390" t="s">
        <v>1351</v>
      </c>
      <c r="D395" s="390"/>
      <c r="E395" s="390" t="s">
        <v>102</v>
      </c>
      <c r="F395" s="475" t="s">
        <v>1973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893</v>
      </c>
      <c r="C396" s="373" t="s">
        <v>1351</v>
      </c>
      <c r="D396" s="372" t="s">
        <v>441</v>
      </c>
      <c r="E396" s="373" t="s">
        <v>102</v>
      </c>
      <c r="F396" s="491" t="s">
        <v>490</v>
      </c>
      <c r="G396" s="493">
        <v>3.8655111599999993E-2</v>
      </c>
      <c r="H396" s="493">
        <v>1</v>
      </c>
    </row>
    <row r="397" spans="2:8" hidden="1" outlineLevel="2">
      <c r="B397" s="373" t="s">
        <v>893</v>
      </c>
      <c r="C397" s="373" t="s">
        <v>1351</v>
      </c>
      <c r="D397" s="372" t="s">
        <v>441</v>
      </c>
      <c r="E397" s="373" t="s">
        <v>102</v>
      </c>
      <c r="F397" s="491" t="s">
        <v>247</v>
      </c>
      <c r="G397" s="493">
        <v>0.12885037199999999</v>
      </c>
      <c r="H397" s="493">
        <v>1</v>
      </c>
    </row>
    <row r="398" spans="2:8" hidden="1" outlineLevel="1" collapsed="1">
      <c r="B398" s="390" t="s">
        <v>894</v>
      </c>
      <c r="C398" s="390" t="s">
        <v>1265</v>
      </c>
      <c r="D398" s="390"/>
      <c r="E398" s="390" t="s">
        <v>102</v>
      </c>
      <c r="F398" s="475" t="s">
        <v>1970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894</v>
      </c>
      <c r="C399" s="373" t="s">
        <v>1265</v>
      </c>
      <c r="D399" s="372" t="s">
        <v>441</v>
      </c>
      <c r="E399" s="373" t="s">
        <v>102</v>
      </c>
      <c r="F399" s="491" t="s">
        <v>221</v>
      </c>
      <c r="G399" s="493">
        <v>0.36</v>
      </c>
      <c r="H399" s="493">
        <v>1</v>
      </c>
    </row>
    <row r="400" spans="2:8" hidden="1" outlineLevel="2">
      <c r="B400" s="373" t="s">
        <v>894</v>
      </c>
      <c r="C400" s="373" t="s">
        <v>1265</v>
      </c>
      <c r="D400" s="372" t="s">
        <v>441</v>
      </c>
      <c r="E400" s="373" t="s">
        <v>102</v>
      </c>
      <c r="F400" s="491" t="s">
        <v>1767</v>
      </c>
      <c r="G400" s="493">
        <v>2.183E-3</v>
      </c>
      <c r="H400" s="493">
        <v>1</v>
      </c>
    </row>
    <row r="401" spans="2:8" hidden="1" outlineLevel="2">
      <c r="B401" s="373" t="s">
        <v>894</v>
      </c>
      <c r="C401" s="373" t="s">
        <v>1265</v>
      </c>
      <c r="D401" s="372" t="s">
        <v>441</v>
      </c>
      <c r="E401" s="373" t="s">
        <v>102</v>
      </c>
      <c r="F401" s="491" t="s">
        <v>254</v>
      </c>
      <c r="G401" s="493">
        <v>1.0915E-3</v>
      </c>
      <c r="H401" s="493">
        <v>1</v>
      </c>
    </row>
    <row r="402" spans="2:8" hidden="1" outlineLevel="2">
      <c r="B402" s="373" t="s">
        <v>894</v>
      </c>
      <c r="C402" s="373" t="s">
        <v>1265</v>
      </c>
      <c r="D402" s="372" t="s">
        <v>860</v>
      </c>
      <c r="E402" s="373" t="s">
        <v>102</v>
      </c>
      <c r="F402" s="491" t="s">
        <v>468</v>
      </c>
      <c r="G402" s="493">
        <v>0.04</v>
      </c>
      <c r="H402" s="493">
        <v>1</v>
      </c>
    </row>
    <row r="403" spans="2:8" hidden="1" outlineLevel="1" collapsed="1">
      <c r="B403" s="390" t="s">
        <v>469</v>
      </c>
      <c r="C403" s="390" t="s">
        <v>1281</v>
      </c>
      <c r="D403" s="390"/>
      <c r="E403" s="390" t="s">
        <v>102</v>
      </c>
      <c r="F403" s="475" t="s">
        <v>1971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469</v>
      </c>
      <c r="C404" s="373" t="s">
        <v>1281</v>
      </c>
      <c r="D404" s="372" t="s">
        <v>441</v>
      </c>
      <c r="E404" s="373" t="s">
        <v>102</v>
      </c>
      <c r="F404" s="491" t="s">
        <v>1777</v>
      </c>
      <c r="G404" s="493">
        <v>0.02</v>
      </c>
      <c r="H404" s="493">
        <v>1</v>
      </c>
    </row>
    <row r="405" spans="2:8" hidden="1" outlineLevel="2">
      <c r="B405" s="373" t="s">
        <v>469</v>
      </c>
      <c r="C405" s="373" t="s">
        <v>1281</v>
      </c>
      <c r="D405" s="372" t="s">
        <v>441</v>
      </c>
      <c r="E405" s="373" t="s">
        <v>102</v>
      </c>
      <c r="F405" s="491" t="s">
        <v>349</v>
      </c>
      <c r="G405" s="493">
        <v>0.06</v>
      </c>
      <c r="H405" s="493">
        <v>1</v>
      </c>
    </row>
    <row r="406" spans="2:8" hidden="1" outlineLevel="2">
      <c r="B406" s="373" t="s">
        <v>469</v>
      </c>
      <c r="C406" s="373" t="s">
        <v>1281</v>
      </c>
      <c r="D406" s="372" t="s">
        <v>441</v>
      </c>
      <c r="E406" s="373" t="s">
        <v>102</v>
      </c>
      <c r="F406" s="491" t="s">
        <v>350</v>
      </c>
      <c r="G406" s="493">
        <v>0.06</v>
      </c>
      <c r="H406" s="493">
        <v>1</v>
      </c>
    </row>
    <row r="407" spans="2:8" hidden="1" outlineLevel="1" collapsed="1">
      <c r="B407" s="390" t="s">
        <v>899</v>
      </c>
      <c r="C407" s="390" t="s">
        <v>1178</v>
      </c>
      <c r="D407" s="390"/>
      <c r="E407" s="390" t="s">
        <v>102</v>
      </c>
      <c r="F407" s="475" t="s">
        <v>1959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899</v>
      </c>
      <c r="C408" s="373" t="s">
        <v>1178</v>
      </c>
      <c r="D408" s="372" t="s">
        <v>441</v>
      </c>
      <c r="E408" s="373" t="s">
        <v>102</v>
      </c>
      <c r="F408" s="491" t="s">
        <v>475</v>
      </c>
      <c r="G408" s="493">
        <v>1.5827943605759998E-2</v>
      </c>
      <c r="H408" s="493">
        <v>1</v>
      </c>
    </row>
    <row r="409" spans="2:8" hidden="1" outlineLevel="2">
      <c r="B409" s="373" t="s">
        <v>899</v>
      </c>
      <c r="C409" s="373" t="s">
        <v>1178</v>
      </c>
      <c r="D409" s="372" t="s">
        <v>441</v>
      </c>
      <c r="E409" s="373" t="s">
        <v>102</v>
      </c>
      <c r="F409" s="491" t="s">
        <v>476</v>
      </c>
      <c r="G409" s="493">
        <v>1.5827943605759998E-2</v>
      </c>
      <c r="H409" s="493">
        <v>1</v>
      </c>
    </row>
    <row r="410" spans="2:8" hidden="1" outlineLevel="1" collapsed="1">
      <c r="B410" s="390" t="s">
        <v>946</v>
      </c>
      <c r="C410" s="390" t="s">
        <v>1195</v>
      </c>
      <c r="D410" s="390"/>
      <c r="E410" s="390" t="s">
        <v>102</v>
      </c>
      <c r="F410" s="475" t="s">
        <v>1960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946</v>
      </c>
      <c r="C411" s="373" t="s">
        <v>1195</v>
      </c>
      <c r="D411" s="373" t="s">
        <v>441</v>
      </c>
      <c r="E411" s="373" t="s">
        <v>102</v>
      </c>
      <c r="F411" s="494" t="s">
        <v>1807</v>
      </c>
      <c r="G411" s="493">
        <v>1.6300332674999998E-2</v>
      </c>
      <c r="H411" s="493">
        <v>1</v>
      </c>
    </row>
    <row r="412" spans="2:8" hidden="1" outlineLevel="2">
      <c r="B412" s="373" t="s">
        <v>946</v>
      </c>
      <c r="C412" s="373" t="s">
        <v>1195</v>
      </c>
      <c r="D412" s="373" t="s">
        <v>441</v>
      </c>
      <c r="E412" s="373" t="s">
        <v>102</v>
      </c>
      <c r="F412" s="494" t="s">
        <v>1808</v>
      </c>
      <c r="G412" s="493">
        <v>3.0822447240000002E-2</v>
      </c>
      <c r="H412" s="493">
        <v>1</v>
      </c>
    </row>
    <row r="413" spans="2:8" hidden="1" outlineLevel="1" collapsed="1">
      <c r="B413" s="390" t="s">
        <v>966</v>
      </c>
      <c r="C413" s="390" t="s">
        <v>1222</v>
      </c>
      <c r="D413" s="390"/>
      <c r="E413" s="390" t="s">
        <v>102</v>
      </c>
      <c r="F413" s="475" t="s">
        <v>1961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966</v>
      </c>
      <c r="C414" s="373" t="s">
        <v>1222</v>
      </c>
      <c r="D414" s="373" t="s">
        <v>441</v>
      </c>
      <c r="E414" s="373" t="s">
        <v>437</v>
      </c>
      <c r="F414" s="491" t="s">
        <v>206</v>
      </c>
      <c r="G414" s="492">
        <v>0.51810229145509312</v>
      </c>
      <c r="H414" s="492">
        <v>1</v>
      </c>
    </row>
    <row r="415" spans="2:8" hidden="1" outlineLevel="2">
      <c r="B415" s="373" t="s">
        <v>966</v>
      </c>
      <c r="C415" s="373" t="s">
        <v>1222</v>
      </c>
      <c r="D415" s="373" t="s">
        <v>441</v>
      </c>
      <c r="E415" s="373" t="s">
        <v>437</v>
      </c>
      <c r="F415" s="491" t="s">
        <v>199</v>
      </c>
      <c r="G415" s="492">
        <v>0.51810229145509312</v>
      </c>
      <c r="H415" s="492">
        <v>1</v>
      </c>
    </row>
    <row r="416" spans="2:8" hidden="1" outlineLevel="2">
      <c r="B416" s="373" t="s">
        <v>966</v>
      </c>
      <c r="C416" s="373" t="s">
        <v>1222</v>
      </c>
      <c r="D416" s="373" t="s">
        <v>441</v>
      </c>
      <c r="E416" s="373" t="s">
        <v>437</v>
      </c>
      <c r="F416" s="491" t="s">
        <v>209</v>
      </c>
      <c r="G416" s="492">
        <v>0.25905114572754701</v>
      </c>
      <c r="H416" s="492">
        <v>1</v>
      </c>
    </row>
    <row r="417" spans="2:8" hidden="1" outlineLevel="2">
      <c r="B417" s="373" t="s">
        <v>966</v>
      </c>
      <c r="C417" s="373" t="s">
        <v>1222</v>
      </c>
      <c r="D417" s="373" t="s">
        <v>860</v>
      </c>
      <c r="E417" s="373" t="s">
        <v>437</v>
      </c>
      <c r="F417" s="491" t="s">
        <v>206</v>
      </c>
      <c r="G417" s="492">
        <v>0.43467904113605266</v>
      </c>
      <c r="H417" s="492">
        <v>1</v>
      </c>
    </row>
    <row r="418" spans="2:8" hidden="1" outlineLevel="2">
      <c r="B418" s="373" t="s">
        <v>966</v>
      </c>
      <c r="C418" s="373" t="s">
        <v>1222</v>
      </c>
      <c r="D418" s="373" t="s">
        <v>860</v>
      </c>
      <c r="E418" s="373" t="s">
        <v>437</v>
      </c>
      <c r="F418" s="491" t="s">
        <v>199</v>
      </c>
      <c r="G418" s="492">
        <v>0.43467904113605266</v>
      </c>
      <c r="H418" s="492">
        <v>1</v>
      </c>
    </row>
    <row r="419" spans="2:8" hidden="1" outlineLevel="1" collapsed="1">
      <c r="B419" s="390" t="s">
        <v>901</v>
      </c>
      <c r="C419" s="390" t="s">
        <v>1201</v>
      </c>
      <c r="D419" s="390"/>
      <c r="E419" s="390" t="s">
        <v>102</v>
      </c>
      <c r="F419" s="475" t="s">
        <v>1962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901</v>
      </c>
      <c r="C420" s="373" t="s">
        <v>1201</v>
      </c>
      <c r="D420" s="373" t="s">
        <v>441</v>
      </c>
      <c r="E420" s="373" t="s">
        <v>102</v>
      </c>
      <c r="F420" s="494" t="s">
        <v>195</v>
      </c>
      <c r="G420" s="493">
        <v>0.04</v>
      </c>
      <c r="H420" s="493">
        <v>1</v>
      </c>
    </row>
    <row r="421" spans="2:8" hidden="1" outlineLevel="1" collapsed="1">
      <c r="B421" s="390" t="s">
        <v>162</v>
      </c>
      <c r="C421" s="390" t="s">
        <v>162</v>
      </c>
      <c r="D421" s="390"/>
      <c r="E421" s="390" t="s">
        <v>102</v>
      </c>
      <c r="F421" s="475" t="s">
        <v>1980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162</v>
      </c>
      <c r="C422" s="373" t="s">
        <v>162</v>
      </c>
      <c r="D422" s="373" t="s">
        <v>441</v>
      </c>
      <c r="E422" s="373" t="s">
        <v>437</v>
      </c>
      <c r="F422" s="494" t="s">
        <v>243</v>
      </c>
      <c r="G422" s="492">
        <v>0.17350895211679071</v>
      </c>
      <c r="H422" s="492">
        <v>1</v>
      </c>
    </row>
    <row r="423" spans="2:8" hidden="1" outlineLevel="2">
      <c r="B423" s="373" t="s">
        <v>162</v>
      </c>
      <c r="C423" s="373" t="s">
        <v>162</v>
      </c>
      <c r="D423" s="373" t="s">
        <v>441</v>
      </c>
      <c r="E423" s="373" t="s">
        <v>437</v>
      </c>
      <c r="F423" s="494" t="s">
        <v>245</v>
      </c>
      <c r="G423" s="492">
        <v>4.9573986319083066E-2</v>
      </c>
      <c r="H423" s="492">
        <v>1</v>
      </c>
    </row>
    <row r="424" spans="2:8" hidden="1" outlineLevel="2">
      <c r="B424" s="373" t="s">
        <v>162</v>
      </c>
      <c r="C424" s="373" t="s">
        <v>162</v>
      </c>
      <c r="D424" s="373" t="s">
        <v>441</v>
      </c>
      <c r="E424" s="373" t="s">
        <v>437</v>
      </c>
      <c r="F424" s="494" t="s">
        <v>254</v>
      </c>
      <c r="G424" s="492">
        <v>0.02</v>
      </c>
      <c r="H424" s="492">
        <v>1</v>
      </c>
    </row>
    <row r="425" spans="2:8" hidden="1" outlineLevel="2">
      <c r="B425" s="373" t="s">
        <v>162</v>
      </c>
      <c r="C425" s="373" t="s">
        <v>162</v>
      </c>
      <c r="D425" s="373" t="s">
        <v>860</v>
      </c>
      <c r="E425" s="373" t="s">
        <v>437</v>
      </c>
      <c r="F425" s="494" t="s">
        <v>283</v>
      </c>
      <c r="G425" s="492">
        <v>8.1128101250000001E-2</v>
      </c>
      <c r="H425" s="492">
        <v>1</v>
      </c>
    </row>
    <row r="426" spans="2:8" hidden="1" outlineLevel="1" collapsed="1">
      <c r="B426" s="390" t="s">
        <v>252</v>
      </c>
      <c r="C426" s="390" t="s">
        <v>252</v>
      </c>
      <c r="D426" s="390"/>
      <c r="E426" s="390" t="s">
        <v>102</v>
      </c>
      <c r="F426" s="475" t="s">
        <v>1981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252</v>
      </c>
      <c r="C427" s="373" t="s">
        <v>252</v>
      </c>
      <c r="D427" s="372" t="s">
        <v>441</v>
      </c>
      <c r="E427" s="373" t="s">
        <v>102</v>
      </c>
      <c r="F427" s="468" t="s">
        <v>1426</v>
      </c>
      <c r="G427" s="480">
        <v>3.6853334887931043E-2</v>
      </c>
      <c r="H427" s="480">
        <v>1</v>
      </c>
    </row>
    <row r="428" spans="2:8" hidden="1" outlineLevel="1" collapsed="1">
      <c r="B428" s="390" t="s">
        <v>903</v>
      </c>
      <c r="C428" s="390" t="s">
        <v>903</v>
      </c>
      <c r="D428" s="390"/>
      <c r="E428" s="390" t="s">
        <v>102</v>
      </c>
      <c r="F428" s="475" t="s">
        <v>1982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903</v>
      </c>
      <c r="C429" s="373" t="s">
        <v>903</v>
      </c>
      <c r="D429" s="372" t="s">
        <v>441</v>
      </c>
      <c r="E429" s="373" t="s">
        <v>102</v>
      </c>
      <c r="F429" s="468" t="s">
        <v>442</v>
      </c>
      <c r="G429" s="480">
        <v>2.0842521999999999E-2</v>
      </c>
      <c r="H429" s="480">
        <v>1</v>
      </c>
    </row>
    <row r="430" spans="2:8" hidden="1" outlineLevel="2">
      <c r="B430" s="373" t="s">
        <v>903</v>
      </c>
      <c r="C430" s="373" t="s">
        <v>903</v>
      </c>
      <c r="D430" s="372" t="s">
        <v>441</v>
      </c>
      <c r="E430" s="373" t="s">
        <v>102</v>
      </c>
      <c r="F430" s="468" t="s">
        <v>463</v>
      </c>
      <c r="G430" s="480">
        <v>5.5533570000000003E-4</v>
      </c>
      <c r="H430" s="480">
        <v>1</v>
      </c>
    </row>
    <row r="431" spans="2:8" hidden="1" outlineLevel="1">
      <c r="B431" s="390" t="s">
        <v>502</v>
      </c>
      <c r="C431" s="390" t="s">
        <v>502</v>
      </c>
      <c r="D431" s="390"/>
      <c r="E431" s="390" t="s">
        <v>102</v>
      </c>
      <c r="F431" s="475" t="s">
        <v>1983</v>
      </c>
      <c r="G431" s="490">
        <v>0</v>
      </c>
      <c r="H431" s="490">
        <v>0</v>
      </c>
    </row>
    <row r="432" spans="2:8" hidden="1" outlineLevel="1">
      <c r="B432" s="390" t="s">
        <v>414</v>
      </c>
      <c r="C432" s="390" t="s">
        <v>414</v>
      </c>
      <c r="D432" s="390"/>
      <c r="E432" s="390" t="s">
        <v>102</v>
      </c>
      <c r="F432" s="475" t="s">
        <v>1989</v>
      </c>
      <c r="G432" s="490">
        <v>0</v>
      </c>
      <c r="H432" s="490">
        <v>0</v>
      </c>
    </row>
    <row r="433" spans="2:8" hidden="1" outlineLevel="1">
      <c r="B433" s="390" t="s">
        <v>612</v>
      </c>
      <c r="C433" s="390" t="s">
        <v>612</v>
      </c>
      <c r="D433" s="390"/>
      <c r="E433" s="390" t="s">
        <v>102</v>
      </c>
      <c r="F433" s="475" t="s">
        <v>1992</v>
      </c>
      <c r="G433" s="490">
        <v>0</v>
      </c>
      <c r="H433" s="490">
        <v>0</v>
      </c>
    </row>
    <row r="434" spans="2:8" hidden="1" outlineLevel="1" collapsed="1">
      <c r="B434" s="390" t="s">
        <v>225</v>
      </c>
      <c r="C434" s="390" t="s">
        <v>1206</v>
      </c>
      <c r="D434" s="390"/>
      <c r="E434" s="390" t="s">
        <v>102</v>
      </c>
      <c r="F434" s="475" t="s">
        <v>1963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225</v>
      </c>
      <c r="C435" s="373" t="s">
        <v>1206</v>
      </c>
      <c r="D435" s="373" t="s">
        <v>441</v>
      </c>
      <c r="E435" s="373" t="s">
        <v>437</v>
      </c>
      <c r="F435" s="491" t="s">
        <v>36</v>
      </c>
      <c r="G435" s="492">
        <v>5.4000000000000003E-3</v>
      </c>
      <c r="H435" s="492">
        <v>1</v>
      </c>
    </row>
    <row r="436" spans="2:8" hidden="1" outlineLevel="2">
      <c r="B436" s="373" t="s">
        <v>225</v>
      </c>
      <c r="C436" s="373" t="s">
        <v>1206</v>
      </c>
      <c r="D436" s="373" t="s">
        <v>441</v>
      </c>
      <c r="E436" s="373" t="s">
        <v>437</v>
      </c>
      <c r="F436" s="491" t="s">
        <v>208</v>
      </c>
      <c r="G436" s="492">
        <v>5.4000000000000003E-3</v>
      </c>
      <c r="H436" s="492">
        <v>1</v>
      </c>
    </row>
    <row r="437" spans="2:8" hidden="1" outlineLevel="2">
      <c r="B437" s="373" t="s">
        <v>225</v>
      </c>
      <c r="C437" s="373" t="s">
        <v>1206</v>
      </c>
      <c r="D437" s="373" t="s">
        <v>860</v>
      </c>
      <c r="E437" s="373" t="s">
        <v>437</v>
      </c>
      <c r="F437" s="491" t="s">
        <v>36</v>
      </c>
      <c r="G437" s="492">
        <v>6.0000000000000001E-3</v>
      </c>
      <c r="H437" s="492">
        <v>1</v>
      </c>
    </row>
    <row r="438" spans="2:8" hidden="1" outlineLevel="1" collapsed="1">
      <c r="B438" s="390" t="s">
        <v>229</v>
      </c>
      <c r="C438" s="390" t="s">
        <v>1211</v>
      </c>
      <c r="D438" s="390"/>
      <c r="E438" s="390" t="s">
        <v>102</v>
      </c>
      <c r="F438" s="475" t="s">
        <v>1964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229</v>
      </c>
      <c r="C439" s="373" t="s">
        <v>1211</v>
      </c>
      <c r="D439" s="373" t="s">
        <v>441</v>
      </c>
      <c r="E439" s="373" t="s">
        <v>437</v>
      </c>
      <c r="F439" s="491" t="s">
        <v>208</v>
      </c>
      <c r="G439" s="492">
        <v>1.6713000000000002E-2</v>
      </c>
      <c r="H439" s="492">
        <v>1</v>
      </c>
    </row>
    <row r="440" spans="2:8" hidden="1" outlineLevel="2">
      <c r="B440" s="373" t="s">
        <v>229</v>
      </c>
      <c r="C440" s="373" t="s">
        <v>1211</v>
      </c>
      <c r="D440" s="373" t="s">
        <v>441</v>
      </c>
      <c r="E440" s="373" t="s">
        <v>437</v>
      </c>
      <c r="F440" s="491" t="s">
        <v>1209</v>
      </c>
      <c r="G440" s="492">
        <v>1.6713000000000002E-2</v>
      </c>
      <c r="H440" s="492">
        <v>1</v>
      </c>
    </row>
    <row r="441" spans="2:8" hidden="1" outlineLevel="2">
      <c r="B441" s="373" t="s">
        <v>229</v>
      </c>
      <c r="C441" s="373" t="s">
        <v>1211</v>
      </c>
      <c r="D441" s="373" t="s">
        <v>441</v>
      </c>
      <c r="E441" s="373" t="s">
        <v>437</v>
      </c>
      <c r="F441" s="491" t="s">
        <v>1210</v>
      </c>
      <c r="G441" s="492">
        <v>5.8495499999999999E-2</v>
      </c>
      <c r="H441" s="492">
        <v>1</v>
      </c>
    </row>
    <row r="442" spans="2:8" hidden="1" outlineLevel="2">
      <c r="B442" s="373" t="s">
        <v>229</v>
      </c>
      <c r="C442" s="373" t="s">
        <v>1211</v>
      </c>
      <c r="D442" s="373" t="s">
        <v>441</v>
      </c>
      <c r="E442" s="373" t="s">
        <v>437</v>
      </c>
      <c r="F442" s="491" t="s">
        <v>1215</v>
      </c>
      <c r="G442" s="492">
        <v>2.5069499999999998E-2</v>
      </c>
      <c r="H442" s="492">
        <v>1</v>
      </c>
    </row>
    <row r="443" spans="2:8" hidden="1" outlineLevel="2">
      <c r="B443" s="373" t="s">
        <v>229</v>
      </c>
      <c r="C443" s="373" t="s">
        <v>1211</v>
      </c>
      <c r="D443" s="373" t="s">
        <v>441</v>
      </c>
      <c r="E443" s="373" t="s">
        <v>437</v>
      </c>
      <c r="F443" s="491" t="s">
        <v>1216</v>
      </c>
      <c r="G443" s="492">
        <v>2.5069499999999998E-2</v>
      </c>
      <c r="H443" s="492">
        <v>1</v>
      </c>
    </row>
    <row r="444" spans="2:8" hidden="1" outlineLevel="2">
      <c r="B444" s="373" t="s">
        <v>229</v>
      </c>
      <c r="C444" s="373" t="s">
        <v>1211</v>
      </c>
      <c r="D444" s="373" t="s">
        <v>860</v>
      </c>
      <c r="E444" s="373" t="s">
        <v>437</v>
      </c>
      <c r="F444" s="491" t="s">
        <v>36</v>
      </c>
      <c r="G444" s="492">
        <v>1.857E-2</v>
      </c>
      <c r="H444" s="492">
        <v>1</v>
      </c>
    </row>
    <row r="445" spans="2:8" hidden="1" outlineLevel="2">
      <c r="B445" s="373" t="s">
        <v>229</v>
      </c>
      <c r="C445" s="373" t="s">
        <v>1211</v>
      </c>
      <c r="D445" s="373" t="s">
        <v>860</v>
      </c>
      <c r="E445" s="373" t="s">
        <v>437</v>
      </c>
      <c r="F445" s="491" t="s">
        <v>1209</v>
      </c>
      <c r="G445" s="492">
        <v>1.857E-2</v>
      </c>
      <c r="H445" s="492">
        <v>1</v>
      </c>
    </row>
    <row r="446" spans="2:8" hidden="1" outlineLevel="2">
      <c r="B446" s="373" t="s">
        <v>229</v>
      </c>
      <c r="C446" s="373" t="s">
        <v>1211</v>
      </c>
      <c r="D446" s="373" t="s">
        <v>860</v>
      </c>
      <c r="E446" s="373" t="s">
        <v>437</v>
      </c>
      <c r="F446" s="491" t="s">
        <v>1215</v>
      </c>
      <c r="G446" s="492">
        <v>5.1067500000000002E-2</v>
      </c>
      <c r="H446" s="492">
        <v>1</v>
      </c>
    </row>
    <row r="447" spans="2:8" hidden="1" outlineLevel="1" collapsed="1">
      <c r="B447" s="390" t="s">
        <v>918</v>
      </c>
      <c r="C447" s="390" t="s">
        <v>1378</v>
      </c>
      <c r="D447" s="390"/>
      <c r="E447" s="390" t="s">
        <v>102</v>
      </c>
      <c r="F447" s="475" t="s">
        <v>1999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918</v>
      </c>
      <c r="C448" s="373" t="s">
        <v>1378</v>
      </c>
      <c r="D448" s="373" t="s">
        <v>860</v>
      </c>
      <c r="E448" s="373" t="s">
        <v>437</v>
      </c>
      <c r="F448" s="491" t="s">
        <v>1435</v>
      </c>
      <c r="G448" s="492">
        <v>1.13E-4</v>
      </c>
      <c r="H448" s="492">
        <v>1</v>
      </c>
    </row>
    <row r="449" spans="2:8" hidden="1" outlineLevel="1">
      <c r="B449" s="390" t="s">
        <v>498</v>
      </c>
      <c r="C449" s="390" t="s">
        <v>1217</v>
      </c>
      <c r="D449" s="390"/>
      <c r="E449" s="390" t="s">
        <v>102</v>
      </c>
      <c r="F449" s="475" t="s">
        <v>1965</v>
      </c>
      <c r="G449" s="490">
        <v>0</v>
      </c>
      <c r="H449" s="490">
        <v>0</v>
      </c>
    </row>
    <row r="450" spans="2:8" hidden="1" outlineLevel="1" collapsed="1">
      <c r="B450" s="390" t="s">
        <v>985</v>
      </c>
      <c r="C450" s="390" t="s">
        <v>985</v>
      </c>
      <c r="D450" s="390"/>
      <c r="E450" s="390" t="s">
        <v>102</v>
      </c>
      <c r="F450" s="475" t="s">
        <v>2046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985</v>
      </c>
      <c r="C451" s="373" t="s">
        <v>985</v>
      </c>
      <c r="D451" s="373" t="s">
        <v>1166</v>
      </c>
      <c r="E451" s="373" t="s">
        <v>437</v>
      </c>
      <c r="F451" s="491" t="s">
        <v>205</v>
      </c>
      <c r="G451" s="492"/>
      <c r="H451" s="492">
        <v>1</v>
      </c>
    </row>
    <row r="452" spans="2:8" hidden="1" outlineLevel="2">
      <c r="B452" s="373" t="s">
        <v>985</v>
      </c>
      <c r="C452" s="373" t="s">
        <v>985</v>
      </c>
      <c r="D452" s="373" t="s">
        <v>1166</v>
      </c>
      <c r="E452" s="373" t="s">
        <v>437</v>
      </c>
      <c r="F452" s="491" t="s">
        <v>36</v>
      </c>
      <c r="G452" s="492"/>
      <c r="H452" s="492">
        <v>1</v>
      </c>
    </row>
    <row r="453" spans="2:8" hidden="1" outlineLevel="2">
      <c r="B453" s="373" t="s">
        <v>985</v>
      </c>
      <c r="C453" s="373" t="s">
        <v>985</v>
      </c>
      <c r="D453" s="373" t="s">
        <v>1166</v>
      </c>
      <c r="E453" s="373" t="s">
        <v>437</v>
      </c>
      <c r="F453" s="491" t="s">
        <v>208</v>
      </c>
      <c r="G453" s="492"/>
      <c r="H453" s="492">
        <v>1</v>
      </c>
    </row>
    <row r="454" spans="2:8" hidden="1" outlineLevel="2">
      <c r="B454" s="373" t="s">
        <v>985</v>
      </c>
      <c r="C454" s="373" t="s">
        <v>985</v>
      </c>
      <c r="D454" s="373" t="s">
        <v>441</v>
      </c>
      <c r="E454" s="373" t="s">
        <v>437</v>
      </c>
      <c r="F454" s="491" t="s">
        <v>36</v>
      </c>
      <c r="G454" s="492"/>
      <c r="H454" s="492">
        <v>1</v>
      </c>
    </row>
    <row r="455" spans="2:8" hidden="1" outlineLevel="2">
      <c r="B455" s="373" t="s">
        <v>985</v>
      </c>
      <c r="C455" s="373" t="s">
        <v>985</v>
      </c>
      <c r="D455" s="373" t="s">
        <v>441</v>
      </c>
      <c r="E455" s="373" t="s">
        <v>437</v>
      </c>
      <c r="F455" s="491" t="s">
        <v>208</v>
      </c>
      <c r="G455" s="492"/>
      <c r="H455" s="492">
        <v>1</v>
      </c>
    </row>
    <row r="456" spans="2:8" hidden="1" outlineLevel="2">
      <c r="B456" s="373" t="s">
        <v>985</v>
      </c>
      <c r="C456" s="373" t="s">
        <v>985</v>
      </c>
      <c r="D456" s="373" t="s">
        <v>860</v>
      </c>
      <c r="E456" s="373" t="s">
        <v>437</v>
      </c>
      <c r="F456" s="491" t="s">
        <v>36</v>
      </c>
      <c r="G456" s="492"/>
      <c r="H456" s="492">
        <v>1</v>
      </c>
    </row>
    <row r="457" spans="2:8" hidden="1" outlineLevel="2">
      <c r="B457" s="373" t="s">
        <v>985</v>
      </c>
      <c r="C457" s="373" t="s">
        <v>985</v>
      </c>
      <c r="D457" s="373" t="s">
        <v>860</v>
      </c>
      <c r="E457" s="373" t="s">
        <v>437</v>
      </c>
      <c r="F457" s="491" t="s">
        <v>208</v>
      </c>
      <c r="G457" s="492"/>
      <c r="H457" s="492">
        <v>1</v>
      </c>
    </row>
    <row r="458" spans="2:8" hidden="1" outlineLevel="1" collapsed="1">
      <c r="B458" s="390" t="s">
        <v>497</v>
      </c>
      <c r="C458" s="390" t="s">
        <v>1371</v>
      </c>
      <c r="D458" s="390"/>
      <c r="E458" s="390" t="s">
        <v>102</v>
      </c>
      <c r="F458" s="475" t="s">
        <v>1974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497</v>
      </c>
      <c r="C459" s="373" t="s">
        <v>1371</v>
      </c>
      <c r="D459" s="373" t="s">
        <v>441</v>
      </c>
      <c r="E459" s="373" t="s">
        <v>437</v>
      </c>
      <c r="F459" s="491" t="s">
        <v>36</v>
      </c>
      <c r="G459" s="492">
        <v>0.05</v>
      </c>
      <c r="H459" s="492">
        <v>1</v>
      </c>
    </row>
    <row r="460" spans="2:8" hidden="1" outlineLevel="2">
      <c r="B460" s="373" t="s">
        <v>497</v>
      </c>
      <c r="C460" s="373" t="s">
        <v>1371</v>
      </c>
      <c r="D460" s="373" t="s">
        <v>441</v>
      </c>
      <c r="E460" s="373" t="s">
        <v>437</v>
      </c>
      <c r="F460" s="491" t="s">
        <v>208</v>
      </c>
      <c r="G460" s="492">
        <v>0.05</v>
      </c>
      <c r="H460" s="492">
        <v>1</v>
      </c>
    </row>
    <row r="461" spans="2:8" hidden="1" outlineLevel="2">
      <c r="B461" s="373" t="s">
        <v>497</v>
      </c>
      <c r="C461" s="373" t="s">
        <v>1371</v>
      </c>
      <c r="D461" s="373" t="s">
        <v>860</v>
      </c>
      <c r="E461" s="373" t="s">
        <v>437</v>
      </c>
      <c r="F461" s="491" t="s">
        <v>208</v>
      </c>
      <c r="G461" s="492">
        <v>0.05</v>
      </c>
      <c r="H461" s="492">
        <v>1</v>
      </c>
    </row>
    <row r="462" spans="2:8" hidden="1" outlineLevel="1" collapsed="1">
      <c r="B462" s="390" t="s">
        <v>902</v>
      </c>
      <c r="C462" s="390" t="s">
        <v>1220</v>
      </c>
      <c r="D462" s="390"/>
      <c r="E462" s="390" t="s">
        <v>102</v>
      </c>
      <c r="F462" s="475" t="s">
        <v>1966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902</v>
      </c>
      <c r="C463" s="373" t="s">
        <v>1220</v>
      </c>
      <c r="D463" s="372" t="s">
        <v>441</v>
      </c>
      <c r="E463" s="373" t="s">
        <v>102</v>
      </c>
      <c r="F463" s="491" t="s">
        <v>206</v>
      </c>
      <c r="G463" s="493">
        <v>6.3719999999999999E-2</v>
      </c>
      <c r="H463" s="493">
        <v>1</v>
      </c>
    </row>
    <row r="464" spans="2:8" hidden="1" outlineLevel="2">
      <c r="B464" s="373" t="s">
        <v>902</v>
      </c>
      <c r="C464" s="373" t="s">
        <v>1220</v>
      </c>
      <c r="D464" s="372" t="s">
        <v>441</v>
      </c>
      <c r="E464" s="373" t="s">
        <v>102</v>
      </c>
      <c r="F464" s="491" t="s">
        <v>208</v>
      </c>
      <c r="G464" s="493">
        <v>3.1859999999999999E-2</v>
      </c>
      <c r="H464" s="493">
        <v>1</v>
      </c>
    </row>
    <row r="465" spans="2:8" hidden="1" outlineLevel="2">
      <c r="B465" s="373" t="s">
        <v>902</v>
      </c>
      <c r="C465" s="373" t="s">
        <v>1220</v>
      </c>
      <c r="D465" s="372" t="s">
        <v>860</v>
      </c>
      <c r="E465" s="373" t="s">
        <v>102</v>
      </c>
      <c r="F465" s="491" t="s">
        <v>206</v>
      </c>
      <c r="G465" s="493">
        <v>5.3460000000000001E-2</v>
      </c>
      <c r="H465" s="493">
        <v>1</v>
      </c>
    </row>
    <row r="466" spans="2:8" hidden="1" outlineLevel="2">
      <c r="B466" s="373" t="s">
        <v>902</v>
      </c>
      <c r="C466" s="373" t="s">
        <v>1220</v>
      </c>
      <c r="D466" s="372" t="s">
        <v>860</v>
      </c>
      <c r="E466" s="373" t="s">
        <v>102</v>
      </c>
      <c r="F466" s="491" t="s">
        <v>208</v>
      </c>
      <c r="G466" s="493">
        <v>1.7819999999999999E-2</v>
      </c>
      <c r="H466" s="493">
        <v>1</v>
      </c>
    </row>
    <row r="467" spans="2:8" hidden="1" outlineLevel="1" collapsed="1">
      <c r="B467" s="390" t="s">
        <v>964</v>
      </c>
      <c r="C467" s="390" t="s">
        <v>1247</v>
      </c>
      <c r="D467" s="390"/>
      <c r="E467" s="390" t="s">
        <v>102</v>
      </c>
      <c r="F467" s="475" t="s">
        <v>1975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964</v>
      </c>
      <c r="C468" s="373" t="s">
        <v>1247</v>
      </c>
      <c r="D468" s="373" t="s">
        <v>441</v>
      </c>
      <c r="E468" s="373" t="s">
        <v>102</v>
      </c>
      <c r="F468" s="491" t="s">
        <v>206</v>
      </c>
      <c r="G468" s="493">
        <v>2.9179040000000003E-2</v>
      </c>
      <c r="H468" s="493">
        <v>1</v>
      </c>
    </row>
    <row r="469" spans="2:8" hidden="1" outlineLevel="2">
      <c r="B469" s="373" t="s">
        <v>964</v>
      </c>
      <c r="C469" s="373" t="s">
        <v>1247</v>
      </c>
      <c r="D469" s="373" t="s">
        <v>441</v>
      </c>
      <c r="E469" s="373" t="s">
        <v>102</v>
      </c>
      <c r="F469" s="491" t="s">
        <v>208</v>
      </c>
      <c r="G469" s="493">
        <v>1.4589520000000002E-2</v>
      </c>
      <c r="H469" s="493">
        <v>1</v>
      </c>
    </row>
    <row r="470" spans="2:8" hidden="1" outlineLevel="2">
      <c r="B470" s="373" t="s">
        <v>964</v>
      </c>
      <c r="C470" s="373" t="s">
        <v>1247</v>
      </c>
      <c r="D470" s="373" t="s">
        <v>860</v>
      </c>
      <c r="E470" s="373" t="s">
        <v>102</v>
      </c>
      <c r="F470" s="491" t="s">
        <v>206</v>
      </c>
      <c r="G470" s="493">
        <v>2.4480720000000001E-2</v>
      </c>
      <c r="H470" s="493">
        <v>1</v>
      </c>
    </row>
    <row r="471" spans="2:8" hidden="1" outlineLevel="2">
      <c r="B471" s="373" t="s">
        <v>964</v>
      </c>
      <c r="C471" s="373" t="s">
        <v>1247</v>
      </c>
      <c r="D471" s="373" t="s">
        <v>860</v>
      </c>
      <c r="E471" s="373" t="s">
        <v>102</v>
      </c>
      <c r="F471" s="491" t="s">
        <v>208</v>
      </c>
      <c r="G471" s="493">
        <v>8.1602400000000009E-3</v>
      </c>
      <c r="H471" s="493">
        <v>1</v>
      </c>
    </row>
    <row r="472" spans="2:8" hidden="1" outlineLevel="1" collapsed="1">
      <c r="B472" s="390" t="s">
        <v>1163</v>
      </c>
      <c r="C472" s="390" t="s">
        <v>1163</v>
      </c>
      <c r="D472" s="390"/>
      <c r="E472" s="390" t="s">
        <v>102</v>
      </c>
      <c r="F472" s="475" t="s">
        <v>1967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1163</v>
      </c>
      <c r="C473" s="373" t="s">
        <v>1163</v>
      </c>
      <c r="D473" s="373" t="s">
        <v>441</v>
      </c>
      <c r="E473" s="373" t="s">
        <v>102</v>
      </c>
      <c r="F473" s="491" t="s">
        <v>206</v>
      </c>
      <c r="G473" s="493">
        <v>0.56340280000000009</v>
      </c>
      <c r="H473" s="493">
        <v>1</v>
      </c>
    </row>
    <row r="474" spans="2:8" hidden="1" outlineLevel="2">
      <c r="B474" s="373" t="s">
        <v>1163</v>
      </c>
      <c r="C474" s="373" t="s">
        <v>1163</v>
      </c>
      <c r="D474" s="373" t="s">
        <v>441</v>
      </c>
      <c r="E474" s="373" t="s">
        <v>102</v>
      </c>
      <c r="F474" s="491" t="s">
        <v>208</v>
      </c>
      <c r="G474" s="493">
        <v>0.28170140000000005</v>
      </c>
      <c r="H474" s="493">
        <v>1</v>
      </c>
    </row>
    <row r="475" spans="2:8" hidden="1" outlineLevel="2">
      <c r="B475" s="373" t="s">
        <v>1163</v>
      </c>
      <c r="C475" s="373" t="s">
        <v>1163</v>
      </c>
      <c r="D475" s="373" t="s">
        <v>441</v>
      </c>
      <c r="E475" s="373" t="s">
        <v>102</v>
      </c>
      <c r="F475" s="491" t="s">
        <v>209</v>
      </c>
      <c r="G475" s="493">
        <v>0.28170140000000005</v>
      </c>
      <c r="H475" s="493">
        <v>1</v>
      </c>
    </row>
    <row r="476" spans="2:8" hidden="1" outlineLevel="2">
      <c r="B476" s="373" t="s">
        <v>1163</v>
      </c>
      <c r="C476" s="373" t="s">
        <v>1163</v>
      </c>
      <c r="D476" s="373" t="s">
        <v>860</v>
      </c>
      <c r="E476" s="373" t="s">
        <v>102</v>
      </c>
      <c r="F476" s="491" t="s">
        <v>206</v>
      </c>
      <c r="G476" s="493">
        <v>0.47268540000000003</v>
      </c>
      <c r="H476" s="493">
        <v>1</v>
      </c>
    </row>
    <row r="477" spans="2:8" hidden="1" outlineLevel="2">
      <c r="B477" s="373" t="s">
        <v>1163</v>
      </c>
      <c r="C477" s="373" t="s">
        <v>1163</v>
      </c>
      <c r="D477" s="373" t="s">
        <v>860</v>
      </c>
      <c r="E477" s="373" t="s">
        <v>102</v>
      </c>
      <c r="F477" s="491" t="s">
        <v>209</v>
      </c>
      <c r="G477" s="493">
        <v>0.15756180000000003</v>
      </c>
      <c r="H477" s="493">
        <v>1</v>
      </c>
    </row>
    <row r="478" spans="2:8" hidden="1" outlineLevel="1" collapsed="1">
      <c r="B478" s="390" t="s">
        <v>1165</v>
      </c>
      <c r="C478" s="390" t="s">
        <v>1165</v>
      </c>
      <c r="D478" s="390"/>
      <c r="E478" s="390" t="s">
        <v>102</v>
      </c>
      <c r="F478" s="475" t="s">
        <v>1978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1165</v>
      </c>
      <c r="C479" s="373" t="s">
        <v>1165</v>
      </c>
      <c r="D479" s="373" t="s">
        <v>441</v>
      </c>
      <c r="E479" s="373" t="s">
        <v>102</v>
      </c>
      <c r="F479" s="491" t="s">
        <v>206</v>
      </c>
      <c r="G479" s="493">
        <v>0.43475642700000006</v>
      </c>
      <c r="H479" s="493">
        <v>1</v>
      </c>
    </row>
    <row r="480" spans="2:8" hidden="1" outlineLevel="2">
      <c r="B480" s="373" t="s">
        <v>1165</v>
      </c>
      <c r="C480" s="373" t="s">
        <v>1165</v>
      </c>
      <c r="D480" s="373" t="s">
        <v>441</v>
      </c>
      <c r="E480" s="373" t="s">
        <v>102</v>
      </c>
      <c r="F480" s="491" t="s">
        <v>208</v>
      </c>
      <c r="G480" s="493">
        <v>0.43475642700000006</v>
      </c>
      <c r="H480" s="493">
        <v>1</v>
      </c>
    </row>
    <row r="481" spans="2:8" hidden="1" outlineLevel="1" collapsed="1">
      <c r="B481" s="390" t="s">
        <v>1164</v>
      </c>
      <c r="C481" s="390" t="s">
        <v>1164</v>
      </c>
      <c r="D481" s="390"/>
      <c r="E481" s="390" t="s">
        <v>102</v>
      </c>
      <c r="F481" s="475" t="s">
        <v>1976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1164</v>
      </c>
      <c r="C482" s="373" t="s">
        <v>1164</v>
      </c>
      <c r="D482" s="373" t="s">
        <v>441</v>
      </c>
      <c r="E482" s="373" t="s">
        <v>102</v>
      </c>
      <c r="F482" s="491" t="s">
        <v>206</v>
      </c>
      <c r="G482" s="493">
        <v>0.14491880900000001</v>
      </c>
      <c r="H482" s="493">
        <v>1</v>
      </c>
    </row>
    <row r="483" spans="2:8" hidden="1" outlineLevel="2">
      <c r="B483" s="373" t="s">
        <v>1164</v>
      </c>
      <c r="C483" s="373" t="s">
        <v>1164</v>
      </c>
      <c r="D483" s="373" t="s">
        <v>441</v>
      </c>
      <c r="E483" s="373" t="s">
        <v>102</v>
      </c>
      <c r="F483" s="491" t="s">
        <v>208</v>
      </c>
      <c r="G483" s="493">
        <v>0.14491880900000001</v>
      </c>
      <c r="H483" s="493">
        <v>1</v>
      </c>
    </row>
    <row r="484" spans="2:8" hidden="1" outlineLevel="1" collapsed="1">
      <c r="B484" s="390" t="s">
        <v>973</v>
      </c>
      <c r="C484" s="390" t="s">
        <v>973</v>
      </c>
      <c r="D484" s="390"/>
      <c r="E484" s="390" t="s">
        <v>102</v>
      </c>
      <c r="F484" s="475" t="s">
        <v>1977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973</v>
      </c>
      <c r="C485" s="373" t="s">
        <v>973</v>
      </c>
      <c r="D485" s="373" t="s">
        <v>441</v>
      </c>
      <c r="E485" s="373" t="s">
        <v>437</v>
      </c>
      <c r="F485" s="491" t="s">
        <v>206</v>
      </c>
      <c r="G485" s="492">
        <v>3.9824999999999999E-2</v>
      </c>
      <c r="H485" s="492">
        <v>1</v>
      </c>
    </row>
    <row r="486" spans="2:8" hidden="1" outlineLevel="2">
      <c r="B486" s="373" t="s">
        <v>973</v>
      </c>
      <c r="C486" s="373" t="s">
        <v>973</v>
      </c>
      <c r="D486" s="373" t="s">
        <v>441</v>
      </c>
      <c r="E486" s="373" t="s">
        <v>437</v>
      </c>
      <c r="F486" s="491" t="s">
        <v>208</v>
      </c>
      <c r="G486" s="492">
        <v>7.9649999999999999E-2</v>
      </c>
      <c r="H486" s="492">
        <v>1</v>
      </c>
    </row>
    <row r="487" spans="2:8" hidden="1" outlineLevel="2">
      <c r="B487" s="373" t="s">
        <v>973</v>
      </c>
      <c r="C487" s="373" t="s">
        <v>973</v>
      </c>
      <c r="D487" s="373" t="s">
        <v>441</v>
      </c>
      <c r="E487" s="373" t="s">
        <v>437</v>
      </c>
      <c r="F487" s="491" t="s">
        <v>199</v>
      </c>
      <c r="G487" s="492">
        <v>7.9649999999999999E-2</v>
      </c>
      <c r="H487" s="492">
        <v>1</v>
      </c>
    </row>
    <row r="488" spans="2:8" hidden="1" outlineLevel="2">
      <c r="B488" s="373" t="s">
        <v>973</v>
      </c>
      <c r="C488" s="373" t="s">
        <v>973</v>
      </c>
      <c r="D488" s="373" t="s">
        <v>441</v>
      </c>
      <c r="E488" s="373" t="s">
        <v>437</v>
      </c>
      <c r="F488" s="491" t="s">
        <v>209</v>
      </c>
      <c r="G488" s="492">
        <v>3.9824999999999999E-2</v>
      </c>
      <c r="H488" s="492">
        <v>1</v>
      </c>
    </row>
    <row r="489" spans="2:8" hidden="1" outlineLevel="2">
      <c r="B489" s="373" t="s">
        <v>973</v>
      </c>
      <c r="C489" s="373" t="s">
        <v>973</v>
      </c>
      <c r="D489" s="373" t="s">
        <v>860</v>
      </c>
      <c r="E489" s="373" t="s">
        <v>437</v>
      </c>
      <c r="F489" s="491" t="s">
        <v>206</v>
      </c>
      <c r="G489" s="492">
        <v>4.4550000000000006E-2</v>
      </c>
      <c r="H489" s="492">
        <v>1</v>
      </c>
    </row>
    <row r="490" spans="2:8" hidden="1" outlineLevel="2">
      <c r="B490" s="373" t="s">
        <v>973</v>
      </c>
      <c r="C490" s="373" t="s">
        <v>973</v>
      </c>
      <c r="D490" s="373" t="s">
        <v>860</v>
      </c>
      <c r="E490" s="373" t="s">
        <v>437</v>
      </c>
      <c r="F490" s="491" t="s">
        <v>199</v>
      </c>
      <c r="G490" s="492">
        <v>2.2275000000000003E-2</v>
      </c>
      <c r="H490" s="492">
        <v>1</v>
      </c>
    </row>
    <row r="491" spans="2:8" hidden="1" outlineLevel="2">
      <c r="B491" s="373" t="s">
        <v>973</v>
      </c>
      <c r="C491" s="373" t="s">
        <v>973</v>
      </c>
      <c r="D491" s="373" t="s">
        <v>860</v>
      </c>
      <c r="E491" s="373" t="s">
        <v>437</v>
      </c>
      <c r="F491" s="491" t="s">
        <v>608</v>
      </c>
      <c r="G491" s="492">
        <v>2.2275000000000003E-2</v>
      </c>
      <c r="H491" s="492">
        <v>1</v>
      </c>
    </row>
    <row r="492" spans="2:8" hidden="1" outlineLevel="1" collapsed="1">
      <c r="B492" s="390" t="s">
        <v>975</v>
      </c>
      <c r="C492" s="390" t="s">
        <v>1201</v>
      </c>
      <c r="D492" s="390"/>
      <c r="E492" s="390" t="s">
        <v>102</v>
      </c>
      <c r="F492" s="475" t="s">
        <v>1984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975</v>
      </c>
      <c r="C493" s="373" t="s">
        <v>1201</v>
      </c>
      <c r="D493" s="373" t="s">
        <v>1166</v>
      </c>
      <c r="E493" s="373" t="s">
        <v>437</v>
      </c>
      <c r="F493" s="491" t="s">
        <v>205</v>
      </c>
      <c r="G493" s="492">
        <v>0.85500000000000009</v>
      </c>
      <c r="H493" s="492">
        <v>1</v>
      </c>
    </row>
    <row r="494" spans="2:8" hidden="1" outlineLevel="2">
      <c r="B494" s="373" t="s">
        <v>975</v>
      </c>
      <c r="C494" s="373" t="s">
        <v>1201</v>
      </c>
      <c r="D494" s="373" t="s">
        <v>1166</v>
      </c>
      <c r="E494" s="373" t="s">
        <v>437</v>
      </c>
      <c r="F494" s="491" t="s">
        <v>206</v>
      </c>
      <c r="G494" s="492">
        <v>1.4050000000000002</v>
      </c>
      <c r="H494" s="492">
        <v>1</v>
      </c>
    </row>
    <row r="495" spans="2:8" hidden="1" outlineLevel="2">
      <c r="B495" s="373" t="s">
        <v>975</v>
      </c>
      <c r="C495" s="373" t="s">
        <v>1201</v>
      </c>
      <c r="D495" s="373" t="s">
        <v>1166</v>
      </c>
      <c r="E495" s="373" t="s">
        <v>437</v>
      </c>
      <c r="F495" s="491" t="s">
        <v>208</v>
      </c>
      <c r="G495" s="492">
        <v>1.4050000000000002</v>
      </c>
      <c r="H495" s="492">
        <v>1</v>
      </c>
    </row>
    <row r="496" spans="2:8" hidden="1" outlineLevel="2">
      <c r="B496" s="373" t="s">
        <v>975</v>
      </c>
      <c r="C496" s="373" t="s">
        <v>1201</v>
      </c>
      <c r="D496" s="373" t="s">
        <v>1166</v>
      </c>
      <c r="E496" s="373" t="s">
        <v>437</v>
      </c>
      <c r="F496" s="491" t="s">
        <v>608</v>
      </c>
      <c r="G496" s="492">
        <v>0.85500000000000009</v>
      </c>
      <c r="H496" s="492">
        <v>1</v>
      </c>
    </row>
    <row r="497" spans="2:8" hidden="1" outlineLevel="2">
      <c r="B497" s="373" t="s">
        <v>975</v>
      </c>
      <c r="C497" s="373" t="s">
        <v>1201</v>
      </c>
      <c r="D497" s="373" t="s">
        <v>441</v>
      </c>
      <c r="E497" s="373" t="s">
        <v>437</v>
      </c>
      <c r="F497" s="491" t="s">
        <v>206</v>
      </c>
      <c r="G497" s="492">
        <v>0.10088999999999999</v>
      </c>
      <c r="H497" s="492">
        <v>1</v>
      </c>
    </row>
    <row r="498" spans="2:8" hidden="1" outlineLevel="2">
      <c r="B498" s="373" t="s">
        <v>975</v>
      </c>
      <c r="C498" s="373" t="s">
        <v>1201</v>
      </c>
      <c r="D498" s="373" t="s">
        <v>441</v>
      </c>
      <c r="E498" s="373" t="s">
        <v>437</v>
      </c>
      <c r="F498" s="491" t="s">
        <v>208</v>
      </c>
      <c r="G498" s="492">
        <v>0.20177999999999999</v>
      </c>
      <c r="H498" s="492">
        <v>1</v>
      </c>
    </row>
    <row r="499" spans="2:8" hidden="1" outlineLevel="2">
      <c r="B499" s="373" t="s">
        <v>975</v>
      </c>
      <c r="C499" s="373" t="s">
        <v>1201</v>
      </c>
      <c r="D499" s="373" t="s">
        <v>441</v>
      </c>
      <c r="E499" s="373" t="s">
        <v>437</v>
      </c>
      <c r="F499" s="491" t="s">
        <v>608</v>
      </c>
      <c r="G499" s="492">
        <v>0.10088999999999999</v>
      </c>
      <c r="H499" s="492">
        <v>1</v>
      </c>
    </row>
    <row r="500" spans="2:8" hidden="1" outlineLevel="2">
      <c r="B500" s="373" t="s">
        <v>975</v>
      </c>
      <c r="C500" s="373" t="s">
        <v>1201</v>
      </c>
      <c r="D500" s="373" t="s">
        <v>860</v>
      </c>
      <c r="E500" s="373" t="s">
        <v>437</v>
      </c>
      <c r="F500" s="491" t="s">
        <v>206</v>
      </c>
      <c r="G500" s="492">
        <v>0.11286000000000002</v>
      </c>
      <c r="H500" s="492">
        <v>1</v>
      </c>
    </row>
    <row r="501" spans="2:8" hidden="1" outlineLevel="2">
      <c r="B501" s="373" t="s">
        <v>975</v>
      </c>
      <c r="C501" s="373" t="s">
        <v>1201</v>
      </c>
      <c r="D501" s="373" t="s">
        <v>860</v>
      </c>
      <c r="E501" s="373" t="s">
        <v>437</v>
      </c>
      <c r="F501" s="491" t="s">
        <v>208</v>
      </c>
      <c r="G501" s="492">
        <v>0.16929</v>
      </c>
      <c r="H501" s="492">
        <v>1</v>
      </c>
    </row>
    <row r="502" spans="2:8" hidden="1" outlineLevel="2">
      <c r="B502" s="373" t="s">
        <v>975</v>
      </c>
      <c r="C502" s="373" t="s">
        <v>1201</v>
      </c>
      <c r="D502" s="373" t="s">
        <v>860</v>
      </c>
      <c r="E502" s="373" t="s">
        <v>437</v>
      </c>
      <c r="F502" s="491" t="s">
        <v>608</v>
      </c>
      <c r="G502" s="492">
        <v>5.6430000000000008E-2</v>
      </c>
      <c r="H502" s="492">
        <v>1</v>
      </c>
    </row>
    <row r="503" spans="2:8" hidden="1" outlineLevel="1" collapsed="1">
      <c r="B503" s="390" t="s">
        <v>1890</v>
      </c>
      <c r="C503" s="390" t="s">
        <v>1201</v>
      </c>
      <c r="D503" s="390"/>
      <c r="E503" s="390" t="s">
        <v>102</v>
      </c>
      <c r="F503" s="475" t="s">
        <v>1985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1890</v>
      </c>
      <c r="C504" s="373" t="s">
        <v>1201</v>
      </c>
      <c r="D504" s="373" t="s">
        <v>1166</v>
      </c>
      <c r="E504" s="373" t="s">
        <v>437</v>
      </c>
      <c r="F504" s="491" t="s">
        <v>205</v>
      </c>
      <c r="G504" s="492">
        <v>0.4724994626592407</v>
      </c>
      <c r="H504" s="492">
        <v>1</v>
      </c>
    </row>
    <row r="505" spans="2:8" hidden="1" outlineLevel="2">
      <c r="B505" s="373" t="s">
        <v>1890</v>
      </c>
      <c r="C505" s="373" t="s">
        <v>1201</v>
      </c>
      <c r="D505" s="373" t="s">
        <v>1166</v>
      </c>
      <c r="E505" s="373" t="s">
        <v>437</v>
      </c>
      <c r="F505" s="491" t="s">
        <v>206</v>
      </c>
      <c r="G505" s="492">
        <v>0.85586265139649265</v>
      </c>
      <c r="H505" s="492">
        <v>1</v>
      </c>
    </row>
    <row r="506" spans="2:8" hidden="1" outlineLevel="2">
      <c r="B506" s="373" t="s">
        <v>1890</v>
      </c>
      <c r="C506" s="373" t="s">
        <v>1201</v>
      </c>
      <c r="D506" s="373" t="s">
        <v>1166</v>
      </c>
      <c r="E506" s="373" t="s">
        <v>437</v>
      </c>
      <c r="F506" s="491" t="s">
        <v>208</v>
      </c>
      <c r="G506" s="492">
        <v>0.85586265139649265</v>
      </c>
      <c r="H506" s="492">
        <v>1</v>
      </c>
    </row>
    <row r="507" spans="2:8" hidden="1" outlineLevel="2">
      <c r="B507" s="373" t="s">
        <v>1890</v>
      </c>
      <c r="C507" s="373" t="s">
        <v>1201</v>
      </c>
      <c r="D507" s="373" t="s">
        <v>441</v>
      </c>
      <c r="E507" s="373" t="s">
        <v>437</v>
      </c>
      <c r="F507" s="491" t="s">
        <v>206</v>
      </c>
      <c r="G507" s="492">
        <v>5.5754936593790397E-2</v>
      </c>
      <c r="H507" s="492">
        <v>1</v>
      </c>
    </row>
    <row r="508" spans="2:8" hidden="1" outlineLevel="2">
      <c r="B508" s="373" t="s">
        <v>1890</v>
      </c>
      <c r="C508" s="373" t="s">
        <v>1201</v>
      </c>
      <c r="D508" s="373" t="s">
        <v>441</v>
      </c>
      <c r="E508" s="373" t="s">
        <v>437</v>
      </c>
      <c r="F508" s="491" t="s">
        <v>208</v>
      </c>
      <c r="G508" s="492">
        <v>0.11150987318758079</v>
      </c>
      <c r="H508" s="492">
        <v>1</v>
      </c>
    </row>
    <row r="509" spans="2:8" hidden="1" outlineLevel="2">
      <c r="B509" s="373" t="s">
        <v>1890</v>
      </c>
      <c r="C509" s="373" t="s">
        <v>1201</v>
      </c>
      <c r="D509" s="373" t="s">
        <v>860</v>
      </c>
      <c r="E509" s="373" t="s">
        <v>437</v>
      </c>
      <c r="F509" s="491" t="s">
        <v>206</v>
      </c>
      <c r="G509" s="492">
        <v>6.2369929071019771E-2</v>
      </c>
      <c r="H509" s="492">
        <v>1</v>
      </c>
    </row>
    <row r="510" spans="2:8" hidden="1" outlineLevel="2">
      <c r="B510" s="373" t="s">
        <v>1890</v>
      </c>
      <c r="C510" s="373" t="s">
        <v>1201</v>
      </c>
      <c r="D510" s="373" t="s">
        <v>860</v>
      </c>
      <c r="E510" s="373" t="s">
        <v>437</v>
      </c>
      <c r="F510" s="491" t="s">
        <v>208</v>
      </c>
      <c r="G510" s="492">
        <v>9.3554893606529646E-2</v>
      </c>
      <c r="H510" s="492">
        <v>1</v>
      </c>
    </row>
    <row r="511" spans="2:8" hidden="1" outlineLevel="1" collapsed="1">
      <c r="B511" s="390" t="s">
        <v>609</v>
      </c>
      <c r="C511" s="390" t="s">
        <v>1201</v>
      </c>
      <c r="D511" s="390"/>
      <c r="E511" s="390" t="s">
        <v>102</v>
      </c>
      <c r="F511" s="475" t="s">
        <v>1986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609</v>
      </c>
      <c r="C512" s="373" t="s">
        <v>1201</v>
      </c>
      <c r="D512" s="373" t="s">
        <v>1166</v>
      </c>
      <c r="E512" s="373" t="s">
        <v>437</v>
      </c>
      <c r="F512" s="491" t="s">
        <v>1893</v>
      </c>
      <c r="G512" s="492">
        <v>0.55066951170000011</v>
      </c>
      <c r="H512" s="492">
        <v>1</v>
      </c>
    </row>
    <row r="513" spans="2:8" hidden="1" outlineLevel="2">
      <c r="B513" s="373" t="s">
        <v>609</v>
      </c>
      <c r="C513" s="373" t="s">
        <v>1201</v>
      </c>
      <c r="D513" s="373" t="s">
        <v>1166</v>
      </c>
      <c r="E513" s="373" t="s">
        <v>437</v>
      </c>
      <c r="F513" s="491" t="s">
        <v>1894</v>
      </c>
      <c r="G513" s="492">
        <v>0.55066951170000011</v>
      </c>
      <c r="H513" s="492">
        <v>1</v>
      </c>
    </row>
    <row r="514" spans="2:8" hidden="1" outlineLevel="2">
      <c r="B514" s="373" t="s">
        <v>609</v>
      </c>
      <c r="C514" s="373" t="s">
        <v>1201</v>
      </c>
      <c r="D514" s="373" t="s">
        <v>1166</v>
      </c>
      <c r="E514" s="373" t="s">
        <v>437</v>
      </c>
      <c r="F514" s="491" t="s">
        <v>199</v>
      </c>
      <c r="G514" s="492">
        <v>0.55066951170000011</v>
      </c>
      <c r="H514" s="492">
        <v>1</v>
      </c>
    </row>
    <row r="515" spans="2:8" hidden="1" outlineLevel="2">
      <c r="B515" s="373" t="s">
        <v>609</v>
      </c>
      <c r="C515" s="373" t="s">
        <v>1201</v>
      </c>
      <c r="D515" s="373" t="s">
        <v>1166</v>
      </c>
      <c r="E515" s="373" t="s">
        <v>437</v>
      </c>
      <c r="F515" s="491" t="s">
        <v>608</v>
      </c>
      <c r="G515" s="492">
        <v>0.30444318135000004</v>
      </c>
      <c r="H515" s="492">
        <v>1</v>
      </c>
    </row>
    <row r="516" spans="2:8" hidden="1" outlineLevel="2">
      <c r="B516" s="373" t="s">
        <v>609</v>
      </c>
      <c r="C516" s="373" t="s">
        <v>1201</v>
      </c>
      <c r="D516" s="373" t="s">
        <v>1166</v>
      </c>
      <c r="E516" s="373" t="s">
        <v>437</v>
      </c>
      <c r="F516" s="491" t="s">
        <v>198</v>
      </c>
      <c r="G516" s="492">
        <v>0.30444318135000004</v>
      </c>
      <c r="H516" s="492">
        <v>1</v>
      </c>
    </row>
    <row r="517" spans="2:8" hidden="1" outlineLevel="2">
      <c r="B517" s="373" t="s">
        <v>609</v>
      </c>
      <c r="C517" s="373" t="s">
        <v>1201</v>
      </c>
      <c r="D517" s="373" t="s">
        <v>1166</v>
      </c>
      <c r="E517" s="373" t="s">
        <v>437</v>
      </c>
      <c r="F517" s="491" t="s">
        <v>1895</v>
      </c>
      <c r="G517" s="492">
        <v>0.16520085351</v>
      </c>
      <c r="H517" s="492">
        <v>1</v>
      </c>
    </row>
    <row r="518" spans="2:8" hidden="1" outlineLevel="2">
      <c r="B518" s="373" t="s">
        <v>609</v>
      </c>
      <c r="C518" s="373" t="s">
        <v>1201</v>
      </c>
      <c r="D518" s="373" t="s">
        <v>441</v>
      </c>
      <c r="E518" s="373" t="s">
        <v>437</v>
      </c>
      <c r="F518" s="491" t="s">
        <v>206</v>
      </c>
      <c r="G518" s="492">
        <v>3.5924295399299998E-2</v>
      </c>
      <c r="H518" s="492">
        <v>1</v>
      </c>
    </row>
    <row r="519" spans="2:8" hidden="1" outlineLevel="2">
      <c r="B519" s="373" t="s">
        <v>609</v>
      </c>
      <c r="C519" s="373" t="s">
        <v>1201</v>
      </c>
      <c r="D519" s="373" t="s">
        <v>441</v>
      </c>
      <c r="E519" s="373" t="s">
        <v>437</v>
      </c>
      <c r="F519" s="491" t="s">
        <v>1894</v>
      </c>
      <c r="G519" s="492">
        <v>7.1848590798599996E-2</v>
      </c>
      <c r="H519" s="492">
        <v>1</v>
      </c>
    </row>
    <row r="520" spans="2:8" hidden="1" outlineLevel="2">
      <c r="B520" s="373" t="s">
        <v>609</v>
      </c>
      <c r="C520" s="373" t="s">
        <v>1201</v>
      </c>
      <c r="D520" s="373" t="s">
        <v>441</v>
      </c>
      <c r="E520" s="373" t="s">
        <v>437</v>
      </c>
      <c r="F520" s="491" t="s">
        <v>199</v>
      </c>
      <c r="G520" s="492">
        <v>7.1848590798599996E-2</v>
      </c>
      <c r="H520" s="492">
        <v>1</v>
      </c>
    </row>
    <row r="521" spans="2:8" hidden="1" outlineLevel="2">
      <c r="B521" s="373" t="s">
        <v>609</v>
      </c>
      <c r="C521" s="373" t="s">
        <v>1201</v>
      </c>
      <c r="D521" s="373" t="s">
        <v>441</v>
      </c>
      <c r="E521" s="373" t="s">
        <v>437</v>
      </c>
      <c r="F521" s="491" t="s">
        <v>608</v>
      </c>
      <c r="G521" s="492">
        <v>3.5924295399299998E-2</v>
      </c>
      <c r="H521" s="492">
        <v>1</v>
      </c>
    </row>
    <row r="522" spans="2:8" hidden="1" outlineLevel="2">
      <c r="B522" s="373" t="s">
        <v>609</v>
      </c>
      <c r="C522" s="373" t="s">
        <v>1201</v>
      </c>
      <c r="D522" s="373" t="s">
        <v>441</v>
      </c>
      <c r="E522" s="373" t="s">
        <v>437</v>
      </c>
      <c r="F522" s="491" t="s">
        <v>1897</v>
      </c>
      <c r="G522" s="492">
        <v>3.2489501190300002E-2</v>
      </c>
      <c r="H522" s="492">
        <v>1</v>
      </c>
    </row>
    <row r="523" spans="2:8" hidden="1" outlineLevel="2">
      <c r="B523" s="373" t="s">
        <v>609</v>
      </c>
      <c r="C523" s="373" t="s">
        <v>1201</v>
      </c>
      <c r="D523" s="373" t="s">
        <v>860</v>
      </c>
      <c r="E523" s="373" t="s">
        <v>437</v>
      </c>
      <c r="F523" s="491" t="s">
        <v>206</v>
      </c>
      <c r="G523" s="492">
        <v>4.0186499938200004E-2</v>
      </c>
      <c r="H523" s="492">
        <v>1</v>
      </c>
    </row>
    <row r="524" spans="2:8" hidden="1" outlineLevel="2">
      <c r="B524" s="373" t="s">
        <v>609</v>
      </c>
      <c r="C524" s="373" t="s">
        <v>1201</v>
      </c>
      <c r="D524" s="373" t="s">
        <v>860</v>
      </c>
      <c r="E524" s="373" t="s">
        <v>437</v>
      </c>
      <c r="F524" s="491" t="s">
        <v>199</v>
      </c>
      <c r="G524" s="492">
        <v>2.0093249969100002E-2</v>
      </c>
      <c r="H524" s="492">
        <v>1</v>
      </c>
    </row>
    <row r="525" spans="2:8" hidden="1" outlineLevel="2">
      <c r="B525" s="373" t="s">
        <v>609</v>
      </c>
      <c r="C525" s="373" t="s">
        <v>1201</v>
      </c>
      <c r="D525" s="373" t="s">
        <v>860</v>
      </c>
      <c r="E525" s="373" t="s">
        <v>437</v>
      </c>
      <c r="F525" s="491" t="s">
        <v>608</v>
      </c>
      <c r="G525" s="492">
        <v>2.0093249969100002E-2</v>
      </c>
      <c r="H525" s="492">
        <v>1</v>
      </c>
    </row>
    <row r="526" spans="2:8" hidden="1" outlineLevel="2">
      <c r="B526" s="373" t="s">
        <v>609</v>
      </c>
      <c r="C526" s="373" t="s">
        <v>1201</v>
      </c>
      <c r="D526" s="373" t="s">
        <v>860</v>
      </c>
      <c r="E526" s="373" t="s">
        <v>437</v>
      </c>
      <c r="F526" s="491" t="s">
        <v>198</v>
      </c>
      <c r="G526" s="492">
        <v>2.0093249969100002E-2</v>
      </c>
      <c r="H526" s="492">
        <v>1</v>
      </c>
    </row>
    <row r="527" spans="2:8" hidden="1" outlineLevel="2">
      <c r="B527" s="373" t="s">
        <v>609</v>
      </c>
      <c r="C527" s="373" t="s">
        <v>1201</v>
      </c>
      <c r="D527" s="373" t="s">
        <v>860</v>
      </c>
      <c r="E527" s="373" t="s">
        <v>437</v>
      </c>
      <c r="F527" s="491" t="s">
        <v>1897</v>
      </c>
      <c r="G527" s="492">
        <v>1.8172093886100003E-2</v>
      </c>
      <c r="H527" s="492">
        <v>1</v>
      </c>
    </row>
    <row r="528" spans="2:8" hidden="1" outlineLevel="1">
      <c r="B528" s="390" t="s">
        <v>285</v>
      </c>
      <c r="C528" s="390" t="s">
        <v>1201</v>
      </c>
      <c r="D528" s="390"/>
      <c r="E528" s="390" t="s">
        <v>102</v>
      </c>
      <c r="F528" s="475" t="s">
        <v>1987</v>
      </c>
      <c r="G528" s="490">
        <v>0</v>
      </c>
      <c r="H528" s="490">
        <v>0</v>
      </c>
    </row>
    <row r="529" spans="2:8" hidden="1" outlineLevel="1">
      <c r="B529" s="390" t="s">
        <v>916</v>
      </c>
      <c r="C529" s="390" t="s">
        <v>916</v>
      </c>
      <c r="D529" s="390"/>
      <c r="E529" s="390" t="s">
        <v>102</v>
      </c>
      <c r="F529" s="475" t="s">
        <v>1988</v>
      </c>
      <c r="G529" s="490">
        <v>0</v>
      </c>
      <c r="H529" s="490">
        <v>0</v>
      </c>
    </row>
    <row r="530" spans="2:8" hidden="1" outlineLevel="1">
      <c r="B530" s="390" t="s">
        <v>1170</v>
      </c>
      <c r="C530" s="390" t="s">
        <v>1170</v>
      </c>
      <c r="D530" s="390"/>
      <c r="E530" s="390" t="s">
        <v>102</v>
      </c>
      <c r="F530" s="475" t="s">
        <v>1972</v>
      </c>
      <c r="G530" s="490">
        <v>0</v>
      </c>
      <c r="H530" s="490">
        <v>0</v>
      </c>
    </row>
    <row r="531" spans="2:8" hidden="1" outlineLevel="1" collapsed="1">
      <c r="B531" s="390" t="s">
        <v>1384</v>
      </c>
      <c r="C531" s="390" t="s">
        <v>1384</v>
      </c>
      <c r="D531" s="390"/>
      <c r="E531" s="390" t="s">
        <v>102</v>
      </c>
      <c r="F531" s="475" t="s">
        <v>2001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1384</v>
      </c>
      <c r="C532" s="373" t="s">
        <v>1384</v>
      </c>
      <c r="D532" s="373" t="s">
        <v>441</v>
      </c>
      <c r="E532" s="373" t="s">
        <v>437</v>
      </c>
      <c r="F532" s="491" t="s">
        <v>36</v>
      </c>
      <c r="G532" s="492">
        <v>5.6372543999999997E-3</v>
      </c>
      <c r="H532" s="492">
        <v>1</v>
      </c>
    </row>
    <row r="533" spans="2:8" hidden="1" outlineLevel="2">
      <c r="B533" s="373" t="s">
        <v>1384</v>
      </c>
      <c r="C533" s="373" t="s">
        <v>1384</v>
      </c>
      <c r="D533" s="373" t="s">
        <v>441</v>
      </c>
      <c r="E533" s="373" t="s">
        <v>437</v>
      </c>
      <c r="F533" s="491" t="s">
        <v>208</v>
      </c>
      <c r="G533" s="492">
        <v>5.6372543999999997E-3</v>
      </c>
      <c r="H533" s="492">
        <v>1</v>
      </c>
    </row>
    <row r="534" spans="2:8" hidden="1" outlineLevel="2">
      <c r="B534" s="373" t="s">
        <v>1384</v>
      </c>
      <c r="C534" s="373" t="s">
        <v>1384</v>
      </c>
      <c r="D534" s="373" t="s">
        <v>860</v>
      </c>
      <c r="E534" s="373" t="s">
        <v>437</v>
      </c>
      <c r="F534" s="491" t="s">
        <v>36</v>
      </c>
      <c r="G534" s="492">
        <v>4.6977119999999997E-3</v>
      </c>
      <c r="H534" s="492">
        <v>1</v>
      </c>
    </row>
    <row r="535" spans="2:8" hidden="1" outlineLevel="2">
      <c r="B535" s="373" t="s">
        <v>1384</v>
      </c>
      <c r="C535" s="373" t="s">
        <v>1384</v>
      </c>
      <c r="D535" s="373" t="s">
        <v>860</v>
      </c>
      <c r="E535" s="373" t="s">
        <v>437</v>
      </c>
      <c r="F535" s="491" t="s">
        <v>208</v>
      </c>
      <c r="G535" s="492">
        <v>4.6977119999999997E-3</v>
      </c>
      <c r="H535" s="492">
        <v>1</v>
      </c>
    </row>
    <row r="536" spans="2:8" hidden="1" outlineLevel="1" collapsed="1">
      <c r="B536" s="390" t="s">
        <v>369</v>
      </c>
      <c r="C536" s="390" t="s">
        <v>843</v>
      </c>
      <c r="D536" s="390"/>
      <c r="E536" s="390" t="s">
        <v>102</v>
      </c>
      <c r="F536" s="475" t="s">
        <v>1979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369</v>
      </c>
      <c r="C537" s="373" t="s">
        <v>843</v>
      </c>
      <c r="D537" s="373" t="s">
        <v>441</v>
      </c>
      <c r="E537" s="373" t="s">
        <v>437</v>
      </c>
      <c r="F537" s="491" t="s">
        <v>206</v>
      </c>
      <c r="G537" s="492">
        <v>0.1</v>
      </c>
      <c r="H537" s="492">
        <v>1</v>
      </c>
    </row>
    <row r="538" spans="2:8" hidden="1" outlineLevel="2">
      <c r="B538" s="373" t="s">
        <v>369</v>
      </c>
      <c r="C538" s="373" t="s">
        <v>843</v>
      </c>
      <c r="D538" s="373" t="s">
        <v>441</v>
      </c>
      <c r="E538" s="373" t="s">
        <v>437</v>
      </c>
      <c r="F538" s="491" t="s">
        <v>208</v>
      </c>
      <c r="G538" s="492">
        <v>0.05</v>
      </c>
      <c r="H538" s="492">
        <v>1</v>
      </c>
    </row>
    <row r="539" spans="2:8" hidden="1" outlineLevel="2">
      <c r="B539" s="373" t="s">
        <v>369</v>
      </c>
      <c r="C539" s="373" t="s">
        <v>843</v>
      </c>
      <c r="D539" s="373" t="s">
        <v>441</v>
      </c>
      <c r="E539" s="373" t="s">
        <v>437</v>
      </c>
      <c r="F539" s="491" t="s">
        <v>230</v>
      </c>
      <c r="G539" s="492">
        <v>0.1</v>
      </c>
      <c r="H539" s="492">
        <v>1</v>
      </c>
    </row>
    <row r="540" spans="2:8" hidden="1" outlineLevel="2">
      <c r="B540" s="373" t="s">
        <v>369</v>
      </c>
      <c r="C540" s="373" t="s">
        <v>843</v>
      </c>
      <c r="D540" s="373" t="s">
        <v>860</v>
      </c>
      <c r="E540" s="373" t="s">
        <v>437</v>
      </c>
      <c r="F540" s="491" t="s">
        <v>206</v>
      </c>
      <c r="G540" s="492">
        <v>0.15</v>
      </c>
      <c r="H540" s="492">
        <v>1</v>
      </c>
    </row>
    <row r="541" spans="2:8" hidden="1" outlineLevel="2">
      <c r="B541" s="373" t="s">
        <v>369</v>
      </c>
      <c r="C541" s="373" t="s">
        <v>843</v>
      </c>
      <c r="D541" s="373" t="s">
        <v>860</v>
      </c>
      <c r="E541" s="373" t="s">
        <v>437</v>
      </c>
      <c r="F541" s="491" t="s">
        <v>208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40187-9EF4-4E44-B2B9-F79E5D103205}"/>
</file>

<file path=customXml/itemProps2.xml><?xml version="1.0" encoding="utf-8"?>
<ds:datastoreItem xmlns:ds="http://schemas.openxmlformats.org/officeDocument/2006/customXml" ds:itemID="{64A9BDF9-F82C-46C3-858A-9396328B6365}"/>
</file>

<file path=customXml/itemProps3.xml><?xml version="1.0" encoding="utf-8"?>
<ds:datastoreItem xmlns:ds="http://schemas.openxmlformats.org/officeDocument/2006/customXml" ds:itemID="{37F01CEE-A6F8-409E-9FAD-BDD3DDDDB7C1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Raghavendra B U</cp:lastModifiedBy>
  <cp:revision/>
  <dcterms:created xsi:type="dcterms:W3CDTF">2024-04-25T11:54:44Z</dcterms:created>
  <dcterms:modified xsi:type="dcterms:W3CDTF">2026-09-23T06:44:53Z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